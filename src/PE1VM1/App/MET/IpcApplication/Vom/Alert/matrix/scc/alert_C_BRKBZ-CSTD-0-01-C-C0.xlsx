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drawings/drawing4.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B913E2B2-0217-4CB9-9CBB-AD67196EBE46}" xr6:coauthVersionLast="47" xr6:coauthVersionMax="47" xr10:uidLastSave="{00000000-0000-0000-0000-000000000000}"/>
  <bookViews>
    <workbookView xWindow="-7575" yWindow="-16320" windowWidth="29040" windowHeight="15720" xr2:uid="{00000000-000D-0000-FFFF-FFFF00000000}"/>
  </bookViews>
  <sheets>
    <sheet name="表紙（承認欄）" sheetId="18" r:id="rId1"/>
    <sheet name="表紙" sheetId="1" r:id="rId2"/>
    <sheet name="はじめに" sheetId="10" r:id="rId3"/>
    <sheet name="Matrix" sheetId="4" r:id="rId4"/>
    <sheet name="Config_IF" sheetId="11" r:id="rId5"/>
    <sheet name="CH_Design" sheetId="5" r:id="rId6"/>
    <sheet name="C_BRKBZ" sheetId="14" r:id="rId7"/>
    <sheet name="Reference" sheetId="16" r:id="rId8"/>
    <sheet name="Reference2" sheetId="17"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Reference!$K$9:$M$109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8" l="1"/>
  <c r="B13" i="1" l="1"/>
  <c r="B12" i="1"/>
  <c r="B11" i="1"/>
  <c r="B10" i="1"/>
  <c r="B9" i="1"/>
  <c r="C2" i="7"/>
  <c r="B3" i="14"/>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AN178" i="14" s="1"/>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O115" i="14" s="1"/>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AN101" i="14" s="1"/>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145" i="14" s="1"/>
  <c r="C14" i="14"/>
  <c r="C79" i="14" s="1"/>
  <c r="AW13" i="14"/>
  <c r="C13" i="14"/>
  <c r="C143" i="14" s="1"/>
  <c r="C12" i="14"/>
  <c r="C142" i="14" s="1"/>
  <c r="C11" i="14"/>
  <c r="C141" i="14" s="1"/>
  <c r="C10" i="14"/>
  <c r="C140" i="14" s="1"/>
  <c r="C9" i="14"/>
  <c r="C139" i="14" s="1"/>
  <c r="C8" i="14"/>
  <c r="C138" i="14" s="1"/>
  <c r="AW7" i="14"/>
  <c r="C7" i="14"/>
  <c r="C137" i="14" s="1"/>
  <c r="AW6" i="14"/>
  <c r="C6" i="14"/>
  <c r="C136" i="14" s="1"/>
  <c r="AN134" i="14" l="1"/>
  <c r="C77" i="14"/>
  <c r="AM115" i="14"/>
  <c r="AO77" i="14"/>
  <c r="AO178" i="14"/>
  <c r="C108" i="14"/>
  <c r="AN98" i="14"/>
  <c r="AO71" i="14"/>
  <c r="AN78" i="14"/>
  <c r="AN86" i="14"/>
  <c r="AM129" i="14"/>
  <c r="AN146" i="14"/>
  <c r="AN166" i="14"/>
  <c r="AN92" i="14"/>
  <c r="AN106" i="14"/>
  <c r="AO112" i="14"/>
  <c r="AO123" i="14"/>
  <c r="AO128" i="14"/>
  <c r="AO160" i="14"/>
  <c r="AN160" i="14"/>
  <c r="AO131" i="14"/>
  <c r="AN190" i="14"/>
  <c r="C73" i="14"/>
  <c r="AN100" i="14"/>
  <c r="AM121" i="14"/>
  <c r="AO153" i="14"/>
  <c r="AN174" i="14"/>
  <c r="AO177" i="14"/>
  <c r="AN177" i="14"/>
  <c r="AN184" i="14"/>
  <c r="AN193" i="14"/>
  <c r="AN74" i="14"/>
  <c r="AN94" i="14"/>
  <c r="AN108" i="14"/>
  <c r="AO116" i="14"/>
  <c r="AN126" i="14"/>
  <c r="AN147" i="14"/>
  <c r="AN163" i="14"/>
  <c r="AO187" i="14"/>
  <c r="AN96" i="14"/>
  <c r="AN102" i="14"/>
  <c r="AN103" i="14"/>
  <c r="AO122" i="14"/>
  <c r="AO156" i="14"/>
  <c r="AM180" i="14"/>
  <c r="AN196" i="14"/>
  <c r="AN88" i="14"/>
  <c r="AN90" i="14"/>
  <c r="AO95" i="14"/>
  <c r="C104" i="14"/>
  <c r="AO110" i="14"/>
  <c r="AN141" i="14"/>
  <c r="AN148" i="14"/>
  <c r="AO157" i="14"/>
  <c r="AN172" i="14"/>
  <c r="AN173" i="14"/>
  <c r="AN181" i="14"/>
  <c r="AN119" i="14"/>
  <c r="AO190" i="14"/>
  <c r="C72" i="14"/>
  <c r="AO75" i="14"/>
  <c r="AN77" i="14"/>
  <c r="AO84" i="14"/>
  <c r="C92" i="14"/>
  <c r="AN104" i="14"/>
  <c r="AL117" i="14"/>
  <c r="C120" i="14"/>
  <c r="AO125" i="14"/>
  <c r="AO134" i="14"/>
  <c r="AN143" i="14"/>
  <c r="AO183" i="14"/>
  <c r="AM183" i="14"/>
  <c r="C71" i="14"/>
  <c r="AO72" i="14"/>
  <c r="C78" i="14"/>
  <c r="AN82" i="14"/>
  <c r="AO90" i="14"/>
  <c r="AN97" i="14"/>
  <c r="AO105" i="14"/>
  <c r="AO106" i="14"/>
  <c r="AN113" i="14"/>
  <c r="AO120" i="14"/>
  <c r="AO148" i="14"/>
  <c r="AN151" i="14"/>
  <c r="AN152" i="14"/>
  <c r="AO165" i="14"/>
  <c r="C182" i="14"/>
  <c r="AN182" i="14"/>
  <c r="AO195" i="14"/>
  <c r="AN114" i="14"/>
  <c r="AN76" i="14"/>
  <c r="AN91" i="14"/>
  <c r="AO99" i="14"/>
  <c r="AO100" i="14"/>
  <c r="AN107" i="14"/>
  <c r="C114" i="14"/>
  <c r="C119" i="14"/>
  <c r="AM126" i="14"/>
  <c r="AO139" i="14"/>
  <c r="AN155" i="14"/>
  <c r="AN156" i="14"/>
  <c r="AN159" i="14"/>
  <c r="AO169" i="14"/>
  <c r="AN185" i="14"/>
  <c r="AN186" i="14"/>
  <c r="AN189" i="14"/>
  <c r="AM192" i="14"/>
  <c r="AO199" i="14"/>
  <c r="AO96" i="14"/>
  <c r="AN128" i="14"/>
  <c r="AN164" i="14"/>
  <c r="AN194" i="14"/>
  <c r="AO89" i="14"/>
  <c r="AN75" i="14"/>
  <c r="AO82" i="14"/>
  <c r="AO87" i="14"/>
  <c r="AO93" i="14"/>
  <c r="AO94" i="14"/>
  <c r="C102" i="14"/>
  <c r="AO109" i="14"/>
  <c r="AN137" i="14"/>
  <c r="AN167" i="14"/>
  <c r="AN168" i="14"/>
  <c r="AN171" i="14"/>
  <c r="AO181" i="14"/>
  <c r="AN197" i="14"/>
  <c r="AN198" i="14"/>
  <c r="AO76" i="14"/>
  <c r="C86" i="14"/>
  <c r="AO88" i="14"/>
  <c r="AN95" i="14"/>
  <c r="AO103" i="14"/>
  <c r="AN117" i="14"/>
  <c r="AO118" i="14"/>
  <c r="AN122" i="14"/>
  <c r="AN124" i="14"/>
  <c r="AN131" i="14"/>
  <c r="AO151" i="14"/>
  <c r="AO168" i="14"/>
  <c r="AO172" i="14"/>
  <c r="AN175" i="14"/>
  <c r="AN176" i="14"/>
  <c r="AM195" i="14"/>
  <c r="C81" i="14"/>
  <c r="AO83" i="14"/>
  <c r="AO86" i="14"/>
  <c r="AN89" i="14"/>
  <c r="C96" i="14"/>
  <c r="AO104" i="14"/>
  <c r="AN118" i="14"/>
  <c r="AN138" i="14"/>
  <c r="AN145" i="14"/>
  <c r="AO159" i="14"/>
  <c r="AN179" i="14"/>
  <c r="AN180" i="14"/>
  <c r="AO189" i="14"/>
  <c r="AO79" i="14"/>
  <c r="C75" i="14"/>
  <c r="C90" i="14"/>
  <c r="AO97" i="14"/>
  <c r="AO98" i="14"/>
  <c r="AN105" i="14"/>
  <c r="AN132" i="14"/>
  <c r="AN149" i="14"/>
  <c r="AN150" i="14"/>
  <c r="AN153" i="14"/>
  <c r="AO163" i="14"/>
  <c r="AN183" i="14"/>
  <c r="AM186" i="14"/>
  <c r="AO193" i="14"/>
  <c r="C110" i="14"/>
  <c r="AO73" i="14"/>
  <c r="AN79" i="14"/>
  <c r="C80" i="14"/>
  <c r="AN80" i="14"/>
  <c r="AN84" i="14"/>
  <c r="AO91" i="14"/>
  <c r="AN99" i="14"/>
  <c r="AO107" i="14"/>
  <c r="AO113" i="14"/>
  <c r="AN115" i="14"/>
  <c r="AO117" i="14"/>
  <c r="C122" i="14"/>
  <c r="AO141" i="14"/>
  <c r="AN144" i="14"/>
  <c r="AO150" i="14"/>
  <c r="AO154" i="14"/>
  <c r="AN157" i="14"/>
  <c r="AN158" i="14"/>
  <c r="AO171" i="14"/>
  <c r="AO184" i="14"/>
  <c r="AN187" i="14"/>
  <c r="AN188" i="14"/>
  <c r="C74" i="14"/>
  <c r="AO85" i="14"/>
  <c r="AO92" i="14"/>
  <c r="AO101" i="14"/>
  <c r="AO108" i="14"/>
  <c r="AM118" i="14"/>
  <c r="AN125" i="14"/>
  <c r="AN130" i="14"/>
  <c r="AN161" i="14"/>
  <c r="AN162" i="14"/>
  <c r="AN165" i="14"/>
  <c r="AO175" i="14"/>
  <c r="AN191" i="14"/>
  <c r="AN192" i="14"/>
  <c r="AN195" i="14"/>
  <c r="AM198" i="14"/>
  <c r="AN72" i="14"/>
  <c r="AO81" i="14"/>
  <c r="C84" i="14"/>
  <c r="AN93" i="14"/>
  <c r="AO102" i="14"/>
  <c r="AN109" i="14"/>
  <c r="AO111" i="14"/>
  <c r="AM123" i="14"/>
  <c r="AO126" i="14"/>
  <c r="AM132" i="14"/>
  <c r="AO137" i="14"/>
  <c r="AO162" i="14"/>
  <c r="AO166" i="14"/>
  <c r="AN169" i="14"/>
  <c r="AN170" i="14"/>
  <c r="AM189" i="14"/>
  <c r="AO196" i="14"/>
  <c r="AN199" i="14"/>
  <c r="AM104" i="14"/>
  <c r="AL151" i="14"/>
  <c r="AM72" i="14"/>
  <c r="AM88" i="14"/>
  <c r="AM96" i="14"/>
  <c r="AM112" i="14"/>
  <c r="AL153" i="14"/>
  <c r="AM165" i="14"/>
  <c r="AM106" i="14"/>
  <c r="AM150" i="14"/>
  <c r="AM74" i="14"/>
  <c r="AM100" i="14"/>
  <c r="AM156" i="14"/>
  <c r="AM177" i="14"/>
  <c r="AM90" i="14"/>
  <c r="AM98" i="14"/>
  <c r="AM141" i="14"/>
  <c r="AM171" i="14"/>
  <c r="AM82" i="14"/>
  <c r="AM92" i="14"/>
  <c r="AM108" i="14"/>
  <c r="AM139" i="14"/>
  <c r="AM145" i="14"/>
  <c r="AM162" i="14"/>
  <c r="AM78" i="14"/>
  <c r="AM76" i="14"/>
  <c r="AM153" i="14"/>
  <c r="AM168" i="14"/>
  <c r="AM94" i="14"/>
  <c r="AM102" i="14"/>
  <c r="AM138" i="14"/>
  <c r="AM86" i="14"/>
  <c r="AM110" i="14"/>
  <c r="AM159" i="14"/>
  <c r="AM174" i="14"/>
  <c r="AQ131" i="14"/>
  <c r="AQ116" i="14"/>
  <c r="AQ121" i="14"/>
  <c r="AL133" i="14"/>
  <c r="AQ133" i="14" s="1"/>
  <c r="AL82" i="14"/>
  <c r="AL114" i="14"/>
  <c r="AQ114" i="14" s="1"/>
  <c r="AQ181" i="14"/>
  <c r="AQ130" i="14"/>
  <c r="AQ186" i="14"/>
  <c r="AQ180" i="14"/>
  <c r="AQ117" i="14"/>
  <c r="AQ191" i="14"/>
  <c r="AQ193" i="14"/>
  <c r="AQ125" i="14"/>
  <c r="AR60" i="14" s="1"/>
  <c r="AQ178" i="14"/>
  <c r="AQ126" i="14"/>
  <c r="AQ189" i="14"/>
  <c r="AQ184" i="14"/>
  <c r="AL110" i="14"/>
  <c r="AL126" i="14"/>
  <c r="AL183" i="14"/>
  <c r="AQ183" i="14" s="1"/>
  <c r="AL192" i="14"/>
  <c r="AQ192" i="14" s="1"/>
  <c r="AL186" i="14"/>
  <c r="AL190" i="14"/>
  <c r="AQ190" i="14" s="1"/>
  <c r="AS60" i="14" s="1"/>
  <c r="AL111" i="14"/>
  <c r="AL112" i="14"/>
  <c r="AL118" i="14"/>
  <c r="AQ118" i="14" s="1"/>
  <c r="AL124" i="14"/>
  <c r="AQ124" i="14" s="1"/>
  <c r="AL127" i="14"/>
  <c r="AQ127" i="14" s="1"/>
  <c r="AL130" i="14"/>
  <c r="AL172" i="14"/>
  <c r="AL187" i="14"/>
  <c r="AQ187" i="14" s="1"/>
  <c r="AS57" i="14" s="1"/>
  <c r="AL189" i="14"/>
  <c r="AL198" i="14"/>
  <c r="AQ198" i="14" s="1"/>
  <c r="AL106" i="14"/>
  <c r="AL113" i="14"/>
  <c r="AQ113" i="14" s="1"/>
  <c r="AL120" i="14"/>
  <c r="AQ120" i="14" s="1"/>
  <c r="AL123" i="14"/>
  <c r="AQ123" i="14" s="1"/>
  <c r="AL174" i="14"/>
  <c r="AL178" i="14"/>
  <c r="AL193" i="14"/>
  <c r="AL195" i="14"/>
  <c r="AQ195" i="14" s="1"/>
  <c r="AL196" i="14"/>
  <c r="AQ196" i="14" s="1"/>
  <c r="AL121" i="14"/>
  <c r="AL125" i="14"/>
  <c r="AL129" i="14"/>
  <c r="AQ129" i="14" s="1"/>
  <c r="AL134" i="14"/>
  <c r="AQ134" i="14" s="1"/>
  <c r="AL171" i="14"/>
  <c r="AL180" i="14"/>
  <c r="AL199" i="14"/>
  <c r="AQ199" i="14" s="1"/>
  <c r="AL108" i="14"/>
  <c r="AL115" i="14"/>
  <c r="AQ115" i="14" s="1"/>
  <c r="AL128" i="14"/>
  <c r="AQ128" i="14" s="1"/>
  <c r="AR63" i="14" s="1"/>
  <c r="AL175" i="14"/>
  <c r="AL177" i="14"/>
  <c r="AL184" i="14"/>
  <c r="AL181" i="14"/>
  <c r="AL89" i="14"/>
  <c r="AL92" i="14"/>
  <c r="AL87" i="14"/>
  <c r="AL104" i="14"/>
  <c r="AL168" i="14"/>
  <c r="AL103" i="14"/>
  <c r="AL169" i="14"/>
  <c r="AL76" i="14"/>
  <c r="AL84" i="14"/>
  <c r="AL136" i="14"/>
  <c r="AL72" i="14"/>
  <c r="AL77" i="14"/>
  <c r="AL81" i="14"/>
  <c r="AL74" i="14"/>
  <c r="AL75" i="14"/>
  <c r="AL78" i="14"/>
  <c r="AL142" i="14"/>
  <c r="AL80" i="14"/>
  <c r="AL73" i="14"/>
  <c r="AL79" i="14"/>
  <c r="AL162" i="14"/>
  <c r="AL166" i="14"/>
  <c r="AL154" i="14"/>
  <c r="AL88" i="14"/>
  <c r="AL96" i="14"/>
  <c r="AL101" i="14"/>
  <c r="AL157" i="14"/>
  <c r="AL159" i="14"/>
  <c r="AL90" i="14"/>
  <c r="AQ90" i="14" s="1"/>
  <c r="AL98" i="14"/>
  <c r="AL163" i="14"/>
  <c r="AL165" i="14"/>
  <c r="AL95" i="14"/>
  <c r="AL100" i="14"/>
  <c r="AL94" i="14"/>
  <c r="AL102" i="14"/>
  <c r="AL156" i="14"/>
  <c r="AL160" i="14"/>
  <c r="AL83" i="14"/>
  <c r="AL138" i="14"/>
  <c r="AL85" i="14"/>
  <c r="AL139" i="14"/>
  <c r="AL150" i="14"/>
  <c r="C133" i="14"/>
  <c r="C198" i="14"/>
  <c r="AO80" i="14"/>
  <c r="C83" i="14"/>
  <c r="AL93" i="14"/>
  <c r="AL109" i="14"/>
  <c r="C165" i="14"/>
  <c r="C100" i="14"/>
  <c r="C87" i="14"/>
  <c r="C152" i="14"/>
  <c r="AN81" i="14"/>
  <c r="AN85" i="14"/>
  <c r="C153" i="14"/>
  <c r="C88" i="14"/>
  <c r="AL71" i="14"/>
  <c r="AN73" i="14"/>
  <c r="AN83" i="14"/>
  <c r="AL97" i="14"/>
  <c r="AL105" i="14"/>
  <c r="C150" i="14"/>
  <c r="C85" i="14"/>
  <c r="C162" i="14"/>
  <c r="C97" i="14"/>
  <c r="C183" i="14"/>
  <c r="C118" i="14"/>
  <c r="AN71" i="14"/>
  <c r="AO74" i="14"/>
  <c r="AO78" i="14"/>
  <c r="AM80" i="14"/>
  <c r="AM84" i="14"/>
  <c r="AL86" i="14"/>
  <c r="AL91" i="14"/>
  <c r="AL99" i="14"/>
  <c r="AL107" i="14"/>
  <c r="C164" i="14"/>
  <c r="C174" i="14"/>
  <c r="C109" i="14"/>
  <c r="C178" i="14"/>
  <c r="C113" i="14"/>
  <c r="C127" i="14"/>
  <c r="C192" i="14"/>
  <c r="AM75" i="14"/>
  <c r="AM81" i="14"/>
  <c r="AM87" i="14"/>
  <c r="AN110" i="14"/>
  <c r="AM111" i="14"/>
  <c r="AO114" i="14"/>
  <c r="AN116" i="14"/>
  <c r="AM117" i="14"/>
  <c r="AO119" i="14"/>
  <c r="AL119" i="14"/>
  <c r="AQ119" i="14" s="1"/>
  <c r="AN121" i="14"/>
  <c r="AO124" i="14"/>
  <c r="AM127" i="14"/>
  <c r="C128" i="14"/>
  <c r="AO129" i="14"/>
  <c r="AO133" i="14"/>
  <c r="AN136" i="14"/>
  <c r="AN140" i="14"/>
  <c r="AL140" i="14"/>
  <c r="AO142" i="14"/>
  <c r="AM95" i="14"/>
  <c r="AM97" i="14"/>
  <c r="AM99" i="14"/>
  <c r="AM101" i="14"/>
  <c r="AM103" i="14"/>
  <c r="AM105" i="14"/>
  <c r="AQ105" i="14" s="1"/>
  <c r="AM107" i="14"/>
  <c r="AM109" i="14"/>
  <c r="AM131" i="14"/>
  <c r="AO132" i="14"/>
  <c r="AL132" i="14"/>
  <c r="AQ132" i="14" s="1"/>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Q122" i="14" s="1"/>
  <c r="AR57" i="14" s="1"/>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N123" i="14"/>
  <c r="AM124" i="14"/>
  <c r="C125" i="14"/>
  <c r="AO130" i="14"/>
  <c r="AM133" i="14"/>
  <c r="C134" i="14"/>
  <c r="AO136" i="14"/>
  <c r="AM130" i="14"/>
  <c r="AM136" i="14"/>
  <c r="AO140" i="14"/>
  <c r="AM142" i="14"/>
  <c r="AM148" i="14"/>
  <c r="AO149" i="14"/>
  <c r="AL149" i="14"/>
  <c r="AM151" i="14"/>
  <c r="AO152" i="14"/>
  <c r="AM154" i="14"/>
  <c r="AO155" i="14"/>
  <c r="AL155" i="14"/>
  <c r="AM157" i="14"/>
  <c r="AO158" i="14"/>
  <c r="AM160" i="14"/>
  <c r="AO161" i="14"/>
  <c r="AL161" i="14"/>
  <c r="AM163" i="14"/>
  <c r="AO164" i="14"/>
  <c r="AM166" i="14"/>
  <c r="AO167" i="14"/>
  <c r="AL167" i="14"/>
  <c r="AM169" i="14"/>
  <c r="AO170" i="14"/>
  <c r="AM172" i="14"/>
  <c r="AO173" i="14"/>
  <c r="AL173" i="14"/>
  <c r="AM175" i="14"/>
  <c r="AO176" i="14"/>
  <c r="AM178" i="14"/>
  <c r="AO179" i="14"/>
  <c r="AL179" i="14"/>
  <c r="AQ179" i="14" s="1"/>
  <c r="AM181" i="14"/>
  <c r="AO182" i="14"/>
  <c r="AM184" i="14"/>
  <c r="AO185" i="14"/>
  <c r="AL185" i="14"/>
  <c r="AQ185" i="14" s="1"/>
  <c r="AM187" i="14"/>
  <c r="AO188" i="14"/>
  <c r="AM190" i="14"/>
  <c r="AO191" i="14"/>
  <c r="AL191" i="14"/>
  <c r="AM193" i="14"/>
  <c r="AO194" i="14"/>
  <c r="AM196" i="14"/>
  <c r="AO197" i="14"/>
  <c r="AL197" i="14"/>
  <c r="AQ197" i="14" s="1"/>
  <c r="AS67" i="14" s="1"/>
  <c r="AM199" i="14"/>
  <c r="AM116" i="14"/>
  <c r="AM122" i="14"/>
  <c r="AN127" i="14"/>
  <c r="AN133" i="14"/>
  <c r="AL141" i="14"/>
  <c r="AM144" i="14"/>
  <c r="AM146" i="14"/>
  <c r="AM147" i="14"/>
  <c r="AL152" i="14"/>
  <c r="AL158" i="14"/>
  <c r="AL164" i="14"/>
  <c r="AL170" i="14"/>
  <c r="AL176" i="14"/>
  <c r="AL182" i="14"/>
  <c r="AQ182" i="14" s="1"/>
  <c r="AL188" i="14"/>
  <c r="AQ188" i="14" s="1"/>
  <c r="AL194" i="14"/>
  <c r="AQ194" i="14" s="1"/>
  <c r="AM114" i="14"/>
  <c r="AM120" i="14"/>
  <c r="C126" i="14"/>
  <c r="AN129" i="14"/>
  <c r="C132" i="14"/>
  <c r="AL137" i="14"/>
  <c r="AO143" i="14"/>
  <c r="AL143" i="14"/>
  <c r="AO144" i="14"/>
  <c r="AO145" i="14"/>
  <c r="AL145" i="14"/>
  <c r="AO146" i="14"/>
  <c r="AO147" i="14"/>
  <c r="AL147" i="14"/>
  <c r="AL148" i="14"/>
  <c r="AM128" i="14"/>
  <c r="AM134" i="14"/>
  <c r="AO138" i="14"/>
  <c r="AM140" i="14"/>
  <c r="AL144" i="14"/>
  <c r="AL146" i="14"/>
  <c r="AM149" i="14"/>
  <c r="AM152" i="14"/>
  <c r="AM155" i="14"/>
  <c r="AM158" i="14"/>
  <c r="AM161" i="14"/>
  <c r="AM164" i="14"/>
  <c r="AM167" i="14"/>
  <c r="AM170" i="14"/>
  <c r="AQ170" i="14" s="1"/>
  <c r="AM173" i="14"/>
  <c r="AO174" i="14"/>
  <c r="AM176" i="14"/>
  <c r="AM179" i="14"/>
  <c r="AO180" i="14"/>
  <c r="AM182" i="14"/>
  <c r="AM185" i="14"/>
  <c r="AO186" i="14"/>
  <c r="AM188" i="14"/>
  <c r="AM191" i="14"/>
  <c r="AO192" i="14"/>
  <c r="AM194" i="14"/>
  <c r="AM197" i="14"/>
  <c r="AO198" i="14"/>
  <c r="AQ72" i="14" l="1"/>
  <c r="AR7" i="14" s="1"/>
  <c r="AR50" i="14"/>
  <c r="AQ153" i="14"/>
  <c r="AS23" i="14" s="1"/>
  <c r="AQ84" i="14"/>
  <c r="AR19" i="14" s="1"/>
  <c r="AQ96" i="14"/>
  <c r="AQ171" i="14"/>
  <c r="AQ74" i="14"/>
  <c r="AR9" i="14" s="1"/>
  <c r="AQ167" i="14"/>
  <c r="AQ151" i="14"/>
  <c r="AS21" i="14" s="1"/>
  <c r="AQ88" i="14"/>
  <c r="AR24" i="14" s="1"/>
  <c r="AQ106" i="14"/>
  <c r="AR41" i="14" s="1"/>
  <c r="AR52" i="14"/>
  <c r="AS50" i="14"/>
  <c r="AS53" i="14"/>
  <c r="AQ165" i="14"/>
  <c r="AS51" i="14"/>
  <c r="AQ152" i="14"/>
  <c r="AS22" i="14" s="1"/>
  <c r="AS58" i="14"/>
  <c r="AR67" i="14"/>
  <c r="AS65" i="14"/>
  <c r="AS54" i="14"/>
  <c r="AR62" i="14"/>
  <c r="AQ104" i="14"/>
  <c r="AR40" i="14" s="1"/>
  <c r="AQ176" i="14"/>
  <c r="AS46" i="14" s="1"/>
  <c r="AQ172" i="14"/>
  <c r="AR61" i="14"/>
  <c r="AS64" i="14"/>
  <c r="AQ144" i="14"/>
  <c r="AQ108" i="14"/>
  <c r="AR56" i="14"/>
  <c r="AQ163" i="14"/>
  <c r="AQ159" i="14"/>
  <c r="AQ100" i="14"/>
  <c r="AQ174" i="14"/>
  <c r="AQ102" i="14"/>
  <c r="AQ175" i="14"/>
  <c r="AQ93" i="14"/>
  <c r="AQ79" i="14"/>
  <c r="AR14" i="14" s="1"/>
  <c r="AQ91" i="14"/>
  <c r="AR26" i="14" s="1"/>
  <c r="AQ162" i="14"/>
  <c r="AQ112" i="14"/>
  <c r="AQ173" i="14"/>
  <c r="AS43" i="14" s="1"/>
  <c r="AQ164" i="14"/>
  <c r="AS34" i="14" s="1"/>
  <c r="AQ141" i="14"/>
  <c r="AQ161" i="14"/>
  <c r="AQ78" i="14"/>
  <c r="AR13" i="14" s="1"/>
  <c r="AQ94" i="14"/>
  <c r="AR29" i="14" s="1"/>
  <c r="AQ166" i="14"/>
  <c r="AS36" i="14" s="1"/>
  <c r="AQ89" i="14"/>
  <c r="AQ157" i="14"/>
  <c r="AQ103" i="14"/>
  <c r="AQ98" i="14"/>
  <c r="AQ168" i="14"/>
  <c r="AS38" i="14" s="1"/>
  <c r="AQ110" i="14"/>
  <c r="AQ86" i="14"/>
  <c r="AQ148" i="14"/>
  <c r="AQ149" i="14"/>
  <c r="AS19" i="14" s="1"/>
  <c r="AQ97" i="14"/>
  <c r="AR32" i="14" s="1"/>
  <c r="AQ160" i="14"/>
  <c r="AQ101" i="14"/>
  <c r="AQ87" i="14"/>
  <c r="AR22" i="14" s="1"/>
  <c r="AR48" i="14"/>
  <c r="AQ111" i="14"/>
  <c r="AQ95" i="14"/>
  <c r="AR31" i="14" s="1"/>
  <c r="AQ177" i="14"/>
  <c r="AS48" i="14" s="1"/>
  <c r="AQ147" i="14"/>
  <c r="AQ155" i="14"/>
  <c r="AQ83" i="14"/>
  <c r="AQ85" i="14"/>
  <c r="AR20" i="14" s="1"/>
  <c r="AQ109" i="14"/>
  <c r="AR44" i="14" s="1"/>
  <c r="AQ156" i="14"/>
  <c r="AQ92" i="14"/>
  <c r="AQ107" i="14"/>
  <c r="AQ81" i="14"/>
  <c r="AR16" i="14" s="1"/>
  <c r="AQ169" i="14"/>
  <c r="AS40" i="14" s="1"/>
  <c r="AQ82" i="14"/>
  <c r="AR17" i="14" s="1"/>
  <c r="AQ158" i="14"/>
  <c r="AS28" i="14" s="1"/>
  <c r="AQ99" i="14"/>
  <c r="AR34" i="14" s="1"/>
  <c r="AQ154" i="14"/>
  <c r="AR65" i="14"/>
  <c r="AR54" i="14"/>
  <c r="AS68" i="14"/>
  <c r="AR59" i="14"/>
  <c r="AS62" i="14"/>
  <c r="AS59" i="14"/>
  <c r="AR49" i="14"/>
  <c r="AR68" i="14"/>
  <c r="AR25" i="14"/>
  <c r="AR58" i="14"/>
  <c r="AR53" i="14"/>
  <c r="AS52" i="14"/>
  <c r="AS49" i="14"/>
  <c r="AR39" i="14"/>
  <c r="AS66" i="14"/>
  <c r="AR55" i="14"/>
  <c r="AS42" i="14"/>
  <c r="AS63" i="14"/>
  <c r="AS56" i="14"/>
  <c r="AR51" i="14"/>
  <c r="AS55" i="14"/>
  <c r="AS61" i="14"/>
  <c r="AR66" i="14"/>
  <c r="AR70" i="14"/>
  <c r="AR69" i="14"/>
  <c r="AS69" i="14"/>
  <c r="AS70" i="14"/>
  <c r="AS41" i="14"/>
  <c r="AQ150" i="14"/>
  <c r="AS20" i="14" s="1"/>
  <c r="AQ145" i="14"/>
  <c r="AS15" i="14" s="1"/>
  <c r="AQ80" i="14"/>
  <c r="AR15" i="14" s="1"/>
  <c r="AQ136" i="14"/>
  <c r="AS6" i="14" s="1"/>
  <c r="AR64" i="14"/>
  <c r="AQ138" i="14"/>
  <c r="AS8" i="14" s="1"/>
  <c r="AQ75" i="14"/>
  <c r="AR10" i="14" s="1"/>
  <c r="AQ71" i="14"/>
  <c r="AR6" i="14" s="1"/>
  <c r="AQ73" i="14"/>
  <c r="AR8" i="14" s="1"/>
  <c r="AQ137" i="14"/>
  <c r="AS7" i="14" s="1"/>
  <c r="AQ76" i="14"/>
  <c r="AR11" i="14" s="1"/>
  <c r="AQ139" i="14"/>
  <c r="AS9" i="14" s="1"/>
  <c r="AQ142" i="14"/>
  <c r="AS12" i="14" s="1"/>
  <c r="AQ77" i="14"/>
  <c r="AR12" i="14" s="1"/>
  <c r="AR35" i="14"/>
  <c r="AS33" i="14"/>
  <c r="AQ146" i="14"/>
  <c r="AQ143" i="14"/>
  <c r="AS13" i="14" s="1"/>
  <c r="B136" i="14"/>
  <c r="B71" i="14"/>
  <c r="AQ140" i="14"/>
  <c r="AS10" i="14" s="1"/>
  <c r="AS37" i="14" l="1"/>
  <c r="AS32" i="14"/>
  <c r="AR38" i="14"/>
  <c r="AR36" i="14"/>
  <c r="AS27" i="14"/>
  <c r="AR42" i="14"/>
  <c r="AS30" i="14"/>
  <c r="AS45" i="14"/>
  <c r="AS44" i="14"/>
  <c r="AS35" i="14"/>
  <c r="AS24" i="14"/>
  <c r="AR46" i="14"/>
  <c r="AR47" i="14"/>
  <c r="AS26" i="14"/>
  <c r="AR28" i="14"/>
  <c r="AR43" i="14"/>
  <c r="AR23" i="14"/>
  <c r="AR27" i="14"/>
  <c r="AS39" i="14"/>
  <c r="AS16" i="14"/>
  <c r="AS18" i="14"/>
  <c r="AR30" i="14"/>
  <c r="AR45" i="14"/>
  <c r="AS29" i="14"/>
  <c r="AS31" i="14"/>
  <c r="AR18" i="14"/>
  <c r="AR37" i="14"/>
  <c r="AR33" i="14"/>
  <c r="AS25" i="14"/>
  <c r="AR21" i="14"/>
  <c r="AS47" i="14"/>
  <c r="AS11" i="14"/>
  <c r="AS17" i="14"/>
  <c r="AS14"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4"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17" i="14" l="1"/>
  <c r="AT17" i="14" s="1"/>
  <c r="AL15" i="14"/>
  <c r="AT15" i="14" s="1"/>
  <c r="AL12" i="14"/>
  <c r="AT12" i="14" s="1"/>
  <c r="AL7" i="14"/>
  <c r="AT7" i="14" s="1"/>
  <c r="AL9" i="14"/>
  <c r="AT9" i="14" s="1"/>
  <c r="AL14" i="14"/>
  <c r="AT14" i="14" s="1"/>
  <c r="AL13" i="14"/>
  <c r="AT13" i="14" s="1"/>
  <c r="AL6" i="14"/>
  <c r="AT6" i="14" s="1"/>
  <c r="AL16" i="14"/>
  <c r="AT16" i="14" s="1"/>
  <c r="AL8" i="14"/>
  <c r="AT8" i="14" s="1"/>
  <c r="AL11" i="14"/>
  <c r="AT11" i="14" s="1"/>
  <c r="AL10" i="14"/>
  <c r="AT10" i="14" s="1"/>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W11" i="14"/>
  <c r="AW8" i="14"/>
  <c r="AU11" i="14" s="1"/>
  <c r="AW16" i="14"/>
  <c r="AU15" i="14" s="1"/>
  <c r="AW9" i="14"/>
  <c r="AU10" i="14" s="1"/>
  <c r="AW12" i="14"/>
  <c r="AU5" i="14" s="1"/>
  <c r="L14" i="4"/>
  <c r="AS5" i="14" l="1"/>
  <c r="AU13" i="14"/>
  <c r="AT5" i="14"/>
  <c r="AV5" i="14"/>
  <c r="AU14" i="14"/>
  <c r="AR5" i="14"/>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<sst xmlns="http://schemas.openxmlformats.org/spreadsheetml/2006/main" count="7205" uniqueCount="536">
  <si>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</si>
  <si>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</si>
  <si>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</si>
  <si>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</si>
  <si>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</si>
  <si>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</si>
  <si>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</si>
  <si>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</si>
  <si>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</si>
  <si>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</si>
  <si>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</si>
  <si>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</si>
  <si>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</si>
  <si>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</si>
  <si>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</si>
  <si>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</si>
  <si>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</si>
  <si>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</si>
  <si>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</si>
  <si>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</si>
  <si>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</si>
  <si>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</si>
  <si>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</si>
  <si>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</si>
  <si>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</si>
  <si>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</si>
  <si>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</si>
  <si>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</si>
  <si>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</si>
  <si>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</si>
  <si>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</si>
  <si>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</si>
  <si>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</si>
  <si>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</si>
  <si>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</si>
  <si>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</si>
  <si>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</si>
  <si>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</si>
  <si>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</si>
  <si>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</si>
  <si>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</si>
  <si>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</si>
  <si>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</si>
  <si>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</si>
  <si>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</si>
  <si>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</si>
  <si>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</si>
  <si>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</si>
  <si>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</si>
  <si>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</si>
  <si>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</si>
  <si>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</si>
  <si>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</si>
  <si>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</si>
  <si>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</si>
  <si>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</si>
  <si>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</si>
  <si>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</si>
  <si>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</si>
  <si>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</si>
  <si>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</si>
  <si>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</si>
  <si>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</si>
  <si>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</si>
  <si>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</si>
  <si>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</si>
  <si>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</si>
  <si>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</si>
  <si>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</si>
  <si>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</si>
  <si>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</si>
  <si>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</si>
  <si>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</si>
  <si>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</si>
  <si>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</si>
  <si>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</si>
  <si>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</si>
  <si>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</si>
  <si>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</si>
  <si>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</si>
  <si>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</si>
  <si>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</si>
  <si>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</si>
  <si>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</si>
  <si>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</si>
  <si>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</si>
  <si>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</si>
  <si>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</si>
  <si>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</si>
  <si>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</si>
  <si>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</si>
  <si>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</si>
  <si>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</si>
  <si>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</si>
  <si>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</si>
  <si>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</si>
  <si>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</si>
  <si>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</si>
  <si>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</si>
  <si>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</si>
  <si>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</si>
  <si>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</si>
  <si>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</si>
  <si>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</si>
  <si>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</si>
  <si>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</si>
  <si>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</si>
  <si>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</si>
  <si>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</si>
  <si>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</si>
  <si>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</si>
  <si>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</si>
  <si>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</si>
  <si>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</si>
  <si>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</si>
  <si>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</si>
  <si>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</si>
  <si>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</si>
  <si>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</si>
  <si>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</si>
  <si>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</si>
  <si>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</si>
  <si>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</si>
  <si>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</si>
  <si>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</si>
  <si>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</si>
  <si>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</si>
  <si>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</si>
  <si>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</si>
  <si>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</si>
  <si>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</si>
  <si>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</si>
  <si>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</si>
  <si>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</si>
  <si>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</si>
  <si>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</si>
  <si>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</si>
  <si>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</si>
  <si>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</si>
  <si>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</si>
  <si>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</si>
  <si>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</si>
  <si>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</si>
  <si>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</si>
  <si>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</si>
  <si>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</si>
  <si>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</si>
  <si>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</si>
  <si>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</si>
  <si>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</si>
  <si>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</si>
  <si>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</si>
  <si>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</si>
  <si>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</si>
  <si>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</si>
  <si>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</si>
  <si>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</si>
  <si>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</si>
  <si>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</si>
  <si>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</si>
  <si>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</si>
  <si>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</si>
  <si>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</si>
  <si>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</si>
  <si>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</si>
  <si>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</si>
  <si>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</si>
  <si>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</si>
  <si>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</si>
  <si>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</si>
  <si>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</si>
  <si>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</si>
  <si>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</si>
  <si>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</si>
  <si>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</si>
  <si>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</si>
  <si>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</si>
  <si>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</si>
  <si>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</si>
  <si>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</si>
  <si>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</si>
  <si>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</si>
  <si>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</si>
  <si>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</si>
  <si>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</si>
  <si>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</si>
  <si>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</si>
  <si>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</si>
  <si>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</si>
  <si>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</si>
  <si>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</si>
  <si>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t>
  </si>
  <si>
    <t>5.5.0</t>
    <phoneticPr fontId="2"/>
  </si>
  <si>
    <t>判定結果</t>
  </si>
  <si>
    <t>CAN</t>
  </si>
  <si>
    <t>IG-ON</t>
  </si>
  <si>
    <t>Matrix Search</t>
  </si>
  <si>
    <t>ALERT_CH_C_BRKBZ</t>
  </si>
  <si>
    <t>UNAVAILABLE1</t>
  </si>
  <si>
    <t>TESTMODE1</t>
  </si>
  <si>
    <t>TESTMODE3</t>
  </si>
  <si>
    <t>APPOPE1</t>
  </si>
  <si>
    <t>APPOPE2</t>
  </si>
  <si>
    <t>FAILURE</t>
  </si>
  <si>
    <t>UNAVAILABLE2</t>
  </si>
  <si>
    <t>APPOPE3</t>
  </si>
  <si>
    <t>TESTMODE2</t>
  </si>
  <si>
    <t>×</t>
  </si>
  <si>
    <t>C_BRKBZ判定</t>
    <phoneticPr fontId="2"/>
  </si>
  <si>
    <t>入力</t>
    <phoneticPr fontId="2"/>
  </si>
  <si>
    <t>ALERT_CH_C_BRKBZ</t>
    <phoneticPr fontId="2"/>
  </si>
  <si>
    <t>ALERT_VOM_IGN_ON</t>
    <phoneticPr fontId="2"/>
  </si>
  <si>
    <t>内部データ</t>
    <rPh sb="0" eb="2">
      <t>ナイブ</t>
    </rPh>
    <phoneticPr fontId="2"/>
  </si>
  <si>
    <t>信号名(データラベル) + *</t>
  </si>
  <si>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</si>
  <si>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</si>
  <si>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</si>
  <si>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</si>
  <si>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</si>
  <si>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</si>
  <si>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</si>
  <si>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</si>
  <si>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00b</t>
  </si>
  <si>
    <t>0000b</t>
  </si>
  <si>
    <t>****b</t>
  </si>
  <si>
    <t>0010b</t>
  </si>
  <si>
    <t>断続(0.4s)</t>
  </si>
  <si>
    <t>0011b</t>
  </si>
  <si>
    <t>断続(0.2s)</t>
  </si>
  <si>
    <t>単発(0.13s)</t>
  </si>
  <si>
    <t>0101b</t>
  </si>
  <si>
    <t>2連発(0.13s)</t>
  </si>
  <si>
    <t>0110b</t>
  </si>
  <si>
    <t>0111b</t>
  </si>
  <si>
    <t>1000b</t>
  </si>
  <si>
    <t>1001b</t>
  </si>
  <si>
    <t>1010b</t>
  </si>
  <si>
    <t>01b</t>
  </si>
  <si>
    <t>0100b</t>
  </si>
  <si>
    <t>IG-OFF + * + * + *</t>
  </si>
  <si>
    <t>vd_g_AlertC_brkbzInit</t>
  </si>
  <si>
    <t>正常(0000b)/
システム不作動(0.4s)(0010b)/
テストモード（学習中）(0011b)/
テストモード（検査開始）(0100b)/
テストモード（検査終了）(0101b)/
アプリ駆動(断続,0.4s)(0110b)/
アプリ駆動(断続,0.2s)(0111b)/
システム故障(1000b)/
システム不作動(0.2s)(1001b)/
アプリ駆動(2連発,0.13s)(1010b)/
未定義(上記以外)</t>
    <phoneticPr fontId="2"/>
  </si>
  <si>
    <t>UNKNOWN/
UNAVAILABLE1(0000b)/
TESTMODE1(0001b)/
TESTMODE2(0010b)/
TESTMODE3(0011b)/
APPOPE1(0100b)/
APPOPE2(0101b)/
FAILURE(0110b)/
UNAVAILABLE2(0111b)/
APPOPE3(1000b)</t>
    <phoneticPr fontId="2"/>
  </si>
  <si>
    <t>UNAVAILABLE1(0000b)</t>
  </si>
  <si>
    <t>TESTMODE1(0001b)</t>
  </si>
  <si>
    <t>TESTMODE2(0010b)</t>
  </si>
  <si>
    <t>TESTMODE3(0011b)</t>
  </si>
  <si>
    <t>1011b</t>
  </si>
  <si>
    <t>1100b</t>
  </si>
  <si>
    <t>1101b</t>
  </si>
  <si>
    <t>1110b</t>
  </si>
  <si>
    <t>1111b</t>
  </si>
  <si>
    <t>通常(00b)/
未受信(01b)/
通信途絶(10b)/
未受信通信途絶(11b)</t>
    <phoneticPr fontId="2"/>
  </si>
  <si>
    <t>0001b</t>
  </si>
  <si>
    <t>10b</t>
  </si>
  <si>
    <t>11b</t>
  </si>
  <si>
    <t>BUZZE2_REQ</t>
    <phoneticPr fontId="2"/>
  </si>
  <si>
    <t>BUZZER_REQ</t>
    <phoneticPr fontId="2"/>
  </si>
  <si>
    <t>-/
断続(0.4s)/
断続(0.2s)/
単発(0.13s)/
2連発(0.13s)</t>
    <phoneticPr fontId="2"/>
  </si>
  <si>
    <t>信号名(データラベル)</t>
  </si>
  <si>
    <t>UNAVAILABLE1(0000b)/
TESTMODE1(0001b)/
TESTMODE2(0010b)/
TESTMODE3(0011b)/
APPOPE1(0100b)/
APPOPE2(0101b)/
FAILURE(0110b)/
UNAVAILABLE2(0111b)/
APPOPE3(1000b)/
UNKNOWN(1001b)</t>
    <phoneticPr fontId="2"/>
  </si>
  <si>
    <t>システム不作動(0.4s) + システム不作動(0.4s)</t>
  </si>
  <si>
    <t>システム不作動(0.4s) + テストモード（学習中）</t>
  </si>
  <si>
    <t>システム不作動(0.4s) + テストモード（検査開始）</t>
  </si>
  <si>
    <t>システム不作動(0.4s) + テストモード（検査終了）</t>
  </si>
  <si>
    <t>システム不作動(0.4s) + アプリ駆動(断続,0.4s)</t>
  </si>
  <si>
    <t>システム不作動(0.4s) + アプリ駆動(断続,0.2s)</t>
  </si>
  <si>
    <t>システム不作動(0.4s) + システム故障</t>
  </si>
  <si>
    <t>システム不作動(0.4s) + システム不作動(0.2s)</t>
  </si>
  <si>
    <t>システム不作動(0.4s) + アプリ駆動(2連発,0.13s)</t>
  </si>
  <si>
    <t>システム不作動(0.4s) + 未定義</t>
  </si>
  <si>
    <t>テストモード（学習中） + システム不作動(0.4s)</t>
  </si>
  <si>
    <t>テストモード（学習中） + テストモード（学習中）</t>
  </si>
  <si>
    <t>テストモード（学習中） + テストモード（検査開始）</t>
  </si>
  <si>
    <t>テストモード（学習中） + テストモード（検査終了）</t>
  </si>
  <si>
    <t>テストモード（学習中） + アプリ駆動(断続,0.4s)</t>
  </si>
  <si>
    <t>テストモード（学習中） + アプリ駆動(断続,0.2s)</t>
  </si>
  <si>
    <t>テストモード（学習中） + システム故障</t>
  </si>
  <si>
    <t>テストモード（学習中） + システム不作動(0.2s)</t>
  </si>
  <si>
    <t>テストモード（学習中） + アプリ駆動(2連発,0.13s)</t>
  </si>
  <si>
    <t>テストモード（学習中） + 未定義</t>
  </si>
  <si>
    <t>テストモード（検査開始） + システム不作動(0.4s)</t>
  </si>
  <si>
    <t>テストモード（検査開始） + テストモード（学習中）</t>
  </si>
  <si>
    <t>テストモード（検査開始） + テストモード（検査開始）</t>
  </si>
  <si>
    <t>テストモード（検査開始） + テストモード（検査終了）</t>
  </si>
  <si>
    <t>テストモード（検査開始） + アプリ駆動(断続,0.4s)</t>
  </si>
  <si>
    <t>テストモード（検査開始） + アプリ駆動(断続,0.2s)</t>
  </si>
  <si>
    <t>テストモード（検査開始） + システム故障</t>
  </si>
  <si>
    <t>テストモード（検査開始） + システム不作動(0.2s)</t>
  </si>
  <si>
    <t>テストモード（検査開始） + アプリ駆動(2連発,0.13s)</t>
  </si>
  <si>
    <t>テストモード（検査開始） + 未定義</t>
  </si>
  <si>
    <t>テストモード（検査終了） + システム不作動(0.4s)</t>
  </si>
  <si>
    <t>テストモード（検査終了） + テストモード（学習中）</t>
  </si>
  <si>
    <t>テストモード（検査終了） + テストモード（検査開始）</t>
  </si>
  <si>
    <t>テストモード（検査終了） + テストモード（検査終了）</t>
  </si>
  <si>
    <t>テストモード（検査終了） + アプリ駆動(断続,0.4s)</t>
  </si>
  <si>
    <t>テストモード（検査終了） + アプリ駆動(断続,0.2s)</t>
  </si>
  <si>
    <t>テストモード（検査終了） + システム故障</t>
  </si>
  <si>
    <t>テストモード（検査終了） + システム不作動(0.2s)</t>
  </si>
  <si>
    <t>テストモード（検査終了） + アプリ駆動(2連発,0.13s)</t>
  </si>
  <si>
    <t>テストモード（検査終了） + 未定義</t>
  </si>
  <si>
    <t>アプリ駆動(断続,0.4s) + システム不作動(0.4s)</t>
  </si>
  <si>
    <t>アプリ駆動(断続,0.4s) + テストモード（学習中）</t>
  </si>
  <si>
    <t>アプリ駆動(断続,0.4s) + テストモード（検査開始）</t>
  </si>
  <si>
    <t>アプリ駆動(断続,0.4s) + テストモード（検査終了）</t>
  </si>
  <si>
    <t>アプリ駆動(断続,0.4s) + アプリ駆動(断続,0.4s)</t>
  </si>
  <si>
    <t>アプリ駆動(断続,0.4s) + アプリ駆動(断続,0.2s)</t>
  </si>
  <si>
    <t>アプリ駆動(断続,0.4s) + システム故障</t>
  </si>
  <si>
    <t>アプリ駆動(断続,0.4s) + システム不作動(0.2s)</t>
  </si>
  <si>
    <t>アプリ駆動(断続,0.4s) + アプリ駆動(2連発,0.13s)</t>
  </si>
  <si>
    <t>アプリ駆動(断続,0.4s) + 未定義</t>
  </si>
  <si>
    <t>アプリ駆動(断続,0.2s) + システム不作動(0.4s)</t>
  </si>
  <si>
    <t>アプリ駆動(断続,0.2s) + テストモード（学習中）</t>
  </si>
  <si>
    <t>アプリ駆動(断続,0.2s) + テストモード（検査開始）</t>
  </si>
  <si>
    <t>アプリ駆動(断続,0.2s) + テストモード（検査終了）</t>
  </si>
  <si>
    <t>アプリ駆動(断続,0.2s) + アプリ駆動(断続,0.4s)</t>
  </si>
  <si>
    <t>アプリ駆動(断続,0.2s) + アプリ駆動(断続,0.2s)</t>
  </si>
  <si>
    <t>アプリ駆動(断続,0.2s) + システム故障</t>
  </si>
  <si>
    <t>アプリ駆動(断続,0.2s) + システム不作動(0.2s)</t>
  </si>
  <si>
    <t>アプリ駆動(断続,0.2s) + アプリ駆動(2連発,0.13s)</t>
  </si>
  <si>
    <t>アプリ駆動(断続,0.2s) + 未定義</t>
  </si>
  <si>
    <t>システム故障 + システム不作動(0.4s)</t>
  </si>
  <si>
    <t>システム故障 + テストモード（学習中）</t>
  </si>
  <si>
    <t>システム故障 + テストモード（検査開始）</t>
  </si>
  <si>
    <t>システム故障 + テストモード（検査終了）</t>
  </si>
  <si>
    <t>システム故障 + アプリ駆動(断続,0.4s)</t>
  </si>
  <si>
    <t>システム故障 + アプリ駆動(断続,0.2s)</t>
  </si>
  <si>
    <t>システム故障 + システム故障</t>
  </si>
  <si>
    <t>システム故障 + システム不作動(0.2s)</t>
  </si>
  <si>
    <t>システム故障 + アプリ駆動(2連発,0.13s)</t>
  </si>
  <si>
    <t>システム故障 + 未定義</t>
  </si>
  <si>
    <t>システム不作動(0.2s) + システム不作動(0.4s)</t>
  </si>
  <si>
    <t>システム不作動(0.2s) + テストモード（学習中）</t>
  </si>
  <si>
    <t>システム不作動(0.2s) + テストモード（検査開始）</t>
  </si>
  <si>
    <t>システム不作動(0.2s) + テストモード（検査終了）</t>
  </si>
  <si>
    <t>システム不作動(0.2s) + アプリ駆動(断続,0.4s)</t>
  </si>
  <si>
    <t>システム不作動(0.2s) + アプリ駆動(断続,0.2s)</t>
  </si>
  <si>
    <t>システム不作動(0.2s) + システム故障</t>
  </si>
  <si>
    <t>システム不作動(0.2s) + システム不作動(0.2s)</t>
  </si>
  <si>
    <t>システム不作動(0.2s) + アプリ駆動(2連発,0.13s)</t>
  </si>
  <si>
    <t>システム不作動(0.2s) + 未定義</t>
  </si>
  <si>
    <t>アプリ駆動(2連発,0.13s) + システム不作動(0.4s)</t>
  </si>
  <si>
    <t>アプリ駆動(2連発,0.13s) + テストモード（学習中）</t>
  </si>
  <si>
    <t>アプリ駆動(2連発,0.13s) + テストモード（検査開始）</t>
  </si>
  <si>
    <t>アプリ駆動(2連発,0.13s) + テストモード（検査終了）</t>
  </si>
  <si>
    <t>アプリ駆動(2連発,0.13s) + アプリ駆動(断続,0.4s)</t>
  </si>
  <si>
    <t>アプリ駆動(2連発,0.13s) + アプリ駆動(断続,0.2s)</t>
  </si>
  <si>
    <t>アプリ駆動(2連発,0.13s) + システム故障</t>
  </si>
  <si>
    <t>アプリ駆動(2連発,0.13s) + システム不作動(0.2s)</t>
  </si>
  <si>
    <t>アプリ駆動(2連発,0.13s) + アプリ駆動(2連発,0.13s)</t>
  </si>
  <si>
    <t>アプリ駆動(2連発,0.13s) + 未定義</t>
  </si>
  <si>
    <t>未定義 + システム不作動(0.4s)</t>
  </si>
  <si>
    <t>未定義 + テストモード（学習中）</t>
  </si>
  <si>
    <t>未定義 + テストモード（検査開始）</t>
  </si>
  <si>
    <t>未定義 + テストモード（検査終了）</t>
  </si>
  <si>
    <t>未定義 + アプリ駆動(断続,0.4s)</t>
  </si>
  <si>
    <t>未定義 + アプリ駆動(断続,0.2s)</t>
  </si>
  <si>
    <t>未定義 + システム故障</t>
  </si>
  <si>
    <t>未定義 + システム不作動(0.2s)</t>
  </si>
  <si>
    <t>未定義 + アプリ駆動(2連発,0.13s)</t>
  </si>
  <si>
    <t>未定義 + 未定義</t>
  </si>
  <si>
    <t>-</t>
    <phoneticPr fontId="2"/>
  </si>
  <si>
    <t>内部データ</t>
    <rPh sb="0" eb="2">
      <t>ナイブ</t>
    </rPh>
    <phoneticPr fontId="2"/>
  </si>
  <si>
    <t>IG-ON + 通常 + 正常 + (前回)正常</t>
  </si>
  <si>
    <t>IG-ON + 通常 + 正常 + (前回)未定義</t>
  </si>
  <si>
    <t>IG-ON + 通常 + 正常 + (前回)システム不作動(0.4s)</t>
  </si>
  <si>
    <t>IG-ON + 通常 + 正常 + (前回)テストモード（学習中）</t>
  </si>
  <si>
    <t>IG-ON + 通常 + 正常 + (前回)テストモード（検査開始）</t>
  </si>
  <si>
    <t>IG-ON + 通常 + 正常 + (前回)テストモード（検査終了）</t>
  </si>
  <si>
    <t>IG-ON + 通常 + 正常 + (前回)アプリ駆動(断続,0.4s)</t>
  </si>
  <si>
    <t>IG-ON + 通常 + 正常 + (前回)アプリ駆動(断続,0.2s)</t>
  </si>
  <si>
    <t>IG-ON + 通常 + 正常 + (前回)システム故障</t>
  </si>
  <si>
    <t>IG-ON + 通常 + 正常 + (前回)システム不作動(0.2s)</t>
  </si>
  <si>
    <t>IG-ON + 通常 + 正常 + (前回)アプリ駆動(2連発,0.13s)</t>
  </si>
  <si>
    <t>IG-ON + 通常 + 未定義 + (前回)正常</t>
  </si>
  <si>
    <t>IG-ON + 通常 + 未定義 + (前回)未定義</t>
  </si>
  <si>
    <t>IG-ON + 通常 + 未定義 + (前回)システム不作動(0.4s)</t>
  </si>
  <si>
    <t>IG-ON + 通常 + 未定義 + (前回)テストモード（学習中）</t>
  </si>
  <si>
    <t>IG-ON + 通常 + 未定義 + (前回)テストモード（検査開始）</t>
  </si>
  <si>
    <t>IG-ON + 通常 + 未定義 + (前回)テストモード（検査終了）</t>
  </si>
  <si>
    <t>IG-ON + 通常 + 未定義 + (前回)アプリ駆動(断続,0.4s)</t>
  </si>
  <si>
    <t>IG-ON + 通常 + 未定義 + (前回)アプリ駆動(断続,0.2s)</t>
  </si>
  <si>
    <t>IG-ON + 通常 + 未定義 + (前回)システム故障</t>
  </si>
  <si>
    <t>IG-ON + 通常 + 未定義 + (前回)システム不作動(0.2s)</t>
  </si>
  <si>
    <t>IG-ON + 通常 + 未定義 + (前回)アプリ駆動(2連発,0.13s)</t>
  </si>
  <si>
    <t>IG-ON + 通常 + システム不作動(0.4s) + (前回)正常</t>
  </si>
  <si>
    <t>IG-ON + 通常 + システム不作動(0.4s) + (前回)未定義</t>
  </si>
  <si>
    <t>IG-ON + 通常 + システム不作動(0.4s) + (前回)システム不作動(0.4s)</t>
  </si>
  <si>
    <t>IG-ON + 通常 + システム不作動(0.4s) + (前回)テストモード（学習中）</t>
  </si>
  <si>
    <t>IG-ON + 通常 + システム不作動(0.4s) + (前回)テストモード（検査開始）</t>
  </si>
  <si>
    <t>IG-ON + 通常 + システム不作動(0.4s) + (前回)テストモード（検査終了）</t>
  </si>
  <si>
    <t>IG-ON + 通常 + システム不作動(0.4s) + (前回)アプリ駆動(断続,0.4s)</t>
  </si>
  <si>
    <t>IG-ON + 通常 + システム不作動(0.4s) + (前回)アプリ駆動(断続,0.2s)</t>
  </si>
  <si>
    <t>IG-ON + 通常 + システム不作動(0.4s) + (前回)システム故障</t>
  </si>
  <si>
    <t>IG-ON + 通常 + システム不作動(0.4s) + (前回)システム不作動(0.2s)</t>
  </si>
  <si>
    <t>IG-ON + 通常 + システム不作動(0.4s) + (前回)アプリ駆動(2連発,0.13s)</t>
  </si>
  <si>
    <t>IG-ON + 通常 + テストモード（学習中） + (前回)正常</t>
  </si>
  <si>
    <t>IG-ON + 通常 + テストモード（学習中） + (前回)未定義</t>
  </si>
  <si>
    <t>IG-ON + 通常 + テストモード（学習中） + (前回)システム不作動(0.4s)</t>
  </si>
  <si>
    <t>IG-ON + 通常 + テストモード（学習中） + (前回)テストモード（学習中）</t>
  </si>
  <si>
    <t>IG-ON + 通常 + テストモード（学習中） + (前回)テストモード（検査開始）</t>
  </si>
  <si>
    <t>IG-ON + 通常 + テストモード（学習中） + (前回)テストモード（検査終了）</t>
  </si>
  <si>
    <t>IG-ON + 通常 + テストモード（学習中） + (前回)アプリ駆動(断続,0.4s)</t>
  </si>
  <si>
    <t>IG-ON + 通常 + テストモード（学習中） + (前回)アプリ駆動(断続,0.2s)</t>
  </si>
  <si>
    <t>IG-ON + 通常 + テストモード（学習中） + (前回)システム故障</t>
  </si>
  <si>
    <t>IG-ON + 通常 + テストモード（学習中） + (前回)システム不作動(0.2s)</t>
  </si>
  <si>
    <t>IG-ON + 通常 + テストモード（学習中） + (前回)アプリ駆動(2連発,0.13s)</t>
  </si>
  <si>
    <t>IG-ON + 通常 + テストモード（検査開始） + (前回)正常</t>
  </si>
  <si>
    <t>IG-ON + 通常 + テストモード（検査開始） + (前回)未定義</t>
  </si>
  <si>
    <t>IG-ON + 通常 + テストモード（検査開始） + (前回)システム不作動(0.4s)</t>
  </si>
  <si>
    <t>IG-ON + 通常 + テストモード（検査開始） + (前回)テストモード（学習中）</t>
  </si>
  <si>
    <t>IG-ON + 通常 + テストモード（検査開始） + (前回)テストモード（検査開始）</t>
  </si>
  <si>
    <t>IG-ON + 通常 + テストモード（検査開始） + (前回)テストモード（検査終了）</t>
  </si>
  <si>
    <t>IG-ON + 通常 + テストモード（検査開始） + (前回)アプリ駆動(断続,0.4s)</t>
  </si>
  <si>
    <t>IG-ON + 通常 + テストモード（検査開始） + (前回)アプリ駆動(断続,0.2s)</t>
  </si>
  <si>
    <t>IG-ON + 通常 + テストモード（検査開始） + (前回)システム故障</t>
  </si>
  <si>
    <t>IG-ON + 通常 + テストモード（検査開始） + (前回)システム不作動(0.2s)</t>
  </si>
  <si>
    <t>IG-ON + 通常 + テストモード（検査開始） + (前回)アプリ駆動(2連発,0.13s)</t>
  </si>
  <si>
    <t>IG-ON + 通常 + テストモード（検査終了） + (前回)正常</t>
  </si>
  <si>
    <t>IG-ON + 通常 + テストモード（検査終了） + (前回)未定義</t>
  </si>
  <si>
    <t>IG-ON + 通常 + テストモード（検査終了） + (前回)システム不作動(0.4s)</t>
  </si>
  <si>
    <t>IG-ON + 通常 + テストモード（検査終了） + (前回)テストモード（学習中）</t>
  </si>
  <si>
    <t>IG-ON + 通常 + テストモード（検査終了） + (前回)テストモード（検査開始）</t>
  </si>
  <si>
    <t>IG-ON + 通常 + テストモード（検査終了） + (前回)テストモード（検査終了）</t>
  </si>
  <si>
    <t>IG-ON + 通常 + テストモード（検査終了） + (前回)アプリ駆動(断続,0.4s)</t>
  </si>
  <si>
    <t>IG-ON + 通常 + テストモード（検査終了） + (前回)アプリ駆動(断続,0.2s)</t>
  </si>
  <si>
    <t>IG-ON + 通常 + テストモード（検査終了） + (前回)システム故障</t>
  </si>
  <si>
    <t>IG-ON + 通常 + テストモード（検査終了） + (前回)システム不作動(0.2s)</t>
  </si>
  <si>
    <t>IG-ON + 通常 + テストモード（検査終了） + (前回)アプリ駆動(2連発,0.13s)</t>
  </si>
  <si>
    <t>IG-ON + 通常 + アプリ駆動(断続,0.4s) + (前回)正常</t>
  </si>
  <si>
    <t>IG-ON + 通常 + アプリ駆動(断続,0.4s) + (前回)未定義</t>
  </si>
  <si>
    <t>IG-ON + 通常 + アプリ駆動(断続,0.4s) + (前回)システム不作動(0.4s)</t>
  </si>
  <si>
    <t>IG-ON + 通常 + アプリ駆動(断続,0.4s) + (前回)テストモード（学習中）</t>
  </si>
  <si>
    <t>IG-ON + 通常 + アプリ駆動(断続,0.4s) + (前回)テストモード（検査開始）</t>
  </si>
  <si>
    <t>IG-ON + 通常 + アプリ駆動(断続,0.4s) + (前回)テストモード（検査終了）</t>
  </si>
  <si>
    <t>IG-ON + 通常 + アプリ駆動(断続,0.4s) + (前回)アプリ駆動(断続,0.4s)</t>
  </si>
  <si>
    <t>IG-ON + 通常 + アプリ駆動(断続,0.4s) + (前回)アプリ駆動(断続,0.2s)</t>
  </si>
  <si>
    <t>IG-ON + 通常 + アプリ駆動(断続,0.4s) + (前回)システム故障</t>
  </si>
  <si>
    <t>IG-ON + 通常 + アプリ駆動(断続,0.4s) + (前回)システム不作動(0.2s)</t>
  </si>
  <si>
    <t>IG-ON + 通常 + アプリ駆動(断続,0.4s) + (前回)アプリ駆動(2連発,0.13s)</t>
  </si>
  <si>
    <t>IG-ON + 通常 + アプリ駆動(断続,0.2s) + (前回)正常</t>
  </si>
  <si>
    <t>IG-ON + 通常 + アプリ駆動(断続,0.2s) + (前回)未定義</t>
  </si>
  <si>
    <t>IG-ON + 通常 + アプリ駆動(断続,0.2s) + (前回)システム不作動(0.4s)</t>
  </si>
  <si>
    <t>IG-ON + 通常 + アプリ駆動(断続,0.2s) + (前回)テストモード（学習中）</t>
  </si>
  <si>
    <t>IG-ON + 通常 + アプリ駆動(断続,0.2s) + (前回)テストモード（検査開始）</t>
  </si>
  <si>
    <t>IG-ON + 通常 + アプリ駆動(断続,0.2s) + (前回)テストモード（検査終了）</t>
  </si>
  <si>
    <t>IG-ON + 通常 + アプリ駆動(断続,0.2s) + (前回)アプリ駆動(断続,0.4s)</t>
  </si>
  <si>
    <t>IG-ON + 通常 + アプリ駆動(断続,0.2s) + (前回)アプリ駆動(断続,0.2s)</t>
  </si>
  <si>
    <t>IG-ON + 通常 + アプリ駆動(断続,0.2s) + (前回)システム故障</t>
  </si>
  <si>
    <t>IG-ON + 通常 + アプリ駆動(断続,0.2s) + (前回)システム不作動(0.2s)</t>
  </si>
  <si>
    <t>IG-ON + 通常 + アプリ駆動(断続,0.2s) + (前回)アプリ駆動(2連発,0.13s)</t>
  </si>
  <si>
    <t>IG-ON + 通常 + システム故障 + (前回)正常</t>
  </si>
  <si>
    <t>IG-ON + 通常 + システム故障 + (前回)未定義</t>
  </si>
  <si>
    <t>IG-ON + 通常 + システム故障 + (前回)システム不作動(0.4s)</t>
  </si>
  <si>
    <t>IG-ON + 通常 + システム故障 + (前回)テストモード（学習中）</t>
  </si>
  <si>
    <t>IG-ON + 通常 + システム故障 + (前回)テストモード（検査開始）</t>
  </si>
  <si>
    <t>IG-ON + 通常 + システム故障 + (前回)テストモード（検査終了）</t>
  </si>
  <si>
    <t>IG-ON + 通常 + システム故障 + (前回)アプリ駆動(断続,0.4s)</t>
  </si>
  <si>
    <t>IG-ON + 通常 + システム故障 + (前回)アプリ駆動(断続,0.2s)</t>
  </si>
  <si>
    <t>IG-ON + 通常 + システム故障 + (前回)システム故障</t>
  </si>
  <si>
    <t>IG-ON + 通常 + システム故障 + (前回)システム不作動(0.2s)</t>
  </si>
  <si>
    <t>IG-ON + 通常 + システム故障 + (前回)アプリ駆動(2連発,0.13s)</t>
  </si>
  <si>
    <t>IG-ON + 通常 + システム不作動(0.2s) + (前回)正常</t>
  </si>
  <si>
    <t>IG-ON + 通常 + システム不作動(0.2s) + (前回)未定義</t>
  </si>
  <si>
    <t>IG-ON + 通常 + システム不作動(0.2s) + (前回)システム不作動(0.4s)</t>
  </si>
  <si>
    <t>IG-ON + 通常 + システム不作動(0.2s) + (前回)テストモード（学習中）</t>
  </si>
  <si>
    <t>IG-ON + 通常 + システム不作動(0.2s) + (前回)テストモード（検査開始）</t>
  </si>
  <si>
    <t>IG-ON + 通常 + システム不作動(0.2s) + (前回)テストモード（検査終了）</t>
  </si>
  <si>
    <t>IG-ON + 通常 + システム不作動(0.2s) + (前回)アプリ駆動(断続,0.4s)</t>
  </si>
  <si>
    <t>IG-ON + 通常 + システム不作動(0.2s) + (前回)アプリ駆動(断続,0.2s)</t>
  </si>
  <si>
    <t>IG-ON + 通常 + システム不作動(0.2s) + (前回)システム故障</t>
  </si>
  <si>
    <t>IG-ON + 通常 + システム不作動(0.2s) + (前回)システム不作動(0.2s)</t>
  </si>
  <si>
    <t>IG-ON + 通常 + システム不作動(0.2s) + (前回)アプリ駆動(2連発,0.13s)</t>
  </si>
  <si>
    <t>IG-ON + 通常 + アプリ駆動(2連発,0.13s) + (前回)正常</t>
  </si>
  <si>
    <t>IG-ON + 通常 + アプリ駆動(2連発,0.13s) + (前回)未定義</t>
  </si>
  <si>
    <t>IG-ON + 通常 + アプリ駆動(2連発,0.13s) + (前回)システム不作動(0.4s)</t>
  </si>
  <si>
    <t>IG-ON + 通常 + アプリ駆動(2連発,0.13s) + (前回)テストモード（学習中）</t>
  </si>
  <si>
    <t>IG-ON + 通常 + アプリ駆動(2連発,0.13s) + (前回)テストモード（検査開始）</t>
  </si>
  <si>
    <t>IG-ON + 通常 + アプリ駆動(2連発,0.13s) + (前回)テストモード（検査終了）</t>
  </si>
  <si>
    <t>IG-ON + 通常 + アプリ駆動(2連発,0.13s) + (前回)アプリ駆動(断続,0.4s)</t>
  </si>
  <si>
    <t>IG-ON + 通常 + アプリ駆動(2連発,0.13s) + (前回)アプリ駆動(断続,0.2s)</t>
  </si>
  <si>
    <t>IG-ON + 通常 + アプリ駆動(2連発,0.13s) + (前回)システム故障</t>
  </si>
  <si>
    <t>IG-ON + 通常 + アプリ駆動(2連発,0.13s) + (前回)システム不作動(0.2s)</t>
  </si>
  <si>
    <t>IG-ON + 通常 + アプリ駆動(2連発,0.13s) + (前回)アプリ駆動(2連発,0.13s)</t>
  </si>
  <si>
    <t>IG-ON + 未受信 + * + *</t>
    <rPh sb="8" eb="9">
      <t>ミ</t>
    </rPh>
    <rPh sb="9" eb="11">
      <t>ジュシン</t>
    </rPh>
    <phoneticPr fontId="2"/>
  </si>
  <si>
    <t>IG-ON + 通信途絶 + * + *</t>
    <rPh sb="8" eb="10">
      <t>ツウシン</t>
    </rPh>
    <rPh sb="10" eb="12">
      <t>トゼツ</t>
    </rPh>
    <phoneticPr fontId="2"/>
  </si>
  <si>
    <t>IG-ON + 未受信通信途絶 + * + *</t>
    <rPh sb="8" eb="9">
      <t>ミ</t>
    </rPh>
    <rPh sb="9" eb="11">
      <t>ジュシン</t>
    </rPh>
    <rPh sb="11" eb="13">
      <t>ツウシン</t>
    </rPh>
    <rPh sb="13" eb="15">
      <t>トゼツ</t>
    </rPh>
    <phoneticPr fontId="2"/>
  </si>
  <si>
    <t>BUZZER_REQ・BUZZE2判定</t>
    <phoneticPr fontId="2"/>
  </si>
  <si>
    <t>BUZZER_REQ/BUZZE2_REQ</t>
    <phoneticPr fontId="2"/>
  </si>
  <si>
    <t>VSC1S95/VSC1S97</t>
    <phoneticPr fontId="2"/>
  </si>
  <si>
    <t>VSC1S95_STS/VSC1S97_STS</t>
    <phoneticPr fontId="2"/>
  </si>
  <si>
    <t>-</t>
    <phoneticPr fontId="2"/>
  </si>
  <si>
    <t>B_BUZZER_SIG/B_BUZZE2_SIG</t>
    <phoneticPr fontId="2"/>
  </si>
  <si>
    <t>B_BUZZER_SIG(前回値)/B_BUZZE2_SIG(前回値)</t>
    <rPh sb="13" eb="15">
      <t>ゼンカイ</t>
    </rPh>
    <rPh sb="15" eb="16">
      <t>チ</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</si>
  <si>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</si>
  <si>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</si>
  <si>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</si>
  <si>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C_BRKBZ-CSTD-0-BZR01-REQ03</t>
    <phoneticPr fontId="2"/>
  </si>
  <si>
    <t>C_BRKBZ-CSTD-0-BZR01-REQ04</t>
    <phoneticPr fontId="2"/>
  </si>
  <si>
    <t>C_BRKBZ-CSTD-0-BZR01-REQ05</t>
    <phoneticPr fontId="2"/>
  </si>
  <si>
    <t>C_BRKBZ-CSTD-0-BZR01-REQ06</t>
    <phoneticPr fontId="2"/>
  </si>
  <si>
    <t>C_BRKBZ-CSTD-0-BZR01-REQ07</t>
    <phoneticPr fontId="2"/>
  </si>
  <si>
    <t>C_BRKBZ-CSTD-0-BZR01-REQ08</t>
    <phoneticPr fontId="2"/>
  </si>
  <si>
    <t>C_BRKBZ-CSTD-0-BZR01-REQ11</t>
    <phoneticPr fontId="2"/>
  </si>
  <si>
    <t>C_BRKBZ-CSTD-0-BZR01-REQ09</t>
    <phoneticPr fontId="2"/>
  </si>
  <si>
    <t>C_BRKBZ-CSTD-0-BZR01-REQ10</t>
    <phoneticPr fontId="2"/>
  </si>
  <si>
    <t>FAILURE</t>
    <phoneticPr fontId="2"/>
  </si>
  <si>
    <t>断続(0.4s)</t>
    <phoneticPr fontId="2"/>
  </si>
  <si>
    <t>UNAVAILABLE2</t>
    <phoneticPr fontId="2"/>
  </si>
  <si>
    <t>断続(0.2s)</t>
    <phoneticPr fontId="2"/>
  </si>
  <si>
    <t>UNAVAILABLE1</t>
    <phoneticPr fontId="2"/>
  </si>
  <si>
    <t>MET-C_BRKBZ-CSTD-0-01-C-C0.xlsm</t>
    <phoneticPr fontId="2"/>
  </si>
  <si>
    <t>https://aip01.dndev.net/svn/met/toyota/std/rd/spec/個車/面企画/branches/00.Product/20210219_暫定リリース/MET</t>
    <phoneticPr fontId="2"/>
  </si>
  <si>
    <t>内部データ</t>
    <rPh sb="0" eb="2">
      <t>ナイブ</t>
    </rPh>
    <phoneticPr fontId="2"/>
  </si>
  <si>
    <t>大島</t>
    <rPh sb="0" eb="2">
      <t>オオシマ</t>
    </rPh>
    <phoneticPr fontId="2"/>
  </si>
  <si>
    <t>新規作成(流用元：alert_C_BRKBZ-CSTD-0-01-B-C0.xlsx)
840B CV対応
[Matrix]シート
・対象仕様書およびロケーションを変更
[Reference]シート
・キャプチャ画像を変更</t>
    <rPh sb="0" eb="2">
      <t>シンキ</t>
    </rPh>
    <rPh sb="2" eb="4">
      <t>サクセイ</t>
    </rPh>
    <rPh sb="5" eb="7">
      <t>リュウヨウ</t>
    </rPh>
    <rPh sb="7" eb="8">
      <t>モト</t>
    </rPh>
    <rPh sb="52" eb="54">
      <t>タイオウ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</si>
  <si>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</si>
  <si>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</si>
  <si>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</si>
  <si>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</si>
  <si>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</si>
  <si>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</si>
  <si>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</si>
  <si>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</si>
  <si>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</si>
  <si>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</si>
  <si>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</si>
  <si>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</si>
  <si>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</si>
  <si>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</si>
  <si>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</si>
  <si>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</si>
  <si>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</si>
  <si>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</si>
  <si>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</si>
  <si>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[C_BRKBZ]シート
・数式の変更(AU8、AU10、AU11)
[Reference]シート
・マクロ定義の補足情報の追加
→対象マクロ：
ALERT_C_BRK_BRKJDG_**</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</si>
</sst>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lightUp">
        <bgColor theme="0"/>
      </patternFill>
    </fill>
    <fill>
      <patternFill patternType="solid">
        <fgColor theme="0" tint="-0.34998626667073579"/>
        <bgColor indexed="64"/>
      </patternFill>
    </fill>
    <fill>
      <patternFill patternType="solid">
        <fgColor theme="8" tint="0.39997558519241921"/>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12" borderId="23"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4"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pplyAlignment="1">
      <alignment vertical="center"/>
    </xf>
    <xf numFmtId="0" fontId="1" fillId="19" borderId="49" xfId="0" applyFont="1" applyFill="1" applyBorder="1" applyAlignment="1">
      <alignment vertical="center"/>
    </xf>
    <xf numFmtId="0" fontId="1" fillId="19" borderId="44" xfId="0" applyFont="1" applyFill="1" applyBorder="1" applyAlignment="1">
      <alignment vertical="center"/>
    </xf>
    <xf numFmtId="0" fontId="0" fillId="17" borderId="50"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3" xfId="0" applyBorder="1">
      <alignment vertical="center"/>
    </xf>
    <xf numFmtId="0" fontId="1" fillId="16" borderId="22" xfId="0" applyFont="1" applyFill="1" applyBorder="1">
      <alignment vertical="center"/>
    </xf>
    <xf numFmtId="0" fontId="14"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0" fillId="0" borderId="14" xfId="0" applyFill="1" applyBorder="1" applyAlignment="1">
      <alignment horizontal="center" vertical="center"/>
    </xf>
    <xf numFmtId="0" fontId="1" fillId="19" borderId="63"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5" borderId="26"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4"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4" xfId="0" applyFont="1" applyFill="1" applyBorder="1">
      <alignment vertical="center"/>
    </xf>
    <xf numFmtId="0" fontId="1" fillId="19" borderId="11" xfId="0" applyFont="1" applyFill="1" applyBorder="1">
      <alignment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16" xfId="0" applyBorder="1" applyAlignment="1">
      <alignment vertical="center" wrapText="1"/>
    </xf>
    <xf numFmtId="0" fontId="0" fillId="15" borderId="9" xfId="0" applyFill="1" applyBorder="1" applyAlignment="1">
      <alignment horizontal="center" vertical="center"/>
    </xf>
    <xf numFmtId="0" fontId="0" fillId="15" borderId="30" xfId="0" applyFill="1" applyBorder="1">
      <alignment vertical="center"/>
    </xf>
    <xf numFmtId="0" fontId="0" fillId="22" borderId="2" xfId="0" applyFill="1" applyBorder="1">
      <alignment vertical="center"/>
    </xf>
    <xf numFmtId="0" fontId="0" fillId="20" borderId="30" xfId="0" applyFill="1" applyBorder="1">
      <alignment vertical="center"/>
    </xf>
    <xf numFmtId="0" fontId="0" fillId="23" borderId="2" xfId="0" applyFill="1" applyBorder="1">
      <alignment vertical="center"/>
    </xf>
    <xf numFmtId="0" fontId="0" fillId="18" borderId="30" xfId="0" applyFill="1" applyBorder="1" applyAlignment="1">
      <alignment vertical="center" textRotation="255"/>
    </xf>
    <xf numFmtId="0" fontId="0" fillId="15" borderId="31" xfId="0" applyFill="1" applyBorder="1" applyAlignment="1">
      <alignment vertical="center" wrapText="1"/>
    </xf>
    <xf numFmtId="0" fontId="0" fillId="15" borderId="16" xfId="0" applyFill="1" applyBorder="1" applyAlignment="1">
      <alignment vertical="center" wrapText="1"/>
    </xf>
    <xf numFmtId="0" fontId="0" fillId="0" borderId="31" xfId="0" quotePrefix="1" applyBorder="1" applyAlignment="1">
      <alignment vertical="center" wrapText="1"/>
    </xf>
    <xf numFmtId="0" fontId="0" fillId="22" borderId="14" xfId="0" applyFill="1" applyBorder="1" applyAlignment="1">
      <alignment horizontal="center" vertical="center"/>
    </xf>
    <xf numFmtId="0" fontId="0" fillId="22" borderId="2" xfId="0" applyFill="1" applyBorder="1" applyAlignment="1">
      <alignment horizontal="center" vertical="center"/>
    </xf>
    <xf numFmtId="0" fontId="0" fillId="15" borderId="20" xfId="0" applyFill="1" applyBorder="1">
      <alignment vertical="center"/>
    </xf>
    <xf numFmtId="0" fontId="0" fillId="22" borderId="9" xfId="0" applyFill="1" applyBorder="1" applyAlignment="1">
      <alignment horizontal="center" vertical="center"/>
    </xf>
    <xf numFmtId="14" fontId="0" fillId="0" borderId="7" xfId="0" applyNumberFormat="1" applyBorder="1">
      <alignment vertical="center"/>
    </xf>
    <xf numFmtId="0" fontId="0" fillId="0" borderId="2" xfId="0" applyBorder="1" applyAlignment="1">
      <alignment vertical="center" wrapText="1"/>
    </xf>
    <xf numFmtId="0" fontId="0" fillId="0" borderId="2" xfId="0" applyBorder="1" applyAlignment="1">
      <alignment vertical="center"/>
    </xf>
    <xf numFmtId="0" fontId="0" fillId="0" borderId="0" xfId="0" applyBorder="1">
      <alignment vertical="center"/>
    </xf>
    <xf numFmtId="0" fontId="0" fillId="12" borderId="11" xfId="0" applyFill="1" applyBorder="1" applyAlignment="1">
      <alignment vertical="center"/>
    </xf>
    <xf numFmtId="0" fontId="0" fillId="12" borderId="24" xfId="0" applyFill="1" applyBorder="1">
      <alignment vertical="center"/>
    </xf>
    <xf numFmtId="0" fontId="0" fillId="0" borderId="1" xfId="0" applyBorder="1" applyAlignment="1">
      <alignment vertical="center" wrapText="1"/>
    </xf>
    <xf numFmtId="0" fontId="0" fillId="0" borderId="20" xfId="0" applyBorder="1">
      <alignment vertical="center"/>
    </xf>
    <xf numFmtId="0" fontId="16" fillId="7" borderId="60" xfId="0" applyFont="1" applyFill="1" applyBorder="1" applyAlignment="1">
      <alignment vertical="center"/>
    </xf>
    <xf numFmtId="0" fontId="0" fillId="14" borderId="7" xfId="0" applyFill="1" applyBorder="1">
      <alignment vertical="center"/>
    </xf>
    <xf numFmtId="0" fontId="0" fillId="0" borderId="17" xfId="0" applyBorder="1" applyAlignment="1">
      <alignment vertical="center" wrapText="1"/>
    </xf>
    <xf numFmtId="0" fontId="0" fillId="0" borderId="14" xfId="0" applyFill="1" applyBorder="1">
      <alignment vertical="center"/>
    </xf>
    <xf numFmtId="0" fontId="0" fillId="0" borderId="15" xfId="0" applyFill="1" applyBorder="1">
      <alignment vertical="center"/>
    </xf>
    <xf numFmtId="0" fontId="0" fillId="0" borderId="2" xfId="0" applyFill="1" applyBorder="1">
      <alignment vertical="center"/>
    </xf>
    <xf numFmtId="0" fontId="0" fillId="0" borderId="9" xfId="0" applyFill="1" applyBorder="1">
      <alignment vertical="center"/>
    </xf>
    <xf numFmtId="0" fontId="0" fillId="0" borderId="10"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75" xfId="2" applyFont="1" applyBorder="1">
      <alignment vertical="center"/>
    </xf>
    <xf numFmtId="0" fontId="21" fillId="0" borderId="76" xfId="2" applyFont="1" applyBorder="1">
      <alignment vertical="center"/>
    </xf>
    <xf numFmtId="0" fontId="21" fillId="0" borderId="76" xfId="2" applyFont="1" applyBorder="1" applyAlignment="1">
      <alignment horizontal="center" vertical="center"/>
    </xf>
    <xf numFmtId="0" fontId="21" fillId="0" borderId="75" xfId="2" applyFont="1" applyBorder="1" applyAlignment="1">
      <alignment horizontal="center" vertical="center"/>
    </xf>
    <xf numFmtId="0" fontId="21" fillId="0" borderId="28"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77" xfId="0" applyFill="1" applyBorder="1">
      <alignment vertical="center"/>
    </xf>
    <xf numFmtId="0" fontId="0" fillId="4" borderId="17" xfId="0" applyFill="1" applyBorder="1">
      <alignment vertical="center"/>
    </xf>
    <xf numFmtId="0" fontId="0" fillId="0" borderId="30" xfId="0" applyBorder="1">
      <alignment vertical="center"/>
    </xf>
    <xf numFmtId="0" fontId="0" fillId="0" borderId="78" xfId="0" applyBorder="1">
      <alignment vertical="center"/>
    </xf>
    <xf numFmtId="0" fontId="0" fillId="0" borderId="79" xfId="0" applyBorder="1" applyAlignment="1">
      <alignment vertical="center" wrapText="1"/>
    </xf>
    <xf numFmtId="0" fontId="0" fillId="0" borderId="79" xfId="0" applyBorder="1">
      <alignment vertical="center"/>
    </xf>
    <xf numFmtId="14" fontId="0" fillId="0" borderId="79"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0"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3" fillId="12" borderId="66" xfId="1" applyFill="1" applyBorder="1" applyAlignment="1">
      <alignment horizontal="left" vertical="center"/>
    </xf>
    <xf numFmtId="0" fontId="3" fillId="12" borderId="12" xfId="1" applyFill="1" applyBorder="1" applyAlignment="1">
      <alignment horizontal="left" vertical="center"/>
    </xf>
    <xf numFmtId="0" fontId="3" fillId="12" borderId="48" xfId="1" applyFill="1" applyBorder="1" applyAlignment="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15" fillId="0" borderId="71" xfId="0" applyFont="1" applyBorder="1" applyAlignment="1">
      <alignment horizontal="center"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6" xfId="0" applyFill="1" applyBorder="1" applyAlignment="1">
      <alignment horizontal="left" vertical="center"/>
    </xf>
    <xf numFmtId="0" fontId="15" fillId="24" borderId="71" xfId="0" applyFont="1" applyFill="1" applyBorder="1" applyAlignment="1">
      <alignment horizontal="center" vertical="center"/>
    </xf>
    <xf numFmtId="0" fontId="15" fillId="24" borderId="72" xfId="0" applyFont="1" applyFill="1" applyBorder="1" applyAlignment="1">
      <alignment horizontal="center" vertical="center"/>
    </xf>
    <xf numFmtId="0" fontId="15" fillId="24" borderId="73" xfId="0" applyFont="1" applyFill="1" applyBorder="1" applyAlignment="1">
      <alignment horizontal="center" vertical="center"/>
    </xf>
  </cellXfs>
  <cellStyles count="3">
    <cellStyle name="ハイパーリンク" xfId="1" builtinId="8"/>
    <cellStyle name="標準" xfId="0" builtinId="0"/>
    <cellStyle name="標準 3 3 4 3" xfId="2" xr:uid="{4C21716A-FC96-4437-B041-9C35F94C8E74}"/>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emf"/><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emf"/><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emf"/><Relationship Id="rId11" Type="http://schemas.openxmlformats.org/officeDocument/2006/relationships/image" Target="../media/image12.png"/><Relationship Id="rId5" Type="http://schemas.openxmlformats.org/officeDocument/2006/relationships/image" Target="../media/image6.emf"/><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emf"/><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53A3606-3605-41A1-A396-25D2F64E6AB3}"/>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1460B7E4-EE8C-4786-9D9A-801CBB79EDFC}"/>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2FF9BAFC-6D83-4ED1-918B-80E6AE608175}"/>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A932AF01-8F7E-4AFF-A6E9-5DCBBF9CDB75}"/>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A3241C33-A1B6-4433-AEB1-E4308857F131}"/>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55</xdr:col>
      <xdr:colOff>17318</xdr:colOff>
      <xdr:row>182</xdr:row>
      <xdr:rowOff>17318</xdr:rowOff>
    </xdr:from>
    <xdr:to>
      <xdr:col>73</xdr:col>
      <xdr:colOff>599298</xdr:colOff>
      <xdr:row>194</xdr:row>
      <xdr:rowOff>25402</xdr:rowOff>
    </xdr:to>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
        <a:stretch>
          <a:fillRect/>
        </a:stretch>
      </xdr:blipFill>
      <xdr:spPr>
        <a:xfrm>
          <a:off x="44680909" y="33666545"/>
          <a:ext cx="13051071" cy="2086266"/>
        </a:xfrm>
        <a:prstGeom prst="rect">
          <a:avLst/>
        </a:prstGeom>
      </xdr:spPr>
    </xdr:pic>
    <xdr:clientData/>
  </xdr:twoCellAnchor>
  <xdr:twoCellAnchor editAs="oneCell">
    <xdr:from>
      <xdr:col>55</xdr:col>
      <xdr:colOff>17319</xdr:colOff>
      <xdr:row>171</xdr:row>
      <xdr:rowOff>138545</xdr:rowOff>
    </xdr:from>
    <xdr:to>
      <xdr:col>83</xdr:col>
      <xdr:colOff>623455</xdr:colOff>
      <xdr:row>174</xdr:row>
      <xdr:rowOff>143034</xdr:rowOff>
    </xdr:to>
    <xdr:pic>
      <xdr:nvPicPr>
        <xdr:cNvPr id="105" name="図 104">
          <a:extLst>
            <a:ext uri="{FF2B5EF4-FFF2-40B4-BE49-F238E27FC236}">
              <a16:creationId xmlns:a16="http://schemas.microsoft.com/office/drawing/2014/main" id="{00000000-0008-0000-0600-000069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680910" y="31882772"/>
          <a:ext cx="20002500" cy="524035"/>
        </a:xfrm>
        <a:prstGeom prst="rect">
          <a:avLst/>
        </a:prstGeom>
        <a:solidFill>
          <a:schemeClr val="bg1"/>
        </a:solidFill>
      </xdr:spPr>
    </xdr:pic>
    <xdr:clientData/>
  </xdr:twoCellAnchor>
  <xdr:twoCellAnchor editAs="oneCell">
    <xdr:from>
      <xdr:col>26</xdr:col>
      <xdr:colOff>144732</xdr:colOff>
      <xdr:row>349</xdr:row>
      <xdr:rowOff>54428</xdr:rowOff>
    </xdr:from>
    <xdr:to>
      <xdr:col>55</xdr:col>
      <xdr:colOff>669375</xdr:colOff>
      <xdr:row>388</xdr:row>
      <xdr:rowOff>108857</xdr:rowOff>
    </xdr:to>
    <xdr:pic>
      <xdr:nvPicPr>
        <xdr:cNvPr id="103" name="図 102">
          <a:extLst>
            <a:ext uri="{FF2B5EF4-FFF2-40B4-BE49-F238E27FC236}">
              <a16:creationId xmlns:a16="http://schemas.microsoft.com/office/drawing/2014/main" id="{00000000-0008-0000-0600-000067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760053" y="64212107"/>
          <a:ext cx="20255001" cy="6953250"/>
        </a:xfrm>
        <a:prstGeom prst="rect">
          <a:avLst/>
        </a:prstGeom>
        <a:solidFill>
          <a:schemeClr val="bg1"/>
        </a:solidFill>
      </xdr:spPr>
    </xdr:pic>
    <xdr:clientData/>
  </xdr:twoCellAnchor>
  <xdr:twoCellAnchor editAs="oneCell">
    <xdr:from>
      <xdr:col>25</xdr:col>
      <xdr:colOff>476251</xdr:colOff>
      <xdr:row>243</xdr:row>
      <xdr:rowOff>1</xdr:rowOff>
    </xdr:from>
    <xdr:to>
      <xdr:col>58</xdr:col>
      <xdr:colOff>599783</xdr:colOff>
      <xdr:row>340</xdr:row>
      <xdr:rowOff>0</xdr:rowOff>
    </xdr:to>
    <xdr:pic>
      <xdr:nvPicPr>
        <xdr:cNvPr id="102" name="図 101">
          <a:extLst>
            <a:ext uri="{FF2B5EF4-FFF2-40B4-BE49-F238E27FC236}">
              <a16:creationId xmlns:a16="http://schemas.microsoft.com/office/drawing/2014/main" id="{00000000-0008-0000-0600-000066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4526876" y="44172189"/>
          <a:ext cx="22721595" cy="16168686"/>
        </a:xfrm>
        <a:prstGeom prst="rect">
          <a:avLst/>
        </a:prstGeom>
        <a:solidFill>
          <a:schemeClr val="bg1"/>
        </a:solidFill>
      </xdr:spPr>
    </xdr:pic>
    <xdr:clientData/>
  </xdr:twoCellAnchor>
  <xdr:twoCellAnchor editAs="oneCell">
    <xdr:from>
      <xdr:col>25</xdr:col>
      <xdr:colOff>340179</xdr:colOff>
      <xdr:row>126</xdr:row>
      <xdr:rowOff>163286</xdr:rowOff>
    </xdr:from>
    <xdr:to>
      <xdr:col>40</xdr:col>
      <xdr:colOff>517072</xdr:colOff>
      <xdr:row>160</xdr:row>
      <xdr:rowOff>37443</xdr:rowOff>
    </xdr:to>
    <xdr:pic>
      <xdr:nvPicPr>
        <xdr:cNvPr id="101" name="図 100">
          <a:extLst>
            <a:ext uri="{FF2B5EF4-FFF2-40B4-BE49-F238E27FC236}">
              <a16:creationId xmlns:a16="http://schemas.microsoft.com/office/drawing/2014/main" id="{00000000-0008-0000-0600-000065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4275143" y="24873857"/>
          <a:ext cx="10382250" cy="5888515"/>
        </a:xfrm>
        <a:prstGeom prst="rect">
          <a:avLst/>
        </a:prstGeom>
        <a:solidFill>
          <a:schemeClr val="bg1"/>
        </a:solidFill>
      </xdr:spPr>
    </xdr:pic>
    <xdr:clientData/>
  </xdr:twoCellAnchor>
  <xdr:twoCellAnchor editAs="oneCell">
    <xdr:from>
      <xdr:col>25</xdr:col>
      <xdr:colOff>329973</xdr:colOff>
      <xdr:row>182</xdr:row>
      <xdr:rowOff>10206</xdr:rowOff>
    </xdr:from>
    <xdr:to>
      <xdr:col>51</xdr:col>
      <xdr:colOff>508515</xdr:colOff>
      <xdr:row>223</xdr:row>
      <xdr:rowOff>95249</xdr:rowOff>
    </xdr:to>
    <xdr:pic>
      <xdr:nvPicPr>
        <xdr:cNvPr id="93" name="図 92">
          <a:extLst>
            <a:ext uri="{FF2B5EF4-FFF2-40B4-BE49-F238E27FC236}">
              <a16:creationId xmlns:a16="http://schemas.microsoft.com/office/drawing/2014/main" id="{00000000-0008-0000-0600-00005D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4380598" y="34014456"/>
          <a:ext cx="18014105" cy="6919231"/>
        </a:xfrm>
        <a:prstGeom prst="rect">
          <a:avLst/>
        </a:prstGeom>
        <a:solidFill>
          <a:schemeClr val="bg1"/>
        </a:solidFill>
      </xdr:spPr>
    </xdr:pic>
    <xdr:clientData/>
  </xdr:twoCellAnchor>
  <xdr:twoCellAnchor editAs="oneCell">
    <xdr:from>
      <xdr:col>10</xdr:col>
      <xdr:colOff>2095500</xdr:colOff>
      <xdr:row>0</xdr:row>
      <xdr:rowOff>54429</xdr:rowOff>
    </xdr:from>
    <xdr:to>
      <xdr:col>12</xdr:col>
      <xdr:colOff>1861585</xdr:colOff>
      <xdr:row>2</xdr:row>
      <xdr:rowOff>116302</xdr:rowOff>
    </xdr:to>
    <xdr:sp macro="" textlink="">
      <xdr:nvSpPr>
        <xdr:cNvPr id="187" name="線吹き出し 1 (枠付き) 186">
          <a:extLst>
            <a:ext uri="{FF2B5EF4-FFF2-40B4-BE49-F238E27FC236}">
              <a16:creationId xmlns:a16="http://schemas.microsoft.com/office/drawing/2014/main" id="{00000000-0008-0000-0600-0000BB000000}"/>
            </a:ext>
          </a:extLst>
        </xdr:cNvPr>
        <xdr:cNvSpPr/>
      </xdr:nvSpPr>
      <xdr:spPr>
        <a:xfrm>
          <a:off x="9974036" y="54429"/>
          <a:ext cx="4446942" cy="429266"/>
        </a:xfrm>
        <a:prstGeom prst="borderCallout1">
          <a:avLst>
            <a:gd name="adj1" fmla="val 51537"/>
            <a:gd name="adj2" fmla="val -181"/>
            <a:gd name="adj3" fmla="val 80163"/>
            <a:gd name="adj4" fmla="val -5041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ビットを超えるので</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使用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する</a:t>
          </a:r>
          <a:endParaRPr lang="ja-JP" altLang="ja-JP" sz="120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231817</xdr:colOff>
      <xdr:row>112</xdr:row>
      <xdr:rowOff>170954</xdr:rowOff>
    </xdr:from>
    <xdr:to>
      <xdr:col>13</xdr:col>
      <xdr:colOff>370361</xdr:colOff>
      <xdr:row>116</xdr:row>
      <xdr:rowOff>143743</xdr:rowOff>
    </xdr:to>
    <xdr:sp macro="" textlink="">
      <xdr:nvSpPr>
        <xdr:cNvPr id="188" name="線吹き出し 1 (枠付き) 187">
          <a:extLst>
            <a:ext uri="{FF2B5EF4-FFF2-40B4-BE49-F238E27FC236}">
              <a16:creationId xmlns:a16="http://schemas.microsoft.com/office/drawing/2014/main" id="{00000000-0008-0000-0600-0000BC000000}"/>
            </a:ext>
          </a:extLst>
        </xdr:cNvPr>
        <xdr:cNvSpPr/>
      </xdr:nvSpPr>
      <xdr:spPr>
        <a:xfrm>
          <a:off x="6817674" y="22405025"/>
          <a:ext cx="8125937" cy="680361"/>
        </a:xfrm>
        <a:prstGeom prst="borderCallout1">
          <a:avLst>
            <a:gd name="adj1" fmla="val 48645"/>
            <a:gd name="adj2" fmla="val -635"/>
            <a:gd name="adj3" fmla="val -103291"/>
            <a:gd name="adj4" fmla="val -127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724888</xdr:colOff>
      <xdr:row>109</xdr:row>
      <xdr:rowOff>140775</xdr:rowOff>
    </xdr:from>
    <xdr:to>
      <xdr:col>21</xdr:col>
      <xdr:colOff>533399</xdr:colOff>
      <xdr:row>115</xdr:row>
      <xdr:rowOff>66305</xdr:rowOff>
    </xdr:to>
    <xdr:sp macro="" textlink="">
      <xdr:nvSpPr>
        <xdr:cNvPr id="192" name="線吹き出し 1 (枠付き) 191">
          <a:extLst>
            <a:ext uri="{FF2B5EF4-FFF2-40B4-BE49-F238E27FC236}">
              <a16:creationId xmlns:a16="http://schemas.microsoft.com/office/drawing/2014/main" id="{00000000-0008-0000-0600-0000C0000000}"/>
            </a:ext>
          </a:extLst>
        </xdr:cNvPr>
        <xdr:cNvSpPr/>
      </xdr:nvSpPr>
      <xdr:spPr>
        <a:xfrm>
          <a:off x="14571517" y="21585632"/>
          <a:ext cx="5066311" cy="905244"/>
        </a:xfrm>
        <a:prstGeom prst="borderCallout1">
          <a:avLst>
            <a:gd name="adj1" fmla="val 54077"/>
            <a:gd name="adj2" fmla="val -3638"/>
            <a:gd name="adj3" fmla="val -32639"/>
            <a:gd name="adj4" fmla="val -1357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B_BUZZE2,B_BUZZE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について、通信状態を考慮した値を入力値とすることにより各フレームの通信状態はマトリクステーブルの入力としない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228599</xdr:colOff>
      <xdr:row>6</xdr:row>
      <xdr:rowOff>664776</xdr:rowOff>
    </xdr:from>
    <xdr:to>
      <xdr:col>11</xdr:col>
      <xdr:colOff>0</xdr:colOff>
      <xdr:row>9</xdr:row>
      <xdr:rowOff>0</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7848599" y="1753347"/>
          <a:ext cx="2370365" cy="34690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25</xdr:col>
      <xdr:colOff>332544</xdr:colOff>
      <xdr:row>165</xdr:row>
      <xdr:rowOff>1</xdr:rowOff>
    </xdr:from>
    <xdr:to>
      <xdr:col>32</xdr:col>
      <xdr:colOff>182417</xdr:colOff>
      <xdr:row>168</xdr:row>
      <xdr:rowOff>76200</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rotWithShape="1">
        <a:blip xmlns:r="http://schemas.openxmlformats.org/officeDocument/2006/relationships" r:embed="rId7"/>
        <a:srcRect b="31102"/>
        <a:stretch/>
      </xdr:blipFill>
      <xdr:spPr>
        <a:xfrm>
          <a:off x="23859294" y="51073051"/>
          <a:ext cx="4117073" cy="590550"/>
        </a:xfrm>
        <a:prstGeom prst="rect">
          <a:avLst/>
        </a:prstGeom>
      </xdr:spPr>
    </xdr:pic>
    <xdr:clientData/>
  </xdr:twoCellAnchor>
  <xdr:twoCellAnchor editAs="oneCell">
    <xdr:from>
      <xdr:col>25</xdr:col>
      <xdr:colOff>332544</xdr:colOff>
      <xdr:row>169</xdr:row>
      <xdr:rowOff>0</xdr:rowOff>
    </xdr:from>
    <xdr:to>
      <xdr:col>30</xdr:col>
      <xdr:colOff>197910</xdr:colOff>
      <xdr:row>173</xdr:row>
      <xdr:rowOff>9438</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8"/>
        <a:stretch>
          <a:fillRect/>
        </a:stretch>
      </xdr:blipFill>
      <xdr:spPr>
        <a:xfrm>
          <a:off x="23859294" y="51758850"/>
          <a:ext cx="2913366" cy="676190"/>
        </a:xfrm>
        <a:prstGeom prst="rect">
          <a:avLst/>
        </a:prstGeom>
      </xdr:spPr>
    </xdr:pic>
    <xdr:clientData/>
  </xdr:twoCellAnchor>
  <xdr:twoCellAnchor editAs="oneCell">
    <xdr:from>
      <xdr:col>25</xdr:col>
      <xdr:colOff>332544</xdr:colOff>
      <xdr:row>173</xdr:row>
      <xdr:rowOff>0</xdr:rowOff>
    </xdr:from>
    <xdr:to>
      <xdr:col>30</xdr:col>
      <xdr:colOff>197910</xdr:colOff>
      <xdr:row>176</xdr:row>
      <xdr:rowOff>123747</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9"/>
        <a:stretch>
          <a:fillRect/>
        </a:stretch>
      </xdr:blipFill>
      <xdr:spPr>
        <a:xfrm>
          <a:off x="23859294" y="52444650"/>
          <a:ext cx="2913366" cy="638095"/>
        </a:xfrm>
        <a:prstGeom prst="rect">
          <a:avLst/>
        </a:prstGeom>
      </xdr:spPr>
    </xdr:pic>
    <xdr:clientData/>
  </xdr:twoCellAnchor>
  <xdr:twoCellAnchor editAs="oneCell">
    <xdr:from>
      <xdr:col>25</xdr:col>
      <xdr:colOff>359214</xdr:colOff>
      <xdr:row>177</xdr:row>
      <xdr:rowOff>19050</xdr:rowOff>
    </xdr:from>
    <xdr:to>
      <xdr:col>30</xdr:col>
      <xdr:colOff>276450</xdr:colOff>
      <xdr:row>180</xdr:row>
      <xdr:rowOff>152320</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10"/>
        <a:stretch>
          <a:fillRect/>
        </a:stretch>
      </xdr:blipFill>
      <xdr:spPr>
        <a:xfrm>
          <a:off x="23885964" y="53149500"/>
          <a:ext cx="2965236" cy="647619"/>
        </a:xfrm>
        <a:prstGeom prst="rect">
          <a:avLst/>
        </a:prstGeom>
      </xdr:spPr>
    </xdr:pic>
    <xdr:clientData/>
  </xdr:twoCellAnchor>
  <xdr:twoCellAnchor>
    <xdr:from>
      <xdr:col>25</xdr:col>
      <xdr:colOff>329284</xdr:colOff>
      <xdr:row>143</xdr:row>
      <xdr:rowOff>65315</xdr:rowOff>
    </xdr:from>
    <xdr:to>
      <xdr:col>40</xdr:col>
      <xdr:colOff>517072</xdr:colOff>
      <xdr:row>144</xdr:row>
      <xdr:rowOff>149678</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24264248" y="27783065"/>
          <a:ext cx="10393145" cy="26125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332544</xdr:colOff>
      <xdr:row>165</xdr:row>
      <xdr:rowOff>19050</xdr:rowOff>
    </xdr:from>
    <xdr:to>
      <xdr:col>32</xdr:col>
      <xdr:colOff>119727</xdr:colOff>
      <xdr:row>181</xdr:row>
      <xdr:rowOff>38100</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23859294" y="51092100"/>
          <a:ext cx="4054383" cy="27622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576943</xdr:colOff>
      <xdr:row>187</xdr:row>
      <xdr:rowOff>152400</xdr:rowOff>
    </xdr:from>
    <xdr:to>
      <xdr:col>37</xdr:col>
      <xdr:colOff>435429</xdr:colOff>
      <xdr:row>223</xdr:row>
      <xdr:rowOff>57149</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31315479" y="35653436"/>
          <a:ext cx="1219200" cy="627289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25</xdr:col>
      <xdr:colOff>307522</xdr:colOff>
      <xdr:row>203</xdr:row>
      <xdr:rowOff>21772</xdr:rowOff>
    </xdr:from>
    <xdr:to>
      <xdr:col>51</xdr:col>
      <xdr:colOff>476250</xdr:colOff>
      <xdr:row>208</xdr:row>
      <xdr:rowOff>160565</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24242486" y="38353093"/>
          <a:ext cx="17858014" cy="10232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25</xdr:col>
      <xdr:colOff>323850</xdr:colOff>
      <xdr:row>220</xdr:row>
      <xdr:rowOff>114300</xdr:rowOff>
    </xdr:from>
    <xdr:to>
      <xdr:col>51</xdr:col>
      <xdr:colOff>476250</xdr:colOff>
      <xdr:row>223</xdr:row>
      <xdr:rowOff>55416</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24258814" y="41452800"/>
          <a:ext cx="17841686" cy="47179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38</xdr:col>
      <xdr:colOff>216477</xdr:colOff>
      <xdr:row>184</xdr:row>
      <xdr:rowOff>36368</xdr:rowOff>
    </xdr:from>
    <xdr:to>
      <xdr:col>41</xdr:col>
      <xdr:colOff>57150</xdr:colOff>
      <xdr:row>186</xdr:row>
      <xdr:rowOff>96983</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31668027" y="54366968"/>
          <a:ext cx="1669473" cy="403514"/>
        </a:xfrm>
        <a:prstGeom prst="borderCallout1">
          <a:avLst>
            <a:gd name="adj1" fmla="val 51537"/>
            <a:gd name="adj2" fmla="val -181"/>
            <a:gd name="adj3" fmla="val 210749"/>
            <a:gd name="adj4" fmla="val -2883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25</xdr:col>
      <xdr:colOff>342900</xdr:colOff>
      <xdr:row>226</xdr:row>
      <xdr:rowOff>0</xdr:rowOff>
    </xdr:from>
    <xdr:to>
      <xdr:col>43</xdr:col>
      <xdr:colOff>196933</xdr:colOff>
      <xdr:row>240</xdr:row>
      <xdr:rowOff>133033</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a:stretch>
          <a:fillRect/>
        </a:stretch>
      </xdr:blipFill>
      <xdr:spPr>
        <a:xfrm>
          <a:off x="23869650" y="61531500"/>
          <a:ext cx="10826833" cy="2533333"/>
        </a:xfrm>
        <a:prstGeom prst="rect">
          <a:avLst/>
        </a:prstGeom>
      </xdr:spPr>
    </xdr:pic>
    <xdr:clientData/>
  </xdr:twoCellAnchor>
  <xdr:twoCellAnchor editAs="oneCell">
    <xdr:from>
      <xdr:col>35</xdr:col>
      <xdr:colOff>552450</xdr:colOff>
      <xdr:row>227</xdr:row>
      <xdr:rowOff>0</xdr:rowOff>
    </xdr:from>
    <xdr:to>
      <xdr:col>38</xdr:col>
      <xdr:colOff>95250</xdr:colOff>
      <xdr:row>234</xdr:row>
      <xdr:rowOff>19050</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30175200" y="61702950"/>
          <a:ext cx="1371600" cy="1219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38</xdr:col>
      <xdr:colOff>95250</xdr:colOff>
      <xdr:row>227</xdr:row>
      <xdr:rowOff>0</xdr:rowOff>
    </xdr:from>
    <xdr:to>
      <xdr:col>40</xdr:col>
      <xdr:colOff>255814</xdr:colOff>
      <xdr:row>234</xdr:row>
      <xdr:rowOff>19050</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31546800" y="61702950"/>
          <a:ext cx="1379764" cy="1219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45</xdr:col>
      <xdr:colOff>370608</xdr:colOff>
      <xdr:row>224</xdr:row>
      <xdr:rowOff>124690</xdr:rowOff>
    </xdr:from>
    <xdr:to>
      <xdr:col>54</xdr:col>
      <xdr:colOff>43295</xdr:colOff>
      <xdr:row>230</xdr:row>
      <xdr:rowOff>151407</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36089358" y="61313290"/>
          <a:ext cx="5159087" cy="1055419"/>
        </a:xfrm>
        <a:prstGeom prst="borderCallout1">
          <a:avLst>
            <a:gd name="adj1" fmla="val 51537"/>
            <a:gd name="adj2" fmla="val -181"/>
            <a:gd name="adj3" fmla="val 104082"/>
            <a:gd name="adj4" fmla="val -73297"/>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する仕様。</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→通信状態が通信途絶の場合は、内部の前回シグナル値を固定値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とすることで、途絶復帰時の値によってエッジが検出できるような設計とする。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262393</xdr:colOff>
      <xdr:row>203</xdr:row>
      <xdr:rowOff>31977</xdr:rowOff>
    </xdr:from>
    <xdr:to>
      <xdr:col>31</xdr:col>
      <xdr:colOff>299358</xdr:colOff>
      <xdr:row>206</xdr:row>
      <xdr:rowOff>27214</xdr:rowOff>
    </xdr:to>
    <xdr:sp macro="" textlink="">
      <xdr:nvSpPr>
        <xdr:cNvPr id="49" name="正方形/長方形 48">
          <a:extLst>
            <a:ext uri="{FF2B5EF4-FFF2-40B4-BE49-F238E27FC236}">
              <a16:creationId xmlns:a16="http://schemas.microsoft.com/office/drawing/2014/main" id="{00000000-0008-0000-0600-000031000000}"/>
            </a:ext>
          </a:extLst>
        </xdr:cNvPr>
        <xdr:cNvSpPr/>
      </xdr:nvSpPr>
      <xdr:spPr>
        <a:xfrm>
          <a:off x="27599143" y="38363298"/>
          <a:ext cx="717322" cy="52591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41</xdr:col>
      <xdr:colOff>571500</xdr:colOff>
      <xdr:row>283</xdr:row>
      <xdr:rowOff>23812</xdr:rowOff>
    </xdr:from>
    <xdr:to>
      <xdr:col>50</xdr:col>
      <xdr:colOff>166687</xdr:colOff>
      <xdr:row>302</xdr:row>
      <xdr:rowOff>47625</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35575875" y="50863500"/>
          <a:ext cx="5810250" cy="31908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41</xdr:col>
      <xdr:colOff>551730</xdr:colOff>
      <xdr:row>327</xdr:row>
      <xdr:rowOff>45173</xdr:rowOff>
    </xdr:from>
    <xdr:to>
      <xdr:col>50</xdr:col>
      <xdr:colOff>142875</xdr:colOff>
      <xdr:row>339</xdr:row>
      <xdr:rowOff>119063</xdr:rowOff>
    </xdr:to>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35556105" y="58219111"/>
          <a:ext cx="5806208" cy="207414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41</xdr:col>
      <xdr:colOff>537009</xdr:colOff>
      <xdr:row>306</xdr:row>
      <xdr:rowOff>39833</xdr:rowOff>
    </xdr:from>
    <xdr:to>
      <xdr:col>50</xdr:col>
      <xdr:colOff>166688</xdr:colOff>
      <xdr:row>327</xdr:row>
      <xdr:rowOff>23812</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35541384" y="54713333"/>
          <a:ext cx="5844742" cy="348441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21</xdr:col>
      <xdr:colOff>208308</xdr:colOff>
      <xdr:row>316</xdr:row>
      <xdr:rowOff>20383</xdr:rowOff>
    </xdr:from>
    <xdr:to>
      <xdr:col>25</xdr:col>
      <xdr:colOff>464617</xdr:colOff>
      <xdr:row>322</xdr:row>
      <xdr:rowOff>47892</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21496683" y="56360758"/>
          <a:ext cx="3018559" cy="1027634"/>
        </a:xfrm>
        <a:prstGeom prst="borderCallout1">
          <a:avLst>
            <a:gd name="adj1" fmla="val 65053"/>
            <a:gd name="adj2" fmla="val 109063"/>
            <a:gd name="adj3" fmla="val 82991"/>
            <a:gd name="adj4" fmla="val 467128"/>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特別処理の記載が削除された為、低電圧時は途絶判定ありとし、電圧の値によらず途絶判定を行うようにする</a:t>
          </a:r>
          <a:endParaRPr kumimoji="0" lang="en-US" altLang="ja-JP" sz="1100" b="0" i="0" u="none" strike="noStrike">
            <a:solidFill>
              <a:sysClr val="windowText" lastClr="000000"/>
            </a:solidFill>
            <a:effectLst/>
            <a:latin typeface="+mn-lt"/>
            <a:ea typeface="+mn-ea"/>
            <a:cs typeface="+mn-cs"/>
          </a:endParaRPr>
        </a:p>
      </xdr:txBody>
    </xdr:sp>
    <xdr:clientData/>
  </xdr:twoCellAnchor>
  <xdr:twoCellAnchor editAs="oneCell">
    <xdr:from>
      <xdr:col>41</xdr:col>
      <xdr:colOff>514351</xdr:colOff>
      <xdr:row>265</xdr:row>
      <xdr:rowOff>119062</xdr:rowOff>
    </xdr:from>
    <xdr:to>
      <xdr:col>50</xdr:col>
      <xdr:colOff>166688</xdr:colOff>
      <xdr:row>275</xdr:row>
      <xdr:rowOff>119062</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35518726" y="47958375"/>
          <a:ext cx="5867400" cy="16668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53</xdr:col>
      <xdr:colOff>438184</xdr:colOff>
      <xdr:row>265</xdr:row>
      <xdr:rowOff>130679</xdr:rowOff>
    </xdr:from>
    <xdr:to>
      <xdr:col>55</xdr:col>
      <xdr:colOff>444532</xdr:colOff>
      <xdr:row>269</xdr:row>
      <xdr:rowOff>35108</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43423148" y="49429358"/>
          <a:ext cx="1367063" cy="612000"/>
        </a:xfrm>
        <a:prstGeom prst="borderCallout1">
          <a:avLst>
            <a:gd name="adj1" fmla="val 51537"/>
            <a:gd name="adj2" fmla="val -181"/>
            <a:gd name="adj3" fmla="val 133273"/>
            <a:gd name="adj4" fmla="val -169140"/>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特別処理追加</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Alert</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対象外</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editAs="oneCell">
    <xdr:from>
      <xdr:col>32</xdr:col>
      <xdr:colOff>578413</xdr:colOff>
      <xdr:row>167</xdr:row>
      <xdr:rowOff>41564</xdr:rowOff>
    </xdr:from>
    <xdr:to>
      <xdr:col>36</xdr:col>
      <xdr:colOff>13345</xdr:colOff>
      <xdr:row>169</xdr:row>
      <xdr:rowOff>83128</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28372363" y="51457514"/>
          <a:ext cx="1873332" cy="384463"/>
        </a:xfrm>
        <a:prstGeom prst="borderCallout1">
          <a:avLst>
            <a:gd name="adj1" fmla="val 51537"/>
            <a:gd name="adj2" fmla="val -181"/>
            <a:gd name="adj3" fmla="val 166304"/>
            <a:gd name="adj4" fmla="val -41428"/>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は適用外</a:t>
          </a:r>
        </a:p>
      </xdr:txBody>
    </xdr:sp>
    <xdr:clientData/>
  </xdr:twoCellAnchor>
  <xdr:twoCellAnchor editAs="oneCell">
    <xdr:from>
      <xdr:col>1</xdr:col>
      <xdr:colOff>3810</xdr:colOff>
      <xdr:row>242</xdr:row>
      <xdr:rowOff>66056</xdr:rowOff>
    </xdr:from>
    <xdr:to>
      <xdr:col>21</xdr:col>
      <xdr:colOff>82994</xdr:colOff>
      <xdr:row>294</xdr:row>
      <xdr:rowOff>103244</xdr:rowOff>
    </xdr:to>
    <xdr:pic>
      <xdr:nvPicPr>
        <xdr:cNvPr id="37" name="図 36">
          <a:extLst>
            <a:ext uri="{FF2B5EF4-FFF2-40B4-BE49-F238E27FC236}">
              <a16:creationId xmlns:a16="http://schemas.microsoft.com/office/drawing/2014/main" id="{00000000-0008-0000-0600-000025000000}"/>
            </a:ext>
          </a:extLst>
        </xdr:cNvPr>
        <xdr:cNvPicPr>
          <a:picLocks noChangeAspect="1"/>
        </xdr:cNvPicPr>
      </xdr:nvPicPr>
      <xdr:blipFill>
        <a:blip xmlns:r="http://schemas.openxmlformats.org/officeDocument/2006/relationships" r:embed="rId12"/>
        <a:stretch>
          <a:fillRect/>
        </a:stretch>
      </xdr:blipFill>
      <xdr:spPr>
        <a:xfrm>
          <a:off x="613410" y="64340756"/>
          <a:ext cx="18514142" cy="8952589"/>
        </a:xfrm>
        <a:prstGeom prst="rect">
          <a:avLst/>
        </a:prstGeom>
      </xdr:spPr>
    </xdr:pic>
    <xdr:clientData/>
  </xdr:twoCellAnchor>
  <xdr:twoCellAnchor editAs="oneCell">
    <xdr:from>
      <xdr:col>1</xdr:col>
      <xdr:colOff>17417</xdr:colOff>
      <xdr:row>294</xdr:row>
      <xdr:rowOff>64821</xdr:rowOff>
    </xdr:from>
    <xdr:to>
      <xdr:col>21</xdr:col>
      <xdr:colOff>5442</xdr:colOff>
      <xdr:row>344</xdr:row>
      <xdr:rowOff>11197</xdr:rowOff>
    </xdr:to>
    <xdr:pic>
      <xdr:nvPicPr>
        <xdr:cNvPr id="45" name="図 44">
          <a:extLst>
            <a:ext uri="{FF2B5EF4-FFF2-40B4-BE49-F238E27FC236}">
              <a16:creationId xmlns:a16="http://schemas.microsoft.com/office/drawing/2014/main" id="{00000000-0008-0000-0600-00002D000000}"/>
            </a:ext>
          </a:extLst>
        </xdr:cNvPr>
        <xdr:cNvPicPr>
          <a:picLocks noChangeAspect="1"/>
        </xdr:cNvPicPr>
      </xdr:nvPicPr>
      <xdr:blipFill>
        <a:blip xmlns:r="http://schemas.openxmlformats.org/officeDocument/2006/relationships" r:embed="rId13"/>
        <a:stretch>
          <a:fillRect/>
        </a:stretch>
      </xdr:blipFill>
      <xdr:spPr>
        <a:xfrm>
          <a:off x="627017" y="73254921"/>
          <a:ext cx="18422983" cy="8499826"/>
        </a:xfrm>
        <a:prstGeom prst="rect">
          <a:avLst/>
        </a:prstGeom>
      </xdr:spPr>
    </xdr:pic>
    <xdr:clientData/>
  </xdr:twoCellAnchor>
  <xdr:twoCellAnchor editAs="oneCell">
    <xdr:from>
      <xdr:col>1</xdr:col>
      <xdr:colOff>58237</xdr:colOff>
      <xdr:row>226</xdr:row>
      <xdr:rowOff>145224</xdr:rowOff>
    </xdr:from>
    <xdr:to>
      <xdr:col>16</xdr:col>
      <xdr:colOff>98116</xdr:colOff>
      <xdr:row>236</xdr:row>
      <xdr:rowOff>600</xdr:rowOff>
    </xdr:to>
    <xdr:pic>
      <xdr:nvPicPr>
        <xdr:cNvPr id="60" name="図 59">
          <a:extLst>
            <a:ext uri="{FF2B5EF4-FFF2-40B4-BE49-F238E27FC236}">
              <a16:creationId xmlns:a16="http://schemas.microsoft.com/office/drawing/2014/main" id="{00000000-0008-0000-0600-00003C000000}"/>
            </a:ext>
          </a:extLst>
        </xdr:cNvPr>
        <xdr:cNvPicPr>
          <a:picLocks noChangeAspect="1"/>
        </xdr:cNvPicPr>
      </xdr:nvPicPr>
      <xdr:blipFill>
        <a:blip xmlns:r="http://schemas.openxmlformats.org/officeDocument/2006/relationships" r:embed="rId14"/>
        <a:stretch>
          <a:fillRect/>
        </a:stretch>
      </xdr:blipFill>
      <xdr:spPr>
        <a:xfrm>
          <a:off x="667837" y="61676724"/>
          <a:ext cx="14743757" cy="1550225"/>
        </a:xfrm>
        <a:prstGeom prst="rect">
          <a:avLst/>
        </a:prstGeom>
      </xdr:spPr>
    </xdr:pic>
    <xdr:clientData/>
  </xdr:twoCellAnchor>
  <xdr:twoCellAnchor editAs="oneCell">
    <xdr:from>
      <xdr:col>1</xdr:col>
      <xdr:colOff>17417</xdr:colOff>
      <xdr:row>178</xdr:row>
      <xdr:rowOff>27709</xdr:rowOff>
    </xdr:from>
    <xdr:to>
      <xdr:col>13</xdr:col>
      <xdr:colOff>57150</xdr:colOff>
      <xdr:row>220</xdr:row>
      <xdr:rowOff>28268</xdr:rowOff>
    </xdr:to>
    <xdr:pic>
      <xdr:nvPicPr>
        <xdr:cNvPr id="61" name="図 60">
          <a:extLst>
            <a:ext uri="{FF2B5EF4-FFF2-40B4-BE49-F238E27FC236}">
              <a16:creationId xmlns:a16="http://schemas.microsoft.com/office/drawing/2014/main" id="{00000000-0008-0000-0600-00003D000000}"/>
            </a:ext>
          </a:extLst>
        </xdr:cNvPr>
        <xdr:cNvPicPr>
          <a:picLocks noChangeAspect="1"/>
        </xdr:cNvPicPr>
      </xdr:nvPicPr>
      <xdr:blipFill>
        <a:blip xmlns:r="http://schemas.openxmlformats.org/officeDocument/2006/relationships" r:embed="rId15"/>
        <a:stretch>
          <a:fillRect/>
        </a:stretch>
      </xdr:blipFill>
      <xdr:spPr>
        <a:xfrm>
          <a:off x="627017" y="53329609"/>
          <a:ext cx="12498433" cy="7201459"/>
        </a:xfrm>
        <a:prstGeom prst="rect">
          <a:avLst/>
        </a:prstGeom>
      </xdr:spPr>
    </xdr:pic>
    <xdr:clientData/>
  </xdr:twoCellAnchor>
  <xdr:twoCellAnchor editAs="oneCell">
    <xdr:from>
      <xdr:col>1</xdr:col>
      <xdr:colOff>0</xdr:colOff>
      <xdr:row>126</xdr:row>
      <xdr:rowOff>0</xdr:rowOff>
    </xdr:from>
    <xdr:to>
      <xdr:col>11</xdr:col>
      <xdr:colOff>1508690</xdr:colOff>
      <xdr:row>157</xdr:row>
      <xdr:rowOff>89002</xdr:rowOff>
    </xdr:to>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6"/>
        <a:stretch>
          <a:fillRect/>
        </a:stretch>
      </xdr:blipFill>
      <xdr:spPr>
        <a:xfrm>
          <a:off x="609600" y="44386500"/>
          <a:ext cx="10053975" cy="5403952"/>
        </a:xfrm>
        <a:prstGeom prst="rect">
          <a:avLst/>
        </a:prstGeom>
      </xdr:spPr>
    </xdr:pic>
    <xdr:clientData/>
  </xdr:twoCellAnchor>
  <xdr:twoCellAnchor>
    <xdr:from>
      <xdr:col>1</xdr:col>
      <xdr:colOff>17417</xdr:colOff>
      <xdr:row>141</xdr:row>
      <xdr:rowOff>3710</xdr:rowOff>
    </xdr:from>
    <xdr:to>
      <xdr:col>11</xdr:col>
      <xdr:colOff>1524000</xdr:colOff>
      <xdr:row>142</xdr:row>
      <xdr:rowOff>95250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627017" y="27911960"/>
          <a:ext cx="10060033" cy="26299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10</xdr:col>
      <xdr:colOff>975113</xdr:colOff>
      <xdr:row>184</xdr:row>
      <xdr:rowOff>61354</xdr:rowOff>
    </xdr:from>
    <xdr:to>
      <xdr:col>11</xdr:col>
      <xdr:colOff>168062</xdr:colOff>
      <xdr:row>220</xdr:row>
      <xdr:rowOff>19052</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8023613" y="54391954"/>
          <a:ext cx="1302056" cy="612989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400150</xdr:colOff>
      <xdr:row>181</xdr:row>
      <xdr:rowOff>63334</xdr:rowOff>
    </xdr:from>
    <xdr:to>
      <xdr:col>11</xdr:col>
      <xdr:colOff>2324101</xdr:colOff>
      <xdr:row>183</xdr:row>
      <xdr:rowOff>108858</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0619114" y="34503013"/>
          <a:ext cx="1923951" cy="399309"/>
        </a:xfrm>
        <a:prstGeom prst="borderCallout1">
          <a:avLst>
            <a:gd name="adj1" fmla="val 51537"/>
            <a:gd name="adj2" fmla="val -181"/>
            <a:gd name="adj3" fmla="val 159122"/>
            <a:gd name="adj4" fmla="val -2033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2112573</xdr:colOff>
      <xdr:row>228</xdr:row>
      <xdr:rowOff>85602</xdr:rowOff>
    </xdr:from>
    <xdr:to>
      <xdr:col>12</xdr:col>
      <xdr:colOff>1860716</xdr:colOff>
      <xdr:row>235</xdr:row>
      <xdr:rowOff>129637</xdr:rowOff>
    </xdr:to>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12331537" y="42839245"/>
          <a:ext cx="2088572" cy="128228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433546</xdr:colOff>
      <xdr:row>220</xdr:row>
      <xdr:rowOff>124936</xdr:rowOff>
    </xdr:from>
    <xdr:to>
      <xdr:col>22</xdr:col>
      <xdr:colOff>267772</xdr:colOff>
      <xdr:row>227</xdr:row>
      <xdr:rowOff>133349</xdr:rowOff>
    </xdr:to>
    <xdr:sp macro="" textlink="">
      <xdr:nvSpPr>
        <xdr:cNvPr id="67" name="線吹き出し 1 (枠付き) 66">
          <a:extLst>
            <a:ext uri="{FF2B5EF4-FFF2-40B4-BE49-F238E27FC236}">
              <a16:creationId xmlns:a16="http://schemas.microsoft.com/office/drawing/2014/main" id="{00000000-0008-0000-0600-000043000000}"/>
            </a:ext>
          </a:extLst>
        </xdr:cNvPr>
        <xdr:cNvSpPr/>
      </xdr:nvSpPr>
      <xdr:spPr>
        <a:xfrm>
          <a:off x="15235396" y="60627736"/>
          <a:ext cx="4917855" cy="1208564"/>
        </a:xfrm>
        <a:prstGeom prst="borderCallout1">
          <a:avLst>
            <a:gd name="adj1" fmla="val 51537"/>
            <a:gd name="adj2" fmla="val -181"/>
            <a:gd name="adj3" fmla="val 120129"/>
            <a:gd name="adj4" fmla="val -5561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する仕様。</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→通信状態が通信途絶の場合は、内部の前回シグナル値を固定値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とすることで、途絶復帰時の値によってエッジが検出できるような設計とする。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38680</xdr:colOff>
      <xdr:row>228</xdr:row>
      <xdr:rowOff>99208</xdr:rowOff>
    </xdr:from>
    <xdr:to>
      <xdr:col>11</xdr:col>
      <xdr:colOff>2095500</xdr:colOff>
      <xdr:row>235</xdr:row>
      <xdr:rowOff>122464</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10257644" y="42852851"/>
          <a:ext cx="2056820" cy="126150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1807365</xdr:colOff>
      <xdr:row>275</xdr:row>
      <xdr:rowOff>16080</xdr:rowOff>
    </xdr:from>
    <xdr:to>
      <xdr:col>17</xdr:col>
      <xdr:colOff>136071</xdr:colOff>
      <xdr:row>294</xdr:row>
      <xdr:rowOff>68036</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12026329" y="51083687"/>
          <a:ext cx="6003135" cy="341292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1796143</xdr:colOff>
      <xdr:row>313</xdr:row>
      <xdr:rowOff>150173</xdr:rowOff>
    </xdr:from>
    <xdr:to>
      <xdr:col>17</xdr:col>
      <xdr:colOff>149678</xdr:colOff>
      <xdr:row>331</xdr:row>
      <xdr:rowOff>122538</xdr:rowOff>
    </xdr:to>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12015107" y="57939709"/>
          <a:ext cx="6027964" cy="31564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1818995</xdr:colOff>
      <xdr:row>331</xdr:row>
      <xdr:rowOff>160561</xdr:rowOff>
    </xdr:from>
    <xdr:to>
      <xdr:col>17</xdr:col>
      <xdr:colOff>122464</xdr:colOff>
      <xdr:row>344</xdr:row>
      <xdr:rowOff>68036</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12037959" y="61134168"/>
          <a:ext cx="5977898" cy="22070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828156</xdr:colOff>
      <xdr:row>195</xdr:row>
      <xdr:rowOff>133350</xdr:rowOff>
    </xdr:from>
    <xdr:to>
      <xdr:col>24</xdr:col>
      <xdr:colOff>419100</xdr:colOff>
      <xdr:row>207</xdr:row>
      <xdr:rowOff>123458</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16231442" y="37049529"/>
          <a:ext cx="7442265" cy="2112822"/>
        </a:xfrm>
        <a:prstGeom prst="borderCallout1">
          <a:avLst>
            <a:gd name="adj1" fmla="val 45277"/>
            <a:gd name="adj2" fmla="val -927"/>
            <a:gd name="adj3" fmla="val 44951"/>
            <a:gd name="adj4" fmla="val -206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B_BUZZER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変化の後に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B_BUZZE2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の変化があった際に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側で別途エッジが検出できるよう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側でエッジ検出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通知を行う。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をレベル通知すると切り替わりが検知できないため。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・単発吹鳴後、電源状態が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に遷移した場合、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復帰時に信号値が変わらない時もエッジを発生させ、吹鳴を行う仕様。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時は通信状態は未受信として取得するため、通信状態が未受信の場合は、内部の前回シグナル値を非吹鳴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復帰時の値によってエッジが検出できるような設計とする。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p>
      </xdr:txBody>
    </xdr:sp>
    <xdr:clientData/>
  </xdr:twoCellAnchor>
  <xdr:twoCellAnchor editAs="oneCell">
    <xdr:from>
      <xdr:col>1</xdr:col>
      <xdr:colOff>41909</xdr:colOff>
      <xdr:row>198</xdr:row>
      <xdr:rowOff>36863</xdr:rowOff>
    </xdr:from>
    <xdr:to>
      <xdr:col>13</xdr:col>
      <xdr:colOff>89008</xdr:colOff>
      <xdr:row>204</xdr:row>
      <xdr:rowOff>35864</xdr:rowOff>
    </xdr:to>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651509" y="56767763"/>
          <a:ext cx="12505799" cy="10277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25581</xdr:colOff>
      <xdr:row>216</xdr:row>
      <xdr:rowOff>169596</xdr:rowOff>
    </xdr:from>
    <xdr:to>
      <xdr:col>13</xdr:col>
      <xdr:colOff>72680</xdr:colOff>
      <xdr:row>220</xdr:row>
      <xdr:rowOff>8086</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635181" y="59986596"/>
          <a:ext cx="12505799" cy="52428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1850572</xdr:colOff>
      <xdr:row>252</xdr:row>
      <xdr:rowOff>4452</xdr:rowOff>
    </xdr:from>
    <xdr:to>
      <xdr:col>17</xdr:col>
      <xdr:colOff>142250</xdr:colOff>
      <xdr:row>257</xdr:row>
      <xdr:rowOff>92269</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12069536" y="47003523"/>
          <a:ext cx="5966107" cy="9722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18</xdr:col>
      <xdr:colOff>529146</xdr:colOff>
      <xdr:row>281</xdr:row>
      <xdr:rowOff>135874</xdr:rowOff>
    </xdr:from>
    <xdr:to>
      <xdr:col>25</xdr:col>
      <xdr:colOff>48096</xdr:colOff>
      <xdr:row>288</xdr:row>
      <xdr:rowOff>162198</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7403982" y="50483292"/>
          <a:ext cx="4201787" cy="1190106"/>
        </a:xfrm>
        <a:prstGeom prst="borderCallout1">
          <a:avLst>
            <a:gd name="adj1" fmla="val 51537"/>
            <a:gd name="adj2" fmla="val -181"/>
            <a:gd name="adj3" fmla="val 92226"/>
            <a:gd name="adj4" fmla="val -49412"/>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機能有無判定あり。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の責務</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⇒記載される信号</a:t>
          </a:r>
          <a:r>
            <a:rPr kumimoji="1"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BRKUMUM</a:t>
          </a:r>
          <a:r>
            <a:rPr kumimoji="1"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はユニット１</a:t>
          </a:r>
          <a:r>
            <a:rPr kumimoji="1"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/2</a:t>
          </a:r>
          <a:r>
            <a:rPr kumimoji="1"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を切り分け、リモートウォーニングの判定条件に使用するものなので、本仕様では非適用。</a:t>
          </a:r>
          <a:endParaRPr kumimoji="1"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editAs="absolute">
    <xdr:from>
      <xdr:col>18</xdr:col>
      <xdr:colOff>26226</xdr:colOff>
      <xdr:row>318</xdr:row>
      <xdr:rowOff>9203</xdr:rowOff>
    </xdr:from>
    <xdr:to>
      <xdr:col>20</xdr:col>
      <xdr:colOff>421475</xdr:colOff>
      <xdr:row>320</xdr:row>
      <xdr:rowOff>39586</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6901062" y="56508039"/>
          <a:ext cx="1891540" cy="362892"/>
        </a:xfrm>
        <a:prstGeom prst="borderCallout1">
          <a:avLst>
            <a:gd name="adj1" fmla="val 51537"/>
            <a:gd name="adj2" fmla="val -181"/>
            <a:gd name="adj3" fmla="val 123386"/>
            <a:gd name="adj4" fmla="val -62297"/>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低電圧時は途絶判定無し</a:t>
          </a:r>
          <a:endParaRPr kumimoji="0" lang="en-US" altLang="ja-JP" sz="1100" b="0" i="0" u="none" strike="noStrike">
            <a:solidFill>
              <a:schemeClr val="lt1"/>
            </a:solidFill>
            <a:effectLst/>
            <a:latin typeface="+mn-lt"/>
            <a:ea typeface="+mn-ea"/>
            <a:cs typeface="+mn-cs"/>
          </a:endParaRPr>
        </a:p>
      </xdr:txBody>
    </xdr:sp>
    <xdr:clientData/>
  </xdr:twoCellAnchor>
  <xdr:twoCellAnchor editAs="absolute">
    <xdr:from>
      <xdr:col>20</xdr:col>
      <xdr:colOff>492133</xdr:colOff>
      <xdr:row>329</xdr:row>
      <xdr:rowOff>144533</xdr:rowOff>
    </xdr:from>
    <xdr:to>
      <xdr:col>25</xdr:col>
      <xdr:colOff>412015</xdr:colOff>
      <xdr:row>332</xdr:row>
      <xdr:rowOff>21366</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18780133" y="60113933"/>
          <a:ext cx="3101232" cy="391183"/>
        </a:xfrm>
        <a:prstGeom prst="borderCallout1">
          <a:avLst>
            <a:gd name="adj1" fmla="val 51537"/>
            <a:gd name="adj2" fmla="val -181"/>
            <a:gd name="adj3" fmla="val 234046"/>
            <a:gd name="adj4" fmla="val -96068"/>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つの信号を優先順位に従い判定する</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36</xdr:col>
      <xdr:colOff>552793</xdr:colOff>
      <xdr:row>164</xdr:row>
      <xdr:rowOff>149680</xdr:rowOff>
    </xdr:from>
    <xdr:to>
      <xdr:col>44</xdr:col>
      <xdr:colOff>367393</xdr:colOff>
      <xdr:row>176</xdr:row>
      <xdr:rowOff>108858</xdr:rowOff>
    </xdr:to>
    <xdr:sp macro="" textlink="">
      <xdr:nvSpPr>
        <xdr:cNvPr id="79" name="線吹き出し 1 (枠付き) 78">
          <a:extLst>
            <a:ext uri="{FF2B5EF4-FFF2-40B4-BE49-F238E27FC236}">
              <a16:creationId xmlns:a16="http://schemas.microsoft.com/office/drawing/2014/main" id="{00000000-0008-0000-0600-00004F000000}"/>
            </a:ext>
          </a:extLst>
        </xdr:cNvPr>
        <xdr:cNvSpPr/>
      </xdr:nvSpPr>
      <xdr:spPr>
        <a:xfrm>
          <a:off x="31971686" y="31582180"/>
          <a:ext cx="5257457" cy="2081892"/>
        </a:xfrm>
        <a:prstGeom prst="borderCallout1">
          <a:avLst>
            <a:gd name="adj1" fmla="val 47605"/>
            <a:gd name="adj2" fmla="val 99985"/>
            <a:gd name="adj3" fmla="val 62038"/>
            <a:gd name="adj4" fmla="val 438796"/>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の断続吹鳴周期について、</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Detailed</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Spec</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シートの</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特別処理の記載が削除され、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シートの方に記載が変更。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断続吹鳴周期が、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C_BRKBZ</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の制御仕様書と</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M_CONTBUZZ</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で記載されている内容が異なるが、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CONTBUZZ</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を正とする。（</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 1A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と同様）</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M_CONTBUZZ</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0.13</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C_BRKBZ</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0.065</a:t>
          </a:r>
        </a:p>
      </xdr:txBody>
    </xdr:sp>
    <xdr:clientData/>
  </xdr:twoCellAnchor>
  <xdr:twoCellAnchor editAs="oneCell">
    <xdr:from>
      <xdr:col>25</xdr:col>
      <xdr:colOff>330781</xdr:colOff>
      <xdr:row>123</xdr:row>
      <xdr:rowOff>20789</xdr:rowOff>
    </xdr:from>
    <xdr:to>
      <xdr:col>37</xdr:col>
      <xdr:colOff>124695</xdr:colOff>
      <xdr:row>125</xdr:row>
      <xdr:rowOff>77938</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23966636" y="42720498"/>
          <a:ext cx="7109114" cy="389659"/>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MET-C_BRKBZ-CSTD-0-01-C-C0.xlsm</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1</xdr:col>
      <xdr:colOff>0</xdr:colOff>
      <xdr:row>123</xdr:row>
      <xdr:rowOff>0</xdr:rowOff>
    </xdr:from>
    <xdr:to>
      <xdr:col>10</xdr:col>
      <xdr:colOff>611332</xdr:colOff>
      <xdr:row>125</xdr:row>
      <xdr:rowOff>57149</xdr:rowOff>
    </xdr:to>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609600" y="42699709"/>
          <a:ext cx="7109114" cy="389659"/>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MET-C_BRKBZ-CSTD-0-00-A-C0_ja.xlsm</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24</xdr:col>
      <xdr:colOff>419100</xdr:colOff>
      <xdr:row>201</xdr:row>
      <xdr:rowOff>128404</xdr:rowOff>
    </xdr:from>
    <xdr:to>
      <xdr:col>26</xdr:col>
      <xdr:colOff>293915</xdr:colOff>
      <xdr:row>206</xdr:row>
      <xdr:rowOff>10886</xdr:rowOff>
    </xdr:to>
    <xdr:cxnSp macro="">
      <xdr:nvCxnSpPr>
        <xdr:cNvPr id="9" name="直線コネクタ 8">
          <a:extLst>
            <a:ext uri="{FF2B5EF4-FFF2-40B4-BE49-F238E27FC236}">
              <a16:creationId xmlns:a16="http://schemas.microsoft.com/office/drawing/2014/main" id="{00000000-0008-0000-0600-000009000000}"/>
            </a:ext>
          </a:extLst>
        </xdr:cNvPr>
        <xdr:cNvCxnSpPr>
          <a:stCxn id="72" idx="0"/>
        </xdr:cNvCxnSpPr>
      </xdr:nvCxnSpPr>
      <xdr:spPr>
        <a:xfrm>
          <a:off x="23673707" y="38105940"/>
          <a:ext cx="1235529" cy="766946"/>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72680</xdr:colOff>
      <xdr:row>201</xdr:row>
      <xdr:rowOff>128404</xdr:rowOff>
    </xdr:from>
    <xdr:to>
      <xdr:col>14</xdr:col>
      <xdr:colOff>828156</xdr:colOff>
      <xdr:row>218</xdr:row>
      <xdr:rowOff>88842</xdr:rowOff>
    </xdr:to>
    <xdr:cxnSp macro="">
      <xdr:nvCxnSpPr>
        <xdr:cNvPr id="82" name="直線コネクタ 81">
          <a:extLst>
            <a:ext uri="{FF2B5EF4-FFF2-40B4-BE49-F238E27FC236}">
              <a16:creationId xmlns:a16="http://schemas.microsoft.com/office/drawing/2014/main" id="{00000000-0008-0000-0600-000052000000}"/>
            </a:ext>
          </a:extLst>
        </xdr:cNvPr>
        <xdr:cNvCxnSpPr>
          <a:stCxn id="72" idx="2"/>
          <a:endCxn id="74" idx="3"/>
        </xdr:cNvCxnSpPr>
      </xdr:nvCxnSpPr>
      <xdr:spPr>
        <a:xfrm flipH="1">
          <a:off x="14645930" y="38105940"/>
          <a:ext cx="1585512" cy="2967616"/>
        </a:xfrm>
        <a:prstGeom prst="line">
          <a:avLst/>
        </a:prstGeom>
        <a:ln w="19050">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419100</xdr:colOff>
      <xdr:row>201</xdr:row>
      <xdr:rowOff>128404</xdr:rowOff>
    </xdr:from>
    <xdr:to>
      <xdr:col>26</xdr:col>
      <xdr:colOff>97972</xdr:colOff>
      <xdr:row>222</xdr:row>
      <xdr:rowOff>32657</xdr:rowOff>
    </xdr:to>
    <xdr:cxnSp macro="">
      <xdr:nvCxnSpPr>
        <xdr:cNvPr id="83" name="直線コネクタ 82">
          <a:extLst>
            <a:ext uri="{FF2B5EF4-FFF2-40B4-BE49-F238E27FC236}">
              <a16:creationId xmlns:a16="http://schemas.microsoft.com/office/drawing/2014/main" id="{00000000-0008-0000-0600-000053000000}"/>
            </a:ext>
          </a:extLst>
        </xdr:cNvPr>
        <xdr:cNvCxnSpPr>
          <a:stCxn id="72" idx="0"/>
        </xdr:cNvCxnSpPr>
      </xdr:nvCxnSpPr>
      <xdr:spPr>
        <a:xfrm>
          <a:off x="23673707" y="38105940"/>
          <a:ext cx="1039586" cy="3619003"/>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267772</xdr:colOff>
      <xdr:row>224</xdr:row>
      <xdr:rowOff>40697</xdr:rowOff>
    </xdr:from>
    <xdr:to>
      <xdr:col>38</xdr:col>
      <xdr:colOff>247650</xdr:colOff>
      <xdr:row>227</xdr:row>
      <xdr:rowOff>133350</xdr:rowOff>
    </xdr:to>
    <xdr:cxnSp macro="">
      <xdr:nvCxnSpPr>
        <xdr:cNvPr id="84" name="直線コネクタ 83">
          <a:extLst>
            <a:ext uri="{FF2B5EF4-FFF2-40B4-BE49-F238E27FC236}">
              <a16:creationId xmlns:a16="http://schemas.microsoft.com/office/drawing/2014/main" id="{00000000-0008-0000-0600-000054000000}"/>
            </a:ext>
          </a:extLst>
        </xdr:cNvPr>
        <xdr:cNvCxnSpPr>
          <a:stCxn id="67" idx="0"/>
        </xdr:cNvCxnSpPr>
      </xdr:nvCxnSpPr>
      <xdr:spPr>
        <a:xfrm>
          <a:off x="22161665" y="42086768"/>
          <a:ext cx="10865592" cy="623332"/>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299358</xdr:colOff>
      <xdr:row>170</xdr:row>
      <xdr:rowOff>129269</xdr:rowOff>
    </xdr:from>
    <xdr:to>
      <xdr:col>36</xdr:col>
      <xdr:colOff>552793</xdr:colOff>
      <xdr:row>204</xdr:row>
      <xdr:rowOff>118042</xdr:rowOff>
    </xdr:to>
    <xdr:cxnSp macro="">
      <xdr:nvCxnSpPr>
        <xdr:cNvPr id="85" name="直線コネクタ 84">
          <a:extLst>
            <a:ext uri="{FF2B5EF4-FFF2-40B4-BE49-F238E27FC236}">
              <a16:creationId xmlns:a16="http://schemas.microsoft.com/office/drawing/2014/main" id="{00000000-0008-0000-0600-000055000000}"/>
            </a:ext>
          </a:extLst>
        </xdr:cNvPr>
        <xdr:cNvCxnSpPr>
          <a:stCxn id="79" idx="2"/>
          <a:endCxn id="49" idx="3"/>
        </xdr:cNvCxnSpPr>
      </xdr:nvCxnSpPr>
      <xdr:spPr>
        <a:xfrm flipH="1">
          <a:off x="28316465" y="32623126"/>
          <a:ext cx="3655221" cy="6003130"/>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48096</xdr:colOff>
      <xdr:row>285</xdr:row>
      <xdr:rowOff>65692</xdr:rowOff>
    </xdr:from>
    <xdr:to>
      <xdr:col>41</xdr:col>
      <xdr:colOff>571500</xdr:colOff>
      <xdr:row>292</xdr:row>
      <xdr:rowOff>119063</xdr:rowOff>
    </xdr:to>
    <xdr:cxnSp macro="">
      <xdr:nvCxnSpPr>
        <xdr:cNvPr id="86" name="直線コネクタ 85">
          <a:extLst>
            <a:ext uri="{FF2B5EF4-FFF2-40B4-BE49-F238E27FC236}">
              <a16:creationId xmlns:a16="http://schemas.microsoft.com/office/drawing/2014/main" id="{00000000-0008-0000-0600-000056000000}"/>
            </a:ext>
          </a:extLst>
        </xdr:cNvPr>
        <xdr:cNvCxnSpPr>
          <a:stCxn id="76" idx="0"/>
          <a:endCxn id="50" idx="1"/>
        </xdr:cNvCxnSpPr>
      </xdr:nvCxnSpPr>
      <xdr:spPr>
        <a:xfrm>
          <a:off x="24098721" y="51238755"/>
          <a:ext cx="11477154" cy="1220183"/>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412015</xdr:colOff>
      <xdr:row>330</xdr:row>
      <xdr:rowOff>166294</xdr:rowOff>
    </xdr:from>
    <xdr:to>
      <xdr:col>41</xdr:col>
      <xdr:colOff>551730</xdr:colOff>
      <xdr:row>333</xdr:row>
      <xdr:rowOff>82118</xdr:rowOff>
    </xdr:to>
    <xdr:cxnSp macro="">
      <xdr:nvCxnSpPr>
        <xdr:cNvPr id="87" name="直線コネクタ 86">
          <a:extLst>
            <a:ext uri="{FF2B5EF4-FFF2-40B4-BE49-F238E27FC236}">
              <a16:creationId xmlns:a16="http://schemas.microsoft.com/office/drawing/2014/main" id="{00000000-0008-0000-0600-000057000000}"/>
            </a:ext>
          </a:extLst>
        </xdr:cNvPr>
        <xdr:cNvCxnSpPr>
          <a:stCxn id="78" idx="0"/>
          <a:endCxn id="51" idx="1"/>
        </xdr:cNvCxnSpPr>
      </xdr:nvCxnSpPr>
      <xdr:spPr>
        <a:xfrm>
          <a:off x="24462640" y="58840294"/>
          <a:ext cx="11093465" cy="415887"/>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421475</xdr:colOff>
      <xdr:row>319</xdr:row>
      <xdr:rowOff>24394</xdr:rowOff>
    </xdr:from>
    <xdr:to>
      <xdr:col>21</xdr:col>
      <xdr:colOff>208308</xdr:colOff>
      <xdr:row>319</xdr:row>
      <xdr:rowOff>34137</xdr:rowOff>
    </xdr:to>
    <xdr:cxnSp macro="">
      <xdr:nvCxnSpPr>
        <xdr:cNvPr id="88" name="直線コネクタ 87">
          <a:extLst>
            <a:ext uri="{FF2B5EF4-FFF2-40B4-BE49-F238E27FC236}">
              <a16:creationId xmlns:a16="http://schemas.microsoft.com/office/drawing/2014/main" id="{00000000-0008-0000-0600-000058000000}"/>
            </a:ext>
          </a:extLst>
        </xdr:cNvPr>
        <xdr:cNvCxnSpPr>
          <a:stCxn id="77" idx="0"/>
          <a:endCxn id="53" idx="2"/>
        </xdr:cNvCxnSpPr>
      </xdr:nvCxnSpPr>
      <xdr:spPr>
        <a:xfrm>
          <a:off x="20876413" y="56864832"/>
          <a:ext cx="620270" cy="9743"/>
        </a:xfrm>
        <a:prstGeom prst="line">
          <a:avLst/>
        </a:prstGeom>
        <a:ln w="19050">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55</xdr:col>
      <xdr:colOff>27715</xdr:colOff>
      <xdr:row>179</xdr:row>
      <xdr:rowOff>83082</xdr:rowOff>
    </xdr:from>
    <xdr:to>
      <xdr:col>66</xdr:col>
      <xdr:colOff>431229</xdr:colOff>
      <xdr:row>181</xdr:row>
      <xdr:rowOff>140231</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41951570" y="52093046"/>
          <a:ext cx="7109114" cy="389659"/>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MET-M_DEFINE-CSTD-0-03-A-C0.xlsx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65</xdr:col>
      <xdr:colOff>31179</xdr:colOff>
      <xdr:row>185</xdr:row>
      <xdr:rowOff>110812</xdr:rowOff>
    </xdr:from>
    <xdr:to>
      <xdr:col>73</xdr:col>
      <xdr:colOff>588818</xdr:colOff>
      <xdr:row>193</xdr:row>
      <xdr:rowOff>155864</xdr:rowOff>
    </xdr:to>
    <xdr:sp macro="" textlink="">
      <xdr:nvSpPr>
        <xdr:cNvPr id="90" name="正方形/長方形 89">
          <a:extLst>
            <a:ext uri="{FF2B5EF4-FFF2-40B4-BE49-F238E27FC236}">
              <a16:creationId xmlns:a16="http://schemas.microsoft.com/office/drawing/2014/main" id="{00000000-0008-0000-0600-00005A000000}"/>
            </a:ext>
          </a:extLst>
        </xdr:cNvPr>
        <xdr:cNvSpPr/>
      </xdr:nvSpPr>
      <xdr:spPr>
        <a:xfrm>
          <a:off x="51622043" y="34279585"/>
          <a:ext cx="6099457" cy="143050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41563</xdr:colOff>
      <xdr:row>187</xdr:row>
      <xdr:rowOff>86448</xdr:rowOff>
    </xdr:from>
    <xdr:to>
      <xdr:col>55</xdr:col>
      <xdr:colOff>27715</xdr:colOff>
      <xdr:row>204</xdr:row>
      <xdr:rowOff>69273</xdr:rowOff>
    </xdr:to>
    <xdr:cxnSp macro="">
      <xdr:nvCxnSpPr>
        <xdr:cNvPr id="91" name="直線コネクタ 90">
          <a:extLst>
            <a:ext uri="{FF2B5EF4-FFF2-40B4-BE49-F238E27FC236}">
              <a16:creationId xmlns:a16="http://schemas.microsoft.com/office/drawing/2014/main" id="{00000000-0008-0000-0600-00005B000000}"/>
            </a:ext>
          </a:extLst>
        </xdr:cNvPr>
        <xdr:cNvCxnSpPr/>
      </xdr:nvCxnSpPr>
      <xdr:spPr>
        <a:xfrm flipH="1">
          <a:off x="32821418" y="53426448"/>
          <a:ext cx="9130152" cy="2809152"/>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290947</xdr:colOff>
      <xdr:row>188</xdr:row>
      <xdr:rowOff>-1</xdr:rowOff>
    </xdr:from>
    <xdr:to>
      <xdr:col>85</xdr:col>
      <xdr:colOff>304801</xdr:colOff>
      <xdr:row>191</xdr:row>
      <xdr:rowOff>3962</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54406802" y="53506254"/>
          <a:ext cx="6109854" cy="502726"/>
        </a:xfrm>
        <a:prstGeom prst="borderCallout1">
          <a:avLst>
            <a:gd name="adj1" fmla="val 45277"/>
            <a:gd name="adj2" fmla="val -3670"/>
            <a:gd name="adj3" fmla="val 45595"/>
            <a:gd name="adj4" fmla="val -15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連続ブザーでは変化時のみ吹鳴するように実装し、それ以外の時は吹鳴しないようにする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13607</xdr:colOff>
      <xdr:row>7</xdr:row>
      <xdr:rowOff>0</xdr:rowOff>
    </xdr:from>
    <xdr:to>
      <xdr:col>12</xdr:col>
      <xdr:colOff>1</xdr:colOff>
      <xdr:row>9</xdr:row>
      <xdr:rowOff>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10232571" y="1755321"/>
          <a:ext cx="2326823" cy="346710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44</xdr:col>
      <xdr:colOff>421822</xdr:colOff>
      <xdr:row>179</xdr:row>
      <xdr:rowOff>43542</xdr:rowOff>
    </xdr:from>
    <xdr:to>
      <xdr:col>54</xdr:col>
      <xdr:colOff>576943</xdr:colOff>
      <xdr:row>183</xdr:row>
      <xdr:rowOff>19971</xdr:rowOff>
    </xdr:to>
    <xdr:sp macro="" textlink="">
      <xdr:nvSpPr>
        <xdr:cNvPr id="97" name="線吹き出し 1 (枠付き) 96">
          <a:extLst>
            <a:ext uri="{FF2B5EF4-FFF2-40B4-BE49-F238E27FC236}">
              <a16:creationId xmlns:a16="http://schemas.microsoft.com/office/drawing/2014/main" id="{00000000-0008-0000-0600-000061000000}"/>
            </a:ext>
          </a:extLst>
        </xdr:cNvPr>
        <xdr:cNvSpPr/>
      </xdr:nvSpPr>
      <xdr:spPr>
        <a:xfrm>
          <a:off x="37283572" y="34129435"/>
          <a:ext cx="6958692" cy="684000"/>
        </a:xfrm>
        <a:prstGeom prst="borderCallout1">
          <a:avLst>
            <a:gd name="adj1" fmla="val 46283"/>
            <a:gd name="adj2" fmla="val -708"/>
            <a:gd name="adj3" fmla="val 335322"/>
            <a:gd name="adj4" fmla="val -4551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BUZZER</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BUZZE2</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の入力信号でエッジを取り入力の信号とすると</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Search</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 </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Table</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が複雑になるため、</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それぞれの信号で状態を出して、</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2</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つの状態を掛け合わせたものを</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ALERT_CH_C_BRKBZ</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の値とする</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editAs="absolute">
    <xdr:from>
      <xdr:col>18</xdr:col>
      <xdr:colOff>206827</xdr:colOff>
      <xdr:row>3</xdr:row>
      <xdr:rowOff>130628</xdr:rowOff>
    </xdr:from>
    <xdr:to>
      <xdr:col>28</xdr:col>
      <xdr:colOff>134209</xdr:colOff>
      <xdr:row>6</xdr:row>
      <xdr:rowOff>346363</xdr:rowOff>
    </xdr:to>
    <xdr:sp macro="" textlink="">
      <xdr:nvSpPr>
        <xdr:cNvPr id="98" name="線吹き出し 1 (枠付き) 97">
          <a:extLst>
            <a:ext uri="{FF2B5EF4-FFF2-40B4-BE49-F238E27FC236}">
              <a16:creationId xmlns:a16="http://schemas.microsoft.com/office/drawing/2014/main" id="{00000000-0008-0000-0600-000062000000}"/>
            </a:ext>
          </a:extLst>
        </xdr:cNvPr>
        <xdr:cNvSpPr/>
      </xdr:nvSpPr>
      <xdr:spPr>
        <a:xfrm>
          <a:off x="18931856" y="679716"/>
          <a:ext cx="7200000" cy="720000"/>
        </a:xfrm>
        <a:prstGeom prst="borderCallout1">
          <a:avLst>
            <a:gd name="adj1" fmla="val 54240"/>
            <a:gd name="adj2" fmla="val -9703"/>
            <a:gd name="adj3" fmla="val 273293"/>
            <a:gd name="adj4" fmla="val -10773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BUZZER</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BUZZE2</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の入力信号でエッジを取り入力の信号とすると</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Search</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 </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Table</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が複雑になるため、</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それぞれの信号で状態を出して、</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2</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つの状態を掛け合わせたものを</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ALERT_CH_C_BRKBZ</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の値とする</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10</xdr:col>
      <xdr:colOff>1469571</xdr:colOff>
      <xdr:row>5</xdr:row>
      <xdr:rowOff>87087</xdr:rowOff>
    </xdr:from>
    <xdr:to>
      <xdr:col>17</xdr:col>
      <xdr:colOff>326572</xdr:colOff>
      <xdr:row>7</xdr:row>
      <xdr:rowOff>457200</xdr:rowOff>
    </xdr:to>
    <xdr:cxnSp macro="">
      <xdr:nvCxnSpPr>
        <xdr:cNvPr id="99" name="直線コネクタ 98">
          <a:extLst>
            <a:ext uri="{FF2B5EF4-FFF2-40B4-BE49-F238E27FC236}">
              <a16:creationId xmlns:a16="http://schemas.microsoft.com/office/drawing/2014/main" id="{00000000-0008-0000-0600-000063000000}"/>
            </a:ext>
          </a:extLst>
        </xdr:cNvPr>
        <xdr:cNvCxnSpPr/>
      </xdr:nvCxnSpPr>
      <xdr:spPr>
        <a:xfrm flipV="1">
          <a:off x="8523514" y="968830"/>
          <a:ext cx="7903029" cy="1208313"/>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26</xdr:col>
      <xdr:colOff>108856</xdr:colOff>
      <xdr:row>349</xdr:row>
      <xdr:rowOff>-1</xdr:rowOff>
    </xdr:from>
    <xdr:to>
      <xdr:col>55</xdr:col>
      <xdr:colOff>653141</xdr:colOff>
      <xdr:row>388</xdr:row>
      <xdr:rowOff>138545</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24724177" y="64157678"/>
          <a:ext cx="20274643" cy="703736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40820</xdr:colOff>
      <xdr:row>339</xdr:row>
      <xdr:rowOff>119063</xdr:rowOff>
    </xdr:from>
    <xdr:to>
      <xdr:col>46</xdr:col>
      <xdr:colOff>7125</xdr:colOff>
      <xdr:row>349</xdr:row>
      <xdr:rowOff>-1</xdr:rowOff>
    </xdr:to>
    <xdr:cxnSp macro="">
      <xdr:nvCxnSpPr>
        <xdr:cNvPr id="96" name="直線コネクタ 95">
          <a:extLst>
            <a:ext uri="{FF2B5EF4-FFF2-40B4-BE49-F238E27FC236}">
              <a16:creationId xmlns:a16="http://schemas.microsoft.com/office/drawing/2014/main" id="{00000000-0008-0000-0600-000060000000}"/>
            </a:ext>
          </a:extLst>
        </xdr:cNvPr>
        <xdr:cNvCxnSpPr>
          <a:stCxn id="95" idx="0"/>
          <a:endCxn id="51" idx="2"/>
        </xdr:cNvCxnSpPr>
      </xdr:nvCxnSpPr>
      <xdr:spPr>
        <a:xfrm flipV="1">
          <a:off x="34861499" y="62507813"/>
          <a:ext cx="3368090" cy="1649865"/>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56</xdr:col>
      <xdr:colOff>658585</xdr:colOff>
      <xdr:row>344</xdr:row>
      <xdr:rowOff>171449</xdr:rowOff>
    </xdr:from>
    <xdr:to>
      <xdr:col>64</xdr:col>
      <xdr:colOff>304799</xdr:colOff>
      <xdr:row>367</xdr:row>
      <xdr:rowOff>40821</xdr:rowOff>
    </xdr:to>
    <xdr:sp macro="" textlink="">
      <xdr:nvSpPr>
        <xdr:cNvPr id="100" name="線吹き出し 1 (枠付き) 99">
          <a:extLst>
            <a:ext uri="{FF2B5EF4-FFF2-40B4-BE49-F238E27FC236}">
              <a16:creationId xmlns:a16="http://schemas.microsoft.com/office/drawing/2014/main" id="{00000000-0008-0000-0600-000064000000}"/>
            </a:ext>
          </a:extLst>
        </xdr:cNvPr>
        <xdr:cNvSpPr/>
      </xdr:nvSpPr>
      <xdr:spPr>
        <a:xfrm>
          <a:off x="45684621" y="63444663"/>
          <a:ext cx="5089071" cy="3937908"/>
        </a:xfrm>
        <a:prstGeom prst="borderCallout1">
          <a:avLst>
            <a:gd name="adj1" fmla="val 46680"/>
            <a:gd name="adj2" fmla="val -4452"/>
            <a:gd name="adj3" fmla="val -22758"/>
            <a:gd name="adj4" fmla="val -100891"/>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ブザーの優先順位はブザー一覧仕様書「</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MET-M_CONTBUZZ-CSTD-</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」に記載されているブザー駆動優先順位に従い設計する</a:t>
          </a:r>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1. No.4</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2. No.5</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3. No.6</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4. No.9</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5. No.10</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6. No.3</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7. No.11</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8. No.7</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9. No.8</a:t>
          </a: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10.No.1</a:t>
          </a:r>
        </a:p>
        <a:p>
          <a:pPr algn="l"/>
          <a:endPar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QA</a:t>
          </a:r>
          <a:r>
            <a:rPr kumimoji="0" lang="ja-JP" altLang="en-US" sz="1200" b="1" i="0" u="none" strike="noStrike">
              <a:solidFill>
                <a:sysClr val="windowText" lastClr="000000"/>
              </a:solidFill>
              <a:effectLst/>
              <a:latin typeface="Meiryo UI" panose="020B0604030504040204" pitchFamily="50" charset="-128"/>
              <a:ea typeface="Meiryo UI" panose="020B0604030504040204" pitchFamily="50" charset="-128"/>
              <a:cs typeface="+mn-cs"/>
            </a:rPr>
            <a:t>チケット：</a:t>
          </a:r>
          <a:r>
            <a:rPr kumimoji="0" lang="en-US" altLang="ja-JP" sz="1200" b="1" i="0" u="none" strike="noStrike">
              <a:solidFill>
                <a:sysClr val="windowText" lastClr="000000"/>
              </a:solidFill>
              <a:effectLst/>
              <a:latin typeface="Meiryo UI" panose="020B0604030504040204" pitchFamily="50" charset="-128"/>
              <a:ea typeface="Meiryo UI" panose="020B0604030504040204" pitchFamily="50" charset="-128"/>
              <a:cs typeface="+mn-cs"/>
            </a:rPr>
            <a:t>METHUD800B-10769</a:t>
          </a:r>
        </a:p>
      </xdr:txBody>
    </xdr:sp>
    <xdr:clientData/>
  </xdr:twoCellAnchor>
  <xdr:twoCellAnchor editAs="oneCell">
    <xdr:from>
      <xdr:col>54</xdr:col>
      <xdr:colOff>606136</xdr:colOff>
      <xdr:row>168</xdr:row>
      <xdr:rowOff>86591</xdr:rowOff>
    </xdr:from>
    <xdr:to>
      <xdr:col>66</xdr:col>
      <xdr:colOff>316923</xdr:colOff>
      <xdr:row>170</xdr:row>
      <xdr:rowOff>143740</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44577000" y="31311273"/>
          <a:ext cx="8023514" cy="403512"/>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MET-M_CONTBUZZ-CSTD-0011-C1</a:t>
          </a:r>
          <a:r>
            <a:rPr kumimoji="1" lang="ja-JP" altLang="en-US" sz="1200" b="1">
              <a:solidFill>
                <a:sysClr val="windowText" lastClr="000000"/>
              </a:solidFill>
              <a:latin typeface="Meiryo UI" panose="020B0604030504040204" pitchFamily="50" charset="-128"/>
              <a:ea typeface="Meiryo UI" panose="020B0604030504040204" pitchFamily="50" charset="-128"/>
            </a:rPr>
            <a:t>（添付資料</a:t>
          </a:r>
          <a:r>
            <a:rPr kumimoji="1" lang="en-US" altLang="ja-JP" sz="1200" b="1">
              <a:solidFill>
                <a:sysClr val="windowText" lastClr="000000"/>
              </a:solidFill>
              <a:latin typeface="Meiryo UI" panose="020B0604030504040204" pitchFamily="50" charset="-128"/>
              <a:ea typeface="Meiryo UI" panose="020B0604030504040204" pitchFamily="50" charset="-128"/>
            </a:rPr>
            <a:t>1</a:t>
          </a:r>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70</xdr:col>
      <xdr:colOff>476249</xdr:colOff>
      <xdr:row>171</xdr:row>
      <xdr:rowOff>149679</xdr:rowOff>
    </xdr:from>
    <xdr:to>
      <xdr:col>72</xdr:col>
      <xdr:colOff>13607</xdr:colOff>
      <xdr:row>174</xdr:row>
      <xdr:rowOff>122464</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55027285" y="32820429"/>
          <a:ext cx="898072" cy="5034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477411</xdr:colOff>
      <xdr:row>176</xdr:row>
      <xdr:rowOff>108858</xdr:rowOff>
    </xdr:from>
    <xdr:to>
      <xdr:col>46</xdr:col>
      <xdr:colOff>17318</xdr:colOff>
      <xdr:row>254</xdr:row>
      <xdr:rowOff>86591</xdr:rowOff>
    </xdr:to>
    <xdr:cxnSp macro="">
      <xdr:nvCxnSpPr>
        <xdr:cNvPr id="104" name="直線コネクタ 103">
          <a:extLst>
            <a:ext uri="{FF2B5EF4-FFF2-40B4-BE49-F238E27FC236}">
              <a16:creationId xmlns:a16="http://schemas.microsoft.com/office/drawing/2014/main" id="{00000000-0008-0000-0600-000068000000}"/>
            </a:ext>
          </a:extLst>
        </xdr:cNvPr>
        <xdr:cNvCxnSpPr>
          <a:stCxn id="79" idx="1"/>
          <a:endCxn id="106" idx="0"/>
        </xdr:cNvCxnSpPr>
      </xdr:nvCxnSpPr>
      <xdr:spPr>
        <a:xfrm>
          <a:off x="34819366" y="32718994"/>
          <a:ext cx="3696270" cy="13485915"/>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41</xdr:col>
      <xdr:colOff>554181</xdr:colOff>
      <xdr:row>254</xdr:row>
      <xdr:rowOff>86591</xdr:rowOff>
    </xdr:from>
    <xdr:to>
      <xdr:col>50</xdr:col>
      <xdr:colOff>173182</xdr:colOff>
      <xdr:row>260</xdr:row>
      <xdr:rowOff>69273</xdr:rowOff>
    </xdr:to>
    <xdr:sp macro="" textlink="">
      <xdr:nvSpPr>
        <xdr:cNvPr id="106" name="正方形/長方形 105">
          <a:extLst>
            <a:ext uri="{FF2B5EF4-FFF2-40B4-BE49-F238E27FC236}">
              <a16:creationId xmlns:a16="http://schemas.microsoft.com/office/drawing/2014/main" id="{00000000-0008-0000-0600-00006A000000}"/>
            </a:ext>
          </a:extLst>
        </xdr:cNvPr>
        <xdr:cNvSpPr/>
      </xdr:nvSpPr>
      <xdr:spPr>
        <a:xfrm>
          <a:off x="35588863" y="46204909"/>
          <a:ext cx="5853546" cy="102177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489857</xdr:colOff>
      <xdr:row>8</xdr:row>
      <xdr:rowOff>231322</xdr:rowOff>
    </xdr:from>
    <xdr:to>
      <xdr:col>25</xdr:col>
      <xdr:colOff>122465</xdr:colOff>
      <xdr:row>17</xdr:row>
      <xdr:rowOff>27214</xdr:rowOff>
    </xdr:to>
    <xdr:sp macro="" textlink="">
      <xdr:nvSpPr>
        <xdr:cNvPr id="2" name="線吹き出し 1 (枠付き) 187">
          <a:extLst>
            <a:ext uri="{FF2B5EF4-FFF2-40B4-BE49-F238E27FC236}">
              <a16:creationId xmlns:a16="http://schemas.microsoft.com/office/drawing/2014/main" id="{3BEFF83F-35F9-4828-BF76-B7B1111F20BA}"/>
            </a:ext>
          </a:extLst>
        </xdr:cNvPr>
        <xdr:cNvSpPr/>
      </xdr:nvSpPr>
      <xdr:spPr>
        <a:xfrm>
          <a:off x="18383250" y="3714751"/>
          <a:ext cx="5674179" cy="2843892"/>
        </a:xfrm>
        <a:prstGeom prst="borderCallout1">
          <a:avLst>
            <a:gd name="adj1" fmla="val 48645"/>
            <a:gd name="adj2" fmla="val -635"/>
            <a:gd name="adj3" fmla="val 16576"/>
            <a:gd name="adj4" fmla="val -70712"/>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UNAVAILABLE1(0000b)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ALERT_C_BRKBZ_BZJDG_UNAVAILABLE1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TESTMODE1(0001b)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ALERT_C_BRKBZ_BZJDG_TESTMODE1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TESTMODE2(0010b)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ALERT_C_BRKBZ_BZJDG_TESTMODE2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TESTMODE3(0011b)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ALERT_C_BRKBZ_BZJDG_TESTMODE3</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APPOPE1(0100b)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ALERT_C_BRKBZ_BZJDG_APPOPE1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APPOPE2(0101b)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ALERT_C_BRKBZ_BZJDG_APPOPE2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FAILURE(0110b)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ALERT_C_BRKBZ_BZJDG_FAILURE</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UNAVAILABLE2(0111b)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ALERT_C_BRKBZ_BZJDG_UNAVAILABLE2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APPOPE3(1000b)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ALERT_C_BRKBZ_BZJDG_APPOPE3</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UNKNOWN(1001b)</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ALERT_C_BRKBZ_BZJDG_UNKNOWN</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500743</xdr:colOff>
      <xdr:row>6</xdr:row>
      <xdr:rowOff>108857</xdr:rowOff>
    </xdr:from>
    <xdr:to>
      <xdr:col>26</xdr:col>
      <xdr:colOff>172241</xdr:colOff>
      <xdr:row>7</xdr:row>
      <xdr:rowOff>111579</xdr:rowOff>
    </xdr:to>
    <xdr:sp macro="" textlink="">
      <xdr:nvSpPr>
        <xdr:cNvPr id="2" name="線吹き出し 1 (枠付き) 1">
          <a:extLst>
            <a:ext uri="{FF2B5EF4-FFF2-40B4-BE49-F238E27FC236}">
              <a16:creationId xmlns:a16="http://schemas.microsoft.com/office/drawing/2014/main" id="{00000000-0008-0000-0700-000002000000}"/>
            </a:ext>
          </a:extLst>
        </xdr:cNvPr>
        <xdr:cNvSpPr/>
      </xdr:nvSpPr>
      <xdr:spPr>
        <a:xfrm>
          <a:off x="14586857" y="1153886"/>
          <a:ext cx="6377098" cy="340179"/>
        </a:xfrm>
        <a:prstGeom prst="borderCallout1">
          <a:avLst>
            <a:gd name="adj1" fmla="val 51537"/>
            <a:gd name="adj2" fmla="val -181"/>
            <a:gd name="adj3" fmla="val 188247"/>
            <a:gd name="adj4" fmla="val -2722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単発、</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2</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連発吹鳴で、エッジが検出できないパターン</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前回値</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今回値</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の場合は、</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UNKNOWN</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とする。</a:t>
          </a:r>
          <a:b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br>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228599</xdr:colOff>
      <xdr:row>3</xdr:row>
      <xdr:rowOff>141515</xdr:rowOff>
    </xdr:from>
    <xdr:to>
      <xdr:col>14</xdr:col>
      <xdr:colOff>10885</xdr:colOff>
      <xdr:row>8</xdr:row>
      <xdr:rowOff>8966</xdr:rowOff>
    </xdr:to>
    <xdr:sp macro="" textlink="">
      <xdr:nvSpPr>
        <xdr:cNvPr id="4" name="正方形/長方形 3">
          <a:extLst>
            <a:ext uri="{FF2B5EF4-FFF2-40B4-BE49-F238E27FC236}">
              <a16:creationId xmlns:a16="http://schemas.microsoft.com/office/drawing/2014/main" id="{00000000-0008-0000-0700-000004000000}"/>
            </a:ext>
          </a:extLst>
        </xdr:cNvPr>
        <xdr:cNvSpPr/>
      </xdr:nvSpPr>
      <xdr:spPr>
        <a:xfrm>
          <a:off x="5029199" y="696686"/>
          <a:ext cx="8795657" cy="238205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134471</xdr:colOff>
      <xdr:row>1</xdr:row>
      <xdr:rowOff>161364</xdr:rowOff>
    </xdr:from>
    <xdr:to>
      <xdr:col>23</xdr:col>
      <xdr:colOff>80683</xdr:colOff>
      <xdr:row>5</xdr:row>
      <xdr:rowOff>80682</xdr:rowOff>
    </xdr:to>
    <xdr:sp macro="" textlink="">
      <xdr:nvSpPr>
        <xdr:cNvPr id="5" name="線吹き出し 1 (枠付き) 4">
          <a:extLst>
            <a:ext uri="{FF2B5EF4-FFF2-40B4-BE49-F238E27FC236}">
              <a16:creationId xmlns:a16="http://schemas.microsoft.com/office/drawing/2014/main" id="{00000000-0008-0000-0700-000005000000}"/>
            </a:ext>
          </a:extLst>
        </xdr:cNvPr>
        <xdr:cNvSpPr/>
      </xdr:nvSpPr>
      <xdr:spPr>
        <a:xfrm>
          <a:off x="14558042" y="324650"/>
          <a:ext cx="4823012" cy="637775"/>
        </a:xfrm>
        <a:prstGeom prst="borderCallout1">
          <a:avLst>
            <a:gd name="adj1" fmla="val 51537"/>
            <a:gd name="adj2" fmla="val -181"/>
            <a:gd name="adj3" fmla="val 76927"/>
            <a:gd name="adj4" fmla="val -2091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BUZZER</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BUZZE2</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で実施条件が同じなため、入力信号を変えることで、</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BUZZER_REQ</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a:t>
          </a:r>
          <a:r>
            <a:rPr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BUZZE2_REQ</a:t>
          </a:r>
          <a:r>
            <a:rPr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の判定で共有できるテーブルとする</a:t>
          </a:r>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92372-2E5A-43A5-B76D-E723EDFA917F}">
  <sheetPr>
    <tabColor theme="5"/>
  </sheetPr>
  <dimension ref="C1:AM57"/>
  <sheetViews>
    <sheetView showGridLines="0" tabSelected="1" view="pageBreakPreview" zoomScale="85" zoomScaleNormal="100" zoomScaleSheetLayoutView="85" workbookViewId="0">
      <selection activeCell="BG12" sqref="BG12"/>
    </sheetView>
  </sheetViews>
  <sheetFormatPr defaultColWidth="8.125" defaultRowHeight="15.75"/>
  <cols>
    <col min="1" max="52" width="2.125" style="217" customWidth="1"/>
    <col min="53" max="16384" width="8.125" style="21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8"/>
    </row>
    <row r="11" spans="6:20" ht="13.15" customHeight="1"/>
    <row r="12" spans="6:20" ht="13.15" customHeight="1"/>
    <row r="13" spans="6:20" ht="13.15" customHeight="1">
      <c r="T13" s="219" t="str">
        <f ca="1">MID(CELL("filename",A1),FIND("[",CELL("filename",A1))+1,FIND("]",CELL("filename",A1))-FIND("[",CELL("filename",A1))-1)</f>
        <v>alert_C_BRKBZ-CSTD-0-01-C-C0.xlsx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0"/>
      <c r="V32" s="220"/>
    </row>
    <row r="33" spans="3:39" ht="13.15" customHeight="1">
      <c r="M33" s="221"/>
      <c r="N33" s="221"/>
      <c r="O33" s="221"/>
      <c r="P33" s="221"/>
      <c r="Q33" s="221"/>
      <c r="AF33" s="221"/>
      <c r="AG33" s="221"/>
      <c r="AH33" s="221"/>
      <c r="AI33" s="221"/>
      <c r="AJ33" s="221"/>
    </row>
    <row r="34" spans="3:39" ht="13.15" customHeight="1">
      <c r="Y34" s="220" t="s">
        <v>516</v>
      </c>
    </row>
    <row r="35" spans="3:39" ht="13.15" customHeight="1">
      <c r="Y35" s="240" t="s">
        <v>517</v>
      </c>
      <c r="Z35" s="241"/>
      <c r="AA35" s="241"/>
      <c r="AB35" s="241"/>
      <c r="AC35" s="242"/>
      <c r="AD35" s="240" t="s">
        <v>518</v>
      </c>
      <c r="AE35" s="241"/>
      <c r="AF35" s="241"/>
      <c r="AG35" s="241"/>
      <c r="AH35" s="242"/>
      <c r="AI35" s="240" t="s">
        <v>519</v>
      </c>
      <c r="AJ35" s="241"/>
      <c r="AK35" s="241"/>
      <c r="AL35" s="241"/>
      <c r="AM35" s="242"/>
    </row>
    <row r="36" spans="3:39" ht="13.15" customHeight="1">
      <c r="D36" s="221"/>
      <c r="E36" s="222"/>
      <c r="F36" s="221"/>
      <c r="G36" s="221"/>
      <c r="I36" s="221"/>
      <c r="J36" s="222"/>
      <c r="K36" s="221"/>
      <c r="L36" s="221"/>
      <c r="M36" s="221"/>
      <c r="N36" s="221"/>
      <c r="O36" s="222"/>
      <c r="P36" s="221"/>
      <c r="Q36" s="221"/>
      <c r="W36" s="221"/>
      <c r="X36" s="222"/>
      <c r="Y36" s="223"/>
      <c r="Z36" s="224"/>
      <c r="AA36" s="224"/>
      <c r="AB36" s="224"/>
      <c r="AC36" s="225"/>
      <c r="AD36" s="223"/>
      <c r="AE36" s="224"/>
      <c r="AF36" s="224"/>
      <c r="AG36" s="224"/>
      <c r="AH36" s="225"/>
      <c r="AI36" s="223"/>
      <c r="AJ36" s="224"/>
      <c r="AK36" s="224"/>
      <c r="AL36" s="224"/>
      <c r="AM36" s="225"/>
    </row>
    <row r="37" spans="3:39" ht="13.15" customHeight="1">
      <c r="Y37" s="226"/>
      <c r="AC37" s="227"/>
      <c r="AD37" s="226"/>
      <c r="AH37" s="227"/>
      <c r="AI37" s="226"/>
      <c r="AM37" s="227"/>
    </row>
    <row r="38" spans="3:39" ht="13.15" customHeight="1">
      <c r="Y38" s="226"/>
      <c r="Z38" s="221"/>
      <c r="AA38" s="222" t="s">
        <v>520</v>
      </c>
      <c r="AB38" s="221"/>
      <c r="AC38" s="228"/>
      <c r="AD38" s="226"/>
      <c r="AE38" s="221"/>
      <c r="AF38" s="222" t="s">
        <v>521</v>
      </c>
      <c r="AG38" s="221"/>
      <c r="AH38" s="228"/>
      <c r="AI38" s="229"/>
      <c r="AJ38" s="221"/>
      <c r="AK38" s="222" t="s">
        <v>522</v>
      </c>
      <c r="AL38" s="221"/>
      <c r="AM38" s="228"/>
    </row>
    <row r="39" spans="3:39" ht="13.15" customHeight="1">
      <c r="Y39" s="226"/>
      <c r="AC39" s="227"/>
      <c r="AD39" s="226"/>
      <c r="AH39" s="227"/>
      <c r="AI39" s="226"/>
      <c r="AM39" s="227"/>
    </row>
    <row r="40" spans="3:39" ht="13.15" customHeight="1">
      <c r="C40" s="220"/>
      <c r="V40" s="220"/>
      <c r="Y40" s="230"/>
      <c r="Z40" s="231"/>
      <c r="AA40" s="231"/>
      <c r="AB40" s="231"/>
      <c r="AC40" s="232"/>
      <c r="AD40" s="230"/>
      <c r="AE40" s="231"/>
      <c r="AF40" s="231"/>
      <c r="AG40" s="231"/>
      <c r="AH40" s="232"/>
      <c r="AI40" s="230"/>
      <c r="AJ40" s="231"/>
      <c r="AK40" s="231"/>
      <c r="AL40" s="231"/>
      <c r="AM40" s="232"/>
    </row>
    <row r="41" spans="3:39" ht="13.15" customHeight="1"/>
    <row r="42" spans="3:39" ht="13.15" customHeight="1">
      <c r="Y42" s="220" t="s">
        <v>523</v>
      </c>
    </row>
    <row r="43" spans="3:39" ht="13.15" customHeight="1">
      <c r="Y43" s="240" t="s">
        <v>517</v>
      </c>
      <c r="Z43" s="241"/>
      <c r="AA43" s="241"/>
      <c r="AB43" s="241"/>
      <c r="AC43" s="242"/>
      <c r="AD43" s="240" t="s">
        <v>518</v>
      </c>
      <c r="AE43" s="241"/>
      <c r="AF43" s="241"/>
      <c r="AG43" s="241"/>
      <c r="AH43" s="242"/>
      <c r="AI43" s="240" t="s">
        <v>519</v>
      </c>
      <c r="AJ43" s="241"/>
      <c r="AK43" s="241"/>
      <c r="AL43" s="241"/>
      <c r="AM43" s="242"/>
    </row>
    <row r="44" spans="3:39" ht="13.15" customHeight="1">
      <c r="D44" s="221"/>
      <c r="E44" s="222"/>
      <c r="F44" s="221"/>
      <c r="G44" s="221"/>
      <c r="H44" s="221"/>
      <c r="I44" s="221"/>
      <c r="J44" s="222"/>
      <c r="K44" s="221"/>
      <c r="L44" s="221"/>
      <c r="M44" s="221"/>
      <c r="N44" s="221"/>
      <c r="O44" s="222"/>
      <c r="P44" s="221"/>
      <c r="Q44" s="221"/>
      <c r="W44" s="221"/>
      <c r="X44" s="222"/>
      <c r="Y44" s="223"/>
      <c r="Z44" s="224"/>
      <c r="AA44" s="224"/>
      <c r="AB44" s="224"/>
      <c r="AC44" s="225"/>
      <c r="AD44" s="224"/>
      <c r="AE44" s="224"/>
      <c r="AF44" s="224"/>
      <c r="AG44" s="224"/>
      <c r="AH44" s="225"/>
      <c r="AI44" s="223"/>
      <c r="AJ44" s="224"/>
      <c r="AK44" s="224"/>
      <c r="AL44" s="224"/>
      <c r="AM44" s="225"/>
    </row>
    <row r="45" spans="3:39" ht="13.15" customHeight="1">
      <c r="Y45" s="226"/>
      <c r="AC45" s="227"/>
      <c r="AH45" s="227"/>
      <c r="AI45" s="226"/>
      <c r="AM45" s="227"/>
    </row>
    <row r="46" spans="3:39" ht="13.15" customHeight="1">
      <c r="Y46" s="226"/>
      <c r="Z46" s="221"/>
      <c r="AA46" s="222" t="s">
        <v>524</v>
      </c>
      <c r="AB46" s="221"/>
      <c r="AC46" s="228"/>
      <c r="AD46" s="221"/>
      <c r="AE46" s="221"/>
      <c r="AF46" s="222" t="s">
        <v>525</v>
      </c>
      <c r="AG46" s="221"/>
      <c r="AH46" s="228"/>
      <c r="AI46" s="229"/>
      <c r="AJ46" s="221"/>
      <c r="AK46" s="222" t="s">
        <v>526</v>
      </c>
      <c r="AL46" s="221"/>
      <c r="AM46" s="228"/>
    </row>
    <row r="47" spans="3:39" ht="13.15" customHeight="1">
      <c r="Y47" s="226"/>
      <c r="AC47" s="227"/>
      <c r="AH47" s="227"/>
      <c r="AI47" s="226"/>
      <c r="AM47" s="227"/>
    </row>
    <row r="48" spans="3:39" ht="13.15" customHeight="1">
      <c r="C48" s="220"/>
      <c r="V48" s="220"/>
      <c r="Y48" s="230"/>
      <c r="Z48" s="231"/>
      <c r="AA48" s="231"/>
      <c r="AB48" s="231"/>
      <c r="AC48" s="232"/>
      <c r="AD48" s="231"/>
      <c r="AE48" s="231"/>
      <c r="AF48" s="231"/>
      <c r="AG48" s="231"/>
      <c r="AH48" s="232"/>
      <c r="AI48" s="230"/>
      <c r="AJ48" s="231"/>
      <c r="AK48" s="231"/>
      <c r="AL48" s="231"/>
      <c r="AM48" s="232"/>
    </row>
    <row r="49" spans="4:39" ht="13.15" customHeight="1"/>
    <row r="50" spans="4:39" ht="13.15" customHeight="1">
      <c r="Y50" s="220" t="s">
        <v>527</v>
      </c>
    </row>
    <row r="51" spans="4:39" ht="13.15" customHeight="1">
      <c r="Y51" s="240" t="s">
        <v>517</v>
      </c>
      <c r="Z51" s="241"/>
      <c r="AA51" s="241"/>
      <c r="AB51" s="241"/>
      <c r="AC51" s="242"/>
      <c r="AD51" s="240" t="s">
        <v>518</v>
      </c>
      <c r="AE51" s="241"/>
      <c r="AF51" s="241"/>
      <c r="AG51" s="241"/>
      <c r="AH51" s="242"/>
      <c r="AI51" s="240" t="s">
        <v>519</v>
      </c>
      <c r="AJ51" s="241"/>
      <c r="AK51" s="241"/>
      <c r="AL51" s="241"/>
      <c r="AM51" s="242"/>
    </row>
    <row r="52" spans="4:39" ht="13.15" customHeight="1">
      <c r="D52" s="221"/>
      <c r="E52" s="222"/>
      <c r="F52" s="221"/>
      <c r="G52" s="221"/>
      <c r="H52" s="221"/>
      <c r="I52" s="221"/>
      <c r="J52" s="222"/>
      <c r="K52" s="221"/>
      <c r="L52" s="221"/>
      <c r="M52" s="221"/>
      <c r="N52" s="221"/>
      <c r="O52" s="222"/>
      <c r="P52" s="221"/>
      <c r="Q52" s="221"/>
      <c r="W52" s="221"/>
      <c r="X52" s="222"/>
      <c r="Y52" s="223"/>
      <c r="Z52" s="224"/>
      <c r="AA52" s="224"/>
      <c r="AB52" s="224"/>
      <c r="AC52" s="225"/>
      <c r="AD52" s="224"/>
      <c r="AE52" s="224"/>
      <c r="AF52" s="224"/>
      <c r="AG52" s="224"/>
      <c r="AH52" s="225"/>
      <c r="AI52" s="223"/>
      <c r="AJ52" s="224"/>
      <c r="AK52" s="224"/>
      <c r="AL52" s="224"/>
      <c r="AM52" s="225"/>
    </row>
    <row r="53" spans="4:39" ht="13.15" customHeight="1">
      <c r="Y53" s="226"/>
      <c r="AC53" s="227"/>
      <c r="AH53" s="227"/>
      <c r="AI53" s="226"/>
      <c r="AM53" s="227"/>
    </row>
    <row r="54" spans="4:39" ht="13.15" customHeight="1">
      <c r="Y54" s="226"/>
      <c r="Z54" s="221"/>
      <c r="AA54" s="222" t="s">
        <v>528</v>
      </c>
      <c r="AB54" s="221"/>
      <c r="AC54" s="228"/>
      <c r="AD54" s="221"/>
      <c r="AE54" s="221"/>
      <c r="AF54" s="222" t="s">
        <v>529</v>
      </c>
      <c r="AG54" s="221"/>
      <c r="AH54" s="228"/>
      <c r="AI54" s="229"/>
      <c r="AJ54" s="221"/>
      <c r="AK54" s="222" t="s">
        <v>522</v>
      </c>
      <c r="AL54" s="221"/>
      <c r="AM54" s="228"/>
    </row>
    <row r="55" spans="4:39" ht="13.15" customHeight="1">
      <c r="Y55" s="226"/>
      <c r="AC55" s="227"/>
      <c r="AH55" s="227"/>
      <c r="AI55" s="226"/>
      <c r="AM55" s="227"/>
    </row>
    <row r="56" spans="4:39" ht="13.15" customHeight="1">
      <c r="Y56" s="230"/>
      <c r="Z56" s="231"/>
      <c r="AA56" s="231"/>
      <c r="AB56" s="231"/>
      <c r="AC56" s="232"/>
      <c r="AD56" s="231"/>
      <c r="AE56" s="231"/>
      <c r="AF56" s="231"/>
      <c r="AG56" s="231"/>
      <c r="AH56" s="232"/>
      <c r="AI56" s="230"/>
      <c r="AJ56" s="231"/>
      <c r="AK56" s="231"/>
      <c r="AL56" s="231"/>
      <c r="AM56" s="232"/>
    </row>
    <row r="57" spans="4:39" ht="13.15" customHeight="1">
      <c r="AK57" s="217" t="s">
        <v>530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G1" sqref="G1:V1048576"/>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3" t="s">
        <v>14</v>
      </c>
      <c r="J2" s="243"/>
      <c r="K2" s="243"/>
      <c r="L2" s="243"/>
      <c r="M2" s="243"/>
      <c r="N2" s="243"/>
      <c r="O2" s="243"/>
      <c r="P2" s="243"/>
      <c r="Q2" s="243"/>
      <c r="R2" s="243"/>
    </row>
    <row r="3" spans="2:24" ht="25.5" customHeight="1">
      <c r="C3" s="6"/>
      <c r="D3" s="10" t="str">
        <f ca="1">REPLACE(LEFT(CELL("filename",$B$1),FIND(".xls",CELL("filename",$B$1))-1),1,FIND("[",CELL("filename",$B$1)),)</f>
        <v>alert_C_BRKBZ-CSTD-0-01-C-C0</v>
      </c>
      <c r="E3" s="6"/>
      <c r="F3" s="6"/>
      <c r="H3" s="8" t="s">
        <v>168</v>
      </c>
      <c r="I3" s="244" t="s">
        <v>167</v>
      </c>
      <c r="J3" s="245"/>
      <c r="K3" s="245"/>
      <c r="L3" s="245"/>
      <c r="M3" s="245"/>
      <c r="N3" s="245"/>
      <c r="O3" s="245"/>
      <c r="P3" s="245"/>
      <c r="Q3" s="245"/>
      <c r="R3" s="245"/>
    </row>
    <row r="4" spans="2:24" ht="25.5" customHeight="1">
      <c r="C4" s="6"/>
      <c r="D4" s="6"/>
      <c r="E4" s="22" t="str">
        <f>DGET(B8:C14,"Ver.",H4:H5)</f>
        <v>1.0.1</v>
      </c>
      <c r="F4" s="6"/>
      <c r="H4" s="9" t="s">
        <v>16</v>
      </c>
    </row>
    <row r="5" spans="2:24" ht="25.5" customHeight="1">
      <c r="C5" s="6"/>
      <c r="D5" s="6"/>
      <c r="E5" s="6"/>
      <c r="F5" s="6"/>
      <c r="H5" s="11">
        <f>MAX(B9:B14)</f>
        <v>2</v>
      </c>
    </row>
    <row r="6" spans="2:24" ht="14.25" thickBot="1"/>
    <row r="7" spans="2:24">
      <c r="C7" s="248" t="s">
        <v>0</v>
      </c>
      <c r="D7" s="249"/>
      <c r="E7" s="250" t="s">
        <v>2</v>
      </c>
      <c r="F7" s="250"/>
      <c r="G7" s="251" t="s">
        <v>5</v>
      </c>
      <c r="H7" s="251"/>
      <c r="I7" s="251"/>
      <c r="J7" s="251"/>
      <c r="K7" s="251"/>
      <c r="L7" s="251"/>
      <c r="M7" s="252" t="s">
        <v>12</v>
      </c>
      <c r="N7" s="252"/>
      <c r="O7" s="252"/>
      <c r="P7" s="252"/>
      <c r="Q7" s="252"/>
      <c r="R7" s="253"/>
      <c r="S7" s="246" t="s">
        <v>531</v>
      </c>
      <c r="T7" s="246"/>
      <c r="U7" s="246"/>
      <c r="V7" s="246"/>
      <c r="W7" s="246"/>
      <c r="X7" s="247"/>
    </row>
    <row r="8" spans="2:24" ht="27.75" thickBot="1">
      <c r="B8" s="9" t="s">
        <v>16</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33" t="s">
        <v>11</v>
      </c>
      <c r="S8" s="16" t="s">
        <v>532</v>
      </c>
      <c r="T8" s="16" t="s">
        <v>7</v>
      </c>
      <c r="U8" s="16" t="s">
        <v>8</v>
      </c>
      <c r="V8" s="16" t="s">
        <v>9</v>
      </c>
      <c r="W8" s="16" t="s">
        <v>10</v>
      </c>
      <c r="X8" s="234" t="s">
        <v>11</v>
      </c>
    </row>
    <row r="9" spans="2:24" ht="95.25" thickTop="1">
      <c r="B9" s="9">
        <f>IF(C9=0,0,ROW()-ROW($B$8))</f>
        <v>1</v>
      </c>
      <c r="C9" s="236" t="s">
        <v>15</v>
      </c>
      <c r="D9" s="237" t="s">
        <v>515</v>
      </c>
      <c r="E9" s="238" t="s">
        <v>190</v>
      </c>
      <c r="F9" s="238" t="s">
        <v>192</v>
      </c>
      <c r="G9" s="238" t="s">
        <v>190</v>
      </c>
      <c r="H9" s="238" t="s">
        <v>190</v>
      </c>
      <c r="I9" s="238" t="s">
        <v>190</v>
      </c>
      <c r="J9" s="238" t="s">
        <v>190</v>
      </c>
      <c r="K9" s="238" t="s">
        <v>190</v>
      </c>
      <c r="L9" s="238" t="s">
        <v>190</v>
      </c>
      <c r="M9" s="238"/>
      <c r="N9" s="239"/>
      <c r="O9" s="238"/>
      <c r="P9" s="239"/>
      <c r="Q9" s="238" t="s">
        <v>514</v>
      </c>
      <c r="R9" s="239">
        <v>44265</v>
      </c>
      <c r="S9" s="235" t="s">
        <v>29</v>
      </c>
      <c r="T9" s="215" t="s">
        <v>29</v>
      </c>
      <c r="U9" s="1" t="s">
        <v>29</v>
      </c>
      <c r="V9" s="215" t="s">
        <v>29</v>
      </c>
      <c r="W9" s="1" t="s">
        <v>29</v>
      </c>
      <c r="X9" s="199" t="s">
        <v>29</v>
      </c>
    </row>
    <row r="10" spans="2:24" ht="94.5">
      <c r="B10" s="9">
        <f t="shared" ref="B10:B13" si="0">IF(C10=0,0,ROW()-ROW($B$8))</f>
        <v>2</v>
      </c>
      <c r="C10" s="2" t="s">
        <v>533</v>
      </c>
      <c r="D10" s="200" t="s">
        <v>535</v>
      </c>
      <c r="E10" s="1" t="s">
        <v>29</v>
      </c>
      <c r="F10" s="1" t="s">
        <v>29</v>
      </c>
      <c r="G10" s="1" t="s">
        <v>29</v>
      </c>
      <c r="H10" s="1" t="s">
        <v>29</v>
      </c>
      <c r="I10" s="1" t="s">
        <v>29</v>
      </c>
      <c r="J10" s="1" t="s">
        <v>29</v>
      </c>
      <c r="K10" s="1" t="s">
        <v>29</v>
      </c>
      <c r="L10" s="1" t="s">
        <v>29</v>
      </c>
      <c r="M10" s="1"/>
      <c r="N10" s="1"/>
      <c r="O10" s="1"/>
      <c r="P10" s="1"/>
      <c r="Q10" s="1"/>
      <c r="R10" s="1"/>
      <c r="S10" s="1"/>
      <c r="T10" s="1"/>
      <c r="U10" s="1"/>
      <c r="V10" s="215"/>
      <c r="W10" s="1" t="s">
        <v>534</v>
      </c>
      <c r="X10" s="199">
        <v>45807</v>
      </c>
    </row>
    <row r="11" spans="2:24">
      <c r="B11" s="9">
        <f t="shared" si="0"/>
        <v>0</v>
      </c>
      <c r="C11" s="2"/>
      <c r="D11" s="1"/>
      <c r="E11" s="1"/>
      <c r="F11" s="1"/>
      <c r="G11" s="1"/>
      <c r="H11" s="1"/>
      <c r="I11" s="1"/>
      <c r="J11" s="1"/>
      <c r="K11" s="1"/>
      <c r="L11" s="1"/>
      <c r="M11" s="1"/>
      <c r="N11" s="1"/>
      <c r="O11" s="1"/>
      <c r="P11" s="1"/>
      <c r="Q11" s="1"/>
      <c r="R11" s="1"/>
      <c r="S11" s="1"/>
      <c r="T11" s="215"/>
      <c r="U11" s="1"/>
      <c r="V11" s="215"/>
      <c r="W11" s="1"/>
      <c r="X11" s="199"/>
    </row>
    <row r="12" spans="2:24">
      <c r="B12" s="9">
        <f t="shared" si="0"/>
        <v>0</v>
      </c>
      <c r="C12" s="2"/>
      <c r="D12" s="1"/>
      <c r="E12" s="1"/>
      <c r="F12" s="1"/>
      <c r="G12" s="1"/>
      <c r="H12" s="1"/>
      <c r="I12" s="1"/>
      <c r="J12" s="1"/>
      <c r="K12" s="1"/>
      <c r="L12" s="1"/>
      <c r="M12" s="1"/>
      <c r="N12" s="1"/>
      <c r="O12" s="1"/>
      <c r="P12" s="1"/>
      <c r="Q12" s="1"/>
      <c r="R12" s="1"/>
      <c r="S12" s="1"/>
      <c r="T12" s="215"/>
      <c r="U12" s="1"/>
      <c r="V12" s="215"/>
      <c r="W12" s="1"/>
      <c r="X12" s="199"/>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1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4" t="s">
        <v>125</v>
      </c>
    </row>
    <row r="3" spans="2:5">
      <c r="C3" t="s">
        <v>135</v>
      </c>
    </row>
    <row r="6" spans="2:5" ht="14.25" thickBot="1">
      <c r="B6" s="134" t="s">
        <v>126</v>
      </c>
      <c r="C6" s="134"/>
    </row>
    <row r="7" spans="2:5" ht="14.25" thickBot="1">
      <c r="C7" s="67" t="s">
        <v>128</v>
      </c>
      <c r="D7" s="75"/>
      <c r="E7" s="68" t="s">
        <v>136</v>
      </c>
    </row>
    <row r="8" spans="2:5" ht="20.25" customHeight="1" thickTop="1">
      <c r="C8" s="138">
        <v>0</v>
      </c>
      <c r="D8" s="76" t="s">
        <v>137</v>
      </c>
      <c r="E8" s="137" t="s">
        <v>138</v>
      </c>
    </row>
    <row r="9" spans="2:5" ht="27">
      <c r="C9" s="144">
        <v>1</v>
      </c>
      <c r="D9" s="146" t="s">
        <v>155</v>
      </c>
      <c r="E9" s="145" t="s">
        <v>154</v>
      </c>
    </row>
    <row r="10" spans="2:5" ht="14.25" thickBot="1">
      <c r="C10" s="142"/>
      <c r="D10" s="78"/>
      <c r="E10" s="5"/>
    </row>
    <row r="11" spans="2:5">
      <c r="C11" s="140"/>
    </row>
    <row r="12" spans="2:5" ht="14.25" thickBot="1">
      <c r="B12" s="135" t="s">
        <v>127</v>
      </c>
      <c r="C12" s="74"/>
      <c r="D12" s="74"/>
    </row>
    <row r="13" spans="2:5" ht="14.25" thickBot="1">
      <c r="B13" s="136"/>
      <c r="C13" s="141" t="s">
        <v>128</v>
      </c>
      <c r="D13" s="75" t="s">
        <v>129</v>
      </c>
      <c r="E13" s="68" t="s">
        <v>130</v>
      </c>
    </row>
    <row r="14" spans="2:5" ht="14.25" thickTop="1">
      <c r="C14" s="138">
        <v>0</v>
      </c>
      <c r="D14" s="76" t="s">
        <v>143</v>
      </c>
      <c r="E14" s="143" t="s">
        <v>144</v>
      </c>
    </row>
    <row r="15" spans="2:5">
      <c r="C15" s="139">
        <v>1</v>
      </c>
      <c r="D15" s="77" t="s">
        <v>23</v>
      </c>
      <c r="E15" s="64" t="s">
        <v>131</v>
      </c>
    </row>
    <row r="16" spans="2:5">
      <c r="C16" s="139">
        <v>2</v>
      </c>
      <c r="D16" s="77" t="s">
        <v>24</v>
      </c>
      <c r="E16" s="64" t="s">
        <v>132</v>
      </c>
    </row>
    <row r="17" spans="2:5">
      <c r="C17" s="139">
        <v>3</v>
      </c>
      <c r="D17" s="77" t="s">
        <v>25</v>
      </c>
      <c r="E17" s="64" t="s">
        <v>133</v>
      </c>
    </row>
    <row r="18" spans="2:5">
      <c r="C18" s="139">
        <v>4</v>
      </c>
      <c r="D18" s="77" t="s">
        <v>26</v>
      </c>
      <c r="E18" s="64" t="s">
        <v>134</v>
      </c>
    </row>
    <row r="19" spans="2:5">
      <c r="C19" s="139">
        <v>5</v>
      </c>
      <c r="D19" s="77" t="s">
        <v>145</v>
      </c>
      <c r="E19" s="64" t="s">
        <v>147</v>
      </c>
    </row>
    <row r="20" spans="2:5">
      <c r="C20" s="139">
        <v>6</v>
      </c>
      <c r="D20" s="77" t="s">
        <v>151</v>
      </c>
      <c r="E20" s="64" t="s">
        <v>162</v>
      </c>
    </row>
    <row r="21" spans="2:5" ht="14.25" thickBot="1">
      <c r="C21" s="142"/>
      <c r="D21" s="78"/>
      <c r="E21" s="5"/>
    </row>
    <row r="24" spans="2:5" ht="14.25" thickBot="1">
      <c r="B24" s="134" t="s">
        <v>139</v>
      </c>
    </row>
    <row r="25" spans="2:5" ht="14.25" thickBot="1">
      <c r="C25" s="141" t="s">
        <v>128</v>
      </c>
      <c r="D25" s="75" t="s">
        <v>129</v>
      </c>
      <c r="E25" s="68" t="s">
        <v>130</v>
      </c>
    </row>
    <row r="26" spans="2:5" ht="30.75" customHeight="1" thickTop="1">
      <c r="C26" s="138">
        <v>0</v>
      </c>
      <c r="D26" s="76" t="s">
        <v>140</v>
      </c>
      <c r="E26" s="143" t="s">
        <v>148</v>
      </c>
    </row>
    <row r="27" spans="2:5" ht="120" customHeight="1">
      <c r="C27" s="139">
        <v>1</v>
      </c>
      <c r="D27" s="77" t="s">
        <v>164</v>
      </c>
      <c r="E27" s="79" t="s">
        <v>166</v>
      </c>
    </row>
    <row r="28" spans="2:5" ht="81" customHeight="1">
      <c r="C28" s="139">
        <v>2</v>
      </c>
      <c r="D28" s="77" t="s">
        <v>161</v>
      </c>
      <c r="E28" s="79" t="s">
        <v>172</v>
      </c>
    </row>
    <row r="29" spans="2:5" ht="45" customHeight="1">
      <c r="C29" s="139">
        <v>3</v>
      </c>
      <c r="D29" s="77" t="s">
        <v>146</v>
      </c>
      <c r="E29" s="79" t="s">
        <v>149</v>
      </c>
    </row>
    <row r="30" spans="2:5" ht="16.5" customHeight="1">
      <c r="C30" s="139">
        <v>4</v>
      </c>
      <c r="D30" s="77" t="s">
        <v>141</v>
      </c>
      <c r="E30" s="64" t="s">
        <v>153</v>
      </c>
    </row>
    <row r="31" spans="2:5" ht="16.5" customHeight="1">
      <c r="C31" s="139">
        <v>5</v>
      </c>
      <c r="D31" s="77" t="s">
        <v>142</v>
      </c>
      <c r="E31" s="64" t="s">
        <v>150</v>
      </c>
    </row>
    <row r="32" spans="2:5">
      <c r="C32" s="139"/>
      <c r="D32" s="77"/>
      <c r="E32" s="64"/>
    </row>
    <row r="33" spans="2:5">
      <c r="C33" s="139"/>
      <c r="D33" s="77"/>
      <c r="E33" s="64"/>
    </row>
    <row r="34" spans="2:5" ht="14.25" thickBot="1">
      <c r="C34" s="142"/>
      <c r="D34" s="78"/>
      <c r="E34" s="5"/>
    </row>
    <row r="37" spans="2:5" ht="14.25" thickBot="1">
      <c r="B37" s="134" t="s">
        <v>158</v>
      </c>
    </row>
    <row r="38" spans="2:5">
      <c r="C38" s="254"/>
      <c r="D38" s="255"/>
      <c r="E38" s="100" t="s">
        <v>115</v>
      </c>
    </row>
    <row r="39" spans="2:5" ht="14.25" thickBot="1">
      <c r="C39" s="256"/>
      <c r="D39" s="257"/>
      <c r="E39" s="5" t="s">
        <v>116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3" t="s">
        <v>19</v>
      </c>
      <c r="C2" s="284"/>
      <c r="D2" s="271" t="s">
        <v>511</v>
      </c>
      <c r="E2" s="272"/>
      <c r="F2" s="272"/>
      <c r="G2" s="272"/>
      <c r="H2" s="273"/>
    </row>
    <row r="3" spans="2:14">
      <c r="B3" s="258" t="s">
        <v>113</v>
      </c>
      <c r="C3" s="259"/>
      <c r="D3" s="274" t="s">
        <v>512</v>
      </c>
      <c r="E3" s="275"/>
      <c r="F3" s="275"/>
      <c r="G3" s="275"/>
      <c r="H3" s="276"/>
    </row>
    <row r="4" spans="2:14" ht="14.25" thickBot="1">
      <c r="B4" s="269" t="s">
        <v>18</v>
      </c>
      <c r="C4" s="270"/>
      <c r="D4" s="277" t="str">
        <f ca="1">表紙!D3&amp;".c"</f>
        <v>alert_C_BRKBZ-CSTD-0-01-C-C0.c</v>
      </c>
      <c r="E4" s="278"/>
      <c r="F4" s="278"/>
      <c r="G4" s="278"/>
      <c r="H4" s="27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3" t="s">
        <v>34</v>
      </c>
      <c r="C6" s="284"/>
      <c r="D6" s="280" t="str">
        <f ca="1">MID(D4, LEN("alert_") + 1, FIND("-",D4,1) - LEN("alert_") - 1)</f>
        <v>C_BRKBZ</v>
      </c>
      <c r="E6" s="281"/>
      <c r="F6" s="281"/>
      <c r="G6" s="281"/>
      <c r="H6" s="282"/>
    </row>
    <row r="7" spans="2:14">
      <c r="B7" s="258" t="s">
        <v>35</v>
      </c>
      <c r="C7" s="259"/>
      <c r="D7" s="260">
        <f>COUNTA($D$13:$D$37)</f>
        <v>1</v>
      </c>
      <c r="E7" s="261"/>
      <c r="F7" s="261"/>
      <c r="G7" s="261"/>
      <c r="H7" s="262"/>
    </row>
    <row r="8" spans="2:14">
      <c r="B8" s="258" t="s">
        <v>92</v>
      </c>
      <c r="C8" s="259"/>
      <c r="D8" s="260" t="str">
        <f ca="1">"st_gp_ALERT_"&amp;UPPER(D6)&amp;"_MTRX"</f>
        <v>st_gp_ALERT_C_BRKBZ_MTRX</v>
      </c>
      <c r="E8" s="261"/>
      <c r="F8" s="261"/>
      <c r="G8" s="261"/>
      <c r="H8" s="262"/>
    </row>
    <row r="9" spans="2:14">
      <c r="B9" s="258" t="s">
        <v>36</v>
      </c>
      <c r="C9" s="259"/>
      <c r="D9" s="263" t="s">
        <v>240</v>
      </c>
      <c r="E9" s="264"/>
      <c r="F9" s="264"/>
      <c r="G9" s="264"/>
      <c r="H9" s="265"/>
    </row>
    <row r="10" spans="2:14" ht="14.25" thickBot="1">
      <c r="B10" s="269" t="s">
        <v>42</v>
      </c>
      <c r="C10" s="270"/>
      <c r="D10" s="266"/>
      <c r="E10" s="267"/>
      <c r="F10" s="267"/>
      <c r="G10" s="267"/>
      <c r="H10" s="268"/>
    </row>
    <row r="11" spans="2:14" ht="14.25" thickBot="1"/>
    <row r="12" spans="2:14" ht="14.25" thickBot="1">
      <c r="B12" s="125" t="s">
        <v>32</v>
      </c>
      <c r="C12" s="93" t="s">
        <v>41</v>
      </c>
      <c r="D12" s="94" t="s">
        <v>33</v>
      </c>
      <c r="E12" s="94" t="s">
        <v>37</v>
      </c>
      <c r="F12" s="94" t="s">
        <v>38</v>
      </c>
      <c r="G12" s="94" t="s">
        <v>39</v>
      </c>
      <c r="H12" s="95" t="s">
        <v>40</v>
      </c>
      <c r="I12" s="130" t="s">
        <v>49</v>
      </c>
      <c r="K12" s="35" t="s">
        <v>43</v>
      </c>
      <c r="L12" s="35" t="s">
        <v>36</v>
      </c>
      <c r="M12" t="s">
        <v>85</v>
      </c>
    </row>
    <row r="13" spans="2:14" ht="14.25" thickTop="1">
      <c r="B13" s="96">
        <v>1</v>
      </c>
      <c r="C13" s="181" t="s">
        <v>29</v>
      </c>
      <c r="D13" s="174" t="s">
        <v>46</v>
      </c>
      <c r="E13" s="171" t="s">
        <v>191</v>
      </c>
      <c r="F13" s="41" t="str">
        <f t="shared" ref="F13:F37" ca="1" si="0">IF($D13&lt;&gt;"","u4_s_Alert"&amp;UPPER(LEFT($D$6,1))&amp;LOWER(MID($D$6,2,100))&amp;IF($D$7=1,"",N13)&amp;"Srcchk","")</f>
        <v>u4_s_AlertC_brkbzSrcchk</v>
      </c>
      <c r="G13" s="41" t="str">
        <f t="shared" ref="G13:G37" si="1">IF($D13&lt;&gt;"",IF($E13="○","vd_s_Alert"&amp;UPPER(LEFT($D$6,1))&amp;LOWER(MID($D$6,2,100))&amp;IF($D$7=1,"",N13)&amp;"RwTx","NULL"),"")</f>
        <v>NULL</v>
      </c>
      <c r="H13" s="99" t="str">
        <f ca="1">IF($D13&lt;&gt;"","ALERT_CH_"&amp;UPPER($D$6)&amp;IF($D$7=1,"","_"&amp;UPPER($C13)),"")</f>
        <v>ALERT_CH_C_BRKBZ</v>
      </c>
      <c r="I13" s="131" t="str">
        <f ca="1">IF($D13&lt;&gt;"","ALERT_REQ_"&amp;UPPER($D$6)&amp;IF($D$7=1,"","_"&amp;UPPER($C13)),"")</f>
        <v>ALERT_REQ_C_BRKBZ</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6">
        <v>2</v>
      </c>
      <c r="C14" s="172"/>
      <c r="D14" s="171"/>
      <c r="E14" s="171"/>
      <c r="F14" s="36" t="str">
        <f t="shared" si="0"/>
        <v/>
      </c>
      <c r="G14" s="36" t="str">
        <f t="shared" si="1"/>
        <v/>
      </c>
      <c r="H14" s="57" t="str">
        <f t="shared" ref="H14:H37" si="4">IF($D14&lt;&gt;"","ALERT_CH_"&amp;UPPER($D$6)&amp;IF($D$7=1,"","_"&amp;UPPER($C14)),"")</f>
        <v/>
      </c>
      <c r="I14" s="132" t="str">
        <f t="shared" ref="I14:I37" si="5">IF($D14&lt;&gt;"","ALERT_REQ_"&amp;UPPER($D$6)&amp;IF($D$7=1,"","_"&amp;UPPER($C14)),"")</f>
        <v/>
      </c>
      <c r="K14" t="s">
        <v>45</v>
      </c>
      <c r="L14" t="str">
        <f ca="1">"vd_g_Alert"&amp;UPPER(LEFT(D6,1))&amp;LOWER(MID(D6,2,100))&amp;"Init"</f>
        <v>vd_g_AlertC_brkbzInit</v>
      </c>
      <c r="M14" t="e">
        <f t="shared" si="2"/>
        <v>#VALUE!</v>
      </c>
      <c r="N14" t="str">
        <f t="shared" si="3"/>
        <v/>
      </c>
    </row>
    <row r="15" spans="2:14">
      <c r="B15" s="86">
        <v>3</v>
      </c>
      <c r="C15" s="128"/>
      <c r="D15" s="171"/>
      <c r="E15" s="174"/>
      <c r="F15" s="36" t="str">
        <f t="shared" si="0"/>
        <v/>
      </c>
      <c r="G15" s="36" t="str">
        <f t="shared" si="1"/>
        <v/>
      </c>
      <c r="H15" s="57" t="str">
        <f t="shared" si="4"/>
        <v/>
      </c>
      <c r="I15" s="132" t="str">
        <f t="shared" si="5"/>
        <v/>
      </c>
      <c r="K15" t="s">
        <v>117</v>
      </c>
      <c r="M15" t="e">
        <f t="shared" si="2"/>
        <v>#VALUE!</v>
      </c>
      <c r="N15" t="str">
        <f t="shared" si="3"/>
        <v/>
      </c>
    </row>
    <row r="16" spans="2:14">
      <c r="B16" s="86">
        <v>4</v>
      </c>
      <c r="C16" s="128"/>
      <c r="D16" s="129"/>
      <c r="E16" s="129"/>
      <c r="F16" s="36" t="str">
        <f t="shared" si="0"/>
        <v/>
      </c>
      <c r="G16" s="36" t="str">
        <f t="shared" si="1"/>
        <v/>
      </c>
      <c r="H16" s="57" t="str">
        <f t="shared" si="4"/>
        <v/>
      </c>
      <c r="I16" s="132" t="str">
        <f t="shared" si="5"/>
        <v/>
      </c>
      <c r="K16" t="s">
        <v>118</v>
      </c>
      <c r="M16" t="e">
        <f t="shared" si="2"/>
        <v>#VALUE!</v>
      </c>
      <c r="N16" t="str">
        <f t="shared" si="3"/>
        <v/>
      </c>
    </row>
    <row r="17" spans="2:14">
      <c r="B17" s="86">
        <v>5</v>
      </c>
      <c r="C17" s="128"/>
      <c r="D17" s="129"/>
      <c r="E17" s="129"/>
      <c r="F17" s="36" t="str">
        <f t="shared" si="0"/>
        <v/>
      </c>
      <c r="G17" s="36" t="str">
        <f t="shared" si="1"/>
        <v/>
      </c>
      <c r="H17" s="57" t="str">
        <f t="shared" si="4"/>
        <v/>
      </c>
      <c r="I17" s="132" t="str">
        <f t="shared" si="5"/>
        <v/>
      </c>
      <c r="K17" t="s">
        <v>46</v>
      </c>
      <c r="M17" t="e">
        <f t="shared" si="2"/>
        <v>#VALUE!</v>
      </c>
      <c r="N17" t="str">
        <f t="shared" si="3"/>
        <v/>
      </c>
    </row>
    <row r="18" spans="2:14">
      <c r="B18" s="86">
        <v>6</v>
      </c>
      <c r="C18" s="128"/>
      <c r="D18" s="129"/>
      <c r="E18" s="129"/>
      <c r="F18" s="36" t="str">
        <f t="shared" si="0"/>
        <v/>
      </c>
      <c r="G18" s="36" t="str">
        <f t="shared" si="1"/>
        <v/>
      </c>
      <c r="H18" s="57" t="str">
        <f t="shared" si="4"/>
        <v/>
      </c>
      <c r="I18" s="132" t="str">
        <f t="shared" si="5"/>
        <v/>
      </c>
      <c r="K18" t="s">
        <v>47</v>
      </c>
      <c r="M18" t="e">
        <f t="shared" si="2"/>
        <v>#VALUE!</v>
      </c>
      <c r="N18" t="str">
        <f t="shared" si="3"/>
        <v/>
      </c>
    </row>
    <row r="19" spans="2:14">
      <c r="B19" s="86">
        <v>7</v>
      </c>
      <c r="C19" s="128"/>
      <c r="D19" s="129"/>
      <c r="E19" s="129"/>
      <c r="F19" s="36" t="str">
        <f t="shared" si="0"/>
        <v/>
      </c>
      <c r="G19" s="36" t="str">
        <f t="shared" si="1"/>
        <v/>
      </c>
      <c r="H19" s="57" t="str">
        <f t="shared" si="4"/>
        <v/>
      </c>
      <c r="I19" s="132" t="str">
        <f t="shared" si="5"/>
        <v/>
      </c>
      <c r="K19" t="s">
        <v>47</v>
      </c>
      <c r="M19" t="e">
        <f t="shared" si="2"/>
        <v>#VALUE!</v>
      </c>
      <c r="N19" t="str">
        <f t="shared" si="3"/>
        <v/>
      </c>
    </row>
    <row r="20" spans="2:14">
      <c r="B20" s="86">
        <v>8</v>
      </c>
      <c r="C20" s="128"/>
      <c r="D20" s="129"/>
      <c r="E20" s="129"/>
      <c r="F20" s="36" t="str">
        <f t="shared" si="0"/>
        <v/>
      </c>
      <c r="G20" s="36" t="str">
        <f t="shared" si="1"/>
        <v/>
      </c>
      <c r="H20" s="57" t="str">
        <f t="shared" si="4"/>
        <v/>
      </c>
      <c r="I20" s="132" t="str">
        <f t="shared" si="5"/>
        <v/>
      </c>
      <c r="K20" t="s">
        <v>47</v>
      </c>
      <c r="M20" t="e">
        <f t="shared" si="2"/>
        <v>#VALUE!</v>
      </c>
      <c r="N20" t="str">
        <f t="shared" si="3"/>
        <v/>
      </c>
    </row>
    <row r="21" spans="2:14">
      <c r="B21" s="86">
        <v>9</v>
      </c>
      <c r="C21" s="128"/>
      <c r="D21" s="129"/>
      <c r="E21" s="129"/>
      <c r="F21" s="36" t="str">
        <f t="shared" si="0"/>
        <v/>
      </c>
      <c r="G21" s="36" t="str">
        <f t="shared" si="1"/>
        <v/>
      </c>
      <c r="H21" s="57" t="str">
        <f t="shared" si="4"/>
        <v/>
      </c>
      <c r="I21" s="132" t="str">
        <f t="shared" si="5"/>
        <v/>
      </c>
      <c r="K21" t="s">
        <v>47</v>
      </c>
      <c r="M21" t="e">
        <f t="shared" si="2"/>
        <v>#VALUE!</v>
      </c>
      <c r="N21" t="str">
        <f t="shared" si="3"/>
        <v/>
      </c>
    </row>
    <row r="22" spans="2:14">
      <c r="B22" s="86">
        <v>10</v>
      </c>
      <c r="C22" s="128"/>
      <c r="D22" s="129"/>
      <c r="E22" s="129"/>
      <c r="F22" s="36" t="str">
        <f t="shared" si="0"/>
        <v/>
      </c>
      <c r="G22" s="36" t="str">
        <f t="shared" si="1"/>
        <v/>
      </c>
      <c r="H22" s="57" t="str">
        <f t="shared" si="4"/>
        <v/>
      </c>
      <c r="I22" s="132" t="str">
        <f t="shared" si="5"/>
        <v/>
      </c>
      <c r="K22" t="s">
        <v>47</v>
      </c>
      <c r="M22" t="e">
        <f t="shared" si="2"/>
        <v>#VALUE!</v>
      </c>
      <c r="N22" t="str">
        <f t="shared" si="3"/>
        <v/>
      </c>
    </row>
    <row r="23" spans="2:14">
      <c r="B23" s="86">
        <v>11</v>
      </c>
      <c r="C23" s="128"/>
      <c r="D23" s="129"/>
      <c r="E23" s="129"/>
      <c r="F23" s="36" t="str">
        <f t="shared" si="0"/>
        <v/>
      </c>
      <c r="G23" s="36" t="str">
        <f t="shared" si="1"/>
        <v/>
      </c>
      <c r="H23" s="57" t="str">
        <f t="shared" si="4"/>
        <v/>
      </c>
      <c r="I23" s="132" t="str">
        <f t="shared" si="5"/>
        <v/>
      </c>
      <c r="K23" t="s">
        <v>47</v>
      </c>
      <c r="M23" t="e">
        <f t="shared" si="2"/>
        <v>#VALUE!</v>
      </c>
      <c r="N23" t="str">
        <f t="shared" si="3"/>
        <v/>
      </c>
    </row>
    <row r="24" spans="2:14">
      <c r="B24" s="86">
        <v>12</v>
      </c>
      <c r="C24" s="128"/>
      <c r="D24" s="129"/>
      <c r="E24" s="129"/>
      <c r="F24" s="36" t="str">
        <f t="shared" si="0"/>
        <v/>
      </c>
      <c r="G24" s="36" t="str">
        <f t="shared" si="1"/>
        <v/>
      </c>
      <c r="H24" s="57" t="str">
        <f t="shared" si="4"/>
        <v/>
      </c>
      <c r="I24" s="132" t="str">
        <f t="shared" si="5"/>
        <v/>
      </c>
      <c r="K24" t="s">
        <v>47</v>
      </c>
      <c r="M24" t="e">
        <f t="shared" si="2"/>
        <v>#VALUE!</v>
      </c>
      <c r="N24" t="str">
        <f t="shared" si="3"/>
        <v/>
      </c>
    </row>
    <row r="25" spans="2:14">
      <c r="B25" s="86">
        <v>13</v>
      </c>
      <c r="C25" s="128"/>
      <c r="D25" s="129"/>
      <c r="E25" s="129"/>
      <c r="F25" s="36" t="str">
        <f t="shared" si="0"/>
        <v/>
      </c>
      <c r="G25" s="36" t="str">
        <f t="shared" si="1"/>
        <v/>
      </c>
      <c r="H25" s="57" t="str">
        <f t="shared" si="4"/>
        <v/>
      </c>
      <c r="I25" s="132" t="str">
        <f t="shared" si="5"/>
        <v/>
      </c>
      <c r="K25" t="s">
        <v>47</v>
      </c>
      <c r="M25" t="e">
        <f t="shared" si="2"/>
        <v>#VALUE!</v>
      </c>
      <c r="N25" t="str">
        <f t="shared" si="3"/>
        <v/>
      </c>
    </row>
    <row r="26" spans="2:14">
      <c r="B26" s="86">
        <v>14</v>
      </c>
      <c r="C26" s="128"/>
      <c r="D26" s="129"/>
      <c r="E26" s="129"/>
      <c r="F26" s="36" t="str">
        <f t="shared" si="0"/>
        <v/>
      </c>
      <c r="G26" s="36" t="str">
        <f t="shared" si="1"/>
        <v/>
      </c>
      <c r="H26" s="57" t="str">
        <f t="shared" si="4"/>
        <v/>
      </c>
      <c r="I26" s="132" t="str">
        <f t="shared" si="5"/>
        <v/>
      </c>
      <c r="K26" t="s">
        <v>47</v>
      </c>
      <c r="M26" t="e">
        <f t="shared" si="2"/>
        <v>#VALUE!</v>
      </c>
      <c r="N26" t="str">
        <f t="shared" si="3"/>
        <v/>
      </c>
    </row>
    <row r="27" spans="2:14">
      <c r="B27" s="86">
        <v>15</v>
      </c>
      <c r="C27" s="128"/>
      <c r="D27" s="129"/>
      <c r="E27" s="129"/>
      <c r="F27" s="36" t="str">
        <f t="shared" si="0"/>
        <v/>
      </c>
      <c r="G27" s="36" t="str">
        <f t="shared" si="1"/>
        <v/>
      </c>
      <c r="H27" s="57" t="str">
        <f t="shared" si="4"/>
        <v/>
      </c>
      <c r="I27" s="132" t="str">
        <f t="shared" si="5"/>
        <v/>
      </c>
      <c r="K27" t="s">
        <v>47</v>
      </c>
      <c r="M27" t="e">
        <f t="shared" si="2"/>
        <v>#VALUE!</v>
      </c>
      <c r="N27" t="str">
        <f t="shared" si="3"/>
        <v/>
      </c>
    </row>
    <row r="28" spans="2:14">
      <c r="B28" s="86">
        <v>16</v>
      </c>
      <c r="C28" s="128"/>
      <c r="D28" s="129"/>
      <c r="E28" s="129"/>
      <c r="F28" s="36" t="str">
        <f t="shared" si="0"/>
        <v/>
      </c>
      <c r="G28" s="36" t="str">
        <f t="shared" si="1"/>
        <v/>
      </c>
      <c r="H28" s="57" t="str">
        <f t="shared" si="4"/>
        <v/>
      </c>
      <c r="I28" s="132" t="str">
        <f t="shared" si="5"/>
        <v/>
      </c>
      <c r="K28" t="s">
        <v>47</v>
      </c>
      <c r="M28" t="e">
        <f t="shared" si="2"/>
        <v>#VALUE!</v>
      </c>
      <c r="N28" t="str">
        <f t="shared" si="3"/>
        <v/>
      </c>
    </row>
    <row r="29" spans="2:14">
      <c r="B29" s="86">
        <v>17</v>
      </c>
      <c r="C29" s="128"/>
      <c r="D29" s="129"/>
      <c r="E29" s="129"/>
      <c r="F29" s="36" t="str">
        <f t="shared" si="0"/>
        <v/>
      </c>
      <c r="G29" s="36" t="str">
        <f t="shared" si="1"/>
        <v/>
      </c>
      <c r="H29" s="57" t="str">
        <f t="shared" si="4"/>
        <v/>
      </c>
      <c r="I29" s="132" t="str">
        <f t="shared" si="5"/>
        <v/>
      </c>
      <c r="K29" t="s">
        <v>47</v>
      </c>
      <c r="M29" t="e">
        <f t="shared" si="2"/>
        <v>#VALUE!</v>
      </c>
      <c r="N29" t="str">
        <f t="shared" si="3"/>
        <v/>
      </c>
    </row>
    <row r="30" spans="2:14">
      <c r="B30" s="86">
        <v>18</v>
      </c>
      <c r="C30" s="128"/>
      <c r="D30" s="129"/>
      <c r="E30" s="129"/>
      <c r="F30" s="36" t="str">
        <f t="shared" si="0"/>
        <v/>
      </c>
      <c r="G30" s="36" t="str">
        <f t="shared" si="1"/>
        <v/>
      </c>
      <c r="H30" s="57" t="str">
        <f t="shared" si="4"/>
        <v/>
      </c>
      <c r="I30" s="132" t="str">
        <f t="shared" si="5"/>
        <v/>
      </c>
      <c r="K30" t="s">
        <v>47</v>
      </c>
      <c r="M30" t="e">
        <f t="shared" si="2"/>
        <v>#VALUE!</v>
      </c>
      <c r="N30" t="str">
        <f t="shared" si="3"/>
        <v/>
      </c>
    </row>
    <row r="31" spans="2:14">
      <c r="B31" s="86">
        <v>19</v>
      </c>
      <c r="C31" s="128"/>
      <c r="D31" s="129"/>
      <c r="E31" s="129"/>
      <c r="F31" s="36" t="str">
        <f t="shared" si="0"/>
        <v/>
      </c>
      <c r="G31" s="36" t="str">
        <f t="shared" si="1"/>
        <v/>
      </c>
      <c r="H31" s="57" t="str">
        <f t="shared" si="4"/>
        <v/>
      </c>
      <c r="I31" s="132" t="str">
        <f t="shared" si="5"/>
        <v/>
      </c>
      <c r="K31" t="s">
        <v>47</v>
      </c>
      <c r="M31" t="e">
        <f t="shared" si="2"/>
        <v>#VALUE!</v>
      </c>
      <c r="N31" t="str">
        <f t="shared" si="3"/>
        <v/>
      </c>
    </row>
    <row r="32" spans="2:14">
      <c r="B32" s="86">
        <v>20</v>
      </c>
      <c r="C32" s="128"/>
      <c r="D32" s="129"/>
      <c r="E32" s="129"/>
      <c r="F32" s="36" t="str">
        <f t="shared" si="0"/>
        <v/>
      </c>
      <c r="G32" s="36" t="str">
        <f t="shared" si="1"/>
        <v/>
      </c>
      <c r="H32" s="57" t="str">
        <f t="shared" si="4"/>
        <v/>
      </c>
      <c r="I32" s="132" t="str">
        <f t="shared" si="5"/>
        <v/>
      </c>
      <c r="K32" t="s">
        <v>47</v>
      </c>
      <c r="M32" t="e">
        <f t="shared" si="2"/>
        <v>#VALUE!</v>
      </c>
      <c r="N32" t="str">
        <f t="shared" si="3"/>
        <v/>
      </c>
    </row>
    <row r="33" spans="2:14">
      <c r="B33" s="86">
        <v>21</v>
      </c>
      <c r="C33" s="128"/>
      <c r="D33" s="129"/>
      <c r="E33" s="129"/>
      <c r="F33" s="36" t="str">
        <f t="shared" si="0"/>
        <v/>
      </c>
      <c r="G33" s="36" t="str">
        <f t="shared" si="1"/>
        <v/>
      </c>
      <c r="H33" s="57" t="str">
        <f t="shared" si="4"/>
        <v/>
      </c>
      <c r="I33" s="132" t="str">
        <f t="shared" si="5"/>
        <v/>
      </c>
      <c r="K33" t="s">
        <v>47</v>
      </c>
      <c r="M33" t="e">
        <f t="shared" si="2"/>
        <v>#VALUE!</v>
      </c>
      <c r="N33" t="str">
        <f t="shared" si="3"/>
        <v/>
      </c>
    </row>
    <row r="34" spans="2:14">
      <c r="B34" s="86">
        <v>22</v>
      </c>
      <c r="C34" s="128"/>
      <c r="D34" s="129"/>
      <c r="E34" s="129"/>
      <c r="F34" s="36" t="str">
        <f t="shared" si="0"/>
        <v/>
      </c>
      <c r="G34" s="36" t="str">
        <f t="shared" si="1"/>
        <v/>
      </c>
      <c r="H34" s="57" t="str">
        <f t="shared" si="4"/>
        <v/>
      </c>
      <c r="I34" s="132" t="str">
        <f t="shared" si="5"/>
        <v/>
      </c>
      <c r="K34" t="s">
        <v>47</v>
      </c>
      <c r="M34" t="e">
        <f t="shared" si="2"/>
        <v>#VALUE!</v>
      </c>
      <c r="N34" t="str">
        <f t="shared" si="3"/>
        <v/>
      </c>
    </row>
    <row r="35" spans="2:14">
      <c r="B35" s="86">
        <v>23</v>
      </c>
      <c r="C35" s="128"/>
      <c r="D35" s="129"/>
      <c r="E35" s="129"/>
      <c r="F35" s="36" t="str">
        <f t="shared" si="0"/>
        <v/>
      </c>
      <c r="G35" s="36" t="str">
        <f t="shared" si="1"/>
        <v/>
      </c>
      <c r="H35" s="57" t="str">
        <f t="shared" si="4"/>
        <v/>
      </c>
      <c r="I35" s="132" t="str">
        <f t="shared" si="5"/>
        <v/>
      </c>
      <c r="K35" t="s">
        <v>47</v>
      </c>
      <c r="M35" t="e">
        <f t="shared" si="2"/>
        <v>#VALUE!</v>
      </c>
      <c r="N35" t="str">
        <f t="shared" si="3"/>
        <v/>
      </c>
    </row>
    <row r="36" spans="2:14">
      <c r="B36" s="86">
        <v>24</v>
      </c>
      <c r="C36" s="128"/>
      <c r="D36" s="129"/>
      <c r="E36" s="129"/>
      <c r="F36" s="36" t="str">
        <f t="shared" si="0"/>
        <v/>
      </c>
      <c r="G36" s="36" t="str">
        <f t="shared" si="1"/>
        <v/>
      </c>
      <c r="H36" s="57" t="str">
        <f t="shared" si="4"/>
        <v/>
      </c>
      <c r="I36" s="132" t="str">
        <f t="shared" si="5"/>
        <v/>
      </c>
      <c r="K36" t="s">
        <v>47</v>
      </c>
      <c r="M36" t="e">
        <f t="shared" si="2"/>
        <v>#VALUE!</v>
      </c>
      <c r="N36" t="str">
        <f t="shared" si="3"/>
        <v/>
      </c>
    </row>
    <row r="37" spans="2:14" ht="14.25" thickBot="1">
      <c r="B37" s="87">
        <v>25</v>
      </c>
      <c r="C37" s="126"/>
      <c r="D37" s="127"/>
      <c r="E37" s="127"/>
      <c r="F37" s="44" t="str">
        <f t="shared" si="0"/>
        <v/>
      </c>
      <c r="G37" s="44" t="str">
        <f t="shared" si="1"/>
        <v/>
      </c>
      <c r="H37" s="58" t="str">
        <f t="shared" si="4"/>
        <v/>
      </c>
      <c r="I37" s="133"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3" operator="containsText" text="NG">
      <formula>NOT(ISERROR(SEARCH("NG",D5)))</formula>
    </cfRule>
  </conditionalFormatting>
  <conditionalFormatting sqref="D6">
    <cfRule type="expression" dxfId="4"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184</v>
      </c>
      <c r="O2" t="s">
        <v>186</v>
      </c>
    </row>
    <row r="3" spans="2:18" ht="14.25" thickBot="1">
      <c r="B3" s="125" t="s">
        <v>32</v>
      </c>
      <c r="C3" s="94" t="s">
        <v>174</v>
      </c>
      <c r="D3" s="94" t="s">
        <v>180</v>
      </c>
      <c r="E3" s="95" t="s">
        <v>181</v>
      </c>
      <c r="F3" s="168" t="s">
        <v>176</v>
      </c>
      <c r="G3" s="165" t="s">
        <v>189</v>
      </c>
      <c r="H3" s="35"/>
      <c r="I3" s="35"/>
      <c r="J3" s="35"/>
      <c r="K3" s="35"/>
      <c r="L3" s="35"/>
      <c r="M3" s="35"/>
      <c r="O3" s="125" t="s">
        <v>32</v>
      </c>
      <c r="P3" s="164" t="s">
        <v>170</v>
      </c>
      <c r="Q3" s="164" t="s">
        <v>183</v>
      </c>
      <c r="R3" s="165" t="s">
        <v>176</v>
      </c>
    </row>
    <row r="4" spans="2:18" ht="14.25" hidden="1" thickTop="1">
      <c r="B4" s="156">
        <v>0</v>
      </c>
      <c r="C4" s="157" t="s">
        <v>159</v>
      </c>
      <c r="D4" s="157"/>
      <c r="E4" s="158"/>
      <c r="F4" s="169"/>
      <c r="G4" s="170"/>
      <c r="H4" s="35"/>
      <c r="I4" s="35"/>
      <c r="J4" s="35"/>
      <c r="K4" s="35"/>
      <c r="L4" s="35"/>
      <c r="M4" s="35"/>
      <c r="O4" s="166">
        <v>0</v>
      </c>
      <c r="P4" s="163" t="s">
        <v>159</v>
      </c>
      <c r="Q4" s="163" t="s">
        <v>159</v>
      </c>
      <c r="R4" s="124"/>
    </row>
    <row r="5" spans="2:18" ht="14.25" thickTop="1">
      <c r="B5" s="159">
        <v>1</v>
      </c>
      <c r="C5" s="129"/>
      <c r="D5" s="23"/>
      <c r="E5" s="57" t="str">
        <f>IF($C5&lt;&gt;"","ALERT_" &amp; D5 &amp; "_ID_"&amp;UPPER(Matrix!$D$6) &amp; "_" &amp; $C5,"")</f>
        <v/>
      </c>
      <c r="F5" s="102"/>
      <c r="G5" s="57" t="str">
        <f>IF(E5&lt;&gt;"",LEN(E5),"")</f>
        <v/>
      </c>
      <c r="O5" s="159">
        <v>1</v>
      </c>
      <c r="P5" s="129"/>
      <c r="Q5" s="171"/>
      <c r="R5" s="173"/>
    </row>
    <row r="6" spans="2:18">
      <c r="B6" s="159">
        <v>2</v>
      </c>
      <c r="C6" s="129"/>
      <c r="D6" s="23"/>
      <c r="E6" s="57" t="str">
        <f>IF($C6&lt;&gt;"","ALERT_" &amp; D6 &amp; "_ID_"&amp;UPPER(Matrix!$D$6) &amp; "_" &amp; $C6,"")</f>
        <v/>
      </c>
      <c r="F6" s="102"/>
      <c r="G6" s="57" t="str">
        <f t="shared" ref="G6:G29" si="0">IF(E6&lt;&gt;"",LEN(E6),"")</f>
        <v/>
      </c>
      <c r="O6" s="159">
        <v>2</v>
      </c>
      <c r="P6" s="129"/>
      <c r="Q6" s="129"/>
      <c r="R6" s="103"/>
    </row>
    <row r="7" spans="2:18">
      <c r="B7" s="159">
        <v>3</v>
      </c>
      <c r="C7" s="129"/>
      <c r="D7" s="23"/>
      <c r="E7" s="57" t="str">
        <f>IF($C7&lt;&gt;"","ALERT_" &amp; D7 &amp; "_ID_"&amp;UPPER(Matrix!$D$6) &amp; "_" &amp; $C7,"")</f>
        <v/>
      </c>
      <c r="F7" s="102"/>
      <c r="G7" s="57" t="str">
        <f t="shared" si="0"/>
        <v/>
      </c>
      <c r="O7" s="159">
        <v>3</v>
      </c>
      <c r="P7" s="129"/>
      <c r="Q7" s="129"/>
      <c r="R7" s="103"/>
    </row>
    <row r="8" spans="2:18">
      <c r="B8" s="159">
        <v>4</v>
      </c>
      <c r="C8" s="129"/>
      <c r="D8" s="23"/>
      <c r="E8" s="57" t="str">
        <f>IF($C8&lt;&gt;"","ALERT_" &amp; D8 &amp; "_ID_"&amp;UPPER(Matrix!$D$6) &amp; "_" &amp; $C8,"")</f>
        <v/>
      </c>
      <c r="F8" s="102"/>
      <c r="G8" s="57" t="str">
        <f t="shared" si="0"/>
        <v/>
      </c>
      <c r="O8" s="159">
        <v>4</v>
      </c>
      <c r="P8" s="129"/>
      <c r="Q8" s="129"/>
      <c r="R8" s="103"/>
    </row>
    <row r="9" spans="2:18">
      <c r="B9" s="159">
        <v>5</v>
      </c>
      <c r="C9" s="129"/>
      <c r="D9" s="23"/>
      <c r="E9" s="57" t="str">
        <f>IF($C9&lt;&gt;"","ALERT_" &amp; D9 &amp; "_ID_"&amp;UPPER(Matrix!$D$6) &amp; "_" &amp; $C9,"")</f>
        <v/>
      </c>
      <c r="F9" s="102"/>
      <c r="G9" s="57" t="str">
        <f t="shared" si="0"/>
        <v/>
      </c>
      <c r="O9" s="159">
        <v>5</v>
      </c>
      <c r="P9" s="129"/>
      <c r="Q9" s="129"/>
      <c r="R9" s="103"/>
    </row>
    <row r="10" spans="2:18">
      <c r="B10" s="159">
        <v>6</v>
      </c>
      <c r="C10" s="129"/>
      <c r="D10" s="23"/>
      <c r="E10" s="57" t="str">
        <f>IF($C10&lt;&gt;"","ALERT_" &amp; D10 &amp; "_ID_"&amp;UPPER(Matrix!$D$6) &amp; "_" &amp; $C10,"")</f>
        <v/>
      </c>
      <c r="F10" s="102"/>
      <c r="G10" s="57" t="str">
        <f t="shared" si="0"/>
        <v/>
      </c>
      <c r="O10" s="159">
        <v>6</v>
      </c>
      <c r="P10" s="129"/>
      <c r="Q10" s="129"/>
      <c r="R10" s="103"/>
    </row>
    <row r="11" spans="2:18">
      <c r="B11" s="159">
        <v>7</v>
      </c>
      <c r="C11" s="129"/>
      <c r="D11" s="23"/>
      <c r="E11" s="57" t="str">
        <f>IF($C11&lt;&gt;"","ALERT_" &amp; D11 &amp; "_ID_"&amp;UPPER(Matrix!$D$6) &amp; "_" &amp; $C11,"")</f>
        <v/>
      </c>
      <c r="F11" s="102"/>
      <c r="G11" s="57" t="str">
        <f t="shared" si="0"/>
        <v/>
      </c>
      <c r="O11" s="159">
        <v>7</v>
      </c>
      <c r="P11" s="129"/>
      <c r="Q11" s="129"/>
      <c r="R11" s="103"/>
    </row>
    <row r="12" spans="2:18">
      <c r="B12" s="159">
        <v>8</v>
      </c>
      <c r="C12" s="129"/>
      <c r="D12" s="23"/>
      <c r="E12" s="57" t="str">
        <f>IF($C12&lt;&gt;"","ALERT_" &amp; D12 &amp; "_ID_"&amp;UPPER(Matrix!$D$6) &amp; "_" &amp; $C12,"")</f>
        <v/>
      </c>
      <c r="F12" s="102"/>
      <c r="G12" s="57" t="str">
        <f t="shared" si="0"/>
        <v/>
      </c>
      <c r="O12" s="159">
        <v>8</v>
      </c>
      <c r="P12" s="129"/>
      <c r="Q12" s="129"/>
      <c r="R12" s="103"/>
    </row>
    <row r="13" spans="2:18">
      <c r="B13" s="159">
        <v>9</v>
      </c>
      <c r="C13" s="129"/>
      <c r="D13" s="23"/>
      <c r="E13" s="57" t="str">
        <f>IF($C13&lt;&gt;"","ALERT_" &amp; D13 &amp; "_ID_"&amp;UPPER(Matrix!$D$6) &amp; "_" &amp; $C13,"")</f>
        <v/>
      </c>
      <c r="F13" s="102"/>
      <c r="G13" s="57" t="str">
        <f t="shared" si="0"/>
        <v/>
      </c>
      <c r="O13" s="159">
        <v>9</v>
      </c>
      <c r="P13" s="129"/>
      <c r="Q13" s="129"/>
      <c r="R13" s="103"/>
    </row>
    <row r="14" spans="2:18">
      <c r="B14" s="159">
        <v>10</v>
      </c>
      <c r="C14" s="129"/>
      <c r="D14" s="23"/>
      <c r="E14" s="57" t="str">
        <f>IF($C14&lt;&gt;"","ALERT_" &amp; D14 &amp; "_ID_"&amp;UPPER(Matrix!$D$6) &amp; "_" &amp; $C14,"")</f>
        <v/>
      </c>
      <c r="F14" s="102"/>
      <c r="G14" s="57" t="str">
        <f t="shared" si="0"/>
        <v/>
      </c>
      <c r="O14" s="159">
        <v>10</v>
      </c>
      <c r="P14" s="129"/>
      <c r="Q14" s="129"/>
      <c r="R14" s="103"/>
    </row>
    <row r="15" spans="2:18">
      <c r="B15" s="159">
        <v>11</v>
      </c>
      <c r="C15" s="129"/>
      <c r="D15" s="23"/>
      <c r="E15" s="57" t="str">
        <f>IF($C15&lt;&gt;"","ALERT_" &amp; D15 &amp; "_ID_"&amp;UPPER(Matrix!$D$6) &amp; "_" &amp; $C15,"")</f>
        <v/>
      </c>
      <c r="F15" s="102"/>
      <c r="G15" s="57" t="str">
        <f t="shared" si="0"/>
        <v/>
      </c>
      <c r="O15" s="159">
        <v>11</v>
      </c>
      <c r="P15" s="129"/>
      <c r="Q15" s="129"/>
      <c r="R15" s="103"/>
    </row>
    <row r="16" spans="2:18">
      <c r="B16" s="159">
        <v>12</v>
      </c>
      <c r="C16" s="129"/>
      <c r="D16" s="23"/>
      <c r="E16" s="57" t="str">
        <f>IF($C16&lt;&gt;"","ALERT_" &amp; D16 &amp; "_ID_"&amp;UPPER(Matrix!$D$6) &amp; "_" &amp; $C16,"")</f>
        <v/>
      </c>
      <c r="F16" s="102"/>
      <c r="G16" s="57" t="str">
        <f t="shared" si="0"/>
        <v/>
      </c>
      <c r="O16" s="159">
        <v>12</v>
      </c>
      <c r="P16" s="129"/>
      <c r="Q16" s="129"/>
      <c r="R16" s="103"/>
    </row>
    <row r="17" spans="2:18">
      <c r="B17" s="159">
        <v>13</v>
      </c>
      <c r="C17" s="129"/>
      <c r="D17" s="23"/>
      <c r="E17" s="57" t="str">
        <f>IF($C17&lt;&gt;"","ALERT_" &amp; D17 &amp; "_ID_"&amp;UPPER(Matrix!$D$6) &amp; "_" &amp; $C17,"")</f>
        <v/>
      </c>
      <c r="F17" s="102"/>
      <c r="G17" s="57" t="str">
        <f t="shared" si="0"/>
        <v/>
      </c>
      <c r="O17" s="159">
        <v>13</v>
      </c>
      <c r="P17" s="129"/>
      <c r="Q17" s="129"/>
      <c r="R17" s="103"/>
    </row>
    <row r="18" spans="2:18">
      <c r="B18" s="159">
        <v>14</v>
      </c>
      <c r="C18" s="129"/>
      <c r="D18" s="23"/>
      <c r="E18" s="57" t="str">
        <f>IF($C18&lt;&gt;"","ALERT_" &amp; D18 &amp; "_ID_"&amp;UPPER(Matrix!$D$6) &amp; "_" &amp; $C18,"")</f>
        <v/>
      </c>
      <c r="F18" s="102"/>
      <c r="G18" s="57" t="str">
        <f t="shared" si="0"/>
        <v/>
      </c>
      <c r="O18" s="159">
        <v>14</v>
      </c>
      <c r="P18" s="129"/>
      <c r="Q18" s="129"/>
      <c r="R18" s="103"/>
    </row>
    <row r="19" spans="2:18">
      <c r="B19" s="159">
        <v>15</v>
      </c>
      <c r="C19" s="129"/>
      <c r="D19" s="23"/>
      <c r="E19" s="57" t="str">
        <f>IF($C19&lt;&gt;"","ALERT_" &amp; D19 &amp; "_ID_"&amp;UPPER(Matrix!$D$6) &amp; "_" &amp; $C19,"")</f>
        <v/>
      </c>
      <c r="F19" s="102"/>
      <c r="G19" s="57" t="str">
        <f t="shared" si="0"/>
        <v/>
      </c>
      <c r="O19" s="159">
        <v>15</v>
      </c>
      <c r="P19" s="129"/>
      <c r="Q19" s="129"/>
      <c r="R19" s="103"/>
    </row>
    <row r="20" spans="2:18">
      <c r="B20" s="159">
        <v>16</v>
      </c>
      <c r="C20" s="129"/>
      <c r="D20" s="23"/>
      <c r="E20" s="57" t="str">
        <f>IF($C20&lt;&gt;"","ALERT_" &amp; D20 &amp; "_ID_"&amp;UPPER(Matrix!$D$6) &amp; "_" &amp; $C20,"")</f>
        <v/>
      </c>
      <c r="F20" s="102"/>
      <c r="G20" s="57" t="str">
        <f t="shared" si="0"/>
        <v/>
      </c>
      <c r="O20" s="159">
        <v>16</v>
      </c>
      <c r="P20" s="129"/>
      <c r="Q20" s="129"/>
      <c r="R20" s="103"/>
    </row>
    <row r="21" spans="2:18">
      <c r="B21" s="159">
        <v>17</v>
      </c>
      <c r="C21" s="129"/>
      <c r="D21" s="23"/>
      <c r="E21" s="57" t="str">
        <f>IF($C21&lt;&gt;"","ALERT_" &amp; D21 &amp; "_ID_"&amp;UPPER(Matrix!$D$6) &amp; "_" &amp; $C21,"")</f>
        <v/>
      </c>
      <c r="F21" s="102"/>
      <c r="G21" s="57" t="str">
        <f t="shared" si="0"/>
        <v/>
      </c>
      <c r="O21" s="159">
        <v>17</v>
      </c>
      <c r="P21" s="129"/>
      <c r="Q21" s="129"/>
      <c r="R21" s="103"/>
    </row>
    <row r="22" spans="2:18">
      <c r="B22" s="159">
        <v>18</v>
      </c>
      <c r="C22" s="129"/>
      <c r="D22" s="23"/>
      <c r="E22" s="57" t="str">
        <f>IF($C22&lt;&gt;"","ALERT_" &amp; D22 &amp; "_ID_"&amp;UPPER(Matrix!$D$6) &amp; "_" &amp; $C22,"")</f>
        <v/>
      </c>
      <c r="F22" s="102"/>
      <c r="G22" s="57" t="str">
        <f t="shared" si="0"/>
        <v/>
      </c>
      <c r="O22" s="159">
        <v>18</v>
      </c>
      <c r="P22" s="129"/>
      <c r="Q22" s="129"/>
      <c r="R22" s="103"/>
    </row>
    <row r="23" spans="2:18">
      <c r="B23" s="159">
        <v>19</v>
      </c>
      <c r="C23" s="129"/>
      <c r="D23" s="23"/>
      <c r="E23" s="57" t="str">
        <f>IF($C23&lt;&gt;"","ALERT_" &amp; D23 &amp; "_ID_"&amp;UPPER(Matrix!$D$6) &amp; "_" &amp; $C23,"")</f>
        <v/>
      </c>
      <c r="F23" s="102"/>
      <c r="G23" s="57" t="str">
        <f t="shared" si="0"/>
        <v/>
      </c>
      <c r="O23" s="159">
        <v>19</v>
      </c>
      <c r="P23" s="129"/>
      <c r="Q23" s="129"/>
      <c r="R23" s="103"/>
    </row>
    <row r="24" spans="2:18">
      <c r="B24" s="159">
        <v>20</v>
      </c>
      <c r="C24" s="129"/>
      <c r="D24" s="23"/>
      <c r="E24" s="57" t="str">
        <f>IF($C24&lt;&gt;"","ALERT_" &amp; D24 &amp; "_ID_"&amp;UPPER(Matrix!$D$6) &amp; "_" &amp; $C24,"")</f>
        <v/>
      </c>
      <c r="F24" s="102"/>
      <c r="G24" s="57" t="str">
        <f t="shared" si="0"/>
        <v/>
      </c>
      <c r="O24" s="159">
        <v>20</v>
      </c>
      <c r="P24" s="129"/>
      <c r="Q24" s="129"/>
      <c r="R24" s="103"/>
    </row>
    <row r="25" spans="2:18">
      <c r="B25" s="159">
        <v>21</v>
      </c>
      <c r="C25" s="129"/>
      <c r="D25" s="23"/>
      <c r="E25" s="57" t="str">
        <f>IF($C25&lt;&gt;"","ALERT_" &amp; D25 &amp; "_ID_"&amp;UPPER(Matrix!$D$6) &amp; "_" &amp; $C25,"")</f>
        <v/>
      </c>
      <c r="F25" s="102"/>
      <c r="G25" s="57" t="str">
        <f t="shared" si="0"/>
        <v/>
      </c>
      <c r="O25" s="159">
        <v>21</v>
      </c>
      <c r="P25" s="129"/>
      <c r="Q25" s="129"/>
      <c r="R25" s="103"/>
    </row>
    <row r="26" spans="2:18">
      <c r="B26" s="159">
        <v>22</v>
      </c>
      <c r="C26" s="129"/>
      <c r="D26" s="23"/>
      <c r="E26" s="57" t="str">
        <f>IF($C26&lt;&gt;"","ALERT_" &amp; D26 &amp; "_ID_"&amp;UPPER(Matrix!$D$6) &amp; "_" &amp; $C26,"")</f>
        <v/>
      </c>
      <c r="F26" s="102"/>
      <c r="G26" s="57" t="str">
        <f t="shared" si="0"/>
        <v/>
      </c>
      <c r="O26" s="159">
        <v>22</v>
      </c>
      <c r="P26" s="129"/>
      <c r="Q26" s="129"/>
      <c r="R26" s="103"/>
    </row>
    <row r="27" spans="2:18">
      <c r="B27" s="159">
        <v>23</v>
      </c>
      <c r="C27" s="129"/>
      <c r="D27" s="23"/>
      <c r="E27" s="57" t="str">
        <f>IF($C27&lt;&gt;"","ALERT_" &amp; D27 &amp; "_ID_"&amp;UPPER(Matrix!$D$6) &amp; "_" &amp; $C27,"")</f>
        <v/>
      </c>
      <c r="F27" s="102"/>
      <c r="G27" s="57" t="str">
        <f t="shared" si="0"/>
        <v/>
      </c>
      <c r="O27" s="159">
        <v>23</v>
      </c>
      <c r="P27" s="129"/>
      <c r="Q27" s="129"/>
      <c r="R27" s="103"/>
    </row>
    <row r="28" spans="2:18">
      <c r="B28" s="159">
        <v>24</v>
      </c>
      <c r="C28" s="129"/>
      <c r="D28" s="23"/>
      <c r="E28" s="57" t="str">
        <f>IF($C28&lt;&gt;"","ALERT_" &amp; D28 &amp; "_ID_"&amp;UPPER(Matrix!$D$6) &amp; "_" &amp; $C28,"")</f>
        <v/>
      </c>
      <c r="F28" s="102"/>
      <c r="G28" s="57" t="str">
        <f t="shared" si="0"/>
        <v/>
      </c>
      <c r="O28" s="159">
        <v>24</v>
      </c>
      <c r="P28" s="129"/>
      <c r="Q28" s="129"/>
      <c r="R28" s="103"/>
    </row>
    <row r="29" spans="2:18" ht="14.25" thickBot="1">
      <c r="B29" s="160">
        <v>25</v>
      </c>
      <c r="C29" s="127"/>
      <c r="D29" s="43"/>
      <c r="E29" s="58" t="str">
        <f>IF($C29&lt;&gt;"","ALERT_" &amp; D29 &amp; "_ID_"&amp;UPPER(Matrix!$D$6) &amp; "_" &amp; $C29,"")</f>
        <v/>
      </c>
      <c r="F29" s="104"/>
      <c r="G29" s="58" t="str">
        <f t="shared" si="0"/>
        <v/>
      </c>
      <c r="O29" s="160">
        <v>25</v>
      </c>
      <c r="P29" s="127"/>
      <c r="Q29" s="127"/>
      <c r="R29" s="105"/>
    </row>
    <row r="32" spans="2:18" ht="14.25" thickBot="1">
      <c r="B32" t="s">
        <v>185</v>
      </c>
      <c r="O32" t="s">
        <v>182</v>
      </c>
    </row>
    <row r="33" spans="2:18" ht="14.25" thickBot="1">
      <c r="B33" s="125" t="s">
        <v>32</v>
      </c>
      <c r="C33" s="94" t="s">
        <v>174</v>
      </c>
      <c r="D33" s="94" t="s">
        <v>179</v>
      </c>
      <c r="E33" s="95" t="s">
        <v>177</v>
      </c>
      <c r="F33" s="165" t="s">
        <v>178</v>
      </c>
      <c r="G33" s="165" t="s">
        <v>189</v>
      </c>
      <c r="O33" s="125" t="s">
        <v>32</v>
      </c>
      <c r="P33" s="164" t="s">
        <v>171</v>
      </c>
      <c r="Q33" s="164" t="s">
        <v>187</v>
      </c>
      <c r="R33" s="165" t="s">
        <v>175</v>
      </c>
    </row>
    <row r="34" spans="2:18" ht="14.25" hidden="1" thickTop="1">
      <c r="B34" s="156">
        <v>0</v>
      </c>
      <c r="C34" s="157" t="s">
        <v>159</v>
      </c>
      <c r="D34" s="157"/>
      <c r="E34" s="158"/>
      <c r="F34" s="167" t="s">
        <v>159</v>
      </c>
      <c r="G34" s="170"/>
      <c r="O34" s="166">
        <v>0</v>
      </c>
      <c r="P34" s="163" t="s">
        <v>159</v>
      </c>
      <c r="Q34" s="163" t="s">
        <v>159</v>
      </c>
      <c r="R34" s="167" t="s">
        <v>159</v>
      </c>
    </row>
    <row r="35" spans="2:18" ht="14.25" thickTop="1">
      <c r="B35" s="159">
        <v>1</v>
      </c>
      <c r="C35" s="129"/>
      <c r="D35" s="23"/>
      <c r="E35" s="57" t="str">
        <f>IF($C35&lt;&gt;"","ALERT_" &amp; UPPER(Matrix!$D$6) &amp; "_" &amp; $C35,"")</f>
        <v/>
      </c>
      <c r="F35" s="161"/>
      <c r="G35" s="57" t="str">
        <f>IF(E35&lt;&gt;"",LEN(E35),"")</f>
        <v/>
      </c>
      <c r="O35" s="159">
        <v>1</v>
      </c>
      <c r="P35" s="129"/>
      <c r="Q35" s="129"/>
      <c r="R35" s="180"/>
    </row>
    <row r="36" spans="2:18">
      <c r="B36" s="159">
        <v>2</v>
      </c>
      <c r="C36" s="129"/>
      <c r="D36" s="23"/>
      <c r="E36" s="57" t="str">
        <f>IF($C36&lt;&gt;"","ALERT_" &amp; UPPER(Matrix!$D$6) &amp; "_" &amp; $C36,"")</f>
        <v/>
      </c>
      <c r="F36" s="161"/>
      <c r="G36" s="57" t="str">
        <f>IF(E36&lt;&gt;"",LEN(E36),"")</f>
        <v/>
      </c>
      <c r="O36" s="159">
        <v>2</v>
      </c>
      <c r="P36" s="129"/>
      <c r="Q36" s="129"/>
      <c r="R36" s="161"/>
    </row>
    <row r="37" spans="2:18">
      <c r="B37" s="159">
        <v>3</v>
      </c>
      <c r="C37" s="129"/>
      <c r="D37" s="23"/>
      <c r="E37" s="57" t="str">
        <f>IF($C37&lt;&gt;"","ALERT_" &amp; UPPER(Matrix!$D$6) &amp; "_" &amp; $C37,"")</f>
        <v/>
      </c>
      <c r="F37" s="161"/>
      <c r="G37" s="57" t="str">
        <f>IF(E37&lt;&gt;"",LEN(E37),"")</f>
        <v/>
      </c>
      <c r="O37" s="159">
        <v>3</v>
      </c>
      <c r="P37" s="129"/>
      <c r="Q37" s="129"/>
      <c r="R37" s="161"/>
    </row>
    <row r="38" spans="2:18">
      <c r="B38" s="159">
        <v>4</v>
      </c>
      <c r="C38" s="129"/>
      <c r="D38" s="23"/>
      <c r="E38" s="57" t="str">
        <f>IF($C38&lt;&gt;"","ALERT_" &amp; UPPER(Matrix!$D$6) &amp; "_" &amp; $C38,"")</f>
        <v/>
      </c>
      <c r="F38" s="161"/>
      <c r="G38" s="57" t="str">
        <f t="shared" ref="G38:G59" si="1">IF(E38&lt;&gt;"",LEN(E38),"")</f>
        <v/>
      </c>
      <c r="O38" s="159">
        <v>4</v>
      </c>
      <c r="P38" s="129"/>
      <c r="Q38" s="129"/>
      <c r="R38" s="161"/>
    </row>
    <row r="39" spans="2:18">
      <c r="B39" s="159">
        <v>5</v>
      </c>
      <c r="C39" s="129"/>
      <c r="D39" s="23"/>
      <c r="E39" s="57" t="str">
        <f>IF($C39&lt;&gt;"","ALERT_" &amp; UPPER(Matrix!$D$6) &amp; "_" &amp; $C39,"")</f>
        <v/>
      </c>
      <c r="F39" s="161"/>
      <c r="G39" s="57" t="str">
        <f t="shared" si="1"/>
        <v/>
      </c>
      <c r="O39" s="159">
        <v>5</v>
      </c>
      <c r="P39" s="129"/>
      <c r="Q39" s="129"/>
      <c r="R39" s="161"/>
    </row>
    <row r="40" spans="2:18">
      <c r="B40" s="159">
        <v>6</v>
      </c>
      <c r="C40" s="129"/>
      <c r="D40" s="23"/>
      <c r="E40" s="57" t="str">
        <f>IF($C40&lt;&gt;"","ALERT_" &amp; UPPER(Matrix!$D$6) &amp; "_" &amp; $C40,"")</f>
        <v/>
      </c>
      <c r="F40" s="161"/>
      <c r="G40" s="57" t="str">
        <f t="shared" si="1"/>
        <v/>
      </c>
      <c r="O40" s="159">
        <v>6</v>
      </c>
      <c r="P40" s="129"/>
      <c r="Q40" s="129"/>
      <c r="R40" s="161"/>
    </row>
    <row r="41" spans="2:18">
      <c r="B41" s="159">
        <v>7</v>
      </c>
      <c r="C41" s="129"/>
      <c r="D41" s="23"/>
      <c r="E41" s="57" t="str">
        <f>IF($C41&lt;&gt;"","ALERT_" &amp; UPPER(Matrix!$D$6) &amp; "_" &amp; $C41,"")</f>
        <v/>
      </c>
      <c r="F41" s="161"/>
      <c r="G41" s="57" t="str">
        <f t="shared" si="1"/>
        <v/>
      </c>
      <c r="O41" s="159">
        <v>7</v>
      </c>
      <c r="P41" s="129"/>
      <c r="Q41" s="129"/>
      <c r="R41" s="161"/>
    </row>
    <row r="42" spans="2:18">
      <c r="B42" s="159">
        <v>8</v>
      </c>
      <c r="C42" s="129"/>
      <c r="D42" s="23"/>
      <c r="E42" s="57" t="str">
        <f>IF($C42&lt;&gt;"","ALERT_" &amp; UPPER(Matrix!$D$6) &amp; "_" &amp; $C42,"")</f>
        <v/>
      </c>
      <c r="F42" s="161"/>
      <c r="G42" s="57" t="str">
        <f t="shared" si="1"/>
        <v/>
      </c>
      <c r="O42" s="159">
        <v>8</v>
      </c>
      <c r="P42" s="129"/>
      <c r="Q42" s="129"/>
      <c r="R42" s="161"/>
    </row>
    <row r="43" spans="2:18">
      <c r="B43" s="159">
        <v>9</v>
      </c>
      <c r="C43" s="129"/>
      <c r="D43" s="23"/>
      <c r="E43" s="57" t="str">
        <f>IF($C43&lt;&gt;"","ALERT_" &amp; UPPER(Matrix!$D$6) &amp; "_" &amp; $C43,"")</f>
        <v/>
      </c>
      <c r="F43" s="161"/>
      <c r="G43" s="57" t="str">
        <f t="shared" si="1"/>
        <v/>
      </c>
      <c r="O43" s="159">
        <v>9</v>
      </c>
      <c r="P43" s="129"/>
      <c r="Q43" s="129"/>
      <c r="R43" s="161"/>
    </row>
    <row r="44" spans="2:18">
      <c r="B44" s="159">
        <v>10</v>
      </c>
      <c r="C44" s="129"/>
      <c r="D44" s="23"/>
      <c r="E44" s="57" t="str">
        <f>IF($C44&lt;&gt;"","ALERT_" &amp; UPPER(Matrix!$D$6) &amp; "_" &amp; $C44,"")</f>
        <v/>
      </c>
      <c r="F44" s="161"/>
      <c r="G44" s="57" t="str">
        <f t="shared" si="1"/>
        <v/>
      </c>
      <c r="O44" s="159">
        <v>10</v>
      </c>
      <c r="P44" s="129"/>
      <c r="Q44" s="129"/>
      <c r="R44" s="161"/>
    </row>
    <row r="45" spans="2:18">
      <c r="B45" s="159">
        <v>11</v>
      </c>
      <c r="C45" s="129"/>
      <c r="D45" s="23"/>
      <c r="E45" s="57" t="str">
        <f>IF($C45&lt;&gt;"","ALERT_" &amp; UPPER(Matrix!$D$6) &amp; "_" &amp; $C45,"")</f>
        <v/>
      </c>
      <c r="F45" s="161"/>
      <c r="G45" s="57" t="str">
        <f t="shared" si="1"/>
        <v/>
      </c>
      <c r="O45" s="159">
        <v>11</v>
      </c>
      <c r="P45" s="129"/>
      <c r="Q45" s="129"/>
      <c r="R45" s="161"/>
    </row>
    <row r="46" spans="2:18">
      <c r="B46" s="159">
        <v>12</v>
      </c>
      <c r="C46" s="129"/>
      <c r="D46" s="23"/>
      <c r="E46" s="57" t="str">
        <f>IF($C46&lt;&gt;"","ALERT_" &amp; UPPER(Matrix!$D$6) &amp; "_" &amp; $C46,"")</f>
        <v/>
      </c>
      <c r="F46" s="161"/>
      <c r="G46" s="57" t="str">
        <f t="shared" si="1"/>
        <v/>
      </c>
      <c r="O46" s="159">
        <v>12</v>
      </c>
      <c r="P46" s="129"/>
      <c r="Q46" s="129"/>
      <c r="R46" s="161"/>
    </row>
    <row r="47" spans="2:18">
      <c r="B47" s="159">
        <v>13</v>
      </c>
      <c r="C47" s="129"/>
      <c r="D47" s="23"/>
      <c r="E47" s="57" t="str">
        <f>IF($C47&lt;&gt;"","ALERT_" &amp; UPPER(Matrix!$D$6) &amp; "_" &amp; $C47,"")</f>
        <v/>
      </c>
      <c r="F47" s="161"/>
      <c r="G47" s="57" t="str">
        <f t="shared" si="1"/>
        <v/>
      </c>
      <c r="O47" s="159">
        <v>13</v>
      </c>
      <c r="P47" s="129"/>
      <c r="Q47" s="129"/>
      <c r="R47" s="161"/>
    </row>
    <row r="48" spans="2:18">
      <c r="B48" s="159">
        <v>14</v>
      </c>
      <c r="C48" s="129"/>
      <c r="D48" s="23"/>
      <c r="E48" s="57" t="str">
        <f>IF($C48&lt;&gt;"","ALERT_" &amp; UPPER(Matrix!$D$6) &amp; "_" &amp; $C48,"")</f>
        <v/>
      </c>
      <c r="F48" s="161"/>
      <c r="G48" s="57" t="str">
        <f t="shared" si="1"/>
        <v/>
      </c>
      <c r="O48" s="159">
        <v>14</v>
      </c>
      <c r="P48" s="129"/>
      <c r="Q48" s="129"/>
      <c r="R48" s="161"/>
    </row>
    <row r="49" spans="2:18">
      <c r="B49" s="159">
        <v>15</v>
      </c>
      <c r="C49" s="129"/>
      <c r="D49" s="23"/>
      <c r="E49" s="57" t="str">
        <f>IF($C49&lt;&gt;"","ALERT_" &amp; UPPER(Matrix!$D$6) &amp; "_" &amp; $C49,"")</f>
        <v/>
      </c>
      <c r="F49" s="161"/>
      <c r="G49" s="57" t="str">
        <f t="shared" si="1"/>
        <v/>
      </c>
      <c r="O49" s="159">
        <v>15</v>
      </c>
      <c r="P49" s="129"/>
      <c r="Q49" s="129"/>
      <c r="R49" s="161"/>
    </row>
    <row r="50" spans="2:18">
      <c r="B50" s="159">
        <v>16</v>
      </c>
      <c r="C50" s="129"/>
      <c r="D50" s="23"/>
      <c r="E50" s="57" t="str">
        <f>IF($C50&lt;&gt;"","ALERT_" &amp; UPPER(Matrix!$D$6) &amp; "_" &amp; $C50,"")</f>
        <v/>
      </c>
      <c r="F50" s="161"/>
      <c r="G50" s="57" t="str">
        <f t="shared" si="1"/>
        <v/>
      </c>
      <c r="O50" s="159">
        <v>16</v>
      </c>
      <c r="P50" s="129"/>
      <c r="Q50" s="129"/>
      <c r="R50" s="161"/>
    </row>
    <row r="51" spans="2:18">
      <c r="B51" s="159">
        <v>17</v>
      </c>
      <c r="C51" s="129"/>
      <c r="D51" s="23"/>
      <c r="E51" s="57" t="str">
        <f>IF($C51&lt;&gt;"","ALERT_" &amp; UPPER(Matrix!$D$6) &amp; "_" &amp; $C51,"")</f>
        <v/>
      </c>
      <c r="F51" s="161"/>
      <c r="G51" s="57" t="str">
        <f t="shared" si="1"/>
        <v/>
      </c>
      <c r="O51" s="159">
        <v>17</v>
      </c>
      <c r="P51" s="129"/>
      <c r="Q51" s="129"/>
      <c r="R51" s="161"/>
    </row>
    <row r="52" spans="2:18">
      <c r="B52" s="159">
        <v>18</v>
      </c>
      <c r="C52" s="129"/>
      <c r="D52" s="23"/>
      <c r="E52" s="57" t="str">
        <f>IF($C52&lt;&gt;"","ALERT_" &amp; UPPER(Matrix!$D$6) &amp; "_" &amp; $C52,"")</f>
        <v/>
      </c>
      <c r="F52" s="161"/>
      <c r="G52" s="57" t="str">
        <f t="shared" si="1"/>
        <v/>
      </c>
      <c r="O52" s="159">
        <v>18</v>
      </c>
      <c r="P52" s="129"/>
      <c r="Q52" s="129"/>
      <c r="R52" s="161"/>
    </row>
    <row r="53" spans="2:18">
      <c r="B53" s="159">
        <v>19</v>
      </c>
      <c r="C53" s="129"/>
      <c r="D53" s="23"/>
      <c r="E53" s="57" t="str">
        <f>IF($C53&lt;&gt;"","ALERT_" &amp; UPPER(Matrix!$D$6) &amp; "_" &amp; $C53,"")</f>
        <v/>
      </c>
      <c r="F53" s="161"/>
      <c r="G53" s="57" t="str">
        <f t="shared" si="1"/>
        <v/>
      </c>
      <c r="O53" s="159">
        <v>19</v>
      </c>
      <c r="P53" s="129"/>
      <c r="Q53" s="129"/>
      <c r="R53" s="161"/>
    </row>
    <row r="54" spans="2:18">
      <c r="B54" s="159">
        <v>20</v>
      </c>
      <c r="C54" s="129"/>
      <c r="D54" s="23"/>
      <c r="E54" s="57" t="str">
        <f>IF($C54&lt;&gt;"","ALERT_" &amp; UPPER(Matrix!$D$6) &amp; "_" &amp; $C54,"")</f>
        <v/>
      </c>
      <c r="F54" s="161"/>
      <c r="G54" s="57" t="str">
        <f t="shared" si="1"/>
        <v/>
      </c>
      <c r="O54" s="159">
        <v>20</v>
      </c>
      <c r="P54" s="129"/>
      <c r="Q54" s="129"/>
      <c r="R54" s="161"/>
    </row>
    <row r="55" spans="2:18">
      <c r="B55" s="159">
        <v>21</v>
      </c>
      <c r="C55" s="129"/>
      <c r="D55" s="23"/>
      <c r="E55" s="57" t="str">
        <f>IF($C55&lt;&gt;"","ALERT_" &amp; UPPER(Matrix!$D$6) &amp; "_" &amp; $C55,"")</f>
        <v/>
      </c>
      <c r="F55" s="161"/>
      <c r="G55" s="57" t="str">
        <f t="shared" si="1"/>
        <v/>
      </c>
      <c r="O55" s="159">
        <v>21</v>
      </c>
      <c r="P55" s="129"/>
      <c r="Q55" s="129"/>
      <c r="R55" s="161"/>
    </row>
    <row r="56" spans="2:18">
      <c r="B56" s="159">
        <v>22</v>
      </c>
      <c r="C56" s="129"/>
      <c r="D56" s="23"/>
      <c r="E56" s="57" t="str">
        <f>IF($C56&lt;&gt;"","ALERT_" &amp; UPPER(Matrix!$D$6) &amp; "_" &amp; $C56,"")</f>
        <v/>
      </c>
      <c r="F56" s="161"/>
      <c r="G56" s="57" t="str">
        <f t="shared" si="1"/>
        <v/>
      </c>
      <c r="O56" s="159">
        <v>22</v>
      </c>
      <c r="P56" s="129"/>
      <c r="Q56" s="129"/>
      <c r="R56" s="161"/>
    </row>
    <row r="57" spans="2:18">
      <c r="B57" s="159">
        <v>23</v>
      </c>
      <c r="C57" s="129"/>
      <c r="D57" s="23"/>
      <c r="E57" s="57" t="str">
        <f>IF($C57&lt;&gt;"","ALERT_" &amp; UPPER(Matrix!$D$6) &amp; "_" &amp; $C57,"")</f>
        <v/>
      </c>
      <c r="F57" s="161"/>
      <c r="G57" s="57" t="str">
        <f t="shared" si="1"/>
        <v/>
      </c>
      <c r="O57" s="159">
        <v>23</v>
      </c>
      <c r="P57" s="129"/>
      <c r="Q57" s="129"/>
      <c r="R57" s="161"/>
    </row>
    <row r="58" spans="2:18">
      <c r="B58" s="159">
        <v>24</v>
      </c>
      <c r="C58" s="129"/>
      <c r="D58" s="23"/>
      <c r="E58" s="57" t="str">
        <f>IF($C58&lt;&gt;"","ALERT_" &amp; UPPER(Matrix!$D$6) &amp; "_" &amp; $C58,"")</f>
        <v/>
      </c>
      <c r="F58" s="161"/>
      <c r="G58" s="57" t="str">
        <f t="shared" si="1"/>
        <v/>
      </c>
      <c r="O58" s="159">
        <v>24</v>
      </c>
      <c r="P58" s="129"/>
      <c r="Q58" s="129"/>
      <c r="R58" s="161"/>
    </row>
    <row r="59" spans="2:18" ht="14.25" thickBot="1">
      <c r="B59" s="160">
        <v>25</v>
      </c>
      <c r="C59" s="127"/>
      <c r="D59" s="43"/>
      <c r="E59" s="58" t="str">
        <f>IF($C59&lt;&gt;"","ALERT_" &amp; UPPER(Matrix!$D$6) &amp; "_" &amp; $C59,"")</f>
        <v/>
      </c>
      <c r="F59" s="162"/>
      <c r="G59" s="58" t="str">
        <f t="shared" si="1"/>
        <v/>
      </c>
      <c r="O59" s="160">
        <v>25</v>
      </c>
      <c r="P59" s="127"/>
      <c r="Q59" s="127"/>
      <c r="R59" s="16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0" t="s">
        <v>101</v>
      </c>
    </row>
    <row r="2" spans="2:21" ht="14.25" thickBot="1">
      <c r="B2" s="88" t="s">
        <v>56</v>
      </c>
      <c r="C2" s="89" t="s">
        <v>119</v>
      </c>
      <c r="D2" s="90" t="s">
        <v>50</v>
      </c>
      <c r="E2" s="91" t="s">
        <v>51</v>
      </c>
      <c r="F2" s="92" t="s">
        <v>23</v>
      </c>
      <c r="G2" s="91" t="s">
        <v>52</v>
      </c>
      <c r="H2" s="92" t="s">
        <v>25</v>
      </c>
      <c r="I2" s="91" t="s">
        <v>53</v>
      </c>
      <c r="J2" s="92" t="s">
        <v>157</v>
      </c>
      <c r="K2" s="91" t="s">
        <v>54</v>
      </c>
      <c r="L2" s="92" t="s">
        <v>26</v>
      </c>
      <c r="M2" s="89" t="s">
        <v>55</v>
      </c>
      <c r="N2" s="92" t="s">
        <v>114</v>
      </c>
      <c r="O2" s="108" t="s">
        <v>81</v>
      </c>
    </row>
    <row r="3" spans="2:21" ht="15" hidden="1" thickTop="1" thickBot="1">
      <c r="B3" s="24"/>
      <c r="C3" s="40" t="s">
        <v>105</v>
      </c>
      <c r="D3" s="101"/>
      <c r="E3" s="12"/>
      <c r="F3" s="14"/>
      <c r="G3" s="12"/>
      <c r="H3" s="14"/>
      <c r="I3" s="12"/>
      <c r="J3" s="14"/>
      <c r="K3" s="12"/>
      <c r="L3" s="14"/>
      <c r="M3" s="41"/>
      <c r="N3" s="99"/>
      <c r="O3" s="109"/>
      <c r="U3" s="84" t="s">
        <v>95</v>
      </c>
    </row>
    <row r="4" spans="2:21" ht="14.25" thickTop="1">
      <c r="B4" s="98" t="s">
        <v>197</v>
      </c>
      <c r="C4" s="182" t="s">
        <v>198</v>
      </c>
      <c r="D4" s="106">
        <v>0</v>
      </c>
      <c r="E4" s="183" t="s">
        <v>123</v>
      </c>
      <c r="F4" s="184" t="s">
        <v>29</v>
      </c>
      <c r="G4" s="183" t="s">
        <v>123</v>
      </c>
      <c r="H4" s="184" t="s">
        <v>497</v>
      </c>
      <c r="I4" s="183" t="s">
        <v>123</v>
      </c>
      <c r="J4" s="184" t="s">
        <v>29</v>
      </c>
      <c r="K4" s="183" t="s">
        <v>123</v>
      </c>
      <c r="L4" s="184" t="s">
        <v>29</v>
      </c>
      <c r="M4" s="41">
        <f ca="1">LEN(N4)</f>
        <v>30</v>
      </c>
      <c r="N4" s="99" t="str">
        <f ca="1">VLOOKUP($B4,Matrix!$H$13:$I$37,2,FALSE)&amp;"_"&amp;C4</f>
        <v>ALERT_REQ_C_BRKBZ_UNAVAILABLE1</v>
      </c>
      <c r="O4" s="109" t="str">
        <f t="shared" ref="O4:O35" ca="1" si="0">"#define "&amp;N4&amp;REPT(" ",48-M4)&amp;"("&amp;D4&amp;"U)"</f>
        <v>#define ALERT_REQ_C_BRKBZ_UNAVAILABLE1                  (0U)</v>
      </c>
      <c r="U4" s="84" t="s">
        <v>95</v>
      </c>
    </row>
    <row r="5" spans="2:21">
      <c r="B5" s="98" t="s">
        <v>197</v>
      </c>
      <c r="C5" s="97" t="s">
        <v>199</v>
      </c>
      <c r="D5" s="107">
        <v>1</v>
      </c>
      <c r="E5" s="98" t="s">
        <v>123</v>
      </c>
      <c r="F5" s="184" t="s">
        <v>29</v>
      </c>
      <c r="G5" s="98" t="s">
        <v>123</v>
      </c>
      <c r="H5" s="173" t="s">
        <v>498</v>
      </c>
      <c r="I5" s="183" t="s">
        <v>123</v>
      </c>
      <c r="J5" s="184" t="s">
        <v>29</v>
      </c>
      <c r="K5" s="183" t="s">
        <v>123</v>
      </c>
      <c r="L5" s="184" t="s">
        <v>29</v>
      </c>
      <c r="M5" s="36">
        <f t="shared" ref="M5:M68" ca="1" si="1">LEN(N5)</f>
        <v>27</v>
      </c>
      <c r="N5" s="99" t="str">
        <f ca="1">VLOOKUP($B5,Matrix!$H$13:$I$37,2,FALSE)&amp;"_"&amp;C5</f>
        <v>ALERT_REQ_C_BRKBZ_TESTMODE1</v>
      </c>
      <c r="O5" s="110" t="str">
        <f t="shared" ca="1" si="0"/>
        <v>#define ALERT_REQ_C_BRKBZ_TESTMODE1                     (1U)</v>
      </c>
      <c r="U5" s="82" t="s">
        <v>96</v>
      </c>
    </row>
    <row r="6" spans="2:21">
      <c r="B6" s="98" t="s">
        <v>197</v>
      </c>
      <c r="C6" s="97" t="s">
        <v>206</v>
      </c>
      <c r="D6" s="107">
        <v>2</v>
      </c>
      <c r="E6" s="98" t="s">
        <v>123</v>
      </c>
      <c r="F6" s="173" t="s">
        <v>29</v>
      </c>
      <c r="G6" s="98" t="s">
        <v>123</v>
      </c>
      <c r="H6" s="173" t="s">
        <v>499</v>
      </c>
      <c r="I6" s="183" t="s">
        <v>123</v>
      </c>
      <c r="J6" s="184" t="s">
        <v>29</v>
      </c>
      <c r="K6" s="183" t="s">
        <v>123</v>
      </c>
      <c r="L6" s="184" t="s">
        <v>29</v>
      </c>
      <c r="M6" s="36">
        <f t="shared" ca="1" si="1"/>
        <v>27</v>
      </c>
      <c r="N6" s="99" t="str">
        <f ca="1">VLOOKUP($B6,Matrix!$H$13:$I$37,2,FALSE)&amp;"_"&amp;C6</f>
        <v>ALERT_REQ_C_BRKBZ_TESTMODE2</v>
      </c>
      <c r="O6" s="110" t="str">
        <f t="shared" ca="1" si="0"/>
        <v>#define ALERT_REQ_C_BRKBZ_TESTMODE2                     (2U)</v>
      </c>
      <c r="U6" s="27" t="s">
        <v>97</v>
      </c>
    </row>
    <row r="7" spans="2:21">
      <c r="B7" s="98" t="s">
        <v>197</v>
      </c>
      <c r="C7" s="97" t="s">
        <v>200</v>
      </c>
      <c r="D7" s="107">
        <v>3</v>
      </c>
      <c r="E7" s="98" t="s">
        <v>123</v>
      </c>
      <c r="F7" s="173" t="s">
        <v>29</v>
      </c>
      <c r="G7" s="98" t="s">
        <v>123</v>
      </c>
      <c r="H7" s="173" t="s">
        <v>500</v>
      </c>
      <c r="I7" s="183" t="s">
        <v>123</v>
      </c>
      <c r="J7" s="184" t="s">
        <v>29</v>
      </c>
      <c r="K7" s="183" t="s">
        <v>123</v>
      </c>
      <c r="L7" s="184" t="s">
        <v>29</v>
      </c>
      <c r="M7" s="36">
        <f t="shared" ca="1" si="1"/>
        <v>27</v>
      </c>
      <c r="N7" s="99" t="str">
        <f ca="1">VLOOKUP($B7,Matrix!$H$13:$I$37,2,FALSE)&amp;"_"&amp;C7</f>
        <v>ALERT_REQ_C_BRKBZ_TESTMODE3</v>
      </c>
      <c r="O7" s="110" t="str">
        <f t="shared" ca="1" si="0"/>
        <v>#define ALERT_REQ_C_BRKBZ_TESTMODE3                     (3U)</v>
      </c>
      <c r="U7" s="27" t="s">
        <v>98</v>
      </c>
    </row>
    <row r="8" spans="2:21">
      <c r="B8" s="98" t="s">
        <v>197</v>
      </c>
      <c r="C8" s="182" t="s">
        <v>201</v>
      </c>
      <c r="D8" s="106">
        <v>4</v>
      </c>
      <c r="E8" s="183" t="s">
        <v>123</v>
      </c>
      <c r="F8" s="184" t="s">
        <v>29</v>
      </c>
      <c r="G8" s="183" t="s">
        <v>123</v>
      </c>
      <c r="H8" s="184" t="s">
        <v>501</v>
      </c>
      <c r="I8" s="183" t="s">
        <v>123</v>
      </c>
      <c r="J8" s="173" t="s">
        <v>29</v>
      </c>
      <c r="K8" s="183" t="s">
        <v>123</v>
      </c>
      <c r="L8" s="184" t="s">
        <v>29</v>
      </c>
      <c r="M8" s="36">
        <f t="shared" ca="1" si="1"/>
        <v>25</v>
      </c>
      <c r="N8" s="99" t="str">
        <f ca="1">VLOOKUP($B8,Matrix!$H$13:$I$37,2,FALSE)&amp;"_"&amp;C8</f>
        <v>ALERT_REQ_C_BRKBZ_APPOPE1</v>
      </c>
      <c r="O8" s="110" t="str">
        <f t="shared" ca="1" si="0"/>
        <v>#define ALERT_REQ_C_BRKBZ_APPOPE1                       (4U)</v>
      </c>
      <c r="U8" s="27" t="s">
        <v>99</v>
      </c>
    </row>
    <row r="9" spans="2:21">
      <c r="B9" s="98" t="s">
        <v>197</v>
      </c>
      <c r="C9" s="97" t="s">
        <v>202</v>
      </c>
      <c r="D9" s="107">
        <v>5</v>
      </c>
      <c r="E9" s="183" t="s">
        <v>123</v>
      </c>
      <c r="F9" s="184" t="s">
        <v>29</v>
      </c>
      <c r="G9" s="183" t="s">
        <v>123</v>
      </c>
      <c r="H9" s="184" t="s">
        <v>502</v>
      </c>
      <c r="I9" s="183" t="s">
        <v>123</v>
      </c>
      <c r="J9" s="173" t="s">
        <v>29</v>
      </c>
      <c r="K9" s="183" t="s">
        <v>123</v>
      </c>
      <c r="L9" s="184" t="s">
        <v>29</v>
      </c>
      <c r="M9" s="36">
        <f t="shared" ca="1" si="1"/>
        <v>25</v>
      </c>
      <c r="N9" s="99" t="str">
        <f ca="1">VLOOKUP($B9,Matrix!$H$13:$I$37,2,FALSE)&amp;"_"&amp;C9</f>
        <v>ALERT_REQ_C_BRKBZ_APPOPE2</v>
      </c>
      <c r="O9" s="110" t="str">
        <f t="shared" ca="1" si="0"/>
        <v>#define ALERT_REQ_C_BRKBZ_APPOPE2                       (5U)</v>
      </c>
      <c r="U9" s="27" t="s">
        <v>100</v>
      </c>
    </row>
    <row r="10" spans="2:21">
      <c r="B10" s="98" t="s">
        <v>197</v>
      </c>
      <c r="C10" s="97" t="s">
        <v>203</v>
      </c>
      <c r="D10" s="106">
        <v>6</v>
      </c>
      <c r="E10" s="98" t="s">
        <v>123</v>
      </c>
      <c r="F10" s="173" t="s">
        <v>29</v>
      </c>
      <c r="G10" s="98" t="s">
        <v>123</v>
      </c>
      <c r="H10" s="173" t="s">
        <v>504</v>
      </c>
      <c r="I10" s="183" t="s">
        <v>123</v>
      </c>
      <c r="J10" s="173" t="s">
        <v>29</v>
      </c>
      <c r="K10" s="98" t="s">
        <v>123</v>
      </c>
      <c r="L10" s="173" t="s">
        <v>29</v>
      </c>
      <c r="M10" s="36">
        <f t="shared" ca="1" si="1"/>
        <v>25</v>
      </c>
      <c r="N10" s="99" t="str">
        <f ca="1">VLOOKUP($B10,Matrix!$H$13:$I$37,2,FALSE)&amp;"_"&amp;C10</f>
        <v>ALERT_REQ_C_BRKBZ_FAILURE</v>
      </c>
      <c r="O10" s="110" t="str">
        <f t="shared" ca="1" si="0"/>
        <v>#define ALERT_REQ_C_BRKBZ_FAILURE                       (6U)</v>
      </c>
      <c r="U10" s="27"/>
    </row>
    <row r="11" spans="2:21">
      <c r="B11" s="98" t="s">
        <v>197</v>
      </c>
      <c r="C11" s="23" t="s">
        <v>204</v>
      </c>
      <c r="D11" s="106">
        <v>7</v>
      </c>
      <c r="E11" s="98" t="s">
        <v>123</v>
      </c>
      <c r="F11" s="173" t="s">
        <v>29</v>
      </c>
      <c r="G11" s="98" t="s">
        <v>123</v>
      </c>
      <c r="H11" s="173" t="s">
        <v>505</v>
      </c>
      <c r="I11" s="183" t="s">
        <v>123</v>
      </c>
      <c r="J11" s="173" t="s">
        <v>29</v>
      </c>
      <c r="K11" s="98" t="s">
        <v>123</v>
      </c>
      <c r="L11" s="173" t="s">
        <v>29</v>
      </c>
      <c r="M11" s="36">
        <f t="shared" ca="1" si="1"/>
        <v>30</v>
      </c>
      <c r="N11" s="99" t="str">
        <f ca="1">VLOOKUP($B11,Matrix!$H$13:$I$37,2,FALSE)&amp;"_"&amp;C11</f>
        <v>ALERT_REQ_C_BRKBZ_UNAVAILABLE2</v>
      </c>
      <c r="O11" s="110" t="str">
        <f t="shared" ca="1" si="0"/>
        <v>#define ALERT_REQ_C_BRKBZ_UNAVAILABLE2                  (7U)</v>
      </c>
      <c r="U11" s="27"/>
    </row>
    <row r="12" spans="2:21">
      <c r="B12" s="98" t="s">
        <v>197</v>
      </c>
      <c r="C12" s="23" t="s">
        <v>205</v>
      </c>
      <c r="D12" s="106">
        <v>8</v>
      </c>
      <c r="E12" s="98" t="s">
        <v>123</v>
      </c>
      <c r="F12" s="173" t="s">
        <v>29</v>
      </c>
      <c r="G12" s="98" t="s">
        <v>123</v>
      </c>
      <c r="H12" s="173" t="s">
        <v>503</v>
      </c>
      <c r="I12" s="98" t="s">
        <v>123</v>
      </c>
      <c r="J12" s="173" t="s">
        <v>29</v>
      </c>
      <c r="K12" s="98" t="s">
        <v>123</v>
      </c>
      <c r="L12" s="173" t="s">
        <v>29</v>
      </c>
      <c r="M12" s="36">
        <f t="shared" ca="1" si="1"/>
        <v>25</v>
      </c>
      <c r="N12" s="99" t="str">
        <f ca="1">VLOOKUP($B12,Matrix!$H$13:$I$37,2,FALSE)&amp;"_"&amp;C12</f>
        <v>ALERT_REQ_C_BRKBZ_APPOPE3</v>
      </c>
      <c r="O12" s="110" t="str">
        <f t="shared" ca="1" si="0"/>
        <v>#define ALERT_REQ_C_BRKBZ_APPOPE3                       (8U)</v>
      </c>
      <c r="U12" s="27"/>
    </row>
    <row r="13" spans="2:21" ht="14.25" thickBot="1">
      <c r="B13" s="98"/>
      <c r="C13" s="97"/>
      <c r="D13" s="106"/>
      <c r="E13" s="98"/>
      <c r="F13" s="173"/>
      <c r="G13" s="98"/>
      <c r="H13" s="173"/>
      <c r="I13" s="98"/>
      <c r="J13" s="173"/>
      <c r="K13" s="98"/>
      <c r="L13" s="173"/>
      <c r="M13" s="36" t="e">
        <f t="shared" ca="1" si="1"/>
        <v>#N/A</v>
      </c>
      <c r="N13" s="99" t="e">
        <f ca="1">VLOOKUP($B13,Matrix!$H$13:$I$37,2,FALSE)&amp;"_"&amp;C13</f>
        <v>#N/A</v>
      </c>
      <c r="O13" s="110" t="e">
        <f t="shared" ca="1" si="0"/>
        <v>#N/A</v>
      </c>
      <c r="U13" s="83"/>
    </row>
    <row r="14" spans="2:21">
      <c r="B14" s="98"/>
      <c r="C14" s="97"/>
      <c r="D14" s="106"/>
      <c r="E14" s="98"/>
      <c r="F14" s="173"/>
      <c r="G14" s="98"/>
      <c r="H14" s="173"/>
      <c r="I14" s="98"/>
      <c r="J14" s="173"/>
      <c r="K14" s="98"/>
      <c r="L14" s="173"/>
      <c r="M14" s="36" t="e">
        <f t="shared" ca="1" si="1"/>
        <v>#N/A</v>
      </c>
      <c r="N14" s="99" t="e">
        <f ca="1">VLOOKUP($B14,Matrix!$H$13:$I$37,2,FALSE)&amp;"_"&amp;C14</f>
        <v>#N/A</v>
      </c>
      <c r="O14" s="110" t="e">
        <f t="shared" ca="1" si="0"/>
        <v>#N/A</v>
      </c>
    </row>
    <row r="15" spans="2:21">
      <c r="B15" s="24"/>
      <c r="C15" s="23"/>
      <c r="D15" s="106"/>
      <c r="E15" s="98"/>
      <c r="F15" s="173"/>
      <c r="G15" s="98"/>
      <c r="H15" s="103"/>
      <c r="I15" s="98"/>
      <c r="J15" s="173"/>
      <c r="K15" s="98"/>
      <c r="L15" s="173"/>
      <c r="M15" s="36" t="e">
        <f t="shared" ca="1" si="1"/>
        <v>#N/A</v>
      </c>
      <c r="N15" s="99" t="e">
        <f ca="1">VLOOKUP($B15,Matrix!$H$13:$I$37,2,FALSE)&amp;"_"&amp;C15</f>
        <v>#N/A</v>
      </c>
      <c r="O15" s="110" t="e">
        <f t="shared" ca="1" si="0"/>
        <v>#N/A</v>
      </c>
    </row>
    <row r="16" spans="2:21">
      <c r="B16" s="98"/>
      <c r="C16" s="97"/>
      <c r="D16" s="106"/>
      <c r="E16" s="98"/>
      <c r="F16" s="173"/>
      <c r="G16" s="98"/>
      <c r="H16" s="173"/>
      <c r="I16" s="98"/>
      <c r="J16" s="173"/>
      <c r="K16" s="98"/>
      <c r="L16" s="173"/>
      <c r="M16" s="36" t="e">
        <f t="shared" ca="1" si="1"/>
        <v>#N/A</v>
      </c>
      <c r="N16" s="99" t="e">
        <f ca="1">VLOOKUP($B16,Matrix!$H$13:$I$37,2,FALSE)&amp;"_"&amp;C16</f>
        <v>#N/A</v>
      </c>
      <c r="O16" s="110" t="e">
        <f t="shared" ca="1" si="0"/>
        <v>#N/A</v>
      </c>
    </row>
    <row r="17" spans="2:15">
      <c r="B17" s="98"/>
      <c r="C17" s="23"/>
      <c r="D17" s="106"/>
      <c r="E17" s="98"/>
      <c r="F17" s="173"/>
      <c r="G17" s="98"/>
      <c r="H17" s="103"/>
      <c r="I17" s="98"/>
      <c r="J17" s="173"/>
      <c r="K17" s="98"/>
      <c r="L17" s="173"/>
      <c r="M17" s="36" t="e">
        <f t="shared" ca="1" si="1"/>
        <v>#N/A</v>
      </c>
      <c r="N17" s="99" t="e">
        <f ca="1">VLOOKUP($B17,Matrix!$H$13:$I$37,2,FALSE)&amp;"_"&amp;C17</f>
        <v>#N/A</v>
      </c>
      <c r="O17" s="110" t="e">
        <f t="shared" ca="1" si="0"/>
        <v>#N/A</v>
      </c>
    </row>
    <row r="18" spans="2:15">
      <c r="B18" s="98"/>
      <c r="C18" s="23"/>
      <c r="D18" s="106"/>
      <c r="E18" s="98"/>
      <c r="F18" s="173"/>
      <c r="G18" s="98"/>
      <c r="H18" s="173"/>
      <c r="I18" s="98"/>
      <c r="J18" s="173"/>
      <c r="K18" s="98"/>
      <c r="L18" s="173"/>
      <c r="M18" s="36" t="e">
        <f t="shared" ca="1" si="1"/>
        <v>#N/A</v>
      </c>
      <c r="N18" s="99" t="e">
        <f ca="1">VLOOKUP($B18,Matrix!$H$13:$I$37,2,FALSE)&amp;"_"&amp;C18</f>
        <v>#N/A</v>
      </c>
      <c r="O18" s="110" t="e">
        <f t="shared" ca="1" si="0"/>
        <v>#N/A</v>
      </c>
    </row>
    <row r="19" spans="2:15">
      <c r="B19" s="24"/>
      <c r="C19" s="23"/>
      <c r="D19" s="102"/>
      <c r="E19" s="24"/>
      <c r="F19" s="103"/>
      <c r="G19" s="24"/>
      <c r="H19" s="103"/>
      <c r="I19" s="24"/>
      <c r="J19" s="103"/>
      <c r="K19" s="24"/>
      <c r="L19" s="103"/>
      <c r="M19" s="36" t="e">
        <f t="shared" ca="1" si="1"/>
        <v>#N/A</v>
      </c>
      <c r="N19" s="99" t="e">
        <f ca="1">VLOOKUP($B19,Matrix!$H$13:$I$37,2,FALSE)&amp;"_"&amp;C19</f>
        <v>#N/A</v>
      </c>
      <c r="O19" s="110" t="e">
        <f t="shared" ca="1" si="0"/>
        <v>#N/A</v>
      </c>
    </row>
    <row r="20" spans="2:15">
      <c r="B20" s="24"/>
      <c r="C20" s="23"/>
      <c r="D20" s="102"/>
      <c r="E20" s="24"/>
      <c r="F20" s="103"/>
      <c r="G20" s="24"/>
      <c r="H20" s="103"/>
      <c r="I20" s="24"/>
      <c r="J20" s="103"/>
      <c r="K20" s="24"/>
      <c r="L20" s="103"/>
      <c r="M20" s="36" t="e">
        <f t="shared" ca="1" si="1"/>
        <v>#N/A</v>
      </c>
      <c r="N20" s="99" t="e">
        <f ca="1">VLOOKUP($B20,Matrix!$H$13:$I$37,2,FALSE)&amp;"_"&amp;C20</f>
        <v>#N/A</v>
      </c>
      <c r="O20" s="110" t="e">
        <f t="shared" ca="1" si="0"/>
        <v>#N/A</v>
      </c>
    </row>
    <row r="21" spans="2:15">
      <c r="B21" s="24"/>
      <c r="C21" s="23"/>
      <c r="D21" s="102"/>
      <c r="E21" s="24"/>
      <c r="F21" s="103"/>
      <c r="G21" s="24"/>
      <c r="H21" s="103"/>
      <c r="I21" s="24"/>
      <c r="J21" s="103"/>
      <c r="K21" s="24"/>
      <c r="L21" s="103"/>
      <c r="M21" s="36" t="e">
        <f t="shared" ca="1" si="1"/>
        <v>#N/A</v>
      </c>
      <c r="N21" s="99" t="e">
        <f ca="1">VLOOKUP($B21,Matrix!$H$13:$I$37,2,FALSE)&amp;"_"&amp;C21</f>
        <v>#N/A</v>
      </c>
      <c r="O21" s="110" t="e">
        <f t="shared" ca="1" si="0"/>
        <v>#N/A</v>
      </c>
    </row>
    <row r="22" spans="2:15">
      <c r="B22" s="24"/>
      <c r="C22" s="23"/>
      <c r="D22" s="102"/>
      <c r="E22" s="24"/>
      <c r="F22" s="103"/>
      <c r="G22" s="24"/>
      <c r="H22" s="103"/>
      <c r="I22" s="24"/>
      <c r="J22" s="103"/>
      <c r="K22" s="24"/>
      <c r="L22" s="103"/>
      <c r="M22" s="36" t="e">
        <f t="shared" ca="1" si="1"/>
        <v>#N/A</v>
      </c>
      <c r="N22" s="99" t="e">
        <f ca="1">VLOOKUP($B22,Matrix!$H$13:$I$37,2,FALSE)&amp;"_"&amp;C22</f>
        <v>#N/A</v>
      </c>
      <c r="O22" s="110" t="e">
        <f t="shared" ca="1" si="0"/>
        <v>#N/A</v>
      </c>
    </row>
    <row r="23" spans="2:15">
      <c r="B23" s="24"/>
      <c r="C23" s="23"/>
      <c r="D23" s="102"/>
      <c r="E23" s="24"/>
      <c r="F23" s="103"/>
      <c r="G23" s="24"/>
      <c r="H23" s="103"/>
      <c r="I23" s="24"/>
      <c r="J23" s="103"/>
      <c r="K23" s="24"/>
      <c r="L23" s="103"/>
      <c r="M23" s="36" t="e">
        <f t="shared" ca="1" si="1"/>
        <v>#N/A</v>
      </c>
      <c r="N23" s="99" t="e">
        <f ca="1">VLOOKUP($B23,Matrix!$H$13:$I$37,2,FALSE)&amp;"_"&amp;C23</f>
        <v>#N/A</v>
      </c>
      <c r="O23" s="110" t="e">
        <f t="shared" ca="1" si="0"/>
        <v>#N/A</v>
      </c>
    </row>
    <row r="24" spans="2:15">
      <c r="B24" s="24"/>
      <c r="C24" s="23"/>
      <c r="D24" s="102"/>
      <c r="E24" s="24"/>
      <c r="F24" s="103"/>
      <c r="G24" s="24"/>
      <c r="H24" s="103"/>
      <c r="I24" s="24"/>
      <c r="J24" s="103"/>
      <c r="K24" s="24"/>
      <c r="L24" s="103"/>
      <c r="M24" s="36" t="e">
        <f t="shared" ca="1" si="1"/>
        <v>#N/A</v>
      </c>
      <c r="N24" s="99" t="e">
        <f ca="1">VLOOKUP($B24,Matrix!$H$13:$I$37,2,FALSE)&amp;"_"&amp;C24</f>
        <v>#N/A</v>
      </c>
      <c r="O24" s="110" t="e">
        <f t="shared" ca="1" si="0"/>
        <v>#N/A</v>
      </c>
    </row>
    <row r="25" spans="2:15">
      <c r="B25" s="24"/>
      <c r="C25" s="23"/>
      <c r="D25" s="102"/>
      <c r="E25" s="24"/>
      <c r="F25" s="103"/>
      <c r="G25" s="24"/>
      <c r="H25" s="103"/>
      <c r="I25" s="24"/>
      <c r="J25" s="103"/>
      <c r="K25" s="24"/>
      <c r="L25" s="103"/>
      <c r="M25" s="36" t="e">
        <f t="shared" ca="1" si="1"/>
        <v>#N/A</v>
      </c>
      <c r="N25" s="99" t="e">
        <f ca="1">VLOOKUP($B25,Matrix!$H$13:$I$37,2,FALSE)&amp;"_"&amp;C25</f>
        <v>#N/A</v>
      </c>
      <c r="O25" s="110" t="e">
        <f t="shared" ca="1" si="0"/>
        <v>#N/A</v>
      </c>
    </row>
    <row r="26" spans="2:15">
      <c r="B26" s="24"/>
      <c r="C26" s="23"/>
      <c r="D26" s="102"/>
      <c r="E26" s="24"/>
      <c r="F26" s="103"/>
      <c r="G26" s="24"/>
      <c r="H26" s="103"/>
      <c r="I26" s="24"/>
      <c r="J26" s="103"/>
      <c r="K26" s="24"/>
      <c r="L26" s="103"/>
      <c r="M26" s="36" t="e">
        <f t="shared" ca="1" si="1"/>
        <v>#N/A</v>
      </c>
      <c r="N26" s="99" t="e">
        <f ca="1">VLOOKUP($B26,Matrix!$H$13:$I$37,2,FALSE)&amp;"_"&amp;C26</f>
        <v>#N/A</v>
      </c>
      <c r="O26" s="110" t="e">
        <f t="shared" ca="1" si="0"/>
        <v>#N/A</v>
      </c>
    </row>
    <row r="27" spans="2:15">
      <c r="B27" s="24"/>
      <c r="C27" s="23"/>
      <c r="D27" s="102"/>
      <c r="E27" s="24"/>
      <c r="F27" s="103"/>
      <c r="G27" s="24"/>
      <c r="H27" s="103"/>
      <c r="I27" s="24"/>
      <c r="J27" s="103"/>
      <c r="K27" s="24"/>
      <c r="L27" s="103"/>
      <c r="M27" s="36" t="e">
        <f t="shared" ca="1" si="1"/>
        <v>#N/A</v>
      </c>
      <c r="N27" s="99" t="e">
        <f ca="1">VLOOKUP($B27,Matrix!$H$13:$I$37,2,FALSE)&amp;"_"&amp;C27</f>
        <v>#N/A</v>
      </c>
      <c r="O27" s="110" t="e">
        <f t="shared" ca="1" si="0"/>
        <v>#N/A</v>
      </c>
    </row>
    <row r="28" spans="2:15">
      <c r="B28" s="24"/>
      <c r="C28" s="23"/>
      <c r="D28" s="102"/>
      <c r="E28" s="24"/>
      <c r="F28" s="103"/>
      <c r="G28" s="24"/>
      <c r="H28" s="103"/>
      <c r="I28" s="24"/>
      <c r="J28" s="103"/>
      <c r="K28" s="24"/>
      <c r="L28" s="103"/>
      <c r="M28" s="36" t="e">
        <f t="shared" ca="1" si="1"/>
        <v>#N/A</v>
      </c>
      <c r="N28" s="99" t="e">
        <f ca="1">VLOOKUP($B28,Matrix!$H$13:$I$37,2,FALSE)&amp;"_"&amp;C28</f>
        <v>#N/A</v>
      </c>
      <c r="O28" s="110" t="e">
        <f t="shared" ca="1" si="0"/>
        <v>#N/A</v>
      </c>
    </row>
    <row r="29" spans="2:15">
      <c r="B29" s="24"/>
      <c r="C29" s="23"/>
      <c r="D29" s="102"/>
      <c r="E29" s="24"/>
      <c r="F29" s="103"/>
      <c r="G29" s="24"/>
      <c r="H29" s="103"/>
      <c r="I29" s="24"/>
      <c r="J29" s="103"/>
      <c r="K29" s="24"/>
      <c r="L29" s="103"/>
      <c r="M29" s="36" t="e">
        <f t="shared" ca="1" si="1"/>
        <v>#N/A</v>
      </c>
      <c r="N29" s="99" t="e">
        <f ca="1">VLOOKUP($B29,Matrix!$H$13:$I$37,2,FALSE)&amp;"_"&amp;C29</f>
        <v>#N/A</v>
      </c>
      <c r="O29" s="110" t="e">
        <f t="shared" ca="1" si="0"/>
        <v>#N/A</v>
      </c>
    </row>
    <row r="30" spans="2:15">
      <c r="B30" s="24"/>
      <c r="C30" s="23"/>
      <c r="D30" s="102"/>
      <c r="E30" s="24"/>
      <c r="F30" s="103"/>
      <c r="G30" s="24"/>
      <c r="H30" s="103"/>
      <c r="I30" s="24"/>
      <c r="J30" s="103"/>
      <c r="K30" s="24"/>
      <c r="L30" s="103"/>
      <c r="M30" s="36" t="e">
        <f t="shared" ca="1" si="1"/>
        <v>#N/A</v>
      </c>
      <c r="N30" s="99" t="e">
        <f ca="1">VLOOKUP($B30,Matrix!$H$13:$I$37,2,FALSE)&amp;"_"&amp;C30</f>
        <v>#N/A</v>
      </c>
      <c r="O30" s="110" t="e">
        <f t="shared" ca="1" si="0"/>
        <v>#N/A</v>
      </c>
    </row>
    <row r="31" spans="2:15">
      <c r="B31" s="24"/>
      <c r="C31" s="23"/>
      <c r="D31" s="102"/>
      <c r="E31" s="24"/>
      <c r="F31" s="103"/>
      <c r="G31" s="24"/>
      <c r="H31" s="103"/>
      <c r="I31" s="24"/>
      <c r="J31" s="103"/>
      <c r="K31" s="24"/>
      <c r="L31" s="103"/>
      <c r="M31" s="36" t="e">
        <f t="shared" ca="1" si="1"/>
        <v>#N/A</v>
      </c>
      <c r="N31" s="99" t="e">
        <f ca="1">VLOOKUP($B31,Matrix!$H$13:$I$37,2,FALSE)&amp;"_"&amp;C31</f>
        <v>#N/A</v>
      </c>
      <c r="O31" s="110" t="e">
        <f t="shared" ca="1" si="0"/>
        <v>#N/A</v>
      </c>
    </row>
    <row r="32" spans="2:15">
      <c r="B32" s="24"/>
      <c r="C32" s="23"/>
      <c r="D32" s="102"/>
      <c r="E32" s="24"/>
      <c r="F32" s="103"/>
      <c r="G32" s="24"/>
      <c r="H32" s="103"/>
      <c r="I32" s="24"/>
      <c r="J32" s="103"/>
      <c r="K32" s="24"/>
      <c r="L32" s="103"/>
      <c r="M32" s="36" t="e">
        <f t="shared" ca="1" si="1"/>
        <v>#N/A</v>
      </c>
      <c r="N32" s="99" t="e">
        <f ca="1">VLOOKUP($B32,Matrix!$H$13:$I$37,2,FALSE)&amp;"_"&amp;C32</f>
        <v>#N/A</v>
      </c>
      <c r="O32" s="110" t="e">
        <f t="shared" ca="1" si="0"/>
        <v>#N/A</v>
      </c>
    </row>
    <row r="33" spans="2:15">
      <c r="B33" s="24"/>
      <c r="C33" s="23"/>
      <c r="D33" s="102"/>
      <c r="E33" s="24"/>
      <c r="F33" s="103"/>
      <c r="G33" s="24"/>
      <c r="H33" s="103"/>
      <c r="I33" s="24"/>
      <c r="J33" s="103"/>
      <c r="K33" s="24"/>
      <c r="L33" s="103"/>
      <c r="M33" s="36" t="e">
        <f t="shared" ca="1" si="1"/>
        <v>#N/A</v>
      </c>
      <c r="N33" s="99" t="e">
        <f ca="1">VLOOKUP($B33,Matrix!$H$13:$I$37,2,FALSE)&amp;"_"&amp;C33</f>
        <v>#N/A</v>
      </c>
      <c r="O33" s="110" t="e">
        <f t="shared" ca="1" si="0"/>
        <v>#N/A</v>
      </c>
    </row>
    <row r="34" spans="2:15">
      <c r="B34" s="24"/>
      <c r="C34" s="23"/>
      <c r="D34" s="102"/>
      <c r="E34" s="24"/>
      <c r="F34" s="103"/>
      <c r="G34" s="24"/>
      <c r="H34" s="103"/>
      <c r="I34" s="24"/>
      <c r="J34" s="103"/>
      <c r="K34" s="24"/>
      <c r="L34" s="103"/>
      <c r="M34" s="36" t="e">
        <f t="shared" ca="1" si="1"/>
        <v>#N/A</v>
      </c>
      <c r="N34" s="99" t="e">
        <f ca="1">VLOOKUP($B34,Matrix!$H$13:$I$37,2,FALSE)&amp;"_"&amp;C34</f>
        <v>#N/A</v>
      </c>
      <c r="O34" s="110" t="e">
        <f t="shared" ca="1" si="0"/>
        <v>#N/A</v>
      </c>
    </row>
    <row r="35" spans="2:15">
      <c r="B35" s="24"/>
      <c r="C35" s="23"/>
      <c r="D35" s="102"/>
      <c r="E35" s="24"/>
      <c r="F35" s="103"/>
      <c r="G35" s="24"/>
      <c r="H35" s="103"/>
      <c r="I35" s="24"/>
      <c r="J35" s="103"/>
      <c r="K35" s="24"/>
      <c r="L35" s="103"/>
      <c r="M35" s="36" t="e">
        <f t="shared" ca="1" si="1"/>
        <v>#N/A</v>
      </c>
      <c r="N35" s="99" t="e">
        <f ca="1">VLOOKUP($B35,Matrix!$H$13:$I$37,2,FALSE)&amp;"_"&amp;C35</f>
        <v>#N/A</v>
      </c>
      <c r="O35" s="110" t="e">
        <f t="shared" ca="1" si="0"/>
        <v>#N/A</v>
      </c>
    </row>
    <row r="36" spans="2:15">
      <c r="B36" s="24"/>
      <c r="C36" s="23"/>
      <c r="D36" s="102"/>
      <c r="E36" s="24"/>
      <c r="F36" s="103"/>
      <c r="G36" s="24"/>
      <c r="H36" s="103"/>
      <c r="I36" s="24"/>
      <c r="J36" s="103"/>
      <c r="K36" s="24"/>
      <c r="L36" s="103"/>
      <c r="M36" s="36" t="e">
        <f t="shared" ca="1" si="1"/>
        <v>#N/A</v>
      </c>
      <c r="N36" s="99" t="e">
        <f ca="1">VLOOKUP($B36,Matrix!$H$13:$I$37,2,FALSE)&amp;"_"&amp;C36</f>
        <v>#N/A</v>
      </c>
      <c r="O36" s="110" t="e">
        <f t="shared" ref="O36:O67" ca="1" si="2">"#define "&amp;N36&amp;REPT(" ",48-M36)&amp;"("&amp;D36&amp;"U)"</f>
        <v>#N/A</v>
      </c>
    </row>
    <row r="37" spans="2:15">
      <c r="B37" s="24"/>
      <c r="C37" s="23"/>
      <c r="D37" s="102"/>
      <c r="E37" s="24"/>
      <c r="F37" s="103"/>
      <c r="G37" s="24"/>
      <c r="H37" s="103"/>
      <c r="I37" s="24"/>
      <c r="J37" s="103"/>
      <c r="K37" s="24"/>
      <c r="L37" s="103"/>
      <c r="M37" s="36" t="e">
        <f t="shared" ca="1" si="1"/>
        <v>#N/A</v>
      </c>
      <c r="N37" s="99" t="e">
        <f ca="1">VLOOKUP($B37,Matrix!$H$13:$I$37,2,FALSE)&amp;"_"&amp;C37</f>
        <v>#N/A</v>
      </c>
      <c r="O37" s="110" t="e">
        <f t="shared" ca="1" si="2"/>
        <v>#N/A</v>
      </c>
    </row>
    <row r="38" spans="2:15">
      <c r="B38" s="24"/>
      <c r="C38" s="23"/>
      <c r="D38" s="102"/>
      <c r="E38" s="24"/>
      <c r="F38" s="103"/>
      <c r="G38" s="24"/>
      <c r="H38" s="103"/>
      <c r="I38" s="24"/>
      <c r="J38" s="103"/>
      <c r="K38" s="24"/>
      <c r="L38" s="103"/>
      <c r="M38" s="36" t="e">
        <f t="shared" ca="1" si="1"/>
        <v>#N/A</v>
      </c>
      <c r="N38" s="99" t="e">
        <f ca="1">VLOOKUP($B38,Matrix!$H$13:$I$37,2,FALSE)&amp;"_"&amp;C38</f>
        <v>#N/A</v>
      </c>
      <c r="O38" s="110" t="e">
        <f t="shared" ca="1" si="2"/>
        <v>#N/A</v>
      </c>
    </row>
    <row r="39" spans="2:15">
      <c r="B39" s="24"/>
      <c r="C39" s="23"/>
      <c r="D39" s="102"/>
      <c r="E39" s="24"/>
      <c r="F39" s="103"/>
      <c r="G39" s="24"/>
      <c r="H39" s="103"/>
      <c r="I39" s="24"/>
      <c r="J39" s="103"/>
      <c r="K39" s="24"/>
      <c r="L39" s="103"/>
      <c r="M39" s="36" t="e">
        <f t="shared" ca="1" si="1"/>
        <v>#N/A</v>
      </c>
      <c r="N39" s="99" t="e">
        <f ca="1">VLOOKUP($B39,Matrix!$H$13:$I$37,2,FALSE)&amp;"_"&amp;C39</f>
        <v>#N/A</v>
      </c>
      <c r="O39" s="110" t="e">
        <f t="shared" ca="1" si="2"/>
        <v>#N/A</v>
      </c>
    </row>
    <row r="40" spans="2:15">
      <c r="B40" s="24"/>
      <c r="C40" s="23"/>
      <c r="D40" s="102"/>
      <c r="E40" s="24"/>
      <c r="F40" s="103"/>
      <c r="G40" s="24"/>
      <c r="H40" s="103"/>
      <c r="I40" s="24"/>
      <c r="J40" s="103"/>
      <c r="K40" s="24"/>
      <c r="L40" s="103"/>
      <c r="M40" s="36" t="e">
        <f t="shared" ca="1" si="1"/>
        <v>#N/A</v>
      </c>
      <c r="N40" s="99" t="e">
        <f ca="1">VLOOKUP($B40,Matrix!$H$13:$I$37,2,FALSE)&amp;"_"&amp;C40</f>
        <v>#N/A</v>
      </c>
      <c r="O40" s="110" t="e">
        <f t="shared" ca="1" si="2"/>
        <v>#N/A</v>
      </c>
    </row>
    <row r="41" spans="2:15">
      <c r="B41" s="24"/>
      <c r="C41" s="23"/>
      <c r="D41" s="102"/>
      <c r="E41" s="24"/>
      <c r="F41" s="103"/>
      <c r="G41" s="24"/>
      <c r="H41" s="103"/>
      <c r="I41" s="24"/>
      <c r="J41" s="103"/>
      <c r="K41" s="24"/>
      <c r="L41" s="103"/>
      <c r="M41" s="36" t="e">
        <f t="shared" ca="1" si="1"/>
        <v>#N/A</v>
      </c>
      <c r="N41" s="99" t="e">
        <f ca="1">VLOOKUP($B41,Matrix!$H$13:$I$37,2,FALSE)&amp;"_"&amp;C41</f>
        <v>#N/A</v>
      </c>
      <c r="O41" s="110" t="e">
        <f t="shared" ca="1" si="2"/>
        <v>#N/A</v>
      </c>
    </row>
    <row r="42" spans="2:15">
      <c r="B42" s="24"/>
      <c r="C42" s="23"/>
      <c r="D42" s="102"/>
      <c r="E42" s="24"/>
      <c r="F42" s="103"/>
      <c r="G42" s="24"/>
      <c r="H42" s="103"/>
      <c r="I42" s="24"/>
      <c r="J42" s="103"/>
      <c r="K42" s="24"/>
      <c r="L42" s="103"/>
      <c r="M42" s="36" t="e">
        <f t="shared" ca="1" si="1"/>
        <v>#N/A</v>
      </c>
      <c r="N42" s="99" t="e">
        <f ca="1">VLOOKUP($B42,Matrix!$H$13:$I$37,2,FALSE)&amp;"_"&amp;C42</f>
        <v>#N/A</v>
      </c>
      <c r="O42" s="110" t="e">
        <f t="shared" ca="1" si="2"/>
        <v>#N/A</v>
      </c>
    </row>
    <row r="43" spans="2:15">
      <c r="B43" s="24"/>
      <c r="C43" s="23"/>
      <c r="D43" s="102"/>
      <c r="E43" s="24"/>
      <c r="F43" s="103"/>
      <c r="G43" s="24"/>
      <c r="H43" s="103"/>
      <c r="I43" s="24"/>
      <c r="J43" s="103"/>
      <c r="K43" s="24"/>
      <c r="L43" s="103"/>
      <c r="M43" s="36" t="e">
        <f t="shared" ca="1" si="1"/>
        <v>#N/A</v>
      </c>
      <c r="N43" s="99" t="e">
        <f ca="1">VLOOKUP($B43,Matrix!$H$13:$I$37,2,FALSE)&amp;"_"&amp;C43</f>
        <v>#N/A</v>
      </c>
      <c r="O43" s="110" t="e">
        <f t="shared" ca="1" si="2"/>
        <v>#N/A</v>
      </c>
    </row>
    <row r="44" spans="2:15">
      <c r="B44" s="24"/>
      <c r="C44" s="23"/>
      <c r="D44" s="102"/>
      <c r="E44" s="24"/>
      <c r="F44" s="103"/>
      <c r="G44" s="24"/>
      <c r="H44" s="103"/>
      <c r="I44" s="24"/>
      <c r="J44" s="103"/>
      <c r="K44" s="24"/>
      <c r="L44" s="103"/>
      <c r="M44" s="36" t="e">
        <f t="shared" ca="1" si="1"/>
        <v>#N/A</v>
      </c>
      <c r="N44" s="99" t="e">
        <f ca="1">VLOOKUP($B44,Matrix!$H$13:$I$37,2,FALSE)&amp;"_"&amp;C44</f>
        <v>#N/A</v>
      </c>
      <c r="O44" s="110" t="e">
        <f t="shared" ca="1" si="2"/>
        <v>#N/A</v>
      </c>
    </row>
    <row r="45" spans="2:15">
      <c r="B45" s="24"/>
      <c r="C45" s="23"/>
      <c r="D45" s="102"/>
      <c r="E45" s="24"/>
      <c r="F45" s="103"/>
      <c r="G45" s="24"/>
      <c r="H45" s="103"/>
      <c r="I45" s="24"/>
      <c r="J45" s="103"/>
      <c r="K45" s="24"/>
      <c r="L45" s="103"/>
      <c r="M45" s="36" t="e">
        <f t="shared" ca="1" si="1"/>
        <v>#N/A</v>
      </c>
      <c r="N45" s="99" t="e">
        <f ca="1">VLOOKUP($B45,Matrix!$H$13:$I$37,2,FALSE)&amp;"_"&amp;C45</f>
        <v>#N/A</v>
      </c>
      <c r="O45" s="110" t="e">
        <f t="shared" ca="1" si="2"/>
        <v>#N/A</v>
      </c>
    </row>
    <row r="46" spans="2:15">
      <c r="B46" s="24"/>
      <c r="C46" s="23"/>
      <c r="D46" s="102"/>
      <c r="E46" s="24"/>
      <c r="F46" s="103"/>
      <c r="G46" s="24"/>
      <c r="H46" s="103"/>
      <c r="I46" s="24"/>
      <c r="J46" s="103"/>
      <c r="K46" s="24"/>
      <c r="L46" s="103"/>
      <c r="M46" s="36" t="e">
        <f t="shared" ca="1" si="1"/>
        <v>#N/A</v>
      </c>
      <c r="N46" s="99" t="e">
        <f ca="1">VLOOKUP($B46,Matrix!$H$13:$I$37,2,FALSE)&amp;"_"&amp;C46</f>
        <v>#N/A</v>
      </c>
      <c r="O46" s="110" t="e">
        <f t="shared" ca="1" si="2"/>
        <v>#N/A</v>
      </c>
    </row>
    <row r="47" spans="2:15">
      <c r="B47" s="24"/>
      <c r="C47" s="23"/>
      <c r="D47" s="102"/>
      <c r="E47" s="24"/>
      <c r="F47" s="103"/>
      <c r="G47" s="24"/>
      <c r="H47" s="103"/>
      <c r="I47" s="24"/>
      <c r="J47" s="103"/>
      <c r="K47" s="24"/>
      <c r="L47" s="103"/>
      <c r="M47" s="36" t="e">
        <f t="shared" ca="1" si="1"/>
        <v>#N/A</v>
      </c>
      <c r="N47" s="99" t="e">
        <f ca="1">VLOOKUP($B47,Matrix!$H$13:$I$37,2,FALSE)&amp;"_"&amp;C47</f>
        <v>#N/A</v>
      </c>
      <c r="O47" s="110" t="e">
        <f t="shared" ca="1" si="2"/>
        <v>#N/A</v>
      </c>
    </row>
    <row r="48" spans="2:15">
      <c r="B48" s="24"/>
      <c r="C48" s="23"/>
      <c r="D48" s="102"/>
      <c r="E48" s="24"/>
      <c r="F48" s="103"/>
      <c r="G48" s="24"/>
      <c r="H48" s="103"/>
      <c r="I48" s="24"/>
      <c r="J48" s="103"/>
      <c r="K48" s="24"/>
      <c r="L48" s="103"/>
      <c r="M48" s="36" t="e">
        <f t="shared" ca="1" si="1"/>
        <v>#N/A</v>
      </c>
      <c r="N48" s="99" t="e">
        <f ca="1">VLOOKUP($B48,Matrix!$H$13:$I$37,2,FALSE)&amp;"_"&amp;C48</f>
        <v>#N/A</v>
      </c>
      <c r="O48" s="110" t="e">
        <f t="shared" ca="1" si="2"/>
        <v>#N/A</v>
      </c>
    </row>
    <row r="49" spans="2:15">
      <c r="B49" s="24"/>
      <c r="C49" s="23"/>
      <c r="D49" s="102"/>
      <c r="E49" s="24"/>
      <c r="F49" s="103"/>
      <c r="G49" s="24"/>
      <c r="H49" s="103"/>
      <c r="I49" s="24"/>
      <c r="J49" s="103"/>
      <c r="K49" s="24"/>
      <c r="L49" s="103"/>
      <c r="M49" s="36" t="e">
        <f t="shared" ca="1" si="1"/>
        <v>#N/A</v>
      </c>
      <c r="N49" s="99" t="e">
        <f ca="1">VLOOKUP($B49,Matrix!$H$13:$I$37,2,FALSE)&amp;"_"&amp;C49</f>
        <v>#N/A</v>
      </c>
      <c r="O49" s="110" t="e">
        <f t="shared" ca="1" si="2"/>
        <v>#N/A</v>
      </c>
    </row>
    <row r="50" spans="2:15">
      <c r="B50" s="24"/>
      <c r="C50" s="23"/>
      <c r="D50" s="102"/>
      <c r="E50" s="24"/>
      <c r="F50" s="103"/>
      <c r="G50" s="24"/>
      <c r="H50" s="103"/>
      <c r="I50" s="24"/>
      <c r="J50" s="103"/>
      <c r="K50" s="24"/>
      <c r="L50" s="103"/>
      <c r="M50" s="36" t="e">
        <f t="shared" ca="1" si="1"/>
        <v>#N/A</v>
      </c>
      <c r="N50" s="99" t="e">
        <f ca="1">VLOOKUP($B50,Matrix!$H$13:$I$37,2,FALSE)&amp;"_"&amp;C50</f>
        <v>#N/A</v>
      </c>
      <c r="O50" s="110" t="e">
        <f t="shared" ca="1" si="2"/>
        <v>#N/A</v>
      </c>
    </row>
    <row r="51" spans="2:15">
      <c r="B51" s="24"/>
      <c r="C51" s="23"/>
      <c r="D51" s="102"/>
      <c r="E51" s="24"/>
      <c r="F51" s="103"/>
      <c r="G51" s="24"/>
      <c r="H51" s="103"/>
      <c r="I51" s="24"/>
      <c r="J51" s="103"/>
      <c r="K51" s="24"/>
      <c r="L51" s="103"/>
      <c r="M51" s="36" t="e">
        <f t="shared" ca="1" si="1"/>
        <v>#N/A</v>
      </c>
      <c r="N51" s="99" t="e">
        <f ca="1">VLOOKUP($B51,Matrix!$H$13:$I$37,2,FALSE)&amp;"_"&amp;C51</f>
        <v>#N/A</v>
      </c>
      <c r="O51" s="110" t="e">
        <f t="shared" ca="1" si="2"/>
        <v>#N/A</v>
      </c>
    </row>
    <row r="52" spans="2:15">
      <c r="B52" s="24"/>
      <c r="C52" s="23"/>
      <c r="D52" s="102"/>
      <c r="E52" s="24"/>
      <c r="F52" s="103"/>
      <c r="G52" s="24"/>
      <c r="H52" s="103"/>
      <c r="I52" s="24"/>
      <c r="J52" s="103"/>
      <c r="K52" s="24"/>
      <c r="L52" s="103"/>
      <c r="M52" s="36" t="e">
        <f t="shared" ca="1" si="1"/>
        <v>#N/A</v>
      </c>
      <c r="N52" s="99" t="e">
        <f ca="1">VLOOKUP($B52,Matrix!$H$13:$I$37,2,FALSE)&amp;"_"&amp;C52</f>
        <v>#N/A</v>
      </c>
      <c r="O52" s="110" t="e">
        <f t="shared" ca="1" si="2"/>
        <v>#N/A</v>
      </c>
    </row>
    <row r="53" spans="2:15">
      <c r="B53" s="24"/>
      <c r="C53" s="23"/>
      <c r="D53" s="102"/>
      <c r="E53" s="24"/>
      <c r="F53" s="103"/>
      <c r="G53" s="24"/>
      <c r="H53" s="103"/>
      <c r="I53" s="24"/>
      <c r="J53" s="103"/>
      <c r="K53" s="24"/>
      <c r="L53" s="103"/>
      <c r="M53" s="36" t="e">
        <f t="shared" ca="1" si="1"/>
        <v>#N/A</v>
      </c>
      <c r="N53" s="99" t="e">
        <f ca="1">VLOOKUP($B53,Matrix!$H$13:$I$37,2,FALSE)&amp;"_"&amp;C53</f>
        <v>#N/A</v>
      </c>
      <c r="O53" s="110" t="e">
        <f t="shared" ca="1" si="2"/>
        <v>#N/A</v>
      </c>
    </row>
    <row r="54" spans="2:15">
      <c r="B54" s="24"/>
      <c r="C54" s="23"/>
      <c r="D54" s="102"/>
      <c r="E54" s="24"/>
      <c r="F54" s="103"/>
      <c r="G54" s="24"/>
      <c r="H54" s="103"/>
      <c r="I54" s="24"/>
      <c r="J54" s="103"/>
      <c r="K54" s="24"/>
      <c r="L54" s="103"/>
      <c r="M54" s="36" t="e">
        <f t="shared" ca="1" si="1"/>
        <v>#N/A</v>
      </c>
      <c r="N54" s="99" t="e">
        <f ca="1">VLOOKUP($B54,Matrix!$H$13:$I$37,2,FALSE)&amp;"_"&amp;C54</f>
        <v>#N/A</v>
      </c>
      <c r="O54" s="110" t="e">
        <f t="shared" ca="1" si="2"/>
        <v>#N/A</v>
      </c>
    </row>
    <row r="55" spans="2:15">
      <c r="B55" s="24"/>
      <c r="C55" s="23"/>
      <c r="D55" s="102"/>
      <c r="E55" s="24"/>
      <c r="F55" s="103"/>
      <c r="G55" s="24"/>
      <c r="H55" s="103"/>
      <c r="I55" s="24"/>
      <c r="J55" s="103"/>
      <c r="K55" s="24"/>
      <c r="L55" s="103"/>
      <c r="M55" s="36" t="e">
        <f t="shared" ca="1" si="1"/>
        <v>#N/A</v>
      </c>
      <c r="N55" s="99" t="e">
        <f ca="1">VLOOKUP($B55,Matrix!$H$13:$I$37,2,FALSE)&amp;"_"&amp;C55</f>
        <v>#N/A</v>
      </c>
      <c r="O55" s="110" t="e">
        <f t="shared" ca="1" si="2"/>
        <v>#N/A</v>
      </c>
    </row>
    <row r="56" spans="2:15">
      <c r="B56" s="24"/>
      <c r="C56" s="23"/>
      <c r="D56" s="102"/>
      <c r="E56" s="24"/>
      <c r="F56" s="103"/>
      <c r="G56" s="24"/>
      <c r="H56" s="103"/>
      <c r="I56" s="24"/>
      <c r="J56" s="103"/>
      <c r="K56" s="24"/>
      <c r="L56" s="103"/>
      <c r="M56" s="36" t="e">
        <f t="shared" ca="1" si="1"/>
        <v>#N/A</v>
      </c>
      <c r="N56" s="99" t="e">
        <f ca="1">VLOOKUP($B56,Matrix!$H$13:$I$37,2,FALSE)&amp;"_"&amp;C56</f>
        <v>#N/A</v>
      </c>
      <c r="O56" s="110" t="e">
        <f t="shared" ca="1" si="2"/>
        <v>#N/A</v>
      </c>
    </row>
    <row r="57" spans="2:15">
      <c r="B57" s="24"/>
      <c r="C57" s="23"/>
      <c r="D57" s="102"/>
      <c r="E57" s="24"/>
      <c r="F57" s="103"/>
      <c r="G57" s="24"/>
      <c r="H57" s="103"/>
      <c r="I57" s="24"/>
      <c r="J57" s="103"/>
      <c r="K57" s="24"/>
      <c r="L57" s="103"/>
      <c r="M57" s="36" t="e">
        <f t="shared" ca="1" si="1"/>
        <v>#N/A</v>
      </c>
      <c r="N57" s="99" t="e">
        <f ca="1">VLOOKUP($B57,Matrix!$H$13:$I$37,2,FALSE)&amp;"_"&amp;C57</f>
        <v>#N/A</v>
      </c>
      <c r="O57" s="110" t="e">
        <f t="shared" ca="1" si="2"/>
        <v>#N/A</v>
      </c>
    </row>
    <row r="58" spans="2:15">
      <c r="B58" s="24"/>
      <c r="C58" s="23"/>
      <c r="D58" s="102"/>
      <c r="E58" s="24"/>
      <c r="F58" s="103"/>
      <c r="G58" s="24"/>
      <c r="H58" s="103"/>
      <c r="I58" s="24"/>
      <c r="J58" s="103"/>
      <c r="K58" s="24"/>
      <c r="L58" s="103"/>
      <c r="M58" s="36" t="e">
        <f t="shared" ca="1" si="1"/>
        <v>#N/A</v>
      </c>
      <c r="N58" s="99" t="e">
        <f ca="1">VLOOKUP($B58,Matrix!$H$13:$I$37,2,FALSE)&amp;"_"&amp;C58</f>
        <v>#N/A</v>
      </c>
      <c r="O58" s="110" t="e">
        <f t="shared" ca="1" si="2"/>
        <v>#N/A</v>
      </c>
    </row>
    <row r="59" spans="2:15">
      <c r="B59" s="24"/>
      <c r="C59" s="23"/>
      <c r="D59" s="102"/>
      <c r="E59" s="24"/>
      <c r="F59" s="103"/>
      <c r="G59" s="24"/>
      <c r="H59" s="103"/>
      <c r="I59" s="24"/>
      <c r="J59" s="103"/>
      <c r="K59" s="24"/>
      <c r="L59" s="103"/>
      <c r="M59" s="36" t="e">
        <f t="shared" ca="1" si="1"/>
        <v>#N/A</v>
      </c>
      <c r="N59" s="99" t="e">
        <f ca="1">VLOOKUP($B59,Matrix!$H$13:$I$37,2,FALSE)&amp;"_"&amp;C59</f>
        <v>#N/A</v>
      </c>
      <c r="O59" s="110" t="e">
        <f t="shared" ca="1" si="2"/>
        <v>#N/A</v>
      </c>
    </row>
    <row r="60" spans="2:15">
      <c r="B60" s="24"/>
      <c r="C60" s="23"/>
      <c r="D60" s="102"/>
      <c r="E60" s="24"/>
      <c r="F60" s="103"/>
      <c r="G60" s="24"/>
      <c r="H60" s="103"/>
      <c r="I60" s="24"/>
      <c r="J60" s="103"/>
      <c r="K60" s="24"/>
      <c r="L60" s="103"/>
      <c r="M60" s="36" t="e">
        <f t="shared" ca="1" si="1"/>
        <v>#N/A</v>
      </c>
      <c r="N60" s="99" t="e">
        <f ca="1">VLOOKUP($B60,Matrix!$H$13:$I$37,2,FALSE)&amp;"_"&amp;C60</f>
        <v>#N/A</v>
      </c>
      <c r="O60" s="110" t="e">
        <f t="shared" ca="1" si="2"/>
        <v>#N/A</v>
      </c>
    </row>
    <row r="61" spans="2:15">
      <c r="B61" s="24"/>
      <c r="C61" s="23"/>
      <c r="D61" s="102"/>
      <c r="E61" s="24"/>
      <c r="F61" s="103"/>
      <c r="G61" s="24"/>
      <c r="H61" s="103"/>
      <c r="I61" s="24"/>
      <c r="J61" s="103"/>
      <c r="K61" s="24"/>
      <c r="L61" s="103"/>
      <c r="M61" s="36" t="e">
        <f t="shared" ca="1" si="1"/>
        <v>#N/A</v>
      </c>
      <c r="N61" s="99" t="e">
        <f ca="1">VLOOKUP($B61,Matrix!$H$13:$I$37,2,FALSE)&amp;"_"&amp;C61</f>
        <v>#N/A</v>
      </c>
      <c r="O61" s="110" t="e">
        <f t="shared" ca="1" si="2"/>
        <v>#N/A</v>
      </c>
    </row>
    <row r="62" spans="2:15">
      <c r="B62" s="24"/>
      <c r="C62" s="23"/>
      <c r="D62" s="102"/>
      <c r="E62" s="24"/>
      <c r="F62" s="103"/>
      <c r="G62" s="24"/>
      <c r="H62" s="103"/>
      <c r="I62" s="24"/>
      <c r="J62" s="103"/>
      <c r="K62" s="24"/>
      <c r="L62" s="103"/>
      <c r="M62" s="36" t="e">
        <f t="shared" ca="1" si="1"/>
        <v>#N/A</v>
      </c>
      <c r="N62" s="99" t="e">
        <f ca="1">VLOOKUP($B62,Matrix!$H$13:$I$37,2,FALSE)&amp;"_"&amp;C62</f>
        <v>#N/A</v>
      </c>
      <c r="O62" s="110" t="e">
        <f t="shared" ca="1" si="2"/>
        <v>#N/A</v>
      </c>
    </row>
    <row r="63" spans="2:15">
      <c r="B63" s="24"/>
      <c r="C63" s="23"/>
      <c r="D63" s="102"/>
      <c r="E63" s="24"/>
      <c r="F63" s="103"/>
      <c r="G63" s="24"/>
      <c r="H63" s="103"/>
      <c r="I63" s="24"/>
      <c r="J63" s="103"/>
      <c r="K63" s="24"/>
      <c r="L63" s="103"/>
      <c r="M63" s="36" t="e">
        <f t="shared" ca="1" si="1"/>
        <v>#N/A</v>
      </c>
      <c r="N63" s="99" t="e">
        <f ca="1">VLOOKUP($B63,Matrix!$H$13:$I$37,2,FALSE)&amp;"_"&amp;C63</f>
        <v>#N/A</v>
      </c>
      <c r="O63" s="110" t="e">
        <f t="shared" ca="1" si="2"/>
        <v>#N/A</v>
      </c>
    </row>
    <row r="64" spans="2:15">
      <c r="B64" s="24"/>
      <c r="C64" s="23"/>
      <c r="D64" s="102"/>
      <c r="E64" s="24"/>
      <c r="F64" s="103"/>
      <c r="G64" s="24"/>
      <c r="H64" s="103"/>
      <c r="I64" s="24"/>
      <c r="J64" s="103"/>
      <c r="K64" s="24"/>
      <c r="L64" s="103"/>
      <c r="M64" s="36" t="e">
        <f t="shared" ca="1" si="1"/>
        <v>#N/A</v>
      </c>
      <c r="N64" s="99" t="e">
        <f ca="1">VLOOKUP($B64,Matrix!$H$13:$I$37,2,FALSE)&amp;"_"&amp;C64</f>
        <v>#N/A</v>
      </c>
      <c r="O64" s="110" t="e">
        <f t="shared" ca="1" si="2"/>
        <v>#N/A</v>
      </c>
    </row>
    <row r="65" spans="2:15">
      <c r="B65" s="24"/>
      <c r="C65" s="23"/>
      <c r="D65" s="102"/>
      <c r="E65" s="24"/>
      <c r="F65" s="103"/>
      <c r="G65" s="24"/>
      <c r="H65" s="103"/>
      <c r="I65" s="24"/>
      <c r="J65" s="103"/>
      <c r="K65" s="24"/>
      <c r="L65" s="103"/>
      <c r="M65" s="36" t="e">
        <f t="shared" ca="1" si="1"/>
        <v>#N/A</v>
      </c>
      <c r="N65" s="99" t="e">
        <f ca="1">VLOOKUP($B65,Matrix!$H$13:$I$37,2,FALSE)&amp;"_"&amp;C65</f>
        <v>#N/A</v>
      </c>
      <c r="O65" s="110" t="e">
        <f t="shared" ca="1" si="2"/>
        <v>#N/A</v>
      </c>
    </row>
    <row r="66" spans="2:15">
      <c r="B66" s="24"/>
      <c r="C66" s="23"/>
      <c r="D66" s="102"/>
      <c r="E66" s="24"/>
      <c r="F66" s="103"/>
      <c r="G66" s="24"/>
      <c r="H66" s="103"/>
      <c r="I66" s="24"/>
      <c r="J66" s="103"/>
      <c r="K66" s="24"/>
      <c r="L66" s="103"/>
      <c r="M66" s="36" t="e">
        <f t="shared" ca="1" si="1"/>
        <v>#N/A</v>
      </c>
      <c r="N66" s="99" t="e">
        <f ca="1">VLOOKUP($B66,Matrix!$H$13:$I$37,2,FALSE)&amp;"_"&amp;C66</f>
        <v>#N/A</v>
      </c>
      <c r="O66" s="110" t="e">
        <f t="shared" ca="1" si="2"/>
        <v>#N/A</v>
      </c>
    </row>
    <row r="67" spans="2:15">
      <c r="B67" s="24"/>
      <c r="C67" s="23"/>
      <c r="D67" s="102"/>
      <c r="E67" s="24"/>
      <c r="F67" s="103"/>
      <c r="G67" s="24"/>
      <c r="H67" s="103"/>
      <c r="I67" s="24"/>
      <c r="J67" s="103"/>
      <c r="K67" s="24"/>
      <c r="L67" s="103"/>
      <c r="M67" s="36" t="e">
        <f t="shared" ca="1" si="1"/>
        <v>#N/A</v>
      </c>
      <c r="N67" s="99" t="e">
        <f ca="1">VLOOKUP($B67,Matrix!$H$13:$I$37,2,FALSE)&amp;"_"&amp;C67</f>
        <v>#N/A</v>
      </c>
      <c r="O67" s="110" t="e">
        <f t="shared" ca="1" si="2"/>
        <v>#N/A</v>
      </c>
    </row>
    <row r="68" spans="2:15">
      <c r="B68" s="24"/>
      <c r="C68" s="23"/>
      <c r="D68" s="102"/>
      <c r="E68" s="24"/>
      <c r="F68" s="103"/>
      <c r="G68" s="24"/>
      <c r="H68" s="103"/>
      <c r="I68" s="24"/>
      <c r="J68" s="103"/>
      <c r="K68" s="24"/>
      <c r="L68" s="103"/>
      <c r="M68" s="36" t="e">
        <f t="shared" ca="1" si="1"/>
        <v>#N/A</v>
      </c>
      <c r="N68" s="99" t="e">
        <f ca="1">VLOOKUP($B68,Matrix!$H$13:$I$37,2,FALSE)&amp;"_"&amp;C68</f>
        <v>#N/A</v>
      </c>
      <c r="O68" s="110" t="e">
        <f t="shared" ref="O68:O99" ca="1" si="3">"#define "&amp;N68&amp;REPT(" ",48-M68)&amp;"("&amp;D68&amp;"U)"</f>
        <v>#N/A</v>
      </c>
    </row>
    <row r="69" spans="2:15">
      <c r="B69" s="24"/>
      <c r="C69" s="23"/>
      <c r="D69" s="102"/>
      <c r="E69" s="24"/>
      <c r="F69" s="103"/>
      <c r="G69" s="24"/>
      <c r="H69" s="103"/>
      <c r="I69" s="24"/>
      <c r="J69" s="103"/>
      <c r="K69" s="24"/>
      <c r="L69" s="103"/>
      <c r="M69" s="36" t="e">
        <f t="shared" ref="M69:M103" ca="1" si="4">LEN(N69)</f>
        <v>#N/A</v>
      </c>
      <c r="N69" s="99" t="e">
        <f ca="1">VLOOKUP($B69,Matrix!$H$13:$I$37,2,FALSE)&amp;"_"&amp;C69</f>
        <v>#N/A</v>
      </c>
      <c r="O69" s="110" t="e">
        <f t="shared" ca="1" si="3"/>
        <v>#N/A</v>
      </c>
    </row>
    <row r="70" spans="2:15">
      <c r="B70" s="24"/>
      <c r="C70" s="23"/>
      <c r="D70" s="102"/>
      <c r="E70" s="24"/>
      <c r="F70" s="103"/>
      <c r="G70" s="24"/>
      <c r="H70" s="103"/>
      <c r="I70" s="24"/>
      <c r="J70" s="103"/>
      <c r="K70" s="24"/>
      <c r="L70" s="103"/>
      <c r="M70" s="36" t="e">
        <f t="shared" ca="1" si="4"/>
        <v>#N/A</v>
      </c>
      <c r="N70" s="99" t="e">
        <f ca="1">VLOOKUP($B70,Matrix!$H$13:$I$37,2,FALSE)&amp;"_"&amp;C70</f>
        <v>#N/A</v>
      </c>
      <c r="O70" s="110" t="e">
        <f t="shared" ca="1" si="3"/>
        <v>#N/A</v>
      </c>
    </row>
    <row r="71" spans="2:15">
      <c r="B71" s="24"/>
      <c r="C71" s="23"/>
      <c r="D71" s="102"/>
      <c r="E71" s="24"/>
      <c r="F71" s="103"/>
      <c r="G71" s="24"/>
      <c r="H71" s="103"/>
      <c r="I71" s="24"/>
      <c r="J71" s="103"/>
      <c r="K71" s="24"/>
      <c r="L71" s="103"/>
      <c r="M71" s="36" t="e">
        <f t="shared" ca="1" si="4"/>
        <v>#N/A</v>
      </c>
      <c r="N71" s="99" t="e">
        <f ca="1">VLOOKUP($B71,Matrix!$H$13:$I$37,2,FALSE)&amp;"_"&amp;C71</f>
        <v>#N/A</v>
      </c>
      <c r="O71" s="110" t="e">
        <f t="shared" ca="1" si="3"/>
        <v>#N/A</v>
      </c>
    </row>
    <row r="72" spans="2:15">
      <c r="B72" s="24"/>
      <c r="C72" s="23"/>
      <c r="D72" s="102"/>
      <c r="E72" s="24"/>
      <c r="F72" s="103"/>
      <c r="G72" s="24"/>
      <c r="H72" s="103"/>
      <c r="I72" s="24"/>
      <c r="J72" s="103"/>
      <c r="K72" s="24"/>
      <c r="L72" s="103"/>
      <c r="M72" s="36" t="e">
        <f t="shared" ca="1" si="4"/>
        <v>#N/A</v>
      </c>
      <c r="N72" s="99" t="e">
        <f ca="1">VLOOKUP($B72,Matrix!$H$13:$I$37,2,FALSE)&amp;"_"&amp;C72</f>
        <v>#N/A</v>
      </c>
      <c r="O72" s="110" t="e">
        <f t="shared" ca="1" si="3"/>
        <v>#N/A</v>
      </c>
    </row>
    <row r="73" spans="2:15">
      <c r="B73" s="24"/>
      <c r="C73" s="23"/>
      <c r="D73" s="102"/>
      <c r="E73" s="24"/>
      <c r="F73" s="103"/>
      <c r="G73" s="24"/>
      <c r="H73" s="103"/>
      <c r="I73" s="24"/>
      <c r="J73" s="103"/>
      <c r="K73" s="24"/>
      <c r="L73" s="103"/>
      <c r="M73" s="36" t="e">
        <f t="shared" ca="1" si="4"/>
        <v>#N/A</v>
      </c>
      <c r="N73" s="99" t="e">
        <f ca="1">VLOOKUP($B73,Matrix!$H$13:$I$37,2,FALSE)&amp;"_"&amp;C73</f>
        <v>#N/A</v>
      </c>
      <c r="O73" s="110" t="e">
        <f t="shared" ca="1" si="3"/>
        <v>#N/A</v>
      </c>
    </row>
    <row r="74" spans="2:15">
      <c r="B74" s="24"/>
      <c r="C74" s="23"/>
      <c r="D74" s="102"/>
      <c r="E74" s="24"/>
      <c r="F74" s="103"/>
      <c r="G74" s="24"/>
      <c r="H74" s="103"/>
      <c r="I74" s="24"/>
      <c r="J74" s="103"/>
      <c r="K74" s="24"/>
      <c r="L74" s="103"/>
      <c r="M74" s="36" t="e">
        <f t="shared" ca="1" si="4"/>
        <v>#N/A</v>
      </c>
      <c r="N74" s="99" t="e">
        <f ca="1">VLOOKUP($B74,Matrix!$H$13:$I$37,2,FALSE)&amp;"_"&amp;C74</f>
        <v>#N/A</v>
      </c>
      <c r="O74" s="110" t="e">
        <f t="shared" ca="1" si="3"/>
        <v>#N/A</v>
      </c>
    </row>
    <row r="75" spans="2:15">
      <c r="B75" s="24"/>
      <c r="C75" s="23"/>
      <c r="D75" s="102"/>
      <c r="E75" s="24"/>
      <c r="F75" s="103"/>
      <c r="G75" s="24"/>
      <c r="H75" s="103"/>
      <c r="I75" s="24"/>
      <c r="J75" s="103"/>
      <c r="K75" s="24"/>
      <c r="L75" s="103"/>
      <c r="M75" s="36" t="e">
        <f t="shared" ca="1" si="4"/>
        <v>#N/A</v>
      </c>
      <c r="N75" s="99" t="e">
        <f ca="1">VLOOKUP($B75,Matrix!$H$13:$I$37,2,FALSE)&amp;"_"&amp;C75</f>
        <v>#N/A</v>
      </c>
      <c r="O75" s="110" t="e">
        <f t="shared" ca="1" si="3"/>
        <v>#N/A</v>
      </c>
    </row>
    <row r="76" spans="2:15">
      <c r="B76" s="24"/>
      <c r="C76" s="23"/>
      <c r="D76" s="102"/>
      <c r="E76" s="24"/>
      <c r="F76" s="103"/>
      <c r="G76" s="24"/>
      <c r="H76" s="103"/>
      <c r="I76" s="24"/>
      <c r="J76" s="103"/>
      <c r="K76" s="24"/>
      <c r="L76" s="103"/>
      <c r="M76" s="36" t="e">
        <f t="shared" ca="1" si="4"/>
        <v>#N/A</v>
      </c>
      <c r="N76" s="99" t="e">
        <f ca="1">VLOOKUP($B76,Matrix!$H$13:$I$37,2,FALSE)&amp;"_"&amp;C76</f>
        <v>#N/A</v>
      </c>
      <c r="O76" s="110" t="e">
        <f t="shared" ca="1" si="3"/>
        <v>#N/A</v>
      </c>
    </row>
    <row r="77" spans="2:15">
      <c r="B77" s="24"/>
      <c r="C77" s="23"/>
      <c r="D77" s="102"/>
      <c r="E77" s="24"/>
      <c r="F77" s="103"/>
      <c r="G77" s="24"/>
      <c r="H77" s="103"/>
      <c r="I77" s="24"/>
      <c r="J77" s="103"/>
      <c r="K77" s="24"/>
      <c r="L77" s="103"/>
      <c r="M77" s="36" t="e">
        <f t="shared" ca="1" si="4"/>
        <v>#N/A</v>
      </c>
      <c r="N77" s="99" t="e">
        <f ca="1">VLOOKUP($B77,Matrix!$H$13:$I$37,2,FALSE)&amp;"_"&amp;C77</f>
        <v>#N/A</v>
      </c>
      <c r="O77" s="110" t="e">
        <f t="shared" ca="1" si="3"/>
        <v>#N/A</v>
      </c>
    </row>
    <row r="78" spans="2:15">
      <c r="B78" s="24"/>
      <c r="C78" s="23"/>
      <c r="D78" s="102"/>
      <c r="E78" s="24"/>
      <c r="F78" s="103"/>
      <c r="G78" s="24"/>
      <c r="H78" s="103"/>
      <c r="I78" s="24"/>
      <c r="J78" s="103"/>
      <c r="K78" s="24"/>
      <c r="L78" s="103"/>
      <c r="M78" s="36" t="e">
        <f t="shared" ca="1" si="4"/>
        <v>#N/A</v>
      </c>
      <c r="N78" s="99" t="e">
        <f ca="1">VLOOKUP($B78,Matrix!$H$13:$I$37,2,FALSE)&amp;"_"&amp;C78</f>
        <v>#N/A</v>
      </c>
      <c r="O78" s="110" t="e">
        <f t="shared" ca="1" si="3"/>
        <v>#N/A</v>
      </c>
    </row>
    <row r="79" spans="2:15">
      <c r="B79" s="24"/>
      <c r="C79" s="23"/>
      <c r="D79" s="102"/>
      <c r="E79" s="24"/>
      <c r="F79" s="103"/>
      <c r="G79" s="24"/>
      <c r="H79" s="103"/>
      <c r="I79" s="24"/>
      <c r="J79" s="103"/>
      <c r="K79" s="24"/>
      <c r="L79" s="103"/>
      <c r="M79" s="36" t="e">
        <f t="shared" ca="1" si="4"/>
        <v>#N/A</v>
      </c>
      <c r="N79" s="99" t="e">
        <f ca="1">VLOOKUP($B79,Matrix!$H$13:$I$37,2,FALSE)&amp;"_"&amp;C79</f>
        <v>#N/A</v>
      </c>
      <c r="O79" s="110" t="e">
        <f t="shared" ca="1" si="3"/>
        <v>#N/A</v>
      </c>
    </row>
    <row r="80" spans="2:15">
      <c r="B80" s="24"/>
      <c r="C80" s="23"/>
      <c r="D80" s="102"/>
      <c r="E80" s="24"/>
      <c r="F80" s="103"/>
      <c r="G80" s="24"/>
      <c r="H80" s="103"/>
      <c r="I80" s="24"/>
      <c r="J80" s="103"/>
      <c r="K80" s="24"/>
      <c r="L80" s="103"/>
      <c r="M80" s="36" t="e">
        <f t="shared" ca="1" si="4"/>
        <v>#N/A</v>
      </c>
      <c r="N80" s="99" t="e">
        <f ca="1">VLOOKUP($B80,Matrix!$H$13:$I$37,2,FALSE)&amp;"_"&amp;C80</f>
        <v>#N/A</v>
      </c>
      <c r="O80" s="110" t="e">
        <f t="shared" ca="1" si="3"/>
        <v>#N/A</v>
      </c>
    </row>
    <row r="81" spans="2:15">
      <c r="B81" s="24"/>
      <c r="C81" s="23"/>
      <c r="D81" s="102"/>
      <c r="E81" s="24"/>
      <c r="F81" s="103"/>
      <c r="G81" s="24"/>
      <c r="H81" s="103"/>
      <c r="I81" s="24"/>
      <c r="J81" s="103"/>
      <c r="K81" s="24"/>
      <c r="L81" s="103"/>
      <c r="M81" s="36" t="e">
        <f t="shared" ca="1" si="4"/>
        <v>#N/A</v>
      </c>
      <c r="N81" s="99" t="e">
        <f ca="1">VLOOKUP($B81,Matrix!$H$13:$I$37,2,FALSE)&amp;"_"&amp;C81</f>
        <v>#N/A</v>
      </c>
      <c r="O81" s="110" t="e">
        <f t="shared" ca="1" si="3"/>
        <v>#N/A</v>
      </c>
    </row>
    <row r="82" spans="2:15">
      <c r="B82" s="24"/>
      <c r="C82" s="23"/>
      <c r="D82" s="102"/>
      <c r="E82" s="24"/>
      <c r="F82" s="103"/>
      <c r="G82" s="24"/>
      <c r="H82" s="103"/>
      <c r="I82" s="24"/>
      <c r="J82" s="103"/>
      <c r="K82" s="24"/>
      <c r="L82" s="103"/>
      <c r="M82" s="36" t="e">
        <f t="shared" ca="1" si="4"/>
        <v>#N/A</v>
      </c>
      <c r="N82" s="99" t="e">
        <f ca="1">VLOOKUP($B82,Matrix!$H$13:$I$37,2,FALSE)&amp;"_"&amp;C82</f>
        <v>#N/A</v>
      </c>
      <c r="O82" s="110" t="e">
        <f t="shared" ca="1" si="3"/>
        <v>#N/A</v>
      </c>
    </row>
    <row r="83" spans="2:15">
      <c r="B83" s="24"/>
      <c r="C83" s="23"/>
      <c r="D83" s="102"/>
      <c r="E83" s="24"/>
      <c r="F83" s="103"/>
      <c r="G83" s="24"/>
      <c r="H83" s="103"/>
      <c r="I83" s="24"/>
      <c r="J83" s="103"/>
      <c r="K83" s="24"/>
      <c r="L83" s="103"/>
      <c r="M83" s="36" t="e">
        <f t="shared" ca="1" si="4"/>
        <v>#N/A</v>
      </c>
      <c r="N83" s="99" t="e">
        <f ca="1">VLOOKUP($B83,Matrix!$H$13:$I$37,2,FALSE)&amp;"_"&amp;C83</f>
        <v>#N/A</v>
      </c>
      <c r="O83" s="110" t="e">
        <f t="shared" ca="1" si="3"/>
        <v>#N/A</v>
      </c>
    </row>
    <row r="84" spans="2:15">
      <c r="B84" s="24"/>
      <c r="C84" s="23"/>
      <c r="D84" s="102"/>
      <c r="E84" s="24"/>
      <c r="F84" s="103"/>
      <c r="G84" s="24"/>
      <c r="H84" s="103"/>
      <c r="I84" s="24"/>
      <c r="J84" s="103"/>
      <c r="K84" s="24"/>
      <c r="L84" s="103"/>
      <c r="M84" s="36" t="e">
        <f t="shared" ca="1" si="4"/>
        <v>#N/A</v>
      </c>
      <c r="N84" s="99" t="e">
        <f ca="1">VLOOKUP($B84,Matrix!$H$13:$I$37,2,FALSE)&amp;"_"&amp;C84</f>
        <v>#N/A</v>
      </c>
      <c r="O84" s="110" t="e">
        <f t="shared" ca="1" si="3"/>
        <v>#N/A</v>
      </c>
    </row>
    <row r="85" spans="2:15">
      <c r="B85" s="24"/>
      <c r="C85" s="23"/>
      <c r="D85" s="102"/>
      <c r="E85" s="24"/>
      <c r="F85" s="103"/>
      <c r="G85" s="24"/>
      <c r="H85" s="103"/>
      <c r="I85" s="24"/>
      <c r="J85" s="103"/>
      <c r="K85" s="24"/>
      <c r="L85" s="103"/>
      <c r="M85" s="36" t="e">
        <f t="shared" ca="1" si="4"/>
        <v>#N/A</v>
      </c>
      <c r="N85" s="99" t="e">
        <f ca="1">VLOOKUP($B85,Matrix!$H$13:$I$37,2,FALSE)&amp;"_"&amp;C85</f>
        <v>#N/A</v>
      </c>
      <c r="O85" s="110" t="e">
        <f t="shared" ca="1" si="3"/>
        <v>#N/A</v>
      </c>
    </row>
    <row r="86" spans="2:15">
      <c r="B86" s="24"/>
      <c r="C86" s="23"/>
      <c r="D86" s="102"/>
      <c r="E86" s="24"/>
      <c r="F86" s="103"/>
      <c r="G86" s="24"/>
      <c r="H86" s="103"/>
      <c r="I86" s="24"/>
      <c r="J86" s="103"/>
      <c r="K86" s="24"/>
      <c r="L86" s="103"/>
      <c r="M86" s="36" t="e">
        <f t="shared" ca="1" si="4"/>
        <v>#N/A</v>
      </c>
      <c r="N86" s="99" t="e">
        <f ca="1">VLOOKUP($B86,Matrix!$H$13:$I$37,2,FALSE)&amp;"_"&amp;C86</f>
        <v>#N/A</v>
      </c>
      <c r="O86" s="110" t="e">
        <f t="shared" ca="1" si="3"/>
        <v>#N/A</v>
      </c>
    </row>
    <row r="87" spans="2:15">
      <c r="B87" s="24"/>
      <c r="C87" s="23"/>
      <c r="D87" s="102"/>
      <c r="E87" s="24"/>
      <c r="F87" s="103"/>
      <c r="G87" s="24"/>
      <c r="H87" s="103"/>
      <c r="I87" s="24"/>
      <c r="J87" s="103"/>
      <c r="K87" s="24"/>
      <c r="L87" s="103"/>
      <c r="M87" s="36" t="e">
        <f t="shared" ca="1" si="4"/>
        <v>#N/A</v>
      </c>
      <c r="N87" s="57" t="e">
        <f ca="1">VLOOKUP($B87,Matrix!$H$13:$I$37,2,FALSE)&amp;"_"&amp;C87</f>
        <v>#N/A</v>
      </c>
      <c r="O87" s="110" t="e">
        <f t="shared" ca="1" si="3"/>
        <v>#N/A</v>
      </c>
    </row>
    <row r="88" spans="2:15">
      <c r="B88" s="24"/>
      <c r="C88" s="23"/>
      <c r="D88" s="102"/>
      <c r="E88" s="24"/>
      <c r="F88" s="103"/>
      <c r="G88" s="24"/>
      <c r="H88" s="103"/>
      <c r="I88" s="24"/>
      <c r="J88" s="103"/>
      <c r="K88" s="24"/>
      <c r="L88" s="103"/>
      <c r="M88" s="36" t="e">
        <f t="shared" ca="1" si="4"/>
        <v>#N/A</v>
      </c>
      <c r="N88" s="57" t="e">
        <f ca="1">VLOOKUP($B88,Matrix!$H$13:$I$37,2,FALSE)&amp;"_"&amp;C88</f>
        <v>#N/A</v>
      </c>
      <c r="O88" s="110" t="e">
        <f t="shared" ca="1" si="3"/>
        <v>#N/A</v>
      </c>
    </row>
    <row r="89" spans="2:15">
      <c r="B89" s="24"/>
      <c r="C89" s="23"/>
      <c r="D89" s="102"/>
      <c r="E89" s="24"/>
      <c r="F89" s="103"/>
      <c r="G89" s="24"/>
      <c r="H89" s="103"/>
      <c r="I89" s="24"/>
      <c r="J89" s="103"/>
      <c r="K89" s="24"/>
      <c r="L89" s="103"/>
      <c r="M89" s="36" t="e">
        <f t="shared" ca="1" si="4"/>
        <v>#N/A</v>
      </c>
      <c r="N89" s="57" t="e">
        <f ca="1">VLOOKUP($B89,Matrix!$H$13:$I$37,2,FALSE)&amp;"_"&amp;C89</f>
        <v>#N/A</v>
      </c>
      <c r="O89" s="110" t="e">
        <f t="shared" ca="1" si="3"/>
        <v>#N/A</v>
      </c>
    </row>
    <row r="90" spans="2:15">
      <c r="B90" s="24"/>
      <c r="C90" s="23"/>
      <c r="D90" s="102"/>
      <c r="E90" s="24"/>
      <c r="F90" s="103"/>
      <c r="G90" s="24"/>
      <c r="H90" s="103"/>
      <c r="I90" s="24"/>
      <c r="J90" s="103"/>
      <c r="K90" s="24"/>
      <c r="L90" s="103"/>
      <c r="M90" s="36" t="e">
        <f t="shared" ca="1" si="4"/>
        <v>#N/A</v>
      </c>
      <c r="N90" s="57" t="e">
        <f ca="1">VLOOKUP($B90,Matrix!$H$13:$I$37,2,FALSE)&amp;"_"&amp;C90</f>
        <v>#N/A</v>
      </c>
      <c r="O90" s="110" t="e">
        <f t="shared" ca="1" si="3"/>
        <v>#N/A</v>
      </c>
    </row>
    <row r="91" spans="2:15">
      <c r="B91" s="24"/>
      <c r="C91" s="23"/>
      <c r="D91" s="102"/>
      <c r="E91" s="24"/>
      <c r="F91" s="103"/>
      <c r="G91" s="24"/>
      <c r="H91" s="103"/>
      <c r="I91" s="24"/>
      <c r="J91" s="103"/>
      <c r="K91" s="24"/>
      <c r="L91" s="103"/>
      <c r="M91" s="36" t="e">
        <f t="shared" ca="1" si="4"/>
        <v>#N/A</v>
      </c>
      <c r="N91" s="57" t="e">
        <f ca="1">VLOOKUP($B91,Matrix!$H$13:$I$37,2,FALSE)&amp;"_"&amp;C91</f>
        <v>#N/A</v>
      </c>
      <c r="O91" s="110" t="e">
        <f t="shared" ca="1" si="3"/>
        <v>#N/A</v>
      </c>
    </row>
    <row r="92" spans="2:15">
      <c r="B92" s="24"/>
      <c r="C92" s="23"/>
      <c r="D92" s="102"/>
      <c r="E92" s="24"/>
      <c r="F92" s="103"/>
      <c r="G92" s="24"/>
      <c r="H92" s="103"/>
      <c r="I92" s="24"/>
      <c r="J92" s="103"/>
      <c r="K92" s="24"/>
      <c r="L92" s="103"/>
      <c r="M92" s="36" t="e">
        <f t="shared" ca="1" si="4"/>
        <v>#N/A</v>
      </c>
      <c r="N92" s="57" t="e">
        <f ca="1">VLOOKUP($B92,Matrix!$H$13:$I$37,2,FALSE)&amp;"_"&amp;C92</f>
        <v>#N/A</v>
      </c>
      <c r="O92" s="110" t="e">
        <f t="shared" ca="1" si="3"/>
        <v>#N/A</v>
      </c>
    </row>
    <row r="93" spans="2:15">
      <c r="B93" s="24"/>
      <c r="C93" s="23"/>
      <c r="D93" s="102"/>
      <c r="E93" s="24"/>
      <c r="F93" s="103"/>
      <c r="G93" s="24"/>
      <c r="H93" s="103"/>
      <c r="I93" s="24"/>
      <c r="J93" s="103"/>
      <c r="K93" s="24"/>
      <c r="L93" s="103"/>
      <c r="M93" s="36" t="e">
        <f t="shared" ca="1" si="4"/>
        <v>#N/A</v>
      </c>
      <c r="N93" s="57" t="e">
        <f ca="1">VLOOKUP($B93,Matrix!$H$13:$I$37,2,FALSE)&amp;"_"&amp;C93</f>
        <v>#N/A</v>
      </c>
      <c r="O93" s="110" t="e">
        <f t="shared" ca="1" si="3"/>
        <v>#N/A</v>
      </c>
    </row>
    <row r="94" spans="2:15">
      <c r="B94" s="24"/>
      <c r="C94" s="23"/>
      <c r="D94" s="102"/>
      <c r="E94" s="24"/>
      <c r="F94" s="103"/>
      <c r="G94" s="24"/>
      <c r="H94" s="103"/>
      <c r="I94" s="24"/>
      <c r="J94" s="103"/>
      <c r="K94" s="24"/>
      <c r="L94" s="103"/>
      <c r="M94" s="36" t="e">
        <f t="shared" ca="1" si="4"/>
        <v>#N/A</v>
      </c>
      <c r="N94" s="57" t="e">
        <f ca="1">VLOOKUP($B94,Matrix!$H$13:$I$37,2,FALSE)&amp;"_"&amp;C94</f>
        <v>#N/A</v>
      </c>
      <c r="O94" s="110" t="e">
        <f t="shared" ca="1" si="3"/>
        <v>#N/A</v>
      </c>
    </row>
    <row r="95" spans="2:15">
      <c r="B95" s="24"/>
      <c r="C95" s="23"/>
      <c r="D95" s="102"/>
      <c r="E95" s="24"/>
      <c r="F95" s="103"/>
      <c r="G95" s="24"/>
      <c r="H95" s="103"/>
      <c r="I95" s="24"/>
      <c r="J95" s="103"/>
      <c r="K95" s="24"/>
      <c r="L95" s="103"/>
      <c r="M95" s="36" t="e">
        <f t="shared" ca="1" si="4"/>
        <v>#N/A</v>
      </c>
      <c r="N95" s="57" t="e">
        <f ca="1">VLOOKUP($B95,Matrix!$H$13:$I$37,2,FALSE)&amp;"_"&amp;C95</f>
        <v>#N/A</v>
      </c>
      <c r="O95" s="110" t="e">
        <f t="shared" ca="1" si="3"/>
        <v>#N/A</v>
      </c>
    </row>
    <row r="96" spans="2:15">
      <c r="B96" s="24"/>
      <c r="C96" s="23"/>
      <c r="D96" s="102"/>
      <c r="E96" s="24"/>
      <c r="F96" s="103"/>
      <c r="G96" s="24"/>
      <c r="H96" s="103"/>
      <c r="I96" s="24"/>
      <c r="J96" s="103"/>
      <c r="K96" s="24"/>
      <c r="L96" s="103"/>
      <c r="M96" s="36" t="e">
        <f t="shared" ca="1" si="4"/>
        <v>#N/A</v>
      </c>
      <c r="N96" s="57" t="e">
        <f ca="1">VLOOKUP($B96,Matrix!$H$13:$I$37,2,FALSE)&amp;"_"&amp;C96</f>
        <v>#N/A</v>
      </c>
      <c r="O96" s="110" t="e">
        <f t="shared" ca="1" si="3"/>
        <v>#N/A</v>
      </c>
    </row>
    <row r="97" spans="2:15">
      <c r="B97" s="24"/>
      <c r="C97" s="23"/>
      <c r="D97" s="102"/>
      <c r="E97" s="24"/>
      <c r="F97" s="103"/>
      <c r="G97" s="24"/>
      <c r="H97" s="103"/>
      <c r="I97" s="24"/>
      <c r="J97" s="103"/>
      <c r="K97" s="24"/>
      <c r="L97" s="103"/>
      <c r="M97" s="36" t="e">
        <f t="shared" ca="1" si="4"/>
        <v>#N/A</v>
      </c>
      <c r="N97" s="57" t="e">
        <f ca="1">VLOOKUP($B97,Matrix!$H$13:$I$37,2,FALSE)&amp;"_"&amp;C97</f>
        <v>#N/A</v>
      </c>
      <c r="O97" s="110" t="e">
        <f t="shared" ca="1" si="3"/>
        <v>#N/A</v>
      </c>
    </row>
    <row r="98" spans="2:15">
      <c r="B98" s="24"/>
      <c r="C98" s="23"/>
      <c r="D98" s="102"/>
      <c r="E98" s="24"/>
      <c r="F98" s="103"/>
      <c r="G98" s="24"/>
      <c r="H98" s="103"/>
      <c r="I98" s="24"/>
      <c r="J98" s="103"/>
      <c r="K98" s="24"/>
      <c r="L98" s="103"/>
      <c r="M98" s="36" t="e">
        <f t="shared" ca="1" si="4"/>
        <v>#N/A</v>
      </c>
      <c r="N98" s="57" t="e">
        <f ca="1">VLOOKUP($B98,Matrix!$H$13:$I$37,2,FALSE)&amp;"_"&amp;C98</f>
        <v>#N/A</v>
      </c>
      <c r="O98" s="110" t="e">
        <f t="shared" ca="1" si="3"/>
        <v>#N/A</v>
      </c>
    </row>
    <row r="99" spans="2:15">
      <c r="B99" s="24"/>
      <c r="C99" s="23"/>
      <c r="D99" s="102"/>
      <c r="E99" s="24"/>
      <c r="F99" s="103"/>
      <c r="G99" s="24"/>
      <c r="H99" s="103"/>
      <c r="I99" s="24"/>
      <c r="J99" s="103"/>
      <c r="K99" s="24"/>
      <c r="L99" s="103"/>
      <c r="M99" s="36" t="e">
        <f t="shared" ca="1" si="4"/>
        <v>#N/A</v>
      </c>
      <c r="N99" s="57" t="e">
        <f ca="1">VLOOKUP($B99,Matrix!$H$13:$I$37,2,FALSE)&amp;"_"&amp;C99</f>
        <v>#N/A</v>
      </c>
      <c r="O99" s="110" t="e">
        <f t="shared" ca="1" si="3"/>
        <v>#N/A</v>
      </c>
    </row>
    <row r="100" spans="2:15">
      <c r="B100" s="24"/>
      <c r="C100" s="23"/>
      <c r="D100" s="102"/>
      <c r="E100" s="24"/>
      <c r="F100" s="103"/>
      <c r="G100" s="24"/>
      <c r="H100" s="103"/>
      <c r="I100" s="24"/>
      <c r="J100" s="103"/>
      <c r="K100" s="24"/>
      <c r="L100" s="103"/>
      <c r="M100" s="36" t="e">
        <f t="shared" ca="1" si="4"/>
        <v>#N/A</v>
      </c>
      <c r="N100" s="57" t="e">
        <f ca="1">VLOOKUP($B100,Matrix!$H$13:$I$37,2,FALSE)&amp;"_"&amp;C100</f>
        <v>#N/A</v>
      </c>
      <c r="O100" s="110" t="e">
        <f t="shared" ref="O100:O103" ca="1" si="5">"#define "&amp;N100&amp;REPT(" ",48-M100)&amp;"("&amp;D100&amp;"U)"</f>
        <v>#N/A</v>
      </c>
    </row>
    <row r="101" spans="2:15">
      <c r="B101" s="24"/>
      <c r="C101" s="23"/>
      <c r="D101" s="102"/>
      <c r="E101" s="24"/>
      <c r="F101" s="103"/>
      <c r="G101" s="24"/>
      <c r="H101" s="103"/>
      <c r="I101" s="24"/>
      <c r="J101" s="103"/>
      <c r="K101" s="24"/>
      <c r="L101" s="103"/>
      <c r="M101" s="36" t="e">
        <f t="shared" ca="1" si="4"/>
        <v>#N/A</v>
      </c>
      <c r="N101" s="57" t="e">
        <f ca="1">VLOOKUP($B101,Matrix!$H$13:$I$37,2,FALSE)&amp;"_"&amp;C101</f>
        <v>#N/A</v>
      </c>
      <c r="O101" s="110" t="e">
        <f t="shared" ca="1" si="5"/>
        <v>#N/A</v>
      </c>
    </row>
    <row r="102" spans="2:15">
      <c r="B102" s="24"/>
      <c r="C102" s="23"/>
      <c r="D102" s="102"/>
      <c r="E102" s="24"/>
      <c r="F102" s="103"/>
      <c r="G102" s="24"/>
      <c r="H102" s="103"/>
      <c r="I102" s="24"/>
      <c r="J102" s="103"/>
      <c r="K102" s="24"/>
      <c r="L102" s="103"/>
      <c r="M102" s="36" t="e">
        <f t="shared" ca="1" si="4"/>
        <v>#N/A</v>
      </c>
      <c r="N102" s="57" t="e">
        <f ca="1">VLOOKUP($B102,Matrix!$H$13:$I$37,2,FALSE)&amp;"_"&amp;C102</f>
        <v>#N/A</v>
      </c>
      <c r="O102" s="110" t="e">
        <f t="shared" ca="1" si="5"/>
        <v>#N/A</v>
      </c>
    </row>
    <row r="103" spans="2:15" ht="14.25" thickBot="1">
      <c r="B103" s="42"/>
      <c r="C103" s="43"/>
      <c r="D103" s="104"/>
      <c r="E103" s="42"/>
      <c r="F103" s="105"/>
      <c r="G103" s="42"/>
      <c r="H103" s="105"/>
      <c r="I103" s="42"/>
      <c r="J103" s="105"/>
      <c r="K103" s="42"/>
      <c r="L103" s="105"/>
      <c r="M103" s="44" t="e">
        <f t="shared" ca="1" si="4"/>
        <v>#N/A</v>
      </c>
      <c r="N103" s="58" t="e">
        <f ca="1">VLOOKUP($B103,Matrix!$H$13:$I$37,2,FALSE)&amp;"_"&amp;C103</f>
        <v>#N/A</v>
      </c>
      <c r="O103" s="111"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2" t="s">
        <v>120</v>
      </c>
      <c r="C2" s="285"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87" t="s">
        <v>49</v>
      </c>
    </row>
    <row r="3" spans="1:49" ht="213" customHeight="1" thickBot="1">
      <c r="B3" s="207" t="str">
        <f>IF(OR(IF(COUNTIF(D6:AC69,"0")&lt;&gt;0,TRUE,FALSE),IF(COUNTIF(D6:AC69,"1")&lt;&gt;0,TRUE,FALSE)),"Search Table","Index Table")</f>
        <v>Search Table</v>
      </c>
      <c r="C3" s="286"/>
      <c r="D3" s="114" t="s">
        <v>59</v>
      </c>
      <c r="E3" s="114" t="s">
        <v>64</v>
      </c>
      <c r="F3" s="114" t="s">
        <v>47</v>
      </c>
      <c r="G3" s="114" t="s">
        <v>46</v>
      </c>
      <c r="H3" s="114" t="s">
        <v>118</v>
      </c>
      <c r="I3" s="114" t="s">
        <v>117</v>
      </c>
      <c r="J3" s="114" t="s">
        <v>122</v>
      </c>
      <c r="K3" s="114" t="s">
        <v>121</v>
      </c>
      <c r="L3" s="115" t="s">
        <v>64</v>
      </c>
      <c r="M3" s="115" t="s">
        <v>60</v>
      </c>
      <c r="N3" s="115" t="s">
        <v>60</v>
      </c>
      <c r="O3" s="115" t="s">
        <v>60</v>
      </c>
      <c r="P3" s="115" t="s">
        <v>60</v>
      </c>
      <c r="Q3" s="115" t="s">
        <v>60</v>
      </c>
      <c r="R3" s="115" t="s">
        <v>60</v>
      </c>
      <c r="S3" s="115" t="s">
        <v>60</v>
      </c>
      <c r="T3" s="115" t="s">
        <v>60</v>
      </c>
      <c r="U3" s="115" t="s">
        <v>60</v>
      </c>
      <c r="V3" s="115" t="s">
        <v>60</v>
      </c>
      <c r="W3" s="115" t="s">
        <v>60</v>
      </c>
      <c r="X3" s="115" t="s">
        <v>60</v>
      </c>
      <c r="Y3" s="115" t="s">
        <v>60</v>
      </c>
      <c r="Z3" s="115" t="s">
        <v>60</v>
      </c>
      <c r="AA3" s="115" t="s">
        <v>60</v>
      </c>
      <c r="AB3" s="293" t="s">
        <v>257</v>
      </c>
      <c r="AC3" s="294"/>
      <c r="AD3" s="294"/>
      <c r="AE3" s="295"/>
      <c r="AF3" s="293" t="s">
        <v>256</v>
      </c>
      <c r="AG3" s="294"/>
      <c r="AH3" s="294"/>
      <c r="AI3" s="295"/>
      <c r="AJ3" s="288"/>
      <c r="AR3" s="81" t="s">
        <v>93</v>
      </c>
    </row>
    <row r="4" spans="1:49" ht="14.25" thickBot="1">
      <c r="A4" s="289" t="s">
        <v>61</v>
      </c>
      <c r="B4" s="290"/>
      <c r="C4" s="177"/>
      <c r="D4" s="177"/>
      <c r="E4" s="177"/>
      <c r="F4" s="177"/>
      <c r="G4" s="177"/>
      <c r="H4" s="177"/>
      <c r="I4" s="177"/>
      <c r="J4" s="177"/>
      <c r="K4" s="177"/>
      <c r="L4" s="177"/>
      <c r="M4" s="177"/>
      <c r="N4" s="177"/>
      <c r="O4" s="177"/>
      <c r="P4" s="177"/>
      <c r="Q4" s="177"/>
      <c r="R4" s="177"/>
      <c r="S4" s="177"/>
      <c r="T4" s="177"/>
      <c r="U4" s="177"/>
      <c r="V4" s="177"/>
      <c r="W4" s="177"/>
      <c r="X4" s="177"/>
      <c r="Y4" s="177"/>
      <c r="Z4" s="177"/>
      <c r="AA4" s="177"/>
      <c r="AB4" s="177"/>
      <c r="AC4" s="177"/>
      <c r="AD4" s="177"/>
      <c r="AE4" s="177"/>
      <c r="AF4" s="177"/>
      <c r="AG4" s="177"/>
      <c r="AH4" s="177"/>
      <c r="AI4" s="177"/>
      <c r="AJ4" s="117"/>
      <c r="AR4" s="69" t="s">
        <v>80</v>
      </c>
      <c r="AS4" s="70"/>
      <c r="AT4" s="70"/>
      <c r="AU4" s="70"/>
      <c r="AV4" s="70"/>
      <c r="AW4" s="71"/>
    </row>
    <row r="5" spans="1:49" ht="14.25" thickBot="1">
      <c r="A5" s="291"/>
      <c r="B5" s="292"/>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18"/>
      <c r="AR5" s="72" t="str">
        <f ca="1">"static const U4  "&amp;AW8&amp;"["&amp;AW10&amp;"]"&amp;" = {"</f>
        <v>static const U4  u4_sp_ALERT_C_BRKBZ_CRIT[ALERT_C_BRKBZ_NUM_DST] = {</v>
      </c>
      <c r="AS5" s="72" t="str">
        <f ca="1">"static const U4  "&amp;$AW$9&amp;"["&amp;$AW$10&amp;"] = {"</f>
        <v>static const U4  u4_sp_ALERT_C_BRKBZ_MASK[ALERT_C_BRKBZ_NUM_DST] = {</v>
      </c>
      <c r="AT5" s="72" t="str">
        <f ca="1">"static const U1  "&amp;$AW$11&amp;"["&amp;$AW$10&amp;"] = {"</f>
        <v>static const U1  u1_sp_ALERT_C_BRKBZ_DST[ALERT_C_BRKBZ_NUM_DST] = {</v>
      </c>
      <c r="AU5" s="72" t="str">
        <f ca="1">"const ST_ALERT_MTRX "&amp;$AW$12&amp;" = {"</f>
        <v>const ST_ALERT_MTRX st_gp_ALERT_C_BRKBZ_MTRX[1] = {</v>
      </c>
      <c r="AV5" s="54" t="str">
        <f ca="1">"#define "&amp;AW10&amp;REPT(" ",41-LEN(AW10))&amp;"("&amp;AW13&amp;"U)"</f>
        <v>#define ALERT_C_BRKBZ_NUM_DST                    (18U)</v>
      </c>
      <c r="AW5" s="55"/>
    </row>
    <row r="6" spans="1:49">
      <c r="B6" s="120" t="str">
        <f ca="1">"Table "&amp;$AW$6</f>
        <v>Table C_BRKBZ</v>
      </c>
      <c r="C6" s="41">
        <f>ROW()-ROW($C$6)</f>
        <v>0</v>
      </c>
      <c r="D6" s="116" t="s">
        <v>65</v>
      </c>
      <c r="E6" s="116" t="s">
        <v>65</v>
      </c>
      <c r="F6" s="116" t="s">
        <v>65</v>
      </c>
      <c r="G6" s="116" t="s">
        <v>65</v>
      </c>
      <c r="H6" s="116" t="s">
        <v>65</v>
      </c>
      <c r="I6" s="116" t="s">
        <v>65</v>
      </c>
      <c r="J6" s="116" t="s">
        <v>65</v>
      </c>
      <c r="K6" s="116" t="s">
        <v>65</v>
      </c>
      <c r="L6" s="116" t="s">
        <v>65</v>
      </c>
      <c r="M6" s="116" t="s">
        <v>65</v>
      </c>
      <c r="N6" s="116" t="s">
        <v>65</v>
      </c>
      <c r="O6" s="116" t="s">
        <v>65</v>
      </c>
      <c r="P6" s="116" t="s">
        <v>65</v>
      </c>
      <c r="Q6" s="116" t="s">
        <v>65</v>
      </c>
      <c r="R6" s="116" t="s">
        <v>65</v>
      </c>
      <c r="S6" s="116" t="s">
        <v>65</v>
      </c>
      <c r="T6" s="116" t="s">
        <v>207</v>
      </c>
      <c r="U6" s="116" t="s">
        <v>207</v>
      </c>
      <c r="V6" s="116" t="s">
        <v>207</v>
      </c>
      <c r="W6" s="116" t="s">
        <v>207</v>
      </c>
      <c r="X6" s="116" t="s">
        <v>207</v>
      </c>
      <c r="Y6" s="116" t="s">
        <v>207</v>
      </c>
      <c r="Z6" s="116" t="s">
        <v>207</v>
      </c>
      <c r="AA6" s="116" t="s">
        <v>207</v>
      </c>
      <c r="AB6" s="116" t="s">
        <v>207</v>
      </c>
      <c r="AC6" s="116" t="s">
        <v>207</v>
      </c>
      <c r="AD6" s="116" t="s">
        <v>207</v>
      </c>
      <c r="AE6" s="116" t="s">
        <v>207</v>
      </c>
      <c r="AF6" s="116">
        <v>0</v>
      </c>
      <c r="AG6" s="116">
        <v>0</v>
      </c>
      <c r="AH6" s="116">
        <v>0</v>
      </c>
      <c r="AI6" s="116">
        <v>1</v>
      </c>
      <c r="AJ6" s="40" t="s">
        <v>199</v>
      </c>
      <c r="AL6" t="str">
        <f t="shared" ref="AL6:AL69" ca="1" si="0">IF($AJ6="UNKNOWN","    (U1)ALERT_REQ_UNKNOWN","    (U1)"&amp;"ALERT_REQ_"&amp;$AW$17&amp;"_"&amp;IF($AW$6&lt;&gt;$AW$17,$AW$6&amp;"_","")&amp;AJ6)</f>
        <v xml:space="preserve">    (U1)ALERT_REQ_C_BRKBZ_TESTMODE1</v>
      </c>
      <c r="AR6" s="52" t="str">
        <f>IF(AQ71&lt;&gt;"",AQ71,IF(AQ70&lt;&gt;"","};",""))</f>
        <v xml:space="preserve">    (U4)0x00000001U,                                                           /* 00 TESTMODE1                                       */</v>
      </c>
      <c r="AS6" s="52" t="str">
        <f>IF(AQ136&lt;&gt;"",AQ136,IF(AQ135&lt;&gt;"","};",""))</f>
        <v xml:space="preserve">    (U4)0x0000000FU,                                                           /* 00 TESTMODE1                                       */</v>
      </c>
      <c r="AT6" s="52" t="str">
        <f t="shared" ref="AT6:AT69" ca="1" si="1">IF(AJ6&lt;&gt;"",AL6&amp;IF(AJ7&lt;&gt;"",","," ")&amp;REPT(" ",78-LEN(AL6))&amp;"/* "&amp;IF(C6&lt;10,"0"&amp;C6,C6)&amp;" "&amp;AJ6&amp;REPT(" ",48-LEN(AJ6))&amp;"*/",IF(AJ5&lt;&gt;"","};",""))</f>
        <v xml:space="preserve">    (U1)ALERT_REQ_C_BRKBZ_TESTMODE1,                                           /* 00 TESTMODE1                                       */</v>
      </c>
      <c r="AU6" s="52" t="s">
        <v>66</v>
      </c>
      <c r="AV6" s="37" t="s">
        <v>68</v>
      </c>
      <c r="AW6" s="56" t="str">
        <f ca="1">UPPER(RIGHT(CELL("filename",A1),LEN(CELL("filename",A1))-FIND("]",CELL("filename",A1))))</f>
        <v>C_BRKBZ</v>
      </c>
    </row>
    <row r="7" spans="1:49">
      <c r="B7" s="120"/>
      <c r="C7" s="36">
        <f t="shared" ref="C7:C69" si="2">ROW()-ROW($C$6)</f>
        <v>1</v>
      </c>
      <c r="D7" s="50" t="s">
        <v>65</v>
      </c>
      <c r="E7" s="50" t="s">
        <v>65</v>
      </c>
      <c r="F7" s="50" t="s">
        <v>65</v>
      </c>
      <c r="G7" s="50" t="s">
        <v>65</v>
      </c>
      <c r="H7" s="50" t="s">
        <v>65</v>
      </c>
      <c r="I7" s="50" t="s">
        <v>65</v>
      </c>
      <c r="J7" s="50" t="s">
        <v>65</v>
      </c>
      <c r="K7" s="116" t="s">
        <v>65</v>
      </c>
      <c r="L7" s="50" t="s">
        <v>65</v>
      </c>
      <c r="M7" s="50" t="s">
        <v>65</v>
      </c>
      <c r="N7" s="50" t="s">
        <v>65</v>
      </c>
      <c r="O7" s="50" t="s">
        <v>65</v>
      </c>
      <c r="P7" s="50" t="s">
        <v>65</v>
      </c>
      <c r="Q7" s="50" t="s">
        <v>65</v>
      </c>
      <c r="R7" s="50" t="s">
        <v>65</v>
      </c>
      <c r="S7" s="50" t="s">
        <v>65</v>
      </c>
      <c r="T7" s="116" t="s">
        <v>207</v>
      </c>
      <c r="U7" s="116" t="s">
        <v>207</v>
      </c>
      <c r="V7" s="116" t="s">
        <v>207</v>
      </c>
      <c r="W7" s="116" t="s">
        <v>207</v>
      </c>
      <c r="X7" s="116" t="s">
        <v>207</v>
      </c>
      <c r="Y7" s="116" t="s">
        <v>207</v>
      </c>
      <c r="Z7" s="116" t="s">
        <v>207</v>
      </c>
      <c r="AA7" s="116" t="s">
        <v>207</v>
      </c>
      <c r="AB7" s="116">
        <v>0</v>
      </c>
      <c r="AC7" s="116">
        <v>0</v>
      </c>
      <c r="AD7" s="116">
        <v>0</v>
      </c>
      <c r="AE7" s="116">
        <v>1</v>
      </c>
      <c r="AF7" s="116" t="s">
        <v>207</v>
      </c>
      <c r="AG7" s="116" t="s">
        <v>207</v>
      </c>
      <c r="AH7" s="116" t="s">
        <v>207</v>
      </c>
      <c r="AI7" s="116" t="s">
        <v>207</v>
      </c>
      <c r="AJ7" s="40" t="s">
        <v>199</v>
      </c>
      <c r="AL7" t="str">
        <f t="shared" ca="1" si="0"/>
        <v xml:space="preserve">    (U1)ALERT_REQ_C_BRKBZ_TESTMODE1</v>
      </c>
      <c r="AR7" s="52" t="str">
        <f t="shared" ref="AR7:AR70" si="3">IF(AQ72&lt;&gt;"",AQ72,IF(AQ71&lt;&gt;"","};",""))</f>
        <v xml:space="preserve">    (U4)0x00000010U,                                                           /* 01 TESTMODE1                                       */</v>
      </c>
      <c r="AS7" s="52" t="str">
        <f t="shared" ref="AS7:AS70" si="4">IF(AQ137&lt;&gt;"",AQ137,IF(AQ136&lt;&gt;"","};",""))</f>
        <v xml:space="preserve">    (U4)0x000000F0U,                                                           /* 01 TESTMODE1                                       */</v>
      </c>
      <c r="AT7" s="52" t="str">
        <f t="shared" ca="1" si="1"/>
        <v xml:space="preserve">    (U1)ALERT_REQ_C_BRKBZ_TESTMODE1,                                           /* 01 TESTMODE1                                       */</v>
      </c>
      <c r="AU7" s="52" t="str">
        <f ca="1">"        &amp;"&amp;$AW$14&amp;","&amp;REPT(" ",69-LEN($AW$14))&amp;"/* fp_u4_SRC_CHK                                      */"</f>
        <v xml:space="preserve">        &amp;u4_s_AlertC_brkbzSrcchk,                                              /* fp_u4_SRC_CHK                                      */</v>
      </c>
      <c r="AV7" s="38" t="s">
        <v>69</v>
      </c>
      <c r="AW7" s="119">
        <f>IF(B3="Search Table",1,0)</f>
        <v>1</v>
      </c>
    </row>
    <row r="8" spans="1:49">
      <c r="B8" s="120"/>
      <c r="C8" s="36">
        <f t="shared" si="2"/>
        <v>2</v>
      </c>
      <c r="D8" s="50" t="s">
        <v>65</v>
      </c>
      <c r="E8" s="50" t="s">
        <v>65</v>
      </c>
      <c r="F8" s="50" t="s">
        <v>65</v>
      </c>
      <c r="G8" s="50" t="s">
        <v>65</v>
      </c>
      <c r="H8" s="50" t="s">
        <v>65</v>
      </c>
      <c r="I8" s="50" t="s">
        <v>65</v>
      </c>
      <c r="J8" s="50" t="s">
        <v>65</v>
      </c>
      <c r="K8" s="50" t="s">
        <v>65</v>
      </c>
      <c r="L8" s="50" t="s">
        <v>65</v>
      </c>
      <c r="M8" s="50" t="s">
        <v>65</v>
      </c>
      <c r="N8" s="50" t="s">
        <v>65</v>
      </c>
      <c r="O8" s="50" t="s">
        <v>65</v>
      </c>
      <c r="P8" s="50" t="s">
        <v>65</v>
      </c>
      <c r="Q8" s="50" t="s">
        <v>65</v>
      </c>
      <c r="R8" s="50" t="s">
        <v>65</v>
      </c>
      <c r="S8" s="50" t="s">
        <v>65</v>
      </c>
      <c r="T8" s="116" t="s">
        <v>207</v>
      </c>
      <c r="U8" s="116" t="s">
        <v>207</v>
      </c>
      <c r="V8" s="116" t="s">
        <v>207</v>
      </c>
      <c r="W8" s="116" t="s">
        <v>207</v>
      </c>
      <c r="X8" s="116" t="s">
        <v>207</v>
      </c>
      <c r="Y8" s="116" t="s">
        <v>207</v>
      </c>
      <c r="Z8" s="116" t="s">
        <v>207</v>
      </c>
      <c r="AA8" s="116" t="s">
        <v>207</v>
      </c>
      <c r="AB8" s="116" t="s">
        <v>207</v>
      </c>
      <c r="AC8" s="116" t="s">
        <v>207</v>
      </c>
      <c r="AD8" s="116" t="s">
        <v>207</v>
      </c>
      <c r="AE8" s="116" t="s">
        <v>207</v>
      </c>
      <c r="AF8" s="116">
        <v>0</v>
      </c>
      <c r="AG8" s="116">
        <v>0</v>
      </c>
      <c r="AH8" s="116">
        <v>1</v>
      </c>
      <c r="AI8" s="116">
        <v>0</v>
      </c>
      <c r="AJ8" s="40" t="s">
        <v>206</v>
      </c>
      <c r="AL8" t="str">
        <f t="shared" ca="1" si="0"/>
        <v xml:space="preserve">    (U1)ALERT_REQ_C_BRKBZ_TESTMODE2</v>
      </c>
      <c r="AR8" s="52" t="str">
        <f t="shared" si="3"/>
        <v xml:space="preserve">    (U4)0x00000002U,                                                           /* 02 TESTMODE2                                       */</v>
      </c>
      <c r="AS8" s="52" t="str">
        <f t="shared" si="4"/>
        <v xml:space="preserve">    (U4)0x0000000FU,                                                           /* 02 TESTMODE2                                       */</v>
      </c>
      <c r="AT8" s="52" t="str">
        <f ca="1">IF(AJ8&lt;&gt;"",AL8&amp;IF(AJ9&lt;&gt;"",","," ")&amp;REPT(" ",78-LEN(AL8))&amp;"/* "&amp;IF(C8&lt;10,"0"&amp;C8,C8)&amp;" "&amp;AJ8&amp;REPT(" ",48-LEN(AJ8))&amp;"*/",IF(AJ7&lt;&gt;"","};",""))</f>
        <v xml:space="preserve">    (U1)ALERT_REQ_C_BRKBZ_TESTMODE2,                                           /* 02 TESTMODE2                                       */</v>
      </c>
      <c r="AU8" s="52" t="str">
        <f ca="1">IF($AW$15&lt;&gt;"NULL","        &amp;"&amp;$AW$15&amp;","&amp;REPT(" ",69-LEN($AW$15))&amp;"/* fp_vd_XDST                                         */","        vdp_PTR_NA,                                                            /* fp_vd_XDST                                         */")</f>
        <v xml:space="preserve">        vdp_PTR_NA,                                                            /* fp_vd_XDST                                         */</v>
      </c>
      <c r="AV8" s="38" t="s">
        <v>70</v>
      </c>
      <c r="AW8" s="57" t="str">
        <f ca="1">"u4_sp_ALERT_"&amp;IF(AW6&lt;&gt;AW17,$AW$17&amp;"_"&amp;$AW$6,AW17)&amp;"_CRIT"</f>
        <v>u4_sp_ALERT_C_BRKBZ_CRIT</v>
      </c>
    </row>
    <row r="9" spans="1:49">
      <c r="B9" s="120"/>
      <c r="C9" s="36">
        <f t="shared" si="2"/>
        <v>3</v>
      </c>
      <c r="D9" s="50" t="s">
        <v>65</v>
      </c>
      <c r="E9" s="50" t="s">
        <v>65</v>
      </c>
      <c r="F9" s="50" t="s">
        <v>65</v>
      </c>
      <c r="G9" s="50" t="s">
        <v>65</v>
      </c>
      <c r="H9" s="50" t="s">
        <v>65</v>
      </c>
      <c r="I9" s="50" t="s">
        <v>65</v>
      </c>
      <c r="J9" s="50" t="s">
        <v>65</v>
      </c>
      <c r="K9" s="50" t="s">
        <v>65</v>
      </c>
      <c r="L9" s="50" t="s">
        <v>65</v>
      </c>
      <c r="M9" s="50" t="s">
        <v>65</v>
      </c>
      <c r="N9" s="50" t="s">
        <v>65</v>
      </c>
      <c r="O9" s="50" t="s">
        <v>65</v>
      </c>
      <c r="P9" s="50" t="s">
        <v>65</v>
      </c>
      <c r="Q9" s="50" t="s">
        <v>65</v>
      </c>
      <c r="R9" s="50" t="s">
        <v>65</v>
      </c>
      <c r="S9" s="50" t="s">
        <v>65</v>
      </c>
      <c r="T9" s="116" t="s">
        <v>207</v>
      </c>
      <c r="U9" s="116" t="s">
        <v>207</v>
      </c>
      <c r="V9" s="116" t="s">
        <v>207</v>
      </c>
      <c r="W9" s="116" t="s">
        <v>207</v>
      </c>
      <c r="X9" s="116" t="s">
        <v>207</v>
      </c>
      <c r="Y9" s="116" t="s">
        <v>207</v>
      </c>
      <c r="Z9" s="116" t="s">
        <v>207</v>
      </c>
      <c r="AA9" s="116" t="s">
        <v>207</v>
      </c>
      <c r="AB9" s="116">
        <v>0</v>
      </c>
      <c r="AC9" s="116">
        <v>0</v>
      </c>
      <c r="AD9" s="116">
        <v>1</v>
      </c>
      <c r="AE9" s="116">
        <v>0</v>
      </c>
      <c r="AF9" s="116" t="s">
        <v>207</v>
      </c>
      <c r="AG9" s="116" t="s">
        <v>207</v>
      </c>
      <c r="AH9" s="116" t="s">
        <v>207</v>
      </c>
      <c r="AI9" s="116" t="s">
        <v>207</v>
      </c>
      <c r="AJ9" s="40" t="s">
        <v>206</v>
      </c>
      <c r="AL9" t="str">
        <f t="shared" ca="1" si="0"/>
        <v xml:space="preserve">    (U1)ALERT_REQ_C_BRKBZ_TESTMODE2</v>
      </c>
      <c r="AR9" s="52" t="str">
        <f t="shared" si="3"/>
        <v xml:space="preserve">    (U4)0x00000020U,                                                           /* 03 TESTMODE2                                       */</v>
      </c>
      <c r="AS9" s="52" t="str">
        <f t="shared" si="4"/>
        <v xml:space="preserve">    (U4)0x000000F0U,                                                           /* 03 TESTMODE2                                       */</v>
      </c>
      <c r="AT9" s="52" t="str">
        <f t="shared" ca="1" si="1"/>
        <v xml:space="preserve">    (U1)ALERT_REQ_C_BRKBZ_TESTMODE2,                                           /* 03 TESTMODE2                                       */</v>
      </c>
      <c r="AU9" s="52"/>
      <c r="AV9" s="38" t="s">
        <v>71</v>
      </c>
      <c r="AW9" s="57" t="str">
        <f ca="1">"u4_sp_ALERT_"&amp;IF(AW6&lt;&gt;AW17,$AW$17&amp;"_"&amp;$AW$6,AW17)&amp;"_MASK"</f>
        <v>u4_sp_ALERT_C_BRKBZ_MASK</v>
      </c>
    </row>
    <row r="10" spans="1:49">
      <c r="B10" s="120"/>
      <c r="C10" s="36">
        <f t="shared" si="2"/>
        <v>4</v>
      </c>
      <c r="D10" s="50" t="s">
        <v>65</v>
      </c>
      <c r="E10" s="50" t="s">
        <v>65</v>
      </c>
      <c r="F10" s="50" t="s">
        <v>65</v>
      </c>
      <c r="G10" s="50" t="s">
        <v>65</v>
      </c>
      <c r="H10" s="50" t="s">
        <v>65</v>
      </c>
      <c r="I10" s="50" t="s">
        <v>65</v>
      </c>
      <c r="J10" s="50" t="s">
        <v>65</v>
      </c>
      <c r="K10" s="50" t="s">
        <v>65</v>
      </c>
      <c r="L10" s="50" t="s">
        <v>65</v>
      </c>
      <c r="M10" s="50" t="s">
        <v>65</v>
      </c>
      <c r="N10" s="50" t="s">
        <v>65</v>
      </c>
      <c r="O10" s="50" t="s">
        <v>65</v>
      </c>
      <c r="P10" s="50" t="s">
        <v>65</v>
      </c>
      <c r="Q10" s="50" t="s">
        <v>65</v>
      </c>
      <c r="R10" s="50" t="s">
        <v>65</v>
      </c>
      <c r="S10" s="50" t="s">
        <v>65</v>
      </c>
      <c r="T10" s="116" t="s">
        <v>207</v>
      </c>
      <c r="U10" s="116" t="s">
        <v>207</v>
      </c>
      <c r="V10" s="116" t="s">
        <v>207</v>
      </c>
      <c r="W10" s="116" t="s">
        <v>207</v>
      </c>
      <c r="X10" s="116" t="s">
        <v>207</v>
      </c>
      <c r="Y10" s="116" t="s">
        <v>207</v>
      </c>
      <c r="Z10" s="116" t="s">
        <v>207</v>
      </c>
      <c r="AA10" s="116" t="s">
        <v>207</v>
      </c>
      <c r="AB10" s="116" t="s">
        <v>207</v>
      </c>
      <c r="AC10" s="116" t="s">
        <v>207</v>
      </c>
      <c r="AD10" s="116" t="s">
        <v>207</v>
      </c>
      <c r="AE10" s="116" t="s">
        <v>207</v>
      </c>
      <c r="AF10" s="116">
        <v>0</v>
      </c>
      <c r="AG10" s="116">
        <v>0</v>
      </c>
      <c r="AH10" s="116">
        <v>1</v>
      </c>
      <c r="AI10" s="116">
        <v>1</v>
      </c>
      <c r="AJ10" s="40" t="s">
        <v>200</v>
      </c>
      <c r="AL10" t="str">
        <f t="shared" ca="1" si="0"/>
        <v xml:space="preserve">    (U1)ALERT_REQ_C_BRKBZ_TESTMODE3</v>
      </c>
      <c r="AR10" s="52" t="str">
        <f t="shared" si="3"/>
        <v xml:space="preserve">    (U4)0x00000003U,                                                           /* 04 TESTMODE3                                       */</v>
      </c>
      <c r="AS10" s="52" t="str">
        <f t="shared" si="4"/>
        <v xml:space="preserve">    (U4)0x0000000FU,                                                           /* 04 TESTMODE3                                       */</v>
      </c>
      <c r="AT10" s="52" t="str">
        <f t="shared" ca="1" si="1"/>
        <v xml:space="preserve">    (U1)ALERT_REQ_C_BRKBZ_TESTMODE3,                                           /* 04 TESTMODE3                                       */</v>
      </c>
      <c r="AU10" s="52" t="str">
        <f ca="1">IF($AW$7=1,"        &amp;"&amp;$AW$9&amp;"[0],"&amp;REPT(" ",66-LEN($AW$9))&amp;"/* u4p_MASK                                           */","        (const U4 *)vdp_PTR_NA,                                                /* u4p_MASK                                           */")</f>
        <v xml:space="preserve">        &amp;u4_sp_ALERT_C_BRKBZ_MASK[0],                                          /* u4p_MASK                                           */</v>
      </c>
      <c r="AV10" s="38" t="s">
        <v>72</v>
      </c>
      <c r="AW10" s="57" t="str">
        <f ca="1">"ALERT_"&amp;IF(AW6&lt;&gt;AW17,$AW$17&amp;"_"&amp;$AW$6,AW17)&amp;"_NUM_DST"</f>
        <v>ALERT_C_BRKBZ_NUM_DST</v>
      </c>
    </row>
    <row r="11" spans="1:49">
      <c r="B11" s="120"/>
      <c r="C11" s="36">
        <f t="shared" si="2"/>
        <v>5</v>
      </c>
      <c r="D11" s="50" t="s">
        <v>65</v>
      </c>
      <c r="E11" s="50" t="s">
        <v>65</v>
      </c>
      <c r="F11" s="50" t="s">
        <v>65</v>
      </c>
      <c r="G11" s="50" t="s">
        <v>65</v>
      </c>
      <c r="H11" s="50" t="s">
        <v>65</v>
      </c>
      <c r="I11" s="50" t="s">
        <v>65</v>
      </c>
      <c r="J11" s="50" t="s">
        <v>65</v>
      </c>
      <c r="K11" s="50" t="s">
        <v>65</v>
      </c>
      <c r="L11" s="50" t="s">
        <v>65</v>
      </c>
      <c r="M11" s="50" t="s">
        <v>65</v>
      </c>
      <c r="N11" s="50" t="s">
        <v>65</v>
      </c>
      <c r="O11" s="50" t="s">
        <v>65</v>
      </c>
      <c r="P11" s="50" t="s">
        <v>65</v>
      </c>
      <c r="Q11" s="50" t="s">
        <v>65</v>
      </c>
      <c r="R11" s="50" t="s">
        <v>65</v>
      </c>
      <c r="S11" s="50" t="s">
        <v>65</v>
      </c>
      <c r="T11" s="116" t="s">
        <v>207</v>
      </c>
      <c r="U11" s="116" t="s">
        <v>207</v>
      </c>
      <c r="V11" s="116" t="s">
        <v>207</v>
      </c>
      <c r="W11" s="116" t="s">
        <v>207</v>
      </c>
      <c r="X11" s="116" t="s">
        <v>207</v>
      </c>
      <c r="Y11" s="116" t="s">
        <v>207</v>
      </c>
      <c r="Z11" s="116" t="s">
        <v>207</v>
      </c>
      <c r="AA11" s="116" t="s">
        <v>207</v>
      </c>
      <c r="AB11" s="116">
        <v>0</v>
      </c>
      <c r="AC11" s="116">
        <v>0</v>
      </c>
      <c r="AD11" s="116">
        <v>1</v>
      </c>
      <c r="AE11" s="116">
        <v>1</v>
      </c>
      <c r="AF11" s="116" t="s">
        <v>207</v>
      </c>
      <c r="AG11" s="116" t="s">
        <v>207</v>
      </c>
      <c r="AH11" s="116" t="s">
        <v>207</v>
      </c>
      <c r="AI11" s="116" t="s">
        <v>207</v>
      </c>
      <c r="AJ11" s="40" t="s">
        <v>200</v>
      </c>
      <c r="AL11" t="str">
        <f t="shared" ca="1" si="0"/>
        <v xml:space="preserve">    (U1)ALERT_REQ_C_BRKBZ_TESTMODE3</v>
      </c>
      <c r="AR11" s="52" t="str">
        <f t="shared" si="3"/>
        <v xml:space="preserve">    (U4)0x00000030U,                                                           /* 05 TESTMODE3                                       */</v>
      </c>
      <c r="AS11" s="52" t="str">
        <f t="shared" si="4"/>
        <v xml:space="preserve">    (U4)0x000000F0U,                                                           /* 05 TESTMODE3                                       */</v>
      </c>
      <c r="AT11" s="52" t="str">
        <f t="shared" ca="1" si="1"/>
        <v xml:space="preserve">    (U1)ALERT_REQ_C_BRKBZ_TESTMODE3,                                           /* 05 TESTMODE3                                       */</v>
      </c>
      <c r="AU11" s="52" t="str">
        <f ca="1">IF($AW$7=1,"        &amp;"&amp;$AW$8&amp;"[0],"&amp;REPT(" ",66-LEN($AW$8))&amp;"/* u4p_CRIT                                           */","        (const U4 *)vdp_PTR_NA,                                                /* u4p_CRIT                                           */")</f>
        <v xml:space="preserve">        &amp;u4_sp_ALERT_C_BRKBZ_CRIT[0],                                          /* u4p_CRIT                                           */</v>
      </c>
      <c r="AV11" s="38" t="s">
        <v>73</v>
      </c>
      <c r="AW11" s="57" t="str">
        <f ca="1">"u1_sp_ALERT_"&amp;IF(AW6&lt;&gt;AW17,$AW$17&amp;"_"&amp;$AW$6,AW17)&amp;"_DST"</f>
        <v>u1_sp_ALERT_C_BRKBZ_DST</v>
      </c>
    </row>
    <row r="12" spans="1:49">
      <c r="B12" s="120"/>
      <c r="C12" s="36">
        <f t="shared" si="2"/>
        <v>6</v>
      </c>
      <c r="D12" s="50" t="s">
        <v>65</v>
      </c>
      <c r="E12" s="50" t="s">
        <v>65</v>
      </c>
      <c r="F12" s="50" t="s">
        <v>65</v>
      </c>
      <c r="G12" s="50" t="s">
        <v>65</v>
      </c>
      <c r="H12" s="50" t="s">
        <v>65</v>
      </c>
      <c r="I12" s="50" t="s">
        <v>65</v>
      </c>
      <c r="J12" s="50" t="s">
        <v>65</v>
      </c>
      <c r="K12" s="50" t="s">
        <v>65</v>
      </c>
      <c r="L12" s="50" t="s">
        <v>65</v>
      </c>
      <c r="M12" s="50" t="s">
        <v>65</v>
      </c>
      <c r="N12" s="50" t="s">
        <v>65</v>
      </c>
      <c r="O12" s="50" t="s">
        <v>65</v>
      </c>
      <c r="P12" s="50" t="s">
        <v>65</v>
      </c>
      <c r="Q12" s="50" t="s">
        <v>65</v>
      </c>
      <c r="R12" s="50" t="s">
        <v>65</v>
      </c>
      <c r="S12" s="50" t="s">
        <v>65</v>
      </c>
      <c r="T12" s="116" t="s">
        <v>207</v>
      </c>
      <c r="U12" s="116" t="s">
        <v>207</v>
      </c>
      <c r="V12" s="116" t="s">
        <v>207</v>
      </c>
      <c r="W12" s="116" t="s">
        <v>207</v>
      </c>
      <c r="X12" s="116" t="s">
        <v>207</v>
      </c>
      <c r="Y12" s="116" t="s">
        <v>207</v>
      </c>
      <c r="Z12" s="116" t="s">
        <v>207</v>
      </c>
      <c r="AA12" s="116" t="s">
        <v>207</v>
      </c>
      <c r="AB12" s="116" t="s">
        <v>207</v>
      </c>
      <c r="AC12" s="116" t="s">
        <v>207</v>
      </c>
      <c r="AD12" s="116" t="s">
        <v>207</v>
      </c>
      <c r="AE12" s="116" t="s">
        <v>207</v>
      </c>
      <c r="AF12" s="116">
        <v>0</v>
      </c>
      <c r="AG12" s="116">
        <v>1</v>
      </c>
      <c r="AH12" s="116">
        <v>1</v>
      </c>
      <c r="AI12" s="116">
        <v>0</v>
      </c>
      <c r="AJ12" s="40" t="s">
        <v>506</v>
      </c>
      <c r="AL12" t="str">
        <f t="shared" ca="1" si="0"/>
        <v xml:space="preserve">    (U1)ALERT_REQ_C_BRKBZ_FAILURE</v>
      </c>
      <c r="AR12" s="52" t="str">
        <f t="shared" si="3"/>
        <v xml:space="preserve">    (U4)0x00000006U,                                                           /* 06 FAILURE                                         */</v>
      </c>
      <c r="AS12" s="52" t="str">
        <f t="shared" si="4"/>
        <v xml:space="preserve">    (U4)0x0000000FU,                                                           /* 06 FAILURE                                         */</v>
      </c>
      <c r="AT12" s="52" t="str">
        <f t="shared" ca="1" si="1"/>
        <v xml:space="preserve">    (U1)ALERT_REQ_C_BRKBZ_FAILURE,                                             /* 06 FAILURE                                         */</v>
      </c>
      <c r="AU12" s="52"/>
      <c r="AV12" s="38" t="s">
        <v>86</v>
      </c>
      <c r="AW12" s="57" t="str">
        <f ca="1">Matrix!D8&amp;"["&amp;Matrix!D7&amp;"]"</f>
        <v>st_gp_ALERT_C_BRKBZ_MTRX[1]</v>
      </c>
    </row>
    <row r="13" spans="1:49">
      <c r="B13" s="120"/>
      <c r="C13" s="36">
        <f t="shared" si="2"/>
        <v>7</v>
      </c>
      <c r="D13" s="50" t="s">
        <v>65</v>
      </c>
      <c r="E13" s="50" t="s">
        <v>65</v>
      </c>
      <c r="F13" s="50" t="s">
        <v>65</v>
      </c>
      <c r="G13" s="50" t="s">
        <v>65</v>
      </c>
      <c r="H13" s="50" t="s">
        <v>65</v>
      </c>
      <c r="I13" s="50" t="s">
        <v>65</v>
      </c>
      <c r="J13" s="50" t="s">
        <v>65</v>
      </c>
      <c r="K13" s="50" t="s">
        <v>65</v>
      </c>
      <c r="L13" s="50" t="s">
        <v>65</v>
      </c>
      <c r="M13" s="50" t="s">
        <v>65</v>
      </c>
      <c r="N13" s="50" t="s">
        <v>65</v>
      </c>
      <c r="O13" s="50" t="s">
        <v>65</v>
      </c>
      <c r="P13" s="50" t="s">
        <v>65</v>
      </c>
      <c r="Q13" s="50" t="s">
        <v>65</v>
      </c>
      <c r="R13" s="50" t="s">
        <v>65</v>
      </c>
      <c r="S13" s="50" t="s">
        <v>65</v>
      </c>
      <c r="T13" s="116" t="s">
        <v>207</v>
      </c>
      <c r="U13" s="116" t="s">
        <v>207</v>
      </c>
      <c r="V13" s="116" t="s">
        <v>207</v>
      </c>
      <c r="W13" s="116" t="s">
        <v>207</v>
      </c>
      <c r="X13" s="116" t="s">
        <v>207</v>
      </c>
      <c r="Y13" s="116" t="s">
        <v>207</v>
      </c>
      <c r="Z13" s="116" t="s">
        <v>207</v>
      </c>
      <c r="AA13" s="116" t="s">
        <v>207</v>
      </c>
      <c r="AB13" s="116">
        <v>0</v>
      </c>
      <c r="AC13" s="116">
        <v>1</v>
      </c>
      <c r="AD13" s="116">
        <v>1</v>
      </c>
      <c r="AE13" s="116">
        <v>0</v>
      </c>
      <c r="AF13" s="116" t="s">
        <v>207</v>
      </c>
      <c r="AG13" s="116" t="s">
        <v>207</v>
      </c>
      <c r="AH13" s="116" t="s">
        <v>207</v>
      </c>
      <c r="AI13" s="116" t="s">
        <v>207</v>
      </c>
      <c r="AJ13" s="40" t="s">
        <v>203</v>
      </c>
      <c r="AL13" t="str">
        <f t="shared" ca="1" si="0"/>
        <v xml:space="preserve">    (U1)ALERT_REQ_C_BRKBZ_FAILURE</v>
      </c>
      <c r="AR13" s="52" t="str">
        <f t="shared" si="3"/>
        <v xml:space="preserve">    (U4)0x00000060U,                                                           /* 07 FAILURE                                         */</v>
      </c>
      <c r="AS13" s="52" t="str">
        <f t="shared" si="4"/>
        <v xml:space="preserve">    (U4)0x000000F0U,                                                           /* 07 FAILURE                                         */</v>
      </c>
      <c r="AT13" s="52" t="str">
        <f t="shared" ca="1" si="1"/>
        <v xml:space="preserve">    (U1)ALERT_REQ_C_BRKBZ_FAILURE,                                             /* 07 FAILURE                                         */</v>
      </c>
      <c r="AU13" s="52" t="str">
        <f ca="1">"        &amp;"&amp;$AW$11&amp;"[0],"&amp;REPT(" ",66-LEN($AW$11))&amp;"/* u1p_DST                                            */"</f>
        <v xml:space="preserve">        &amp;u1_sp_ALERT_C_BRKBZ_DST[0],                                           /* u1p_DST                                            */</v>
      </c>
      <c r="AV13" s="38" t="s">
        <v>74</v>
      </c>
      <c r="AW13" s="119">
        <f>COUNTA($AJ$6:$AJ$69)</f>
        <v>18</v>
      </c>
    </row>
    <row r="14" spans="1:49">
      <c r="B14" s="120"/>
      <c r="C14" s="36">
        <f t="shared" si="2"/>
        <v>8</v>
      </c>
      <c r="D14" s="50" t="s">
        <v>65</v>
      </c>
      <c r="E14" s="50" t="s">
        <v>65</v>
      </c>
      <c r="F14" s="50" t="s">
        <v>65</v>
      </c>
      <c r="G14" s="50" t="s">
        <v>65</v>
      </c>
      <c r="H14" s="50" t="s">
        <v>65</v>
      </c>
      <c r="I14" s="50" t="s">
        <v>65</v>
      </c>
      <c r="J14" s="50" t="s">
        <v>65</v>
      </c>
      <c r="K14" s="50" t="s">
        <v>65</v>
      </c>
      <c r="L14" s="50" t="s">
        <v>65</v>
      </c>
      <c r="M14" s="50" t="s">
        <v>65</v>
      </c>
      <c r="N14" s="50" t="s">
        <v>65</v>
      </c>
      <c r="O14" s="50" t="s">
        <v>65</v>
      </c>
      <c r="P14" s="50" t="s">
        <v>65</v>
      </c>
      <c r="Q14" s="50" t="s">
        <v>65</v>
      </c>
      <c r="R14" s="50" t="s">
        <v>65</v>
      </c>
      <c r="S14" s="50" t="s">
        <v>65</v>
      </c>
      <c r="T14" s="116" t="s">
        <v>207</v>
      </c>
      <c r="U14" s="116" t="s">
        <v>207</v>
      </c>
      <c r="V14" s="116" t="s">
        <v>207</v>
      </c>
      <c r="W14" s="116" t="s">
        <v>207</v>
      </c>
      <c r="X14" s="116" t="s">
        <v>207</v>
      </c>
      <c r="Y14" s="116" t="s">
        <v>207</v>
      </c>
      <c r="Z14" s="116" t="s">
        <v>207</v>
      </c>
      <c r="AA14" s="116" t="s">
        <v>207</v>
      </c>
      <c r="AB14" s="116" t="s">
        <v>207</v>
      </c>
      <c r="AC14" s="116" t="s">
        <v>207</v>
      </c>
      <c r="AD14" s="116" t="s">
        <v>207</v>
      </c>
      <c r="AE14" s="116" t="s">
        <v>207</v>
      </c>
      <c r="AF14" s="116">
        <v>0</v>
      </c>
      <c r="AG14" s="116">
        <v>1</v>
      </c>
      <c r="AH14" s="116">
        <v>1</v>
      </c>
      <c r="AI14" s="116">
        <v>1</v>
      </c>
      <c r="AJ14" s="40" t="s">
        <v>204</v>
      </c>
      <c r="AL14" t="str">
        <f t="shared" ca="1" si="0"/>
        <v xml:space="preserve">    (U1)ALERT_REQ_C_BRKBZ_UNAVAILABLE2</v>
      </c>
      <c r="AR14" s="52" t="str">
        <f t="shared" si="3"/>
        <v xml:space="preserve">    (U4)0x00000007U,                                                           /* 08 UNAVAILABLE2                                    */</v>
      </c>
      <c r="AS14" s="52" t="str">
        <f t="shared" si="4"/>
        <v xml:space="preserve">    (U4)0x0000000FU,                                                           /* 08 UNAVAILABLE2                                    */</v>
      </c>
      <c r="AT14" s="52" t="str">
        <f t="shared" ca="1" si="1"/>
        <v xml:space="preserve">    (U1)ALERT_REQ_C_BRKBZ_UNAVAILABLE2,                                        /* 08 UNAVAILABLE2                                    */</v>
      </c>
      <c r="AU14" s="52" t="str">
        <f ca="1">"        (U2)"&amp;$AW$10&amp;","&amp;REPT(" ",66-LEN($AW$10))&amp;"/* u2_num_srch                                        */"</f>
        <v xml:space="preserve">        (U2)ALERT_C_BRKBZ_NUM_DST,                                             /* u2_num_srch                                        */</v>
      </c>
      <c r="AV14" s="38" t="s">
        <v>75</v>
      </c>
      <c r="AW14" s="57" t="str">
        <f ca="1">IF(AW6&lt;&gt;AW17,VLOOKUP(AW6,Matrix!$C$13:$G$37,4,FALSE),Matrix!F13)</f>
        <v>u4_s_AlertC_brkbzSrcchk</v>
      </c>
    </row>
    <row r="15" spans="1:49">
      <c r="B15" s="120"/>
      <c r="C15" s="36">
        <f t="shared" si="2"/>
        <v>9</v>
      </c>
      <c r="D15" s="50" t="s">
        <v>65</v>
      </c>
      <c r="E15" s="50" t="s">
        <v>65</v>
      </c>
      <c r="F15" s="50" t="s">
        <v>65</v>
      </c>
      <c r="G15" s="50" t="s">
        <v>65</v>
      </c>
      <c r="H15" s="50" t="s">
        <v>65</v>
      </c>
      <c r="I15" s="50" t="s">
        <v>65</v>
      </c>
      <c r="J15" s="50" t="s">
        <v>65</v>
      </c>
      <c r="K15" s="50" t="s">
        <v>65</v>
      </c>
      <c r="L15" s="50" t="s">
        <v>65</v>
      </c>
      <c r="M15" s="50" t="s">
        <v>65</v>
      </c>
      <c r="N15" s="50" t="s">
        <v>65</v>
      </c>
      <c r="O15" s="50" t="s">
        <v>65</v>
      </c>
      <c r="P15" s="50" t="s">
        <v>65</v>
      </c>
      <c r="Q15" s="50" t="s">
        <v>65</v>
      </c>
      <c r="R15" s="50" t="s">
        <v>65</v>
      </c>
      <c r="S15" s="50" t="s">
        <v>65</v>
      </c>
      <c r="T15" s="116" t="s">
        <v>207</v>
      </c>
      <c r="U15" s="116" t="s">
        <v>207</v>
      </c>
      <c r="V15" s="116" t="s">
        <v>207</v>
      </c>
      <c r="W15" s="116" t="s">
        <v>207</v>
      </c>
      <c r="X15" s="116" t="s">
        <v>207</v>
      </c>
      <c r="Y15" s="116" t="s">
        <v>207</v>
      </c>
      <c r="Z15" s="116" t="s">
        <v>207</v>
      </c>
      <c r="AA15" s="116" t="s">
        <v>207</v>
      </c>
      <c r="AB15" s="116">
        <v>0</v>
      </c>
      <c r="AC15" s="116">
        <v>1</v>
      </c>
      <c r="AD15" s="116">
        <v>1</v>
      </c>
      <c r="AE15" s="116">
        <v>1</v>
      </c>
      <c r="AF15" s="116" t="s">
        <v>207</v>
      </c>
      <c r="AG15" s="116" t="s">
        <v>207</v>
      </c>
      <c r="AH15" s="116" t="s">
        <v>207</v>
      </c>
      <c r="AI15" s="116" t="s">
        <v>207</v>
      </c>
      <c r="AJ15" s="40" t="s">
        <v>508</v>
      </c>
      <c r="AL15" t="str">
        <f t="shared" ca="1" si="0"/>
        <v xml:space="preserve">    (U1)ALERT_REQ_C_BRKBZ_UNAVAILABLE2</v>
      </c>
      <c r="AR15" s="52" t="str">
        <f t="shared" si="3"/>
        <v xml:space="preserve">    (U4)0x00000070U,                                                           /* 09 UNAVAILABLE2                                    */</v>
      </c>
      <c r="AS15" s="52" t="str">
        <f t="shared" si="4"/>
        <v xml:space="preserve">    (U4)0x000000F0U,                                                           /* 09 UNAVAILABLE2                                    */</v>
      </c>
      <c r="AT15" s="52" t="str">
        <f t="shared" ca="1" si="1"/>
        <v xml:space="preserve">    (U1)ALERT_REQ_C_BRKBZ_UNAVAILABLE2,                                        /* 09 UNAVAILABLE2                                    */</v>
      </c>
      <c r="AU15" s="52" t="str">
        <f ca="1">"        (U1)"&amp;$AW$16&amp;REPT(" ",67-LEN($AW$16))&amp;"/* u1_vom_act                                         */"</f>
        <v xml:space="preserve">        (U1)ALERT_VOM_IGN_ON                                                   /* u1_vom_act                                         */</v>
      </c>
      <c r="AV15" s="38" t="s">
        <v>78</v>
      </c>
      <c r="AW15" s="57" t="str">
        <f ca="1">IF(AW6&lt;&gt;AW17,VLOOKUP(AW6,Matrix!$C$13:$G$37,5,FALSE),Matrix!G13)</f>
        <v>NULL</v>
      </c>
    </row>
    <row r="16" spans="1:49">
      <c r="B16" s="120"/>
      <c r="C16" s="36">
        <f t="shared" si="2"/>
        <v>10</v>
      </c>
      <c r="D16" s="50" t="s">
        <v>65</v>
      </c>
      <c r="E16" s="50" t="s">
        <v>65</v>
      </c>
      <c r="F16" s="50" t="s">
        <v>65</v>
      </c>
      <c r="G16" s="50" t="s">
        <v>65</v>
      </c>
      <c r="H16" s="50" t="s">
        <v>65</v>
      </c>
      <c r="I16" s="50" t="s">
        <v>65</v>
      </c>
      <c r="J16" s="50" t="s">
        <v>65</v>
      </c>
      <c r="K16" s="50" t="s">
        <v>65</v>
      </c>
      <c r="L16" s="50" t="s">
        <v>65</v>
      </c>
      <c r="M16" s="50" t="s">
        <v>65</v>
      </c>
      <c r="N16" s="116" t="s">
        <v>207</v>
      </c>
      <c r="O16" s="116" t="s">
        <v>207</v>
      </c>
      <c r="P16" s="116" t="s">
        <v>207</v>
      </c>
      <c r="Q16" s="116" t="s">
        <v>207</v>
      </c>
      <c r="R16" s="50" t="s">
        <v>65</v>
      </c>
      <c r="S16" s="50" t="s">
        <v>65</v>
      </c>
      <c r="T16" s="116" t="s">
        <v>207</v>
      </c>
      <c r="U16" s="116" t="s">
        <v>207</v>
      </c>
      <c r="V16" s="116" t="s">
        <v>207</v>
      </c>
      <c r="W16" s="116" t="s">
        <v>207</v>
      </c>
      <c r="X16" s="116" t="s">
        <v>207</v>
      </c>
      <c r="Y16" s="116" t="s">
        <v>207</v>
      </c>
      <c r="Z16" s="116" t="s">
        <v>207</v>
      </c>
      <c r="AA16" s="116" t="s">
        <v>207</v>
      </c>
      <c r="AB16" s="116" t="s">
        <v>207</v>
      </c>
      <c r="AC16" s="116" t="s">
        <v>207</v>
      </c>
      <c r="AD16" s="116" t="s">
        <v>207</v>
      </c>
      <c r="AE16" s="116" t="s">
        <v>207</v>
      </c>
      <c r="AF16" s="116">
        <v>0</v>
      </c>
      <c r="AG16" s="116">
        <v>0</v>
      </c>
      <c r="AH16" s="116">
        <v>0</v>
      </c>
      <c r="AI16" s="116">
        <v>0</v>
      </c>
      <c r="AJ16" s="40" t="s">
        <v>510</v>
      </c>
      <c r="AL16" t="str">
        <f t="shared" ca="1" si="0"/>
        <v xml:space="preserve">    (U1)ALERT_REQ_C_BRKBZ_UNAVAILABLE1</v>
      </c>
      <c r="AR16" s="52" t="str">
        <f t="shared" si="3"/>
        <v xml:space="preserve">    (U4)0x00000000U,                                                           /* 10 UNAVAILABLE1                                    */</v>
      </c>
      <c r="AS16" s="52" t="str">
        <f t="shared" si="4"/>
        <v xml:space="preserve">    (U4)0x0000000FU,                                                           /* 10 UNAVAILABLE1                                    */</v>
      </c>
      <c r="AT16" s="52" t="str">
        <f t="shared" ca="1" si="1"/>
        <v xml:space="preserve">    (U1)ALERT_REQ_C_BRKBZ_UNAVAILABLE1,                                        /* 10 UNAVAILABLE1                                    */</v>
      </c>
      <c r="AU16" s="52" t="s">
        <v>67</v>
      </c>
      <c r="AV16" s="38" t="s">
        <v>76</v>
      </c>
      <c r="AW16" s="57" t="str">
        <f ca="1">IF(AW6&lt;&gt;AW17,VLOOKUP(AW6,Matrix!$C$13:$G$37,2,FALSE),Matrix!D13)</f>
        <v>ALERT_VOM_IGN_ON</v>
      </c>
    </row>
    <row r="17" spans="2:49" ht="14.25" thickBot="1">
      <c r="B17" s="120"/>
      <c r="C17" s="36">
        <f t="shared" si="2"/>
        <v>11</v>
      </c>
      <c r="D17" s="50" t="s">
        <v>65</v>
      </c>
      <c r="E17" s="50" t="s">
        <v>65</v>
      </c>
      <c r="F17" s="50" t="s">
        <v>65</v>
      </c>
      <c r="G17" s="50" t="s">
        <v>65</v>
      </c>
      <c r="H17" s="50" t="s">
        <v>65</v>
      </c>
      <c r="I17" s="50" t="s">
        <v>65</v>
      </c>
      <c r="J17" s="50" t="s">
        <v>65</v>
      </c>
      <c r="K17" s="50" t="s">
        <v>65</v>
      </c>
      <c r="L17" s="50" t="s">
        <v>65</v>
      </c>
      <c r="M17" s="50" t="s">
        <v>65</v>
      </c>
      <c r="N17" s="50" t="s">
        <v>65</v>
      </c>
      <c r="O17" s="50" t="s">
        <v>65</v>
      </c>
      <c r="P17" s="116" t="s">
        <v>207</v>
      </c>
      <c r="Q17" s="116" t="s">
        <v>207</v>
      </c>
      <c r="R17" s="116" t="s">
        <v>207</v>
      </c>
      <c r="S17" s="116" t="s">
        <v>207</v>
      </c>
      <c r="T17" s="116" t="s">
        <v>207</v>
      </c>
      <c r="U17" s="116" t="s">
        <v>207</v>
      </c>
      <c r="V17" s="116" t="s">
        <v>207</v>
      </c>
      <c r="W17" s="116" t="s">
        <v>207</v>
      </c>
      <c r="X17" s="116" t="s">
        <v>207</v>
      </c>
      <c r="Y17" s="116" t="s">
        <v>207</v>
      </c>
      <c r="Z17" s="116" t="s">
        <v>207</v>
      </c>
      <c r="AA17" s="116" t="s">
        <v>207</v>
      </c>
      <c r="AB17" s="116">
        <v>0</v>
      </c>
      <c r="AC17" s="116">
        <v>0</v>
      </c>
      <c r="AD17" s="116">
        <v>0</v>
      </c>
      <c r="AE17" s="116">
        <v>0</v>
      </c>
      <c r="AF17" s="116" t="s">
        <v>207</v>
      </c>
      <c r="AG17" s="116" t="s">
        <v>207</v>
      </c>
      <c r="AH17" s="116" t="s">
        <v>207</v>
      </c>
      <c r="AI17" s="116" t="s">
        <v>207</v>
      </c>
      <c r="AJ17" s="40" t="s">
        <v>510</v>
      </c>
      <c r="AL17" t="str">
        <f t="shared" ca="1" si="0"/>
        <v xml:space="preserve">    (U1)ALERT_REQ_C_BRKBZ_UNAVAILABLE1</v>
      </c>
      <c r="AR17" s="52" t="str">
        <f t="shared" si="3"/>
        <v xml:space="preserve">    (U4)0x00000000U,                                                           /* 11 UNAVAILABLE1                                    */</v>
      </c>
      <c r="AS17" s="52" t="str">
        <f t="shared" si="4"/>
        <v xml:space="preserve">    (U4)0x000000F0U,                                                           /* 11 UNAVAILABLE1                                    */</v>
      </c>
      <c r="AT17" s="52" t="str">
        <f t="shared" ca="1" si="1"/>
        <v xml:space="preserve">    (U1)ALERT_REQ_C_BRKBZ_UNAVAILABLE1,                                        /* 11 UNAVAILABLE1                                    */</v>
      </c>
      <c r="AU17" s="53" t="s">
        <v>79</v>
      </c>
      <c r="AV17" s="39" t="s">
        <v>77</v>
      </c>
      <c r="AW17" s="58" t="str">
        <f ca="1">UPPER(Matrix!$D$6)</f>
        <v>C_BRKBZ</v>
      </c>
    </row>
    <row r="18" spans="2:49">
      <c r="B18" s="120"/>
      <c r="C18" s="36">
        <f t="shared" si="2"/>
        <v>12</v>
      </c>
      <c r="D18" s="50" t="s">
        <v>65</v>
      </c>
      <c r="E18" s="50" t="s">
        <v>65</v>
      </c>
      <c r="F18" s="50" t="s">
        <v>65</v>
      </c>
      <c r="G18" s="50" t="s">
        <v>65</v>
      </c>
      <c r="H18" s="50" t="s">
        <v>65</v>
      </c>
      <c r="I18" s="50" t="s">
        <v>65</v>
      </c>
      <c r="J18" s="50" t="s">
        <v>65</v>
      </c>
      <c r="K18" s="50" t="s">
        <v>65</v>
      </c>
      <c r="L18" s="50" t="s">
        <v>65</v>
      </c>
      <c r="M18" s="50" t="s">
        <v>65</v>
      </c>
      <c r="N18" s="50" t="s">
        <v>65</v>
      </c>
      <c r="O18" s="50" t="s">
        <v>65</v>
      </c>
      <c r="P18" s="50" t="s">
        <v>65</v>
      </c>
      <c r="Q18" s="50" t="s">
        <v>65</v>
      </c>
      <c r="R18" s="50" t="s">
        <v>65</v>
      </c>
      <c r="S18" s="50" t="s">
        <v>65</v>
      </c>
      <c r="T18" s="116" t="s">
        <v>207</v>
      </c>
      <c r="U18" s="116" t="s">
        <v>207</v>
      </c>
      <c r="V18" s="116" t="s">
        <v>207</v>
      </c>
      <c r="W18" s="116" t="s">
        <v>207</v>
      </c>
      <c r="X18" s="116" t="s">
        <v>207</v>
      </c>
      <c r="Y18" s="116" t="s">
        <v>207</v>
      </c>
      <c r="Z18" s="116" t="s">
        <v>207</v>
      </c>
      <c r="AA18" s="116" t="s">
        <v>207</v>
      </c>
      <c r="AB18" s="116" t="s">
        <v>207</v>
      </c>
      <c r="AC18" s="116" t="s">
        <v>207</v>
      </c>
      <c r="AD18" s="116" t="s">
        <v>207</v>
      </c>
      <c r="AE18" s="116" t="s">
        <v>207</v>
      </c>
      <c r="AF18" s="116">
        <v>1</v>
      </c>
      <c r="AG18" s="116">
        <v>0</v>
      </c>
      <c r="AH18" s="116">
        <v>0</v>
      </c>
      <c r="AI18" s="116">
        <v>0</v>
      </c>
      <c r="AJ18" s="40" t="s">
        <v>205</v>
      </c>
      <c r="AL18" t="str">
        <f t="shared" ca="1" si="0"/>
        <v xml:space="preserve">    (U1)ALERT_REQ_C_BRKBZ_APPOPE3</v>
      </c>
      <c r="AR18" s="52" t="str">
        <f t="shared" si="3"/>
        <v xml:space="preserve">    (U4)0x00000008U,                                                           /* 12 APPOPE3                                         */</v>
      </c>
      <c r="AS18" s="52" t="str">
        <f t="shared" si="4"/>
        <v xml:space="preserve">    (U4)0x0000000FU,                                                           /* 12 APPOPE3                                         */</v>
      </c>
      <c r="AT18" s="52" t="str">
        <f t="shared" ca="1" si="1"/>
        <v xml:space="preserve">    (U1)ALERT_REQ_C_BRKBZ_APPOPE3,                                             /* 12 APPOPE3                                         */</v>
      </c>
    </row>
    <row r="19" spans="2:49">
      <c r="B19" s="120"/>
      <c r="C19" s="36">
        <f t="shared" si="2"/>
        <v>13</v>
      </c>
      <c r="D19" s="50" t="s">
        <v>65</v>
      </c>
      <c r="E19" s="50" t="s">
        <v>65</v>
      </c>
      <c r="F19" s="50" t="s">
        <v>65</v>
      </c>
      <c r="G19" s="50" t="s">
        <v>65</v>
      </c>
      <c r="H19" s="50" t="s">
        <v>65</v>
      </c>
      <c r="I19" s="50" t="s">
        <v>65</v>
      </c>
      <c r="J19" s="50" t="s">
        <v>65</v>
      </c>
      <c r="K19" s="50" t="s">
        <v>65</v>
      </c>
      <c r="L19" s="50" t="s">
        <v>65</v>
      </c>
      <c r="M19" s="50" t="s">
        <v>65</v>
      </c>
      <c r="N19" s="50" t="s">
        <v>65</v>
      </c>
      <c r="O19" s="50" t="s">
        <v>65</v>
      </c>
      <c r="P19" s="50" t="s">
        <v>65</v>
      </c>
      <c r="Q19" s="50" t="s">
        <v>65</v>
      </c>
      <c r="R19" s="50" t="s">
        <v>65</v>
      </c>
      <c r="S19" s="50" t="s">
        <v>65</v>
      </c>
      <c r="T19" s="116" t="s">
        <v>207</v>
      </c>
      <c r="U19" s="116" t="s">
        <v>207</v>
      </c>
      <c r="V19" s="116" t="s">
        <v>207</v>
      </c>
      <c r="W19" s="116" t="s">
        <v>207</v>
      </c>
      <c r="X19" s="116" t="s">
        <v>207</v>
      </c>
      <c r="Y19" s="116" t="s">
        <v>207</v>
      </c>
      <c r="Z19" s="116" t="s">
        <v>207</v>
      </c>
      <c r="AA19" s="116" t="s">
        <v>207</v>
      </c>
      <c r="AB19" s="116">
        <v>1</v>
      </c>
      <c r="AC19" s="116">
        <v>0</v>
      </c>
      <c r="AD19" s="116">
        <v>0</v>
      </c>
      <c r="AE19" s="116">
        <v>0</v>
      </c>
      <c r="AF19" s="116" t="s">
        <v>207</v>
      </c>
      <c r="AG19" s="116" t="s">
        <v>207</v>
      </c>
      <c r="AH19" s="116" t="s">
        <v>207</v>
      </c>
      <c r="AI19" s="116" t="s">
        <v>207</v>
      </c>
      <c r="AJ19" s="40" t="s">
        <v>205</v>
      </c>
      <c r="AL19" t="str">
        <f t="shared" ca="1" si="0"/>
        <v xml:space="preserve">    (U1)ALERT_REQ_C_BRKBZ_APPOPE3</v>
      </c>
      <c r="AR19" s="52" t="str">
        <f t="shared" si="3"/>
        <v xml:space="preserve">    (U4)0x00000080U,                                                           /* 13 APPOPE3                                         */</v>
      </c>
      <c r="AS19" s="52" t="str">
        <f t="shared" si="4"/>
        <v xml:space="preserve">    (U4)0x000000F0U,                                                           /* 13 APPOPE3                                         */</v>
      </c>
      <c r="AT19" s="52" t="str">
        <f t="shared" ca="1" si="1"/>
        <v xml:space="preserve">    (U1)ALERT_REQ_C_BRKBZ_APPOPE3,                                             /* 13 APPOPE3                                         */</v>
      </c>
    </row>
    <row r="20" spans="2:49">
      <c r="B20" s="120"/>
      <c r="C20" s="36">
        <f t="shared" si="2"/>
        <v>14</v>
      </c>
      <c r="D20" s="50" t="s">
        <v>65</v>
      </c>
      <c r="E20" s="50" t="s">
        <v>65</v>
      </c>
      <c r="F20" s="50" t="s">
        <v>65</v>
      </c>
      <c r="G20" s="50" t="s">
        <v>65</v>
      </c>
      <c r="H20" s="50" t="s">
        <v>65</v>
      </c>
      <c r="I20" s="50" t="s">
        <v>65</v>
      </c>
      <c r="J20" s="50" t="s">
        <v>65</v>
      </c>
      <c r="K20" s="50" t="s">
        <v>65</v>
      </c>
      <c r="L20" s="50" t="s">
        <v>65</v>
      </c>
      <c r="M20" s="50" t="s">
        <v>65</v>
      </c>
      <c r="N20" s="50" t="s">
        <v>65</v>
      </c>
      <c r="O20" s="50" t="s">
        <v>65</v>
      </c>
      <c r="P20" s="50" t="s">
        <v>65</v>
      </c>
      <c r="Q20" s="50" t="s">
        <v>65</v>
      </c>
      <c r="R20" s="50" t="s">
        <v>65</v>
      </c>
      <c r="S20" s="50" t="s">
        <v>65</v>
      </c>
      <c r="T20" s="116" t="s">
        <v>207</v>
      </c>
      <c r="U20" s="116" t="s">
        <v>207</v>
      </c>
      <c r="V20" s="116" t="s">
        <v>207</v>
      </c>
      <c r="W20" s="116" t="s">
        <v>207</v>
      </c>
      <c r="X20" s="116" t="s">
        <v>207</v>
      </c>
      <c r="Y20" s="116" t="s">
        <v>207</v>
      </c>
      <c r="Z20" s="116" t="s">
        <v>207</v>
      </c>
      <c r="AA20" s="116" t="s">
        <v>207</v>
      </c>
      <c r="AB20" s="116" t="s">
        <v>207</v>
      </c>
      <c r="AC20" s="116" t="s">
        <v>207</v>
      </c>
      <c r="AD20" s="116" t="s">
        <v>207</v>
      </c>
      <c r="AE20" s="116" t="s">
        <v>207</v>
      </c>
      <c r="AF20" s="116">
        <v>0</v>
      </c>
      <c r="AG20" s="116">
        <v>1</v>
      </c>
      <c r="AH20" s="116">
        <v>0</v>
      </c>
      <c r="AI20" s="116">
        <v>0</v>
      </c>
      <c r="AJ20" s="40" t="s">
        <v>201</v>
      </c>
      <c r="AL20" t="str">
        <f t="shared" ca="1" si="0"/>
        <v xml:space="preserve">    (U1)ALERT_REQ_C_BRKBZ_APPOPE1</v>
      </c>
      <c r="AR20" s="52" t="str">
        <f t="shared" si="3"/>
        <v xml:space="preserve">    (U4)0x00000004U,                                                           /* 14 APPOPE1                                         */</v>
      </c>
      <c r="AS20" s="52" t="str">
        <f t="shared" si="4"/>
        <v xml:space="preserve">    (U4)0x0000000FU,                                                           /* 14 APPOPE1                                         */</v>
      </c>
      <c r="AT20" s="52" t="str">
        <f t="shared" ca="1" si="1"/>
        <v xml:space="preserve">    (U1)ALERT_REQ_C_BRKBZ_APPOPE1,                                             /* 14 APPOPE1                                         */</v>
      </c>
    </row>
    <row r="21" spans="2:49">
      <c r="B21" s="120"/>
      <c r="C21" s="36">
        <f t="shared" si="2"/>
        <v>15</v>
      </c>
      <c r="D21" s="50" t="s">
        <v>65</v>
      </c>
      <c r="E21" s="50" t="s">
        <v>65</v>
      </c>
      <c r="F21" s="50" t="s">
        <v>65</v>
      </c>
      <c r="G21" s="50" t="s">
        <v>65</v>
      </c>
      <c r="H21" s="50" t="s">
        <v>65</v>
      </c>
      <c r="I21" s="50" t="s">
        <v>65</v>
      </c>
      <c r="J21" s="50" t="s">
        <v>65</v>
      </c>
      <c r="K21" s="50" t="s">
        <v>65</v>
      </c>
      <c r="L21" s="50" t="s">
        <v>65</v>
      </c>
      <c r="M21" s="50" t="s">
        <v>65</v>
      </c>
      <c r="N21" s="50" t="s">
        <v>65</v>
      </c>
      <c r="O21" s="50" t="s">
        <v>65</v>
      </c>
      <c r="P21" s="50" t="s">
        <v>65</v>
      </c>
      <c r="Q21" s="50" t="s">
        <v>65</v>
      </c>
      <c r="R21" s="50" t="s">
        <v>65</v>
      </c>
      <c r="S21" s="50" t="s">
        <v>65</v>
      </c>
      <c r="T21" s="116" t="s">
        <v>207</v>
      </c>
      <c r="U21" s="116" t="s">
        <v>207</v>
      </c>
      <c r="V21" s="116" t="s">
        <v>207</v>
      </c>
      <c r="W21" s="116" t="s">
        <v>207</v>
      </c>
      <c r="X21" s="116" t="s">
        <v>207</v>
      </c>
      <c r="Y21" s="116" t="s">
        <v>207</v>
      </c>
      <c r="Z21" s="116" t="s">
        <v>207</v>
      </c>
      <c r="AA21" s="116" t="s">
        <v>207</v>
      </c>
      <c r="AB21" s="116">
        <v>0</v>
      </c>
      <c r="AC21" s="116">
        <v>1</v>
      </c>
      <c r="AD21" s="116">
        <v>0</v>
      </c>
      <c r="AE21" s="116">
        <v>0</v>
      </c>
      <c r="AF21" s="116" t="s">
        <v>207</v>
      </c>
      <c r="AG21" s="116" t="s">
        <v>207</v>
      </c>
      <c r="AH21" s="116" t="s">
        <v>207</v>
      </c>
      <c r="AI21" s="116" t="s">
        <v>207</v>
      </c>
      <c r="AJ21" s="40" t="s">
        <v>201</v>
      </c>
      <c r="AL21" t="str">
        <f t="shared" ca="1" si="0"/>
        <v xml:space="preserve">    (U1)ALERT_REQ_C_BRKBZ_APPOPE1</v>
      </c>
      <c r="AR21" s="52" t="str">
        <f t="shared" si="3"/>
        <v xml:space="preserve">    (U4)0x00000040U,                                                           /* 15 APPOPE1                                         */</v>
      </c>
      <c r="AS21" s="52" t="str">
        <f t="shared" si="4"/>
        <v xml:space="preserve">    (U4)0x000000F0U,                                                           /* 15 APPOPE1                                         */</v>
      </c>
      <c r="AT21" s="52" t="str">
        <f t="shared" ca="1" si="1"/>
        <v xml:space="preserve">    (U1)ALERT_REQ_C_BRKBZ_APPOPE1,                                             /* 15 APPOPE1                                         */</v>
      </c>
    </row>
    <row r="22" spans="2:49">
      <c r="B22" s="120"/>
      <c r="C22" s="36">
        <f t="shared" si="2"/>
        <v>16</v>
      </c>
      <c r="D22" s="50" t="s">
        <v>65</v>
      </c>
      <c r="E22" s="50" t="s">
        <v>65</v>
      </c>
      <c r="F22" s="50" t="s">
        <v>65</v>
      </c>
      <c r="G22" s="50" t="s">
        <v>65</v>
      </c>
      <c r="H22" s="50" t="s">
        <v>65</v>
      </c>
      <c r="I22" s="50" t="s">
        <v>65</v>
      </c>
      <c r="J22" s="50" t="s">
        <v>65</v>
      </c>
      <c r="K22" s="50" t="s">
        <v>65</v>
      </c>
      <c r="L22" s="50" t="s">
        <v>65</v>
      </c>
      <c r="M22" s="50" t="s">
        <v>65</v>
      </c>
      <c r="N22" s="50" t="s">
        <v>65</v>
      </c>
      <c r="O22" s="50" t="s">
        <v>65</v>
      </c>
      <c r="P22" s="50" t="s">
        <v>65</v>
      </c>
      <c r="Q22" s="50" t="s">
        <v>65</v>
      </c>
      <c r="R22" s="50" t="s">
        <v>65</v>
      </c>
      <c r="S22" s="50" t="s">
        <v>65</v>
      </c>
      <c r="T22" s="116" t="s">
        <v>207</v>
      </c>
      <c r="U22" s="116" t="s">
        <v>207</v>
      </c>
      <c r="V22" s="116" t="s">
        <v>207</v>
      </c>
      <c r="W22" s="116" t="s">
        <v>207</v>
      </c>
      <c r="X22" s="116" t="s">
        <v>207</v>
      </c>
      <c r="Y22" s="116" t="s">
        <v>207</v>
      </c>
      <c r="Z22" s="116" t="s">
        <v>207</v>
      </c>
      <c r="AA22" s="116" t="s">
        <v>207</v>
      </c>
      <c r="AB22" s="116" t="s">
        <v>207</v>
      </c>
      <c r="AC22" s="116" t="s">
        <v>207</v>
      </c>
      <c r="AD22" s="116" t="s">
        <v>207</v>
      </c>
      <c r="AE22" s="116" t="s">
        <v>207</v>
      </c>
      <c r="AF22" s="116">
        <v>0</v>
      </c>
      <c r="AG22" s="116">
        <v>1</v>
      </c>
      <c r="AH22" s="116">
        <v>0</v>
      </c>
      <c r="AI22" s="116">
        <v>1</v>
      </c>
      <c r="AJ22" s="40" t="s">
        <v>202</v>
      </c>
      <c r="AL22" t="str">
        <f t="shared" ca="1" si="0"/>
        <v xml:space="preserve">    (U1)ALERT_REQ_C_BRKBZ_APPOPE2</v>
      </c>
      <c r="AR22" s="52" t="str">
        <f t="shared" si="3"/>
        <v xml:space="preserve">    (U4)0x00000005U,                                                           /* 16 APPOPE2                                         */</v>
      </c>
      <c r="AS22" s="52" t="str">
        <f t="shared" si="4"/>
        <v xml:space="preserve">    (U4)0x0000000FU,                                                           /* 16 APPOPE2                                         */</v>
      </c>
      <c r="AT22" s="52" t="str">
        <f t="shared" ca="1" si="1"/>
        <v xml:space="preserve">    (U1)ALERT_REQ_C_BRKBZ_APPOPE2,                                             /* 16 APPOPE2                                         */</v>
      </c>
    </row>
    <row r="23" spans="2:49">
      <c r="B23" s="120"/>
      <c r="C23" s="36">
        <f t="shared" si="2"/>
        <v>17</v>
      </c>
      <c r="D23" s="50" t="s">
        <v>65</v>
      </c>
      <c r="E23" s="50" t="s">
        <v>65</v>
      </c>
      <c r="F23" s="50" t="s">
        <v>65</v>
      </c>
      <c r="G23" s="50" t="s">
        <v>65</v>
      </c>
      <c r="H23" s="50" t="s">
        <v>65</v>
      </c>
      <c r="I23" s="50" t="s">
        <v>65</v>
      </c>
      <c r="J23" s="50" t="s">
        <v>65</v>
      </c>
      <c r="K23" s="50" t="s">
        <v>65</v>
      </c>
      <c r="L23" s="50" t="s">
        <v>65</v>
      </c>
      <c r="M23" s="50" t="s">
        <v>65</v>
      </c>
      <c r="N23" s="50" t="s">
        <v>65</v>
      </c>
      <c r="O23" s="50" t="s">
        <v>65</v>
      </c>
      <c r="P23" s="50" t="s">
        <v>65</v>
      </c>
      <c r="Q23" s="50" t="s">
        <v>65</v>
      </c>
      <c r="R23" s="50" t="s">
        <v>65</v>
      </c>
      <c r="S23" s="50" t="s">
        <v>65</v>
      </c>
      <c r="T23" s="116" t="s">
        <v>207</v>
      </c>
      <c r="U23" s="116" t="s">
        <v>207</v>
      </c>
      <c r="V23" s="116" t="s">
        <v>207</v>
      </c>
      <c r="W23" s="116" t="s">
        <v>207</v>
      </c>
      <c r="X23" s="116" t="s">
        <v>207</v>
      </c>
      <c r="Y23" s="116" t="s">
        <v>207</v>
      </c>
      <c r="Z23" s="116" t="s">
        <v>207</v>
      </c>
      <c r="AA23" s="116" t="s">
        <v>207</v>
      </c>
      <c r="AB23" s="116">
        <v>0</v>
      </c>
      <c r="AC23" s="116">
        <v>1</v>
      </c>
      <c r="AD23" s="116">
        <v>0</v>
      </c>
      <c r="AE23" s="116">
        <v>1</v>
      </c>
      <c r="AF23" s="116" t="s">
        <v>207</v>
      </c>
      <c r="AG23" s="116" t="s">
        <v>207</v>
      </c>
      <c r="AH23" s="116" t="s">
        <v>207</v>
      </c>
      <c r="AI23" s="116" t="s">
        <v>207</v>
      </c>
      <c r="AJ23" s="40" t="s">
        <v>202</v>
      </c>
      <c r="AL23" t="str">
        <f t="shared" ca="1" si="0"/>
        <v xml:space="preserve">    (U1)ALERT_REQ_C_BRKBZ_APPOPE2</v>
      </c>
      <c r="AR23" s="52" t="str">
        <f t="shared" si="3"/>
        <v xml:space="preserve">    (U4)0x00000050U                                                            /* 17 APPOPE2                                         */</v>
      </c>
      <c r="AS23" s="52" t="str">
        <f t="shared" si="4"/>
        <v xml:space="preserve">    (U4)0x000000F0U                                                            /* 17 APPOPE2                                         */</v>
      </c>
      <c r="AT23" s="52" t="str">
        <f t="shared" ca="1" si="1"/>
        <v xml:space="preserve">    (U1)ALERT_REQ_C_BRKBZ_APPOPE2                                              /* 17 APPOPE2                                         */</v>
      </c>
    </row>
    <row r="24" spans="2:49">
      <c r="B24" s="120"/>
      <c r="C24" s="36">
        <f t="shared" si="2"/>
        <v>18</v>
      </c>
      <c r="D24" s="50" t="s">
        <v>65</v>
      </c>
      <c r="E24" s="50" t="s">
        <v>65</v>
      </c>
      <c r="F24" s="50" t="s">
        <v>65</v>
      </c>
      <c r="G24" s="50" t="s">
        <v>65</v>
      </c>
      <c r="H24" s="50" t="s">
        <v>65</v>
      </c>
      <c r="I24" s="50" t="s">
        <v>65</v>
      </c>
      <c r="J24" s="50" t="s">
        <v>65</v>
      </c>
      <c r="K24" s="50" t="s">
        <v>65</v>
      </c>
      <c r="L24" s="50" t="s">
        <v>65</v>
      </c>
      <c r="M24" s="50" t="s">
        <v>65</v>
      </c>
      <c r="N24" s="50" t="s">
        <v>65</v>
      </c>
      <c r="O24" s="50" t="s">
        <v>65</v>
      </c>
      <c r="P24" s="50" t="s">
        <v>65</v>
      </c>
      <c r="Q24" s="50" t="s">
        <v>65</v>
      </c>
      <c r="R24" s="50" t="s">
        <v>65</v>
      </c>
      <c r="S24" s="50" t="s">
        <v>65</v>
      </c>
      <c r="T24" s="116" t="s">
        <v>207</v>
      </c>
      <c r="U24" s="116" t="s">
        <v>207</v>
      </c>
      <c r="V24" s="116" t="s">
        <v>207</v>
      </c>
      <c r="W24" s="116" t="s">
        <v>207</v>
      </c>
      <c r="X24" s="116" t="s">
        <v>207</v>
      </c>
      <c r="Y24" s="116" t="s">
        <v>207</v>
      </c>
      <c r="Z24" s="116" t="s">
        <v>207</v>
      </c>
      <c r="AA24" s="116" t="s">
        <v>207</v>
      </c>
      <c r="AB24" s="116" t="s">
        <v>207</v>
      </c>
      <c r="AC24" s="116" t="s">
        <v>207</v>
      </c>
      <c r="AD24" s="116" t="s">
        <v>207</v>
      </c>
      <c r="AE24" s="116" t="s">
        <v>207</v>
      </c>
      <c r="AF24" s="116" t="s">
        <v>207</v>
      </c>
      <c r="AG24" s="116" t="s">
        <v>207</v>
      </c>
      <c r="AH24" s="116" t="s">
        <v>207</v>
      </c>
      <c r="AI24" s="116" t="s">
        <v>207</v>
      </c>
      <c r="AJ24" s="40"/>
      <c r="AL24" t="str">
        <f t="shared" ca="1" si="0"/>
        <v xml:space="preserve">    (U1)ALERT_REQ_C_BRKBZ_</v>
      </c>
      <c r="AR24" s="52" t="str">
        <f t="shared" si="3"/>
        <v>};</v>
      </c>
      <c r="AS24" s="52" t="str">
        <f t="shared" si="4"/>
        <v>};</v>
      </c>
      <c r="AT24" s="52" t="str">
        <f t="shared" si="1"/>
        <v>};</v>
      </c>
    </row>
    <row r="25" spans="2:49">
      <c r="B25" s="120"/>
      <c r="C25" s="36">
        <f t="shared" si="2"/>
        <v>19</v>
      </c>
      <c r="D25" s="50" t="s">
        <v>65</v>
      </c>
      <c r="E25" s="50" t="s">
        <v>65</v>
      </c>
      <c r="F25" s="50" t="s">
        <v>65</v>
      </c>
      <c r="G25" s="50" t="s">
        <v>65</v>
      </c>
      <c r="H25" s="50" t="s">
        <v>65</v>
      </c>
      <c r="I25" s="50" t="s">
        <v>65</v>
      </c>
      <c r="J25" s="50" t="s">
        <v>65</v>
      </c>
      <c r="K25" s="50" t="s">
        <v>65</v>
      </c>
      <c r="L25" s="50" t="s">
        <v>65</v>
      </c>
      <c r="M25" s="50" t="s">
        <v>65</v>
      </c>
      <c r="N25" s="50" t="s">
        <v>65</v>
      </c>
      <c r="O25" s="50" t="s">
        <v>65</v>
      </c>
      <c r="P25" s="50" t="s">
        <v>65</v>
      </c>
      <c r="Q25" s="50" t="s">
        <v>65</v>
      </c>
      <c r="R25" s="50" t="s">
        <v>65</v>
      </c>
      <c r="S25" s="50" t="s">
        <v>65</v>
      </c>
      <c r="T25" s="116" t="s">
        <v>207</v>
      </c>
      <c r="U25" s="116" t="s">
        <v>207</v>
      </c>
      <c r="V25" s="116" t="s">
        <v>207</v>
      </c>
      <c r="W25" s="116" t="s">
        <v>207</v>
      </c>
      <c r="X25" s="116" t="s">
        <v>207</v>
      </c>
      <c r="Y25" s="116" t="s">
        <v>207</v>
      </c>
      <c r="Z25" s="116" t="s">
        <v>207</v>
      </c>
      <c r="AA25" s="116" t="s">
        <v>207</v>
      </c>
      <c r="AB25" s="116" t="s">
        <v>207</v>
      </c>
      <c r="AC25" s="116" t="s">
        <v>207</v>
      </c>
      <c r="AD25" s="116" t="s">
        <v>207</v>
      </c>
      <c r="AE25" s="116" t="s">
        <v>207</v>
      </c>
      <c r="AF25" s="116" t="s">
        <v>207</v>
      </c>
      <c r="AG25" s="116" t="s">
        <v>207</v>
      </c>
      <c r="AH25" s="116" t="s">
        <v>207</v>
      </c>
      <c r="AI25" s="116" t="s">
        <v>207</v>
      </c>
      <c r="AJ25" s="40"/>
      <c r="AL25" t="str">
        <f t="shared" ca="1" si="0"/>
        <v xml:space="preserve">    (U1)ALERT_REQ_C_BRKBZ_</v>
      </c>
      <c r="AR25" s="52" t="str">
        <f t="shared" si="3"/>
        <v/>
      </c>
      <c r="AS25" s="52" t="str">
        <f t="shared" si="4"/>
        <v/>
      </c>
      <c r="AT25" s="52" t="str">
        <f t="shared" si="1"/>
        <v/>
      </c>
    </row>
    <row r="26" spans="2:49">
      <c r="B26" s="120"/>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116" t="s">
        <v>207</v>
      </c>
      <c r="U26" s="116" t="s">
        <v>207</v>
      </c>
      <c r="V26" s="116" t="s">
        <v>207</v>
      </c>
      <c r="W26" s="116" t="s">
        <v>207</v>
      </c>
      <c r="X26" s="116" t="s">
        <v>207</v>
      </c>
      <c r="Y26" s="116" t="s">
        <v>207</v>
      </c>
      <c r="Z26" s="116" t="s">
        <v>207</v>
      </c>
      <c r="AA26" s="116" t="s">
        <v>207</v>
      </c>
      <c r="AB26" s="116" t="s">
        <v>207</v>
      </c>
      <c r="AC26" s="116" t="s">
        <v>207</v>
      </c>
      <c r="AD26" s="116" t="s">
        <v>207</v>
      </c>
      <c r="AE26" s="116" t="s">
        <v>207</v>
      </c>
      <c r="AF26" s="116" t="s">
        <v>207</v>
      </c>
      <c r="AG26" s="116" t="s">
        <v>207</v>
      </c>
      <c r="AH26" s="116" t="s">
        <v>207</v>
      </c>
      <c r="AI26" s="116" t="s">
        <v>207</v>
      </c>
      <c r="AJ26" s="40"/>
      <c r="AL26" t="str">
        <f t="shared" ca="1" si="0"/>
        <v xml:space="preserve">    (U1)ALERT_REQ_C_BRKBZ_</v>
      </c>
      <c r="AR26" s="52" t="str">
        <f t="shared" si="3"/>
        <v/>
      </c>
      <c r="AS26" s="52" t="str">
        <f t="shared" si="4"/>
        <v/>
      </c>
      <c r="AT26" s="52" t="str">
        <f t="shared" si="1"/>
        <v/>
      </c>
    </row>
    <row r="27" spans="2:49">
      <c r="B27" s="120"/>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116" t="s">
        <v>207</v>
      </c>
      <c r="U27" s="116" t="s">
        <v>207</v>
      </c>
      <c r="V27" s="116" t="s">
        <v>207</v>
      </c>
      <c r="W27" s="116" t="s">
        <v>207</v>
      </c>
      <c r="X27" s="116" t="s">
        <v>207</v>
      </c>
      <c r="Y27" s="116" t="s">
        <v>207</v>
      </c>
      <c r="Z27" s="116" t="s">
        <v>207</v>
      </c>
      <c r="AA27" s="116" t="s">
        <v>207</v>
      </c>
      <c r="AB27" s="116" t="s">
        <v>207</v>
      </c>
      <c r="AC27" s="116" t="s">
        <v>207</v>
      </c>
      <c r="AD27" s="116" t="s">
        <v>207</v>
      </c>
      <c r="AE27" s="116" t="s">
        <v>207</v>
      </c>
      <c r="AF27" s="116" t="s">
        <v>207</v>
      </c>
      <c r="AG27" s="116" t="s">
        <v>207</v>
      </c>
      <c r="AH27" s="116" t="s">
        <v>207</v>
      </c>
      <c r="AI27" s="116" t="s">
        <v>207</v>
      </c>
      <c r="AJ27" s="40"/>
      <c r="AL27" t="str">
        <f t="shared" ca="1" si="0"/>
        <v xml:space="preserve">    (U1)ALERT_REQ_C_BRKBZ_</v>
      </c>
      <c r="AR27" s="52" t="str">
        <f t="shared" si="3"/>
        <v/>
      </c>
      <c r="AS27" s="52" t="str">
        <f t="shared" si="4"/>
        <v/>
      </c>
      <c r="AT27" s="52" t="str">
        <f t="shared" si="1"/>
        <v/>
      </c>
    </row>
    <row r="28" spans="2:49">
      <c r="B28" s="120"/>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116" t="s">
        <v>207</v>
      </c>
      <c r="U28" s="116" t="s">
        <v>207</v>
      </c>
      <c r="V28" s="116" t="s">
        <v>207</v>
      </c>
      <c r="W28" s="116" t="s">
        <v>207</v>
      </c>
      <c r="X28" s="116" t="s">
        <v>207</v>
      </c>
      <c r="Y28" s="116" t="s">
        <v>207</v>
      </c>
      <c r="Z28" s="116" t="s">
        <v>207</v>
      </c>
      <c r="AA28" s="116" t="s">
        <v>207</v>
      </c>
      <c r="AB28" s="116" t="s">
        <v>207</v>
      </c>
      <c r="AC28" s="116" t="s">
        <v>207</v>
      </c>
      <c r="AD28" s="116" t="s">
        <v>207</v>
      </c>
      <c r="AE28" s="116" t="s">
        <v>207</v>
      </c>
      <c r="AF28" s="116" t="s">
        <v>207</v>
      </c>
      <c r="AG28" s="116" t="s">
        <v>207</v>
      </c>
      <c r="AH28" s="116" t="s">
        <v>207</v>
      </c>
      <c r="AI28" s="116" t="s">
        <v>207</v>
      </c>
      <c r="AJ28" s="40"/>
      <c r="AL28" t="str">
        <f t="shared" ca="1" si="0"/>
        <v xml:space="preserve">    (U1)ALERT_REQ_C_BRKBZ_</v>
      </c>
      <c r="AR28" s="52" t="str">
        <f t="shared" si="3"/>
        <v/>
      </c>
      <c r="AS28" s="52" t="str">
        <f t="shared" si="4"/>
        <v/>
      </c>
      <c r="AT28" s="52" t="str">
        <f t="shared" si="1"/>
        <v/>
      </c>
    </row>
    <row r="29" spans="2:49">
      <c r="B29" s="120"/>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116" t="s">
        <v>207</v>
      </c>
      <c r="U29" s="116" t="s">
        <v>207</v>
      </c>
      <c r="V29" s="116" t="s">
        <v>207</v>
      </c>
      <c r="W29" s="116" t="s">
        <v>207</v>
      </c>
      <c r="X29" s="116" t="s">
        <v>207</v>
      </c>
      <c r="Y29" s="116" t="s">
        <v>207</v>
      </c>
      <c r="Z29" s="116" t="s">
        <v>207</v>
      </c>
      <c r="AA29" s="116" t="s">
        <v>207</v>
      </c>
      <c r="AB29" s="116" t="s">
        <v>207</v>
      </c>
      <c r="AC29" s="116" t="s">
        <v>207</v>
      </c>
      <c r="AD29" s="116" t="s">
        <v>207</v>
      </c>
      <c r="AE29" s="116" t="s">
        <v>207</v>
      </c>
      <c r="AF29" s="116" t="s">
        <v>207</v>
      </c>
      <c r="AG29" s="116" t="s">
        <v>207</v>
      </c>
      <c r="AH29" s="116" t="s">
        <v>207</v>
      </c>
      <c r="AI29" s="116" t="s">
        <v>207</v>
      </c>
      <c r="AJ29" s="40"/>
      <c r="AL29" t="str">
        <f t="shared" ca="1" si="0"/>
        <v xml:space="preserve">    (U1)ALERT_REQ_C_BRKBZ_</v>
      </c>
      <c r="AR29" s="52" t="str">
        <f t="shared" si="3"/>
        <v/>
      </c>
      <c r="AS29" s="52" t="str">
        <f t="shared" si="4"/>
        <v/>
      </c>
      <c r="AT29" s="52" t="str">
        <f t="shared" si="1"/>
        <v/>
      </c>
    </row>
    <row r="30" spans="2:49">
      <c r="B30" s="120"/>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116" t="s">
        <v>207</v>
      </c>
      <c r="U30" s="116" t="s">
        <v>207</v>
      </c>
      <c r="V30" s="116" t="s">
        <v>207</v>
      </c>
      <c r="W30" s="116" t="s">
        <v>207</v>
      </c>
      <c r="X30" s="116" t="s">
        <v>207</v>
      </c>
      <c r="Y30" s="116" t="s">
        <v>207</v>
      </c>
      <c r="Z30" s="116" t="s">
        <v>207</v>
      </c>
      <c r="AA30" s="116" t="s">
        <v>207</v>
      </c>
      <c r="AB30" s="116" t="s">
        <v>207</v>
      </c>
      <c r="AC30" s="116" t="s">
        <v>207</v>
      </c>
      <c r="AD30" s="116" t="s">
        <v>207</v>
      </c>
      <c r="AE30" s="116" t="s">
        <v>207</v>
      </c>
      <c r="AF30" s="116" t="s">
        <v>207</v>
      </c>
      <c r="AG30" s="116" t="s">
        <v>207</v>
      </c>
      <c r="AH30" s="116" t="s">
        <v>207</v>
      </c>
      <c r="AI30" s="116" t="s">
        <v>207</v>
      </c>
      <c r="AJ30" s="40"/>
      <c r="AL30" t="str">
        <f t="shared" ca="1" si="0"/>
        <v xml:space="preserve">    (U1)ALERT_REQ_C_BRKBZ_</v>
      </c>
      <c r="AR30" s="52" t="str">
        <f t="shared" si="3"/>
        <v/>
      </c>
      <c r="AS30" s="52" t="str">
        <f t="shared" si="4"/>
        <v/>
      </c>
      <c r="AT30" s="52" t="str">
        <f t="shared" si="1"/>
        <v/>
      </c>
    </row>
    <row r="31" spans="2:49">
      <c r="B31" s="120"/>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116" t="s">
        <v>207</v>
      </c>
      <c r="U31" s="116" t="s">
        <v>207</v>
      </c>
      <c r="V31" s="116" t="s">
        <v>207</v>
      </c>
      <c r="W31" s="116" t="s">
        <v>207</v>
      </c>
      <c r="X31" s="116" t="s">
        <v>207</v>
      </c>
      <c r="Y31" s="116" t="s">
        <v>207</v>
      </c>
      <c r="Z31" s="116" t="s">
        <v>207</v>
      </c>
      <c r="AA31" s="116" t="s">
        <v>207</v>
      </c>
      <c r="AB31" s="116" t="s">
        <v>207</v>
      </c>
      <c r="AC31" s="116" t="s">
        <v>207</v>
      </c>
      <c r="AD31" s="116" t="s">
        <v>207</v>
      </c>
      <c r="AE31" s="116" t="s">
        <v>207</v>
      </c>
      <c r="AF31" s="116" t="s">
        <v>207</v>
      </c>
      <c r="AG31" s="116" t="s">
        <v>207</v>
      </c>
      <c r="AH31" s="116" t="s">
        <v>207</v>
      </c>
      <c r="AI31" s="116" t="s">
        <v>207</v>
      </c>
      <c r="AJ31" s="40"/>
      <c r="AL31" t="str">
        <f t="shared" ca="1" si="0"/>
        <v xml:space="preserve">    (U1)ALERT_REQ_C_BRKBZ_</v>
      </c>
      <c r="AR31" s="52" t="str">
        <f t="shared" si="3"/>
        <v/>
      </c>
      <c r="AS31" s="52" t="str">
        <f t="shared" si="4"/>
        <v/>
      </c>
      <c r="AT31" s="52" t="str">
        <f t="shared" si="1"/>
        <v/>
      </c>
    </row>
    <row r="32" spans="2:49">
      <c r="B32" s="120"/>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116" t="s">
        <v>207</v>
      </c>
      <c r="U32" s="116" t="s">
        <v>207</v>
      </c>
      <c r="V32" s="116" t="s">
        <v>207</v>
      </c>
      <c r="W32" s="116" t="s">
        <v>207</v>
      </c>
      <c r="X32" s="116" t="s">
        <v>207</v>
      </c>
      <c r="Y32" s="116" t="s">
        <v>207</v>
      </c>
      <c r="Z32" s="116" t="s">
        <v>207</v>
      </c>
      <c r="AA32" s="116" t="s">
        <v>207</v>
      </c>
      <c r="AB32" s="116" t="s">
        <v>207</v>
      </c>
      <c r="AC32" s="116" t="s">
        <v>207</v>
      </c>
      <c r="AD32" s="116" t="s">
        <v>207</v>
      </c>
      <c r="AE32" s="116" t="s">
        <v>207</v>
      </c>
      <c r="AF32" s="116" t="s">
        <v>207</v>
      </c>
      <c r="AG32" s="116" t="s">
        <v>207</v>
      </c>
      <c r="AH32" s="116" t="s">
        <v>207</v>
      </c>
      <c r="AI32" s="116" t="s">
        <v>207</v>
      </c>
      <c r="AJ32" s="40"/>
      <c r="AL32" t="str">
        <f t="shared" ca="1" si="0"/>
        <v xml:space="preserve">    (U1)ALERT_REQ_C_BRKBZ_</v>
      </c>
      <c r="AR32" s="52" t="str">
        <f t="shared" si="3"/>
        <v/>
      </c>
      <c r="AS32" s="52" t="str">
        <f t="shared" si="4"/>
        <v/>
      </c>
      <c r="AT32" s="52" t="str">
        <f t="shared" si="1"/>
        <v/>
      </c>
    </row>
    <row r="33" spans="2:46">
      <c r="B33" s="120"/>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116" t="s">
        <v>207</v>
      </c>
      <c r="U33" s="116" t="s">
        <v>207</v>
      </c>
      <c r="V33" s="116" t="s">
        <v>207</v>
      </c>
      <c r="W33" s="116" t="s">
        <v>207</v>
      </c>
      <c r="X33" s="116" t="s">
        <v>207</v>
      </c>
      <c r="Y33" s="116" t="s">
        <v>207</v>
      </c>
      <c r="Z33" s="116" t="s">
        <v>207</v>
      </c>
      <c r="AA33" s="116" t="s">
        <v>207</v>
      </c>
      <c r="AB33" s="116" t="s">
        <v>207</v>
      </c>
      <c r="AC33" s="116" t="s">
        <v>207</v>
      </c>
      <c r="AD33" s="116" t="s">
        <v>207</v>
      </c>
      <c r="AE33" s="116" t="s">
        <v>207</v>
      </c>
      <c r="AF33" s="116" t="s">
        <v>207</v>
      </c>
      <c r="AG33" s="116" t="s">
        <v>207</v>
      </c>
      <c r="AH33" s="116" t="s">
        <v>207</v>
      </c>
      <c r="AI33" s="116" t="s">
        <v>207</v>
      </c>
      <c r="AJ33" s="40"/>
      <c r="AL33" t="str">
        <f t="shared" ca="1" si="0"/>
        <v xml:space="preserve">    (U1)ALERT_REQ_C_BRKBZ_</v>
      </c>
      <c r="AR33" s="52" t="str">
        <f t="shared" si="3"/>
        <v/>
      </c>
      <c r="AS33" s="52" t="str">
        <f t="shared" si="4"/>
        <v/>
      </c>
      <c r="AT33" s="52" t="str">
        <f t="shared" si="1"/>
        <v/>
      </c>
    </row>
    <row r="34" spans="2:46">
      <c r="B34" s="120"/>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116" t="s">
        <v>207</v>
      </c>
      <c r="U34" s="116" t="s">
        <v>207</v>
      </c>
      <c r="V34" s="116" t="s">
        <v>207</v>
      </c>
      <c r="W34" s="116" t="s">
        <v>207</v>
      </c>
      <c r="X34" s="116" t="s">
        <v>207</v>
      </c>
      <c r="Y34" s="116" t="s">
        <v>207</v>
      </c>
      <c r="Z34" s="116" t="s">
        <v>207</v>
      </c>
      <c r="AA34" s="116" t="s">
        <v>207</v>
      </c>
      <c r="AB34" s="116" t="s">
        <v>207</v>
      </c>
      <c r="AC34" s="116" t="s">
        <v>207</v>
      </c>
      <c r="AD34" s="116" t="s">
        <v>207</v>
      </c>
      <c r="AE34" s="116" t="s">
        <v>207</v>
      </c>
      <c r="AF34" s="116" t="s">
        <v>207</v>
      </c>
      <c r="AG34" s="116" t="s">
        <v>207</v>
      </c>
      <c r="AH34" s="116" t="s">
        <v>207</v>
      </c>
      <c r="AI34" s="116" t="s">
        <v>207</v>
      </c>
      <c r="AJ34" s="40"/>
      <c r="AL34" t="str">
        <f t="shared" ca="1" si="0"/>
        <v xml:space="preserve">    (U1)ALERT_REQ_C_BRKBZ_</v>
      </c>
      <c r="AR34" s="52" t="str">
        <f t="shared" si="3"/>
        <v/>
      </c>
      <c r="AS34" s="52" t="str">
        <f t="shared" si="4"/>
        <v/>
      </c>
      <c r="AT34" s="52" t="str">
        <f t="shared" si="1"/>
        <v/>
      </c>
    </row>
    <row r="35" spans="2:46">
      <c r="B35" s="120"/>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116" t="s">
        <v>207</v>
      </c>
      <c r="U35" s="116" t="s">
        <v>207</v>
      </c>
      <c r="V35" s="116" t="s">
        <v>207</v>
      </c>
      <c r="W35" s="116" t="s">
        <v>207</v>
      </c>
      <c r="X35" s="116" t="s">
        <v>207</v>
      </c>
      <c r="Y35" s="116" t="s">
        <v>207</v>
      </c>
      <c r="Z35" s="116" t="s">
        <v>207</v>
      </c>
      <c r="AA35" s="116" t="s">
        <v>207</v>
      </c>
      <c r="AB35" s="116" t="s">
        <v>207</v>
      </c>
      <c r="AC35" s="116" t="s">
        <v>207</v>
      </c>
      <c r="AD35" s="116" t="s">
        <v>207</v>
      </c>
      <c r="AE35" s="116" t="s">
        <v>207</v>
      </c>
      <c r="AF35" s="116" t="s">
        <v>207</v>
      </c>
      <c r="AG35" s="116" t="s">
        <v>207</v>
      </c>
      <c r="AH35" s="116" t="s">
        <v>207</v>
      </c>
      <c r="AI35" s="116" t="s">
        <v>207</v>
      </c>
      <c r="AJ35" s="40"/>
      <c r="AL35" t="str">
        <f t="shared" ca="1" si="0"/>
        <v xml:space="preserve">    (U1)ALERT_REQ_C_BRKBZ_</v>
      </c>
      <c r="AR35" s="52" t="str">
        <f t="shared" si="3"/>
        <v/>
      </c>
      <c r="AS35" s="52" t="str">
        <f t="shared" si="4"/>
        <v/>
      </c>
      <c r="AT35" s="52" t="str">
        <f t="shared" si="1"/>
        <v/>
      </c>
    </row>
    <row r="36" spans="2:46">
      <c r="B36" s="120"/>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116" t="s">
        <v>207</v>
      </c>
      <c r="U36" s="116" t="s">
        <v>207</v>
      </c>
      <c r="V36" s="116" t="s">
        <v>207</v>
      </c>
      <c r="W36" s="116" t="s">
        <v>207</v>
      </c>
      <c r="X36" s="116" t="s">
        <v>207</v>
      </c>
      <c r="Y36" s="116" t="s">
        <v>207</v>
      </c>
      <c r="Z36" s="116" t="s">
        <v>207</v>
      </c>
      <c r="AA36" s="116" t="s">
        <v>207</v>
      </c>
      <c r="AB36" s="116" t="s">
        <v>207</v>
      </c>
      <c r="AC36" s="116" t="s">
        <v>207</v>
      </c>
      <c r="AD36" s="116" t="s">
        <v>207</v>
      </c>
      <c r="AE36" s="116" t="s">
        <v>207</v>
      </c>
      <c r="AF36" s="116" t="s">
        <v>207</v>
      </c>
      <c r="AG36" s="116" t="s">
        <v>207</v>
      </c>
      <c r="AH36" s="116" t="s">
        <v>207</v>
      </c>
      <c r="AI36" s="116" t="s">
        <v>207</v>
      </c>
      <c r="AJ36" s="40"/>
      <c r="AL36" t="str">
        <f t="shared" ca="1" si="0"/>
        <v xml:space="preserve">    (U1)ALERT_REQ_C_BRKBZ_</v>
      </c>
      <c r="AR36" s="52" t="str">
        <f t="shared" si="3"/>
        <v/>
      </c>
      <c r="AS36" s="52" t="str">
        <f t="shared" si="4"/>
        <v/>
      </c>
      <c r="AT36" s="52" t="str">
        <f t="shared" si="1"/>
        <v/>
      </c>
    </row>
    <row r="37" spans="2:46">
      <c r="B37" s="120"/>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116" t="s">
        <v>207</v>
      </c>
      <c r="U37" s="116" t="s">
        <v>207</v>
      </c>
      <c r="V37" s="116" t="s">
        <v>207</v>
      </c>
      <c r="W37" s="116" t="s">
        <v>207</v>
      </c>
      <c r="X37" s="116" t="s">
        <v>207</v>
      </c>
      <c r="Y37" s="116" t="s">
        <v>207</v>
      </c>
      <c r="Z37" s="116" t="s">
        <v>207</v>
      </c>
      <c r="AA37" s="116" t="s">
        <v>207</v>
      </c>
      <c r="AB37" s="116" t="s">
        <v>207</v>
      </c>
      <c r="AC37" s="116" t="s">
        <v>207</v>
      </c>
      <c r="AD37" s="116" t="s">
        <v>207</v>
      </c>
      <c r="AE37" s="116" t="s">
        <v>207</v>
      </c>
      <c r="AF37" s="116" t="s">
        <v>207</v>
      </c>
      <c r="AG37" s="116" t="s">
        <v>207</v>
      </c>
      <c r="AH37" s="116" t="s">
        <v>207</v>
      </c>
      <c r="AI37" s="116" t="s">
        <v>207</v>
      </c>
      <c r="AJ37" s="40"/>
      <c r="AL37" t="str">
        <f t="shared" ca="1" si="0"/>
        <v xml:space="preserve">    (U1)ALERT_REQ_C_BRKBZ_</v>
      </c>
      <c r="AR37" s="52" t="str">
        <f t="shared" si="3"/>
        <v/>
      </c>
      <c r="AS37" s="52" t="str">
        <f t="shared" si="4"/>
        <v/>
      </c>
      <c r="AT37" s="52" t="str">
        <f t="shared" si="1"/>
        <v/>
      </c>
    </row>
    <row r="38" spans="2:46">
      <c r="B38" s="120"/>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116" t="s">
        <v>207</v>
      </c>
      <c r="U38" s="116" t="s">
        <v>207</v>
      </c>
      <c r="V38" s="116" t="s">
        <v>207</v>
      </c>
      <c r="W38" s="116" t="s">
        <v>207</v>
      </c>
      <c r="X38" s="116" t="s">
        <v>207</v>
      </c>
      <c r="Y38" s="116" t="s">
        <v>207</v>
      </c>
      <c r="Z38" s="116" t="s">
        <v>207</v>
      </c>
      <c r="AA38" s="116" t="s">
        <v>207</v>
      </c>
      <c r="AB38" s="116" t="s">
        <v>207</v>
      </c>
      <c r="AC38" s="116" t="s">
        <v>207</v>
      </c>
      <c r="AD38" s="116" t="s">
        <v>207</v>
      </c>
      <c r="AE38" s="116" t="s">
        <v>207</v>
      </c>
      <c r="AF38" s="116" t="s">
        <v>207</v>
      </c>
      <c r="AG38" s="116" t="s">
        <v>207</v>
      </c>
      <c r="AH38" s="116" t="s">
        <v>207</v>
      </c>
      <c r="AI38" s="116" t="s">
        <v>207</v>
      </c>
      <c r="AJ38" s="40"/>
      <c r="AL38" t="str">
        <f t="shared" ca="1" si="0"/>
        <v xml:space="preserve">    (U1)ALERT_REQ_C_BRKBZ_</v>
      </c>
      <c r="AR38" s="52" t="str">
        <f t="shared" si="3"/>
        <v/>
      </c>
      <c r="AS38" s="52" t="str">
        <f t="shared" si="4"/>
        <v/>
      </c>
      <c r="AT38" s="52" t="str">
        <f t="shared" si="1"/>
        <v/>
      </c>
    </row>
    <row r="39" spans="2:46">
      <c r="B39" s="120"/>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116" t="s">
        <v>207</v>
      </c>
      <c r="U39" s="116" t="s">
        <v>207</v>
      </c>
      <c r="V39" s="116" t="s">
        <v>207</v>
      </c>
      <c r="W39" s="116" t="s">
        <v>207</v>
      </c>
      <c r="X39" s="116" t="s">
        <v>207</v>
      </c>
      <c r="Y39" s="116" t="s">
        <v>207</v>
      </c>
      <c r="Z39" s="116" t="s">
        <v>207</v>
      </c>
      <c r="AA39" s="116" t="s">
        <v>207</v>
      </c>
      <c r="AB39" s="116" t="s">
        <v>207</v>
      </c>
      <c r="AC39" s="116" t="s">
        <v>207</v>
      </c>
      <c r="AD39" s="116" t="s">
        <v>207</v>
      </c>
      <c r="AE39" s="116" t="s">
        <v>207</v>
      </c>
      <c r="AF39" s="116" t="s">
        <v>207</v>
      </c>
      <c r="AG39" s="116" t="s">
        <v>207</v>
      </c>
      <c r="AH39" s="116" t="s">
        <v>207</v>
      </c>
      <c r="AI39" s="116" t="s">
        <v>207</v>
      </c>
      <c r="AJ39" s="40"/>
      <c r="AL39" t="str">
        <f t="shared" ca="1" si="0"/>
        <v xml:space="preserve">    (U1)ALERT_REQ_C_BRKBZ_</v>
      </c>
      <c r="AR39" s="52" t="str">
        <f t="shared" si="3"/>
        <v/>
      </c>
      <c r="AS39" s="52" t="str">
        <f t="shared" si="4"/>
        <v/>
      </c>
      <c r="AT39" s="52" t="str">
        <f t="shared" si="1"/>
        <v/>
      </c>
    </row>
    <row r="40" spans="2:46">
      <c r="B40" s="120"/>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116" t="s">
        <v>207</v>
      </c>
      <c r="U40" s="116" t="s">
        <v>207</v>
      </c>
      <c r="V40" s="116" t="s">
        <v>207</v>
      </c>
      <c r="W40" s="116" t="s">
        <v>207</v>
      </c>
      <c r="X40" s="116" t="s">
        <v>207</v>
      </c>
      <c r="Y40" s="116" t="s">
        <v>207</v>
      </c>
      <c r="Z40" s="116" t="s">
        <v>207</v>
      </c>
      <c r="AA40" s="116" t="s">
        <v>207</v>
      </c>
      <c r="AB40" s="116" t="s">
        <v>207</v>
      </c>
      <c r="AC40" s="116" t="s">
        <v>207</v>
      </c>
      <c r="AD40" s="116" t="s">
        <v>207</v>
      </c>
      <c r="AE40" s="116" t="s">
        <v>207</v>
      </c>
      <c r="AF40" s="116" t="s">
        <v>207</v>
      </c>
      <c r="AG40" s="116" t="s">
        <v>207</v>
      </c>
      <c r="AH40" s="116" t="s">
        <v>207</v>
      </c>
      <c r="AI40" s="116" t="s">
        <v>207</v>
      </c>
      <c r="AJ40" s="40"/>
      <c r="AL40" t="str">
        <f t="shared" ca="1" si="0"/>
        <v xml:space="preserve">    (U1)ALERT_REQ_C_BRKBZ_</v>
      </c>
      <c r="AR40" s="52" t="str">
        <f t="shared" si="3"/>
        <v/>
      </c>
      <c r="AS40" s="52" t="str">
        <f t="shared" si="4"/>
        <v/>
      </c>
      <c r="AT40" s="52" t="str">
        <f t="shared" si="1"/>
        <v/>
      </c>
    </row>
    <row r="41" spans="2:46">
      <c r="B41" s="120"/>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116" t="s">
        <v>207</v>
      </c>
      <c r="U41" s="116" t="s">
        <v>207</v>
      </c>
      <c r="V41" s="116" t="s">
        <v>207</v>
      </c>
      <c r="W41" s="116" t="s">
        <v>207</v>
      </c>
      <c r="X41" s="116" t="s">
        <v>207</v>
      </c>
      <c r="Y41" s="116" t="s">
        <v>207</v>
      </c>
      <c r="Z41" s="116" t="s">
        <v>207</v>
      </c>
      <c r="AA41" s="116" t="s">
        <v>207</v>
      </c>
      <c r="AB41" s="116" t="s">
        <v>207</v>
      </c>
      <c r="AC41" s="116" t="s">
        <v>207</v>
      </c>
      <c r="AD41" s="116" t="s">
        <v>207</v>
      </c>
      <c r="AE41" s="116" t="s">
        <v>207</v>
      </c>
      <c r="AF41" s="116" t="s">
        <v>207</v>
      </c>
      <c r="AG41" s="116" t="s">
        <v>207</v>
      </c>
      <c r="AH41" s="116" t="s">
        <v>207</v>
      </c>
      <c r="AI41" s="116" t="s">
        <v>207</v>
      </c>
      <c r="AJ41" s="40"/>
      <c r="AL41" t="str">
        <f t="shared" ca="1" si="0"/>
        <v xml:space="preserve">    (U1)ALERT_REQ_C_BRKBZ_</v>
      </c>
      <c r="AR41" s="52" t="str">
        <f t="shared" si="3"/>
        <v/>
      </c>
      <c r="AS41" s="52" t="str">
        <f t="shared" si="4"/>
        <v/>
      </c>
      <c r="AT41" s="52" t="str">
        <f t="shared" si="1"/>
        <v/>
      </c>
    </row>
    <row r="42" spans="2:46">
      <c r="B42" s="120"/>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116" t="s">
        <v>207</v>
      </c>
      <c r="U42" s="116" t="s">
        <v>207</v>
      </c>
      <c r="V42" s="116" t="s">
        <v>207</v>
      </c>
      <c r="W42" s="116" t="s">
        <v>207</v>
      </c>
      <c r="X42" s="116" t="s">
        <v>207</v>
      </c>
      <c r="Y42" s="116" t="s">
        <v>207</v>
      </c>
      <c r="Z42" s="116" t="s">
        <v>207</v>
      </c>
      <c r="AA42" s="116" t="s">
        <v>207</v>
      </c>
      <c r="AB42" s="116" t="s">
        <v>207</v>
      </c>
      <c r="AC42" s="116" t="s">
        <v>207</v>
      </c>
      <c r="AD42" s="116" t="s">
        <v>207</v>
      </c>
      <c r="AE42" s="116" t="s">
        <v>207</v>
      </c>
      <c r="AF42" s="116" t="s">
        <v>207</v>
      </c>
      <c r="AG42" s="116" t="s">
        <v>207</v>
      </c>
      <c r="AH42" s="116" t="s">
        <v>207</v>
      </c>
      <c r="AI42" s="116" t="s">
        <v>207</v>
      </c>
      <c r="AJ42" s="40"/>
      <c r="AL42" t="str">
        <f t="shared" ca="1" si="0"/>
        <v xml:space="preserve">    (U1)ALERT_REQ_C_BRKBZ_</v>
      </c>
      <c r="AR42" s="52" t="str">
        <f t="shared" si="3"/>
        <v/>
      </c>
      <c r="AS42" s="52" t="str">
        <f t="shared" si="4"/>
        <v/>
      </c>
      <c r="AT42" s="52" t="str">
        <f t="shared" si="1"/>
        <v/>
      </c>
    </row>
    <row r="43" spans="2:46">
      <c r="B43" s="120"/>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116" t="s">
        <v>207</v>
      </c>
      <c r="U43" s="116" t="s">
        <v>207</v>
      </c>
      <c r="V43" s="116" t="s">
        <v>207</v>
      </c>
      <c r="W43" s="116" t="s">
        <v>207</v>
      </c>
      <c r="X43" s="116" t="s">
        <v>207</v>
      </c>
      <c r="Y43" s="116" t="s">
        <v>207</v>
      </c>
      <c r="Z43" s="116" t="s">
        <v>207</v>
      </c>
      <c r="AA43" s="116" t="s">
        <v>207</v>
      </c>
      <c r="AB43" s="116" t="s">
        <v>207</v>
      </c>
      <c r="AC43" s="116" t="s">
        <v>207</v>
      </c>
      <c r="AD43" s="116" t="s">
        <v>207</v>
      </c>
      <c r="AE43" s="116" t="s">
        <v>207</v>
      </c>
      <c r="AF43" s="116" t="s">
        <v>207</v>
      </c>
      <c r="AG43" s="116" t="s">
        <v>207</v>
      </c>
      <c r="AH43" s="116" t="s">
        <v>207</v>
      </c>
      <c r="AI43" s="116" t="s">
        <v>207</v>
      </c>
      <c r="AJ43" s="40"/>
      <c r="AL43" t="str">
        <f t="shared" ca="1" si="0"/>
        <v xml:space="preserve">    (U1)ALERT_REQ_C_BRKBZ_</v>
      </c>
      <c r="AR43" s="52" t="str">
        <f t="shared" si="3"/>
        <v/>
      </c>
      <c r="AS43" s="52" t="str">
        <f t="shared" si="4"/>
        <v/>
      </c>
      <c r="AT43" s="52" t="str">
        <f t="shared" si="1"/>
        <v/>
      </c>
    </row>
    <row r="44" spans="2:46">
      <c r="B44" s="120"/>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116" t="s">
        <v>207</v>
      </c>
      <c r="U44" s="116" t="s">
        <v>207</v>
      </c>
      <c r="V44" s="116" t="s">
        <v>207</v>
      </c>
      <c r="W44" s="116" t="s">
        <v>207</v>
      </c>
      <c r="X44" s="116" t="s">
        <v>207</v>
      </c>
      <c r="Y44" s="116" t="s">
        <v>207</v>
      </c>
      <c r="Z44" s="116" t="s">
        <v>207</v>
      </c>
      <c r="AA44" s="116" t="s">
        <v>207</v>
      </c>
      <c r="AB44" s="116" t="s">
        <v>207</v>
      </c>
      <c r="AC44" s="116" t="s">
        <v>207</v>
      </c>
      <c r="AD44" s="116" t="s">
        <v>207</v>
      </c>
      <c r="AE44" s="116" t="s">
        <v>207</v>
      </c>
      <c r="AF44" s="116" t="s">
        <v>207</v>
      </c>
      <c r="AG44" s="116" t="s">
        <v>207</v>
      </c>
      <c r="AH44" s="116" t="s">
        <v>207</v>
      </c>
      <c r="AI44" s="116" t="s">
        <v>207</v>
      </c>
      <c r="AJ44" s="40"/>
      <c r="AL44" t="str">
        <f t="shared" ca="1" si="0"/>
        <v xml:space="preserve">    (U1)ALERT_REQ_C_BRKBZ_</v>
      </c>
      <c r="AR44" s="52" t="str">
        <f t="shared" si="3"/>
        <v/>
      </c>
      <c r="AS44" s="52" t="str">
        <f t="shared" si="4"/>
        <v/>
      </c>
      <c r="AT44" s="52" t="str">
        <f t="shared" si="1"/>
        <v/>
      </c>
    </row>
    <row r="45" spans="2:46">
      <c r="B45" s="120"/>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116" t="s">
        <v>207</v>
      </c>
      <c r="U45" s="116" t="s">
        <v>207</v>
      </c>
      <c r="V45" s="116" t="s">
        <v>207</v>
      </c>
      <c r="W45" s="116" t="s">
        <v>207</v>
      </c>
      <c r="X45" s="116" t="s">
        <v>207</v>
      </c>
      <c r="Y45" s="116" t="s">
        <v>207</v>
      </c>
      <c r="Z45" s="116" t="s">
        <v>207</v>
      </c>
      <c r="AA45" s="116" t="s">
        <v>207</v>
      </c>
      <c r="AB45" s="116" t="s">
        <v>207</v>
      </c>
      <c r="AC45" s="116" t="s">
        <v>207</v>
      </c>
      <c r="AD45" s="116" t="s">
        <v>207</v>
      </c>
      <c r="AE45" s="116" t="s">
        <v>207</v>
      </c>
      <c r="AF45" s="116" t="s">
        <v>207</v>
      </c>
      <c r="AG45" s="116" t="s">
        <v>207</v>
      </c>
      <c r="AH45" s="116" t="s">
        <v>207</v>
      </c>
      <c r="AI45" s="116" t="s">
        <v>207</v>
      </c>
      <c r="AJ45" s="40"/>
      <c r="AL45" t="str">
        <f t="shared" ca="1" si="0"/>
        <v xml:space="preserve">    (U1)ALERT_REQ_C_BRKBZ_</v>
      </c>
      <c r="AR45" s="52" t="str">
        <f t="shared" si="3"/>
        <v/>
      </c>
      <c r="AS45" s="52" t="str">
        <f t="shared" si="4"/>
        <v/>
      </c>
      <c r="AT45" s="52" t="str">
        <f t="shared" si="1"/>
        <v/>
      </c>
    </row>
    <row r="46" spans="2:46">
      <c r="B46" s="120"/>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116" t="s">
        <v>207</v>
      </c>
      <c r="U46" s="116" t="s">
        <v>207</v>
      </c>
      <c r="V46" s="116" t="s">
        <v>207</v>
      </c>
      <c r="W46" s="116" t="s">
        <v>207</v>
      </c>
      <c r="X46" s="116" t="s">
        <v>207</v>
      </c>
      <c r="Y46" s="116" t="s">
        <v>207</v>
      </c>
      <c r="Z46" s="116" t="s">
        <v>207</v>
      </c>
      <c r="AA46" s="116" t="s">
        <v>207</v>
      </c>
      <c r="AB46" s="116" t="s">
        <v>207</v>
      </c>
      <c r="AC46" s="116" t="s">
        <v>207</v>
      </c>
      <c r="AD46" s="116" t="s">
        <v>207</v>
      </c>
      <c r="AE46" s="116" t="s">
        <v>207</v>
      </c>
      <c r="AF46" s="116" t="s">
        <v>207</v>
      </c>
      <c r="AG46" s="116" t="s">
        <v>207</v>
      </c>
      <c r="AH46" s="116" t="s">
        <v>207</v>
      </c>
      <c r="AI46" s="116" t="s">
        <v>207</v>
      </c>
      <c r="AJ46" s="40"/>
      <c r="AL46" t="str">
        <f t="shared" ca="1" si="0"/>
        <v xml:space="preserve">    (U1)ALERT_REQ_C_BRKBZ_</v>
      </c>
      <c r="AR46" s="52" t="str">
        <f t="shared" si="3"/>
        <v/>
      </c>
      <c r="AS46" s="52" t="str">
        <f t="shared" si="4"/>
        <v/>
      </c>
      <c r="AT46" s="52" t="str">
        <f t="shared" si="1"/>
        <v/>
      </c>
    </row>
    <row r="47" spans="2:46">
      <c r="B47" s="120"/>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116" t="s">
        <v>207</v>
      </c>
      <c r="U47" s="116" t="s">
        <v>207</v>
      </c>
      <c r="V47" s="116" t="s">
        <v>207</v>
      </c>
      <c r="W47" s="116" t="s">
        <v>207</v>
      </c>
      <c r="X47" s="116" t="s">
        <v>207</v>
      </c>
      <c r="Y47" s="116" t="s">
        <v>207</v>
      </c>
      <c r="Z47" s="116" t="s">
        <v>207</v>
      </c>
      <c r="AA47" s="116" t="s">
        <v>207</v>
      </c>
      <c r="AB47" s="116" t="s">
        <v>207</v>
      </c>
      <c r="AC47" s="116" t="s">
        <v>207</v>
      </c>
      <c r="AD47" s="116" t="s">
        <v>207</v>
      </c>
      <c r="AE47" s="116" t="s">
        <v>207</v>
      </c>
      <c r="AF47" s="116" t="s">
        <v>207</v>
      </c>
      <c r="AG47" s="116" t="s">
        <v>207</v>
      </c>
      <c r="AH47" s="116" t="s">
        <v>207</v>
      </c>
      <c r="AI47" s="116" t="s">
        <v>207</v>
      </c>
      <c r="AJ47" s="40"/>
      <c r="AL47" t="str">
        <f t="shared" ca="1" si="0"/>
        <v xml:space="preserve">    (U1)ALERT_REQ_C_BRKBZ_</v>
      </c>
      <c r="AR47" s="52" t="str">
        <f t="shared" si="3"/>
        <v/>
      </c>
      <c r="AS47" s="52" t="str">
        <f t="shared" si="4"/>
        <v/>
      </c>
      <c r="AT47" s="52" t="str">
        <f t="shared" si="1"/>
        <v/>
      </c>
    </row>
    <row r="48" spans="2:46">
      <c r="B48" s="120"/>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116" t="s">
        <v>207</v>
      </c>
      <c r="AC48" s="116" t="s">
        <v>207</v>
      </c>
      <c r="AD48" s="116" t="s">
        <v>207</v>
      </c>
      <c r="AE48" s="116" t="s">
        <v>207</v>
      </c>
      <c r="AF48" s="116" t="s">
        <v>207</v>
      </c>
      <c r="AG48" s="116" t="s">
        <v>207</v>
      </c>
      <c r="AH48" s="116" t="s">
        <v>207</v>
      </c>
      <c r="AI48" s="116" t="s">
        <v>207</v>
      </c>
      <c r="AJ48" s="40"/>
      <c r="AL48" t="str">
        <f t="shared" ca="1" si="0"/>
        <v xml:space="preserve">    (U1)ALERT_REQ_C_BRKBZ_</v>
      </c>
      <c r="AR48" s="52" t="str">
        <f t="shared" si="3"/>
        <v/>
      </c>
      <c r="AS48" s="52" t="str">
        <f t="shared" si="4"/>
        <v/>
      </c>
      <c r="AT48" s="52" t="str">
        <f t="shared" si="1"/>
        <v/>
      </c>
    </row>
    <row r="49" spans="2:46">
      <c r="B49" s="120"/>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116" t="s">
        <v>207</v>
      </c>
      <c r="AC49" s="116" t="s">
        <v>207</v>
      </c>
      <c r="AD49" s="116" t="s">
        <v>207</v>
      </c>
      <c r="AE49" s="116" t="s">
        <v>207</v>
      </c>
      <c r="AF49" s="116" t="s">
        <v>207</v>
      </c>
      <c r="AG49" s="116" t="s">
        <v>207</v>
      </c>
      <c r="AH49" s="116" t="s">
        <v>207</v>
      </c>
      <c r="AI49" s="116" t="s">
        <v>207</v>
      </c>
      <c r="AJ49" s="40"/>
      <c r="AL49" t="str">
        <f t="shared" ca="1" si="0"/>
        <v xml:space="preserve">    (U1)ALERT_REQ_C_BRKBZ_</v>
      </c>
      <c r="AR49" s="52" t="str">
        <f t="shared" si="3"/>
        <v/>
      </c>
      <c r="AS49" s="52" t="str">
        <f t="shared" si="4"/>
        <v/>
      </c>
      <c r="AT49" s="52" t="str">
        <f t="shared" si="1"/>
        <v/>
      </c>
    </row>
    <row r="50" spans="2:46">
      <c r="B50" s="120"/>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116" t="s">
        <v>207</v>
      </c>
      <c r="AC50" s="116" t="s">
        <v>207</v>
      </c>
      <c r="AD50" s="116" t="s">
        <v>207</v>
      </c>
      <c r="AE50" s="116" t="s">
        <v>207</v>
      </c>
      <c r="AF50" s="116" t="s">
        <v>207</v>
      </c>
      <c r="AG50" s="116" t="s">
        <v>207</v>
      </c>
      <c r="AH50" s="116" t="s">
        <v>207</v>
      </c>
      <c r="AI50" s="116" t="s">
        <v>207</v>
      </c>
      <c r="AJ50" s="40"/>
      <c r="AL50" t="str">
        <f t="shared" ca="1" si="0"/>
        <v xml:space="preserve">    (U1)ALERT_REQ_C_BRKBZ_</v>
      </c>
      <c r="AR50" s="52" t="str">
        <f t="shared" si="3"/>
        <v/>
      </c>
      <c r="AS50" s="52" t="str">
        <f t="shared" si="4"/>
        <v/>
      </c>
      <c r="AT50" s="52" t="str">
        <f t="shared" si="1"/>
        <v/>
      </c>
    </row>
    <row r="51" spans="2:46">
      <c r="B51" s="120"/>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116" t="s">
        <v>207</v>
      </c>
      <c r="AC51" s="116" t="s">
        <v>207</v>
      </c>
      <c r="AD51" s="116" t="s">
        <v>207</v>
      </c>
      <c r="AE51" s="116" t="s">
        <v>207</v>
      </c>
      <c r="AF51" s="116" t="s">
        <v>207</v>
      </c>
      <c r="AG51" s="116" t="s">
        <v>207</v>
      </c>
      <c r="AH51" s="116" t="s">
        <v>207</v>
      </c>
      <c r="AI51" s="116" t="s">
        <v>207</v>
      </c>
      <c r="AJ51" s="40"/>
      <c r="AL51" t="str">
        <f t="shared" ca="1" si="0"/>
        <v xml:space="preserve">    (U1)ALERT_REQ_C_BRKBZ_</v>
      </c>
      <c r="AR51" s="52" t="str">
        <f t="shared" si="3"/>
        <v/>
      </c>
      <c r="AS51" s="52" t="str">
        <f t="shared" si="4"/>
        <v/>
      </c>
      <c r="AT51" s="52" t="str">
        <f t="shared" si="1"/>
        <v/>
      </c>
    </row>
    <row r="52" spans="2:46">
      <c r="B52" s="120"/>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116" t="s">
        <v>207</v>
      </c>
      <c r="AC52" s="116" t="s">
        <v>207</v>
      </c>
      <c r="AD52" s="116" t="s">
        <v>207</v>
      </c>
      <c r="AE52" s="116" t="s">
        <v>207</v>
      </c>
      <c r="AF52" s="116" t="s">
        <v>207</v>
      </c>
      <c r="AG52" s="116" t="s">
        <v>207</v>
      </c>
      <c r="AH52" s="116" t="s">
        <v>207</v>
      </c>
      <c r="AI52" s="116" t="s">
        <v>207</v>
      </c>
      <c r="AJ52" s="40"/>
      <c r="AL52" t="str">
        <f t="shared" ca="1" si="0"/>
        <v xml:space="preserve">    (U1)ALERT_REQ_C_BRKBZ_</v>
      </c>
      <c r="AR52" s="52" t="str">
        <f t="shared" si="3"/>
        <v/>
      </c>
      <c r="AS52" s="52" t="str">
        <f t="shared" si="4"/>
        <v/>
      </c>
      <c r="AT52" s="52" t="str">
        <f t="shared" si="1"/>
        <v/>
      </c>
    </row>
    <row r="53" spans="2:46">
      <c r="B53" s="120"/>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40"/>
      <c r="AL53" t="str">
        <f t="shared" ca="1" si="0"/>
        <v xml:space="preserve">    (U1)ALERT_REQ_C_BRKBZ_</v>
      </c>
      <c r="AR53" s="52" t="str">
        <f t="shared" si="3"/>
        <v/>
      </c>
      <c r="AS53" s="52" t="str">
        <f t="shared" si="4"/>
        <v/>
      </c>
      <c r="AT53" s="52" t="str">
        <f t="shared" si="1"/>
        <v/>
      </c>
    </row>
    <row r="54" spans="2:46">
      <c r="B54" s="120"/>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40"/>
      <c r="AL54" t="str">
        <f t="shared" ca="1" si="0"/>
        <v xml:space="preserve">    (U1)ALERT_REQ_C_BRKBZ_</v>
      </c>
      <c r="AR54" s="52" t="str">
        <f t="shared" si="3"/>
        <v/>
      </c>
      <c r="AS54" s="52" t="str">
        <f t="shared" si="4"/>
        <v/>
      </c>
      <c r="AT54" s="52" t="str">
        <f t="shared" si="1"/>
        <v/>
      </c>
    </row>
    <row r="55" spans="2:46">
      <c r="B55" s="120"/>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40"/>
      <c r="AL55" t="str">
        <f t="shared" ca="1" si="0"/>
        <v xml:space="preserve">    (U1)ALERT_REQ_C_BRKBZ_</v>
      </c>
      <c r="AR55" s="52" t="str">
        <f t="shared" si="3"/>
        <v/>
      </c>
      <c r="AS55" s="52" t="str">
        <f t="shared" si="4"/>
        <v/>
      </c>
      <c r="AT55" s="52" t="str">
        <f t="shared" si="1"/>
        <v/>
      </c>
    </row>
    <row r="56" spans="2:46">
      <c r="B56" s="120"/>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40"/>
      <c r="AL56" t="str">
        <f t="shared" ca="1" si="0"/>
        <v xml:space="preserve">    (U1)ALERT_REQ_C_BRKBZ_</v>
      </c>
      <c r="AR56" s="52" t="str">
        <f t="shared" si="3"/>
        <v/>
      </c>
      <c r="AS56" s="52" t="str">
        <f t="shared" si="4"/>
        <v/>
      </c>
      <c r="AT56" s="52" t="str">
        <f t="shared" si="1"/>
        <v/>
      </c>
    </row>
    <row r="57" spans="2:46">
      <c r="B57" s="120"/>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40"/>
      <c r="AL57" t="str">
        <f t="shared" ca="1" si="0"/>
        <v xml:space="preserve">    (U1)ALERT_REQ_C_BRKBZ_</v>
      </c>
      <c r="AR57" s="52" t="str">
        <f t="shared" si="3"/>
        <v/>
      </c>
      <c r="AS57" s="52" t="str">
        <f t="shared" si="4"/>
        <v/>
      </c>
      <c r="AT57" s="52" t="str">
        <f t="shared" si="1"/>
        <v/>
      </c>
    </row>
    <row r="58" spans="2:46">
      <c r="B58" s="120"/>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40"/>
      <c r="AL58" t="str">
        <f t="shared" ca="1" si="0"/>
        <v xml:space="preserve">    (U1)ALERT_REQ_C_BRKBZ_</v>
      </c>
      <c r="AR58" s="52" t="str">
        <f t="shared" si="3"/>
        <v/>
      </c>
      <c r="AS58" s="52" t="str">
        <f t="shared" si="4"/>
        <v/>
      </c>
      <c r="AT58" s="52" t="str">
        <f t="shared" si="1"/>
        <v/>
      </c>
    </row>
    <row r="59" spans="2:46">
      <c r="B59" s="120"/>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40"/>
      <c r="AL59" t="str">
        <f t="shared" ca="1" si="0"/>
        <v xml:space="preserve">    (U1)ALERT_REQ_C_BRKBZ_</v>
      </c>
      <c r="AR59" s="52" t="str">
        <f t="shared" si="3"/>
        <v/>
      </c>
      <c r="AS59" s="52" t="str">
        <f t="shared" si="4"/>
        <v/>
      </c>
      <c r="AT59" s="52" t="str">
        <f t="shared" si="1"/>
        <v/>
      </c>
    </row>
    <row r="60" spans="2:46">
      <c r="B60" s="120"/>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40"/>
      <c r="AL60" t="str">
        <f t="shared" ca="1" si="0"/>
        <v xml:space="preserve">    (U1)ALERT_REQ_C_BRKBZ_</v>
      </c>
      <c r="AR60" s="52" t="str">
        <f t="shared" si="3"/>
        <v/>
      </c>
      <c r="AS60" s="52" t="str">
        <f t="shared" si="4"/>
        <v/>
      </c>
      <c r="AT60" s="52" t="str">
        <f t="shared" si="1"/>
        <v/>
      </c>
    </row>
    <row r="61" spans="2:46">
      <c r="B61" s="120"/>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40"/>
      <c r="AL61" t="str">
        <f t="shared" ca="1" si="0"/>
        <v xml:space="preserve">    (U1)ALERT_REQ_C_BRKBZ_</v>
      </c>
      <c r="AR61" s="52" t="str">
        <f t="shared" si="3"/>
        <v/>
      </c>
      <c r="AS61" s="52" t="str">
        <f t="shared" si="4"/>
        <v/>
      </c>
      <c r="AT61" s="52" t="str">
        <f t="shared" si="1"/>
        <v/>
      </c>
    </row>
    <row r="62" spans="2:46">
      <c r="B62" s="120"/>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40"/>
      <c r="AL62" t="str">
        <f t="shared" ca="1" si="0"/>
        <v xml:space="preserve">    (U1)ALERT_REQ_C_BRKBZ_</v>
      </c>
      <c r="AR62" s="52" t="str">
        <f t="shared" si="3"/>
        <v/>
      </c>
      <c r="AS62" s="52" t="str">
        <f t="shared" si="4"/>
        <v/>
      </c>
      <c r="AT62" s="52" t="str">
        <f t="shared" si="1"/>
        <v/>
      </c>
    </row>
    <row r="63" spans="2:46">
      <c r="B63" s="120"/>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40"/>
      <c r="AL63" t="str">
        <f t="shared" ca="1" si="0"/>
        <v xml:space="preserve">    (U1)ALERT_REQ_C_BRKBZ_</v>
      </c>
      <c r="AR63" s="52" t="str">
        <f t="shared" si="3"/>
        <v/>
      </c>
      <c r="AS63" s="52" t="str">
        <f t="shared" si="4"/>
        <v/>
      </c>
      <c r="AT63" s="52" t="str">
        <f t="shared" si="1"/>
        <v/>
      </c>
    </row>
    <row r="64" spans="2:46">
      <c r="B64" s="120"/>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40"/>
      <c r="AL64" t="str">
        <f t="shared" ca="1" si="0"/>
        <v xml:space="preserve">    (U1)ALERT_REQ_C_BRKBZ_</v>
      </c>
      <c r="AR64" s="52" t="str">
        <f t="shared" si="3"/>
        <v/>
      </c>
      <c r="AS64" s="52" t="str">
        <f t="shared" si="4"/>
        <v/>
      </c>
      <c r="AT64" s="52" t="str">
        <f t="shared" si="1"/>
        <v/>
      </c>
    </row>
    <row r="65" spans="1:46">
      <c r="B65" s="120"/>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40"/>
      <c r="AL65" t="str">
        <f t="shared" ca="1" si="0"/>
        <v xml:space="preserve">    (U1)ALERT_REQ_C_BRKBZ_</v>
      </c>
      <c r="AR65" s="52" t="str">
        <f t="shared" si="3"/>
        <v/>
      </c>
      <c r="AS65" s="52" t="str">
        <f t="shared" si="4"/>
        <v/>
      </c>
      <c r="AT65" s="52" t="str">
        <f t="shared" si="1"/>
        <v/>
      </c>
    </row>
    <row r="66" spans="1:46">
      <c r="B66" s="120"/>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40"/>
      <c r="AL66" t="str">
        <f t="shared" ca="1" si="0"/>
        <v xml:space="preserve">    (U1)ALERT_REQ_C_BRKBZ_</v>
      </c>
      <c r="AR66" s="52" t="str">
        <f t="shared" si="3"/>
        <v/>
      </c>
      <c r="AS66" s="52" t="str">
        <f t="shared" si="4"/>
        <v/>
      </c>
      <c r="AT66" s="52" t="str">
        <f t="shared" si="1"/>
        <v/>
      </c>
    </row>
    <row r="67" spans="1:46">
      <c r="B67" s="120"/>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40"/>
      <c r="AL67" t="str">
        <f t="shared" ca="1" si="0"/>
        <v xml:space="preserve">    (U1)ALERT_REQ_C_BRKBZ_</v>
      </c>
      <c r="AR67" s="52" t="str">
        <f t="shared" si="3"/>
        <v/>
      </c>
      <c r="AS67" s="52" t="str">
        <f t="shared" si="4"/>
        <v/>
      </c>
      <c r="AT67" s="52" t="str">
        <f t="shared" si="1"/>
        <v/>
      </c>
    </row>
    <row r="68" spans="1:46">
      <c r="B68" s="120"/>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40"/>
      <c r="AL68" t="str">
        <f t="shared" ca="1" si="0"/>
        <v xml:space="preserve">    (U1)ALERT_REQ_C_BRKBZ_</v>
      </c>
      <c r="AR68" s="52" t="str">
        <f t="shared" si="3"/>
        <v/>
      </c>
      <c r="AS68" s="52" t="str">
        <f t="shared" si="4"/>
        <v/>
      </c>
      <c r="AT68" s="52" t="str">
        <f t="shared" si="1"/>
        <v/>
      </c>
    </row>
    <row r="69" spans="1:46">
      <c r="B69" s="121"/>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40"/>
      <c r="AL69" t="str">
        <f t="shared" ca="1" si="0"/>
        <v xml:space="preserve">    (U1)ALERT_REQ_C_BRKBZ_</v>
      </c>
      <c r="AR69" s="52" t="str">
        <f t="shared" si="3"/>
        <v/>
      </c>
      <c r="AS69" s="52" t="str">
        <f t="shared" si="4"/>
        <v/>
      </c>
      <c r="AT69" s="52" t="str">
        <f t="shared" si="1"/>
        <v/>
      </c>
    </row>
    <row r="70" spans="1:46" ht="14.2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3" t="str">
        <f t="shared" si="3"/>
        <v/>
      </c>
      <c r="AS70" s="53" t="str">
        <f t="shared" si="4"/>
        <v/>
      </c>
      <c r="AT70" s="53" t="str">
        <f t="shared" ref="AT70" si="5">IF(AJ70&lt;&gt;"",AL70&amp;IF(AJ71&lt;&gt;"",","," ")&amp;REPT(" ",78-LEN(AL70))&amp;"/* "&amp;IF(C70&lt;10,"0"&amp;C70,C70)&amp;" "&amp;AJ70&amp;REPT(" ",48-LEN(AJ70))&amp;"*/",IF(AJ69&lt;&gt;"","};",""))</f>
        <v/>
      </c>
    </row>
    <row r="71" spans="1:46">
      <c r="B71" s="122" t="str">
        <f ca="1">IF(B6&lt;&gt;"",B6,"")</f>
        <v>Table C_BRKBZ</v>
      </c>
      <c r="C71" s="36">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1</v>
      </c>
      <c r="AJ71" s="36" t="str">
        <f t="shared" ref="AJ71:AJ134" si="7">IF(AJ6&lt;&gt;"",AJ6,"")</f>
        <v>TESTMODE1</v>
      </c>
      <c r="AK71" s="49"/>
      <c r="AL71" s="49" t="str">
        <f>BIN2HEX(AB71&amp;AC71&amp;AD71&amp;AE71&amp;AF71&amp;AG71&amp;AH71&amp;AI71,2)</f>
        <v>01</v>
      </c>
      <c r="AM71" s="51" t="str">
        <f>BIN2HEX(T71&amp;U71&amp;V71&amp;W71&amp;X71&amp;Y71&amp;Z71&amp;AA71,2)</f>
        <v>00</v>
      </c>
      <c r="AN71" s="51" t="str">
        <f>BIN2HEX(L71&amp;M71&amp;N71&amp;O71&amp;P71&amp;Q71&amp;R71&amp;S71,2)</f>
        <v>00</v>
      </c>
      <c r="AO71" s="51" t="str">
        <f>BIN2HEX(D71&amp;E71&amp;F71&amp;G71&amp;H71&amp;I71&amp;J71&amp;K71,2)</f>
        <v>00</v>
      </c>
      <c r="AQ71" t="str">
        <f t="shared" ref="AQ71:AQ134" si="8">IF(AJ71="","","    (U4)0x"&amp;AO71&amp;AN71&amp;AM71&amp;AL71&amp;"U"&amp;IF(AJ72=""," ",",")&amp;REPT(" ",59)&amp;"/* "&amp;IF(C71&lt;10,"0"&amp;C71,C71)&amp;" "&amp;AJ71&amp;REPT(" ",47-LEN(AJ71))&amp;" */")</f>
        <v xml:space="preserve">    (U4)0x00000001U,                                                           /* 00 TESTMODE1                                       */</v>
      </c>
    </row>
    <row r="72" spans="1:46">
      <c r="B72" s="120"/>
      <c r="C72" s="36">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1</v>
      </c>
      <c r="AF72" s="113">
        <f t="shared" si="6"/>
        <v>0</v>
      </c>
      <c r="AG72" s="113">
        <f t="shared" si="6"/>
        <v>0</v>
      </c>
      <c r="AH72" s="113">
        <f t="shared" si="6"/>
        <v>0</v>
      </c>
      <c r="AI72" s="113">
        <f t="shared" si="6"/>
        <v>0</v>
      </c>
      <c r="AJ72" s="36" t="str">
        <f t="shared" si="7"/>
        <v>TESTMODE1</v>
      </c>
      <c r="AK72" s="49"/>
      <c r="AL72" s="49" t="str">
        <f t="shared" ref="AL72:AL134" si="10">BIN2HEX(AB72&amp;AC72&amp;AD72&amp;AE72&amp;AF72&amp;AG72&amp;AH72&amp;AI72,2)</f>
        <v>10</v>
      </c>
      <c r="AM72" s="51" t="str">
        <f t="shared" ref="AM72:AM134" si="11">BIN2HEX(T72&amp;U72&amp;V72&amp;W72&amp;X72&amp;Y72&amp;Z72&amp;AA72,2)</f>
        <v>00</v>
      </c>
      <c r="AN72" s="51" t="str">
        <f t="shared" ref="AN72:AN134" si="12">BIN2HEX(L72&amp;M72&amp;N72&amp;O72&amp;P72&amp;Q72&amp;R72&amp;S72,2)</f>
        <v>00</v>
      </c>
      <c r="AO72" s="51" t="str">
        <f t="shared" ref="AO72:AO134" si="13">BIN2HEX(D72&amp;E72&amp;F72&amp;G72&amp;H72&amp;I72&amp;J72&amp;K72,2)</f>
        <v>00</v>
      </c>
      <c r="AQ72" t="str">
        <f t="shared" si="8"/>
        <v xml:space="preserve">    (U4)0x00000010U,                                                           /* 01 TESTMODE1                                       */</v>
      </c>
    </row>
    <row r="73" spans="1:46">
      <c r="B73" s="120"/>
      <c r="C73" s="36">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6" t="str">
        <f t="shared" si="7"/>
        <v>TESTMODE2</v>
      </c>
      <c r="AK73" s="49"/>
      <c r="AL73" s="49" t="str">
        <f t="shared" si="10"/>
        <v>02</v>
      </c>
      <c r="AM73" s="51" t="str">
        <f t="shared" si="11"/>
        <v>00</v>
      </c>
      <c r="AN73" s="51" t="str">
        <f t="shared" si="12"/>
        <v>00</v>
      </c>
      <c r="AO73" s="51" t="str">
        <f t="shared" si="13"/>
        <v>00</v>
      </c>
      <c r="AQ73" t="str">
        <f t="shared" si="8"/>
        <v xml:space="preserve">    (U4)0x00000002U,                                                           /* 02 TESTMODE2                                       */</v>
      </c>
    </row>
    <row r="74" spans="1:46">
      <c r="B74" s="120"/>
      <c r="C74" s="36">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1</v>
      </c>
      <c r="AE74" s="113">
        <f t="shared" si="6"/>
        <v>0</v>
      </c>
      <c r="AF74" s="113">
        <f t="shared" si="6"/>
        <v>0</v>
      </c>
      <c r="AG74" s="113">
        <f t="shared" si="6"/>
        <v>0</v>
      </c>
      <c r="AH74" s="113">
        <f t="shared" si="6"/>
        <v>0</v>
      </c>
      <c r="AI74" s="113">
        <f t="shared" si="6"/>
        <v>0</v>
      </c>
      <c r="AJ74" s="36" t="str">
        <f t="shared" si="7"/>
        <v>TESTMODE2</v>
      </c>
      <c r="AK74" s="49"/>
      <c r="AL74" s="49" t="str">
        <f t="shared" si="10"/>
        <v>20</v>
      </c>
      <c r="AM74" s="51" t="str">
        <f t="shared" si="11"/>
        <v>00</v>
      </c>
      <c r="AN74" s="51" t="str">
        <f t="shared" si="12"/>
        <v>00</v>
      </c>
      <c r="AO74" s="51" t="str">
        <f t="shared" si="13"/>
        <v>00</v>
      </c>
      <c r="AQ74" t="str">
        <f t="shared" si="8"/>
        <v xml:space="preserve">    (U4)0x00000020U,                                                           /* 03 TESTMODE2                                       */</v>
      </c>
    </row>
    <row r="75" spans="1:46">
      <c r="B75" s="120"/>
      <c r="C75" s="36">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0</v>
      </c>
      <c r="AH75" s="113">
        <f t="shared" si="6"/>
        <v>1</v>
      </c>
      <c r="AI75" s="113">
        <f t="shared" si="6"/>
        <v>1</v>
      </c>
      <c r="AJ75" s="36" t="str">
        <f t="shared" si="7"/>
        <v>TESTMODE3</v>
      </c>
      <c r="AK75" s="49"/>
      <c r="AL75" s="49" t="str">
        <f t="shared" si="10"/>
        <v>03</v>
      </c>
      <c r="AM75" s="51" t="str">
        <f t="shared" si="11"/>
        <v>00</v>
      </c>
      <c r="AN75" s="51" t="str">
        <f t="shared" si="12"/>
        <v>00</v>
      </c>
      <c r="AO75" s="51" t="str">
        <f t="shared" si="13"/>
        <v>00</v>
      </c>
      <c r="AQ75" t="str">
        <f t="shared" si="8"/>
        <v xml:space="preserve">    (U4)0x00000003U,                                                           /* 04 TESTMODE3                                       */</v>
      </c>
    </row>
    <row r="76" spans="1:46">
      <c r="B76" s="120"/>
      <c r="C76" s="36">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1</v>
      </c>
      <c r="AE76" s="113">
        <f t="shared" si="6"/>
        <v>1</v>
      </c>
      <c r="AF76" s="113">
        <f t="shared" si="6"/>
        <v>0</v>
      </c>
      <c r="AG76" s="113">
        <f t="shared" si="6"/>
        <v>0</v>
      </c>
      <c r="AH76" s="113">
        <f t="shared" si="6"/>
        <v>0</v>
      </c>
      <c r="AI76" s="113">
        <f t="shared" si="6"/>
        <v>0</v>
      </c>
      <c r="AJ76" s="36" t="str">
        <f t="shared" si="7"/>
        <v>TESTMODE3</v>
      </c>
      <c r="AK76" s="49"/>
      <c r="AL76" s="49" t="str">
        <f t="shared" si="10"/>
        <v>30</v>
      </c>
      <c r="AM76" s="51" t="str">
        <f t="shared" si="11"/>
        <v>00</v>
      </c>
      <c r="AN76" s="51" t="str">
        <f t="shared" si="12"/>
        <v>00</v>
      </c>
      <c r="AO76" s="51" t="str">
        <f t="shared" si="13"/>
        <v>00</v>
      </c>
      <c r="AQ76" t="str">
        <f t="shared" si="8"/>
        <v xml:space="preserve">    (U4)0x00000030U,                                                           /* 05 TESTMODE3                                       */</v>
      </c>
    </row>
    <row r="77" spans="1:46">
      <c r="B77" s="120"/>
      <c r="C77" s="36">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6" t="str">
        <f t="shared" si="7"/>
        <v>FAILURE</v>
      </c>
      <c r="AK77" s="49"/>
      <c r="AL77" s="49" t="str">
        <f t="shared" si="10"/>
        <v>06</v>
      </c>
      <c r="AM77" s="51" t="str">
        <f t="shared" si="11"/>
        <v>00</v>
      </c>
      <c r="AN77" s="51" t="str">
        <f t="shared" si="12"/>
        <v>00</v>
      </c>
      <c r="AO77" s="51" t="str">
        <f t="shared" si="13"/>
        <v>00</v>
      </c>
      <c r="AQ77" t="str">
        <f t="shared" si="8"/>
        <v xml:space="preserve">    (U4)0x00000006U,                                                           /* 06 FAILURE                                         */</v>
      </c>
    </row>
    <row r="78" spans="1:46">
      <c r="B78" s="120"/>
      <c r="C78" s="36">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1</v>
      </c>
      <c r="AD78" s="113">
        <f t="shared" si="6"/>
        <v>1</v>
      </c>
      <c r="AE78" s="113">
        <f t="shared" si="6"/>
        <v>0</v>
      </c>
      <c r="AF78" s="113">
        <f t="shared" si="6"/>
        <v>0</v>
      </c>
      <c r="AG78" s="113">
        <f t="shared" si="6"/>
        <v>0</v>
      </c>
      <c r="AH78" s="113">
        <f t="shared" si="6"/>
        <v>0</v>
      </c>
      <c r="AI78" s="113">
        <f t="shared" ref="AI78" si="14">IF(AI13=1,1,0)</f>
        <v>0</v>
      </c>
      <c r="AJ78" s="36" t="str">
        <f t="shared" si="7"/>
        <v>FAILURE</v>
      </c>
      <c r="AK78" s="49"/>
      <c r="AL78" s="49" t="str">
        <f t="shared" si="10"/>
        <v>60</v>
      </c>
      <c r="AM78" s="51" t="str">
        <f t="shared" si="11"/>
        <v>00</v>
      </c>
      <c r="AN78" s="51" t="str">
        <f t="shared" si="12"/>
        <v>00</v>
      </c>
      <c r="AO78" s="51" t="str">
        <f t="shared" si="13"/>
        <v>00</v>
      </c>
      <c r="AQ78" t="str">
        <f t="shared" si="8"/>
        <v xml:space="preserve">    (U4)0x00000060U,                                                           /* 07 FAILURE                                         */</v>
      </c>
    </row>
    <row r="79" spans="1:46">
      <c r="B79" s="120"/>
      <c r="C79" s="36">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1</v>
      </c>
      <c r="AH79" s="113">
        <f t="shared" si="15"/>
        <v>1</v>
      </c>
      <c r="AI79" s="113">
        <f t="shared" si="15"/>
        <v>1</v>
      </c>
      <c r="AJ79" s="36" t="str">
        <f t="shared" si="7"/>
        <v>UNAVAILABLE2</v>
      </c>
      <c r="AK79" s="49"/>
      <c r="AL79" s="49" t="str">
        <f t="shared" si="10"/>
        <v>07</v>
      </c>
      <c r="AM79" s="51" t="str">
        <f t="shared" si="11"/>
        <v>00</v>
      </c>
      <c r="AN79" s="51" t="str">
        <f t="shared" si="12"/>
        <v>00</v>
      </c>
      <c r="AO79" s="51" t="str">
        <f t="shared" si="13"/>
        <v>00</v>
      </c>
      <c r="AQ79" t="str">
        <f t="shared" si="8"/>
        <v xml:space="preserve">    (U4)0x00000007U,                                                           /* 08 UNAVAILABLE2                                    */</v>
      </c>
    </row>
    <row r="80" spans="1:46">
      <c r="B80" s="120"/>
      <c r="C80" s="36">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1</v>
      </c>
      <c r="AD80" s="113">
        <f t="shared" si="15"/>
        <v>1</v>
      </c>
      <c r="AE80" s="113">
        <f t="shared" si="15"/>
        <v>1</v>
      </c>
      <c r="AF80" s="113">
        <f t="shared" si="15"/>
        <v>0</v>
      </c>
      <c r="AG80" s="113">
        <f t="shared" si="15"/>
        <v>0</v>
      </c>
      <c r="AH80" s="113">
        <f t="shared" si="15"/>
        <v>0</v>
      </c>
      <c r="AI80" s="113">
        <f t="shared" si="15"/>
        <v>0</v>
      </c>
      <c r="AJ80" s="36" t="str">
        <f t="shared" si="7"/>
        <v>UNAVAILABLE2</v>
      </c>
      <c r="AK80" s="49"/>
      <c r="AL80" s="49" t="str">
        <f t="shared" si="10"/>
        <v>70</v>
      </c>
      <c r="AM80" s="51" t="str">
        <f t="shared" si="11"/>
        <v>00</v>
      </c>
      <c r="AN80" s="51" t="str">
        <f t="shared" si="12"/>
        <v>00</v>
      </c>
      <c r="AO80" s="51" t="str">
        <f t="shared" si="13"/>
        <v>00</v>
      </c>
      <c r="AQ80" t="str">
        <f t="shared" si="8"/>
        <v xml:space="preserve">    (U4)0x00000070U,                                                           /* 09 UNAVAILABLE2                                    */</v>
      </c>
    </row>
    <row r="81" spans="2:43">
      <c r="B81" s="120"/>
      <c r="C81" s="36">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6" t="str">
        <f t="shared" si="7"/>
        <v>UNAVAILABLE1</v>
      </c>
      <c r="AK81" s="49"/>
      <c r="AL81" s="49" t="str">
        <f t="shared" si="10"/>
        <v>00</v>
      </c>
      <c r="AM81" s="51" t="str">
        <f t="shared" si="11"/>
        <v>00</v>
      </c>
      <c r="AN81" s="51" t="str">
        <f t="shared" si="12"/>
        <v>00</v>
      </c>
      <c r="AO81" s="51" t="str">
        <f t="shared" si="13"/>
        <v>00</v>
      </c>
      <c r="AQ81" t="str">
        <f t="shared" si="8"/>
        <v xml:space="preserve">    (U4)0x00000000U,                                                           /* 10 UNAVAILABLE1                                    */</v>
      </c>
    </row>
    <row r="82" spans="2:43">
      <c r="B82" s="120"/>
      <c r="C82" s="36">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6" t="str">
        <f t="shared" si="7"/>
        <v>UNAVAILABLE1</v>
      </c>
      <c r="AK82" s="49"/>
      <c r="AL82" s="49" t="str">
        <f t="shared" si="10"/>
        <v>00</v>
      </c>
      <c r="AM82" s="51" t="str">
        <f t="shared" si="11"/>
        <v>00</v>
      </c>
      <c r="AN82" s="51" t="str">
        <f t="shared" si="12"/>
        <v>00</v>
      </c>
      <c r="AO82" s="51" t="str">
        <f t="shared" si="13"/>
        <v>00</v>
      </c>
      <c r="AQ82" t="str">
        <f t="shared" si="8"/>
        <v xml:space="preserve">    (U4)0x00000000U,                                                           /* 11 UNAVAILABLE1                                    */</v>
      </c>
    </row>
    <row r="83" spans="2:43">
      <c r="B83" s="120"/>
      <c r="C83" s="36">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1</v>
      </c>
      <c r="AG83" s="113">
        <f t="shared" si="15"/>
        <v>0</v>
      </c>
      <c r="AH83" s="113">
        <f t="shared" si="15"/>
        <v>0</v>
      </c>
      <c r="AI83" s="113">
        <f t="shared" si="15"/>
        <v>0</v>
      </c>
      <c r="AJ83" s="36" t="str">
        <f t="shared" si="7"/>
        <v>APPOPE3</v>
      </c>
      <c r="AK83" s="49"/>
      <c r="AL83" s="49" t="str">
        <f t="shared" si="10"/>
        <v>08</v>
      </c>
      <c r="AM83" s="51" t="str">
        <f t="shared" si="11"/>
        <v>00</v>
      </c>
      <c r="AN83" s="51" t="str">
        <f t="shared" si="12"/>
        <v>00</v>
      </c>
      <c r="AO83" s="51" t="str">
        <f t="shared" si="13"/>
        <v>00</v>
      </c>
      <c r="AQ83" t="str">
        <f t="shared" si="8"/>
        <v xml:space="preserve">    (U4)0x00000008U,                                                           /* 12 APPOPE3                                         */</v>
      </c>
    </row>
    <row r="84" spans="2:43">
      <c r="B84" s="120"/>
      <c r="C84" s="36">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1</v>
      </c>
      <c r="AC84" s="113">
        <f t="shared" si="15"/>
        <v>0</v>
      </c>
      <c r="AD84" s="113">
        <f t="shared" si="15"/>
        <v>0</v>
      </c>
      <c r="AE84" s="113">
        <f t="shared" si="15"/>
        <v>0</v>
      </c>
      <c r="AF84" s="113">
        <f t="shared" si="15"/>
        <v>0</v>
      </c>
      <c r="AG84" s="113">
        <f t="shared" si="15"/>
        <v>0</v>
      </c>
      <c r="AH84" s="113">
        <f t="shared" si="15"/>
        <v>0</v>
      </c>
      <c r="AI84" s="113">
        <f t="shared" si="15"/>
        <v>0</v>
      </c>
      <c r="AJ84" s="36" t="str">
        <f t="shared" si="7"/>
        <v>APPOPE3</v>
      </c>
      <c r="AK84" s="49"/>
      <c r="AL84" s="49" t="str">
        <f t="shared" si="10"/>
        <v>80</v>
      </c>
      <c r="AM84" s="51" t="str">
        <f t="shared" si="11"/>
        <v>00</v>
      </c>
      <c r="AN84" s="51" t="str">
        <f t="shared" si="12"/>
        <v>00</v>
      </c>
      <c r="AO84" s="51" t="str">
        <f t="shared" si="13"/>
        <v>00</v>
      </c>
      <c r="AQ84" t="str">
        <f t="shared" si="8"/>
        <v xml:space="preserve">    (U4)0x00000080U,                                                           /* 13 APPOPE3                                         */</v>
      </c>
    </row>
    <row r="85" spans="2:43">
      <c r="B85" s="120"/>
      <c r="C85" s="36">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1</v>
      </c>
      <c r="AH85" s="113">
        <f t="shared" si="15"/>
        <v>0</v>
      </c>
      <c r="AI85" s="113">
        <f t="shared" si="15"/>
        <v>0</v>
      </c>
      <c r="AJ85" s="36" t="str">
        <f t="shared" si="7"/>
        <v>APPOPE1</v>
      </c>
      <c r="AK85" s="49"/>
      <c r="AL85" s="49" t="str">
        <f t="shared" si="10"/>
        <v>04</v>
      </c>
      <c r="AM85" s="51" t="str">
        <f t="shared" si="11"/>
        <v>00</v>
      </c>
      <c r="AN85" s="51" t="str">
        <f t="shared" si="12"/>
        <v>00</v>
      </c>
      <c r="AO85" s="51" t="str">
        <f t="shared" si="13"/>
        <v>00</v>
      </c>
      <c r="AQ85" t="str">
        <f t="shared" si="8"/>
        <v xml:space="preserve">    (U4)0x00000004U,                                                           /* 14 APPOPE1                                         */</v>
      </c>
    </row>
    <row r="86" spans="2:43">
      <c r="B86" s="120"/>
      <c r="C86" s="36">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1</v>
      </c>
      <c r="AD86" s="113">
        <f t="shared" si="15"/>
        <v>0</v>
      </c>
      <c r="AE86" s="113">
        <f t="shared" si="15"/>
        <v>0</v>
      </c>
      <c r="AF86" s="113">
        <f t="shared" si="15"/>
        <v>0</v>
      </c>
      <c r="AG86" s="113">
        <f t="shared" si="15"/>
        <v>0</v>
      </c>
      <c r="AH86" s="113">
        <f t="shared" si="15"/>
        <v>0</v>
      </c>
      <c r="AI86" s="113">
        <f t="shared" ref="AI86" si="16">IF(AI21=1,1,0)</f>
        <v>0</v>
      </c>
      <c r="AJ86" s="36" t="str">
        <f t="shared" si="7"/>
        <v>APPOPE1</v>
      </c>
      <c r="AK86" s="49"/>
      <c r="AL86" s="49" t="str">
        <f t="shared" si="10"/>
        <v>40</v>
      </c>
      <c r="AM86" s="51" t="str">
        <f t="shared" si="11"/>
        <v>00</v>
      </c>
      <c r="AN86" s="51" t="str">
        <f t="shared" si="12"/>
        <v>00</v>
      </c>
      <c r="AO86" s="51" t="str">
        <f t="shared" si="13"/>
        <v>00</v>
      </c>
      <c r="AQ86" t="str">
        <f t="shared" si="8"/>
        <v xml:space="preserve">    (U4)0x00000040U,                                                           /* 15 APPOPE1                                         */</v>
      </c>
    </row>
    <row r="87" spans="2:43">
      <c r="B87" s="120"/>
      <c r="C87" s="36">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1</v>
      </c>
      <c r="AH87" s="113">
        <f t="shared" si="17"/>
        <v>0</v>
      </c>
      <c r="AI87" s="113">
        <f t="shared" si="17"/>
        <v>1</v>
      </c>
      <c r="AJ87" s="36" t="str">
        <f t="shared" si="7"/>
        <v>APPOPE2</v>
      </c>
      <c r="AK87" s="49"/>
      <c r="AL87" s="49" t="str">
        <f t="shared" si="10"/>
        <v>05</v>
      </c>
      <c r="AM87" s="51" t="str">
        <f t="shared" si="11"/>
        <v>00</v>
      </c>
      <c r="AN87" s="51" t="str">
        <f t="shared" si="12"/>
        <v>00</v>
      </c>
      <c r="AO87" s="51" t="str">
        <f t="shared" si="13"/>
        <v>00</v>
      </c>
      <c r="AQ87" t="str">
        <f t="shared" si="8"/>
        <v xml:space="preserve">    (U4)0x00000005U,                                                           /* 16 APPOPE2                                         */</v>
      </c>
    </row>
    <row r="88" spans="2:43">
      <c r="B88" s="120"/>
      <c r="C88" s="36">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1</v>
      </c>
      <c r="AD88" s="113">
        <f t="shared" si="17"/>
        <v>0</v>
      </c>
      <c r="AE88" s="113">
        <f t="shared" si="17"/>
        <v>1</v>
      </c>
      <c r="AF88" s="113">
        <f t="shared" si="17"/>
        <v>0</v>
      </c>
      <c r="AG88" s="113">
        <f t="shared" si="17"/>
        <v>0</v>
      </c>
      <c r="AH88" s="113">
        <f t="shared" si="17"/>
        <v>0</v>
      </c>
      <c r="AI88" s="113">
        <f t="shared" si="17"/>
        <v>0</v>
      </c>
      <c r="AJ88" s="36" t="str">
        <f t="shared" si="7"/>
        <v>APPOPE2</v>
      </c>
      <c r="AK88" s="49"/>
      <c r="AL88" s="49" t="str">
        <f t="shared" si="10"/>
        <v>50</v>
      </c>
      <c r="AM88" s="51" t="str">
        <f t="shared" si="11"/>
        <v>00</v>
      </c>
      <c r="AN88" s="51" t="str">
        <f t="shared" si="12"/>
        <v>00</v>
      </c>
      <c r="AO88" s="51" t="str">
        <f t="shared" si="13"/>
        <v>00</v>
      </c>
      <c r="AQ88" t="str">
        <f t="shared" si="8"/>
        <v xml:space="preserve">    (U4)0x00000050U                                                            /* 17 APPOPE2                                         */</v>
      </c>
    </row>
    <row r="89" spans="2:43">
      <c r="B89" s="120"/>
      <c r="C89" s="36">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6" t="str">
        <f t="shared" si="7"/>
        <v/>
      </c>
      <c r="AK89" s="49"/>
      <c r="AL89" s="49" t="str">
        <f t="shared" si="10"/>
        <v>00</v>
      </c>
      <c r="AM89" s="51" t="str">
        <f t="shared" si="11"/>
        <v>00</v>
      </c>
      <c r="AN89" s="51" t="str">
        <f t="shared" si="12"/>
        <v>00</v>
      </c>
      <c r="AO89" s="51" t="str">
        <f t="shared" si="13"/>
        <v>00</v>
      </c>
      <c r="AQ89" t="str">
        <f t="shared" si="8"/>
        <v/>
      </c>
    </row>
    <row r="90" spans="2:43">
      <c r="B90" s="120"/>
      <c r="C90" s="36">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6" t="str">
        <f t="shared" si="7"/>
        <v/>
      </c>
      <c r="AK90" s="49"/>
      <c r="AL90" s="49" t="str">
        <f t="shared" si="10"/>
        <v>00</v>
      </c>
      <c r="AM90" s="51" t="str">
        <f t="shared" si="11"/>
        <v>00</v>
      </c>
      <c r="AN90" s="51" t="str">
        <f t="shared" si="12"/>
        <v>00</v>
      </c>
      <c r="AO90" s="51" t="str">
        <f t="shared" si="13"/>
        <v>00</v>
      </c>
      <c r="AQ90" t="str">
        <f t="shared" si="8"/>
        <v/>
      </c>
    </row>
    <row r="91" spans="2:43">
      <c r="B91" s="120"/>
      <c r="C91" s="36">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6" t="str">
        <f t="shared" si="7"/>
        <v/>
      </c>
      <c r="AK91" s="49"/>
      <c r="AL91" s="49" t="str">
        <f t="shared" si="10"/>
        <v>00</v>
      </c>
      <c r="AM91" s="51" t="str">
        <f t="shared" si="11"/>
        <v>00</v>
      </c>
      <c r="AN91" s="51" t="str">
        <f t="shared" si="12"/>
        <v>00</v>
      </c>
      <c r="AO91" s="51" t="str">
        <f t="shared" si="13"/>
        <v>00</v>
      </c>
      <c r="AQ91" t="str">
        <f t="shared" si="8"/>
        <v/>
      </c>
    </row>
    <row r="92" spans="2:43">
      <c r="B92" s="120"/>
      <c r="C92" s="36">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6" t="str">
        <f t="shared" si="7"/>
        <v/>
      </c>
      <c r="AK92" s="49"/>
      <c r="AL92" s="49" t="str">
        <f t="shared" si="10"/>
        <v>00</v>
      </c>
      <c r="AM92" s="51" t="str">
        <f t="shared" si="11"/>
        <v>00</v>
      </c>
      <c r="AN92" s="51" t="str">
        <f t="shared" si="12"/>
        <v>00</v>
      </c>
      <c r="AO92" s="51" t="str">
        <f t="shared" si="13"/>
        <v>00</v>
      </c>
      <c r="AQ92" t="str">
        <f t="shared" si="8"/>
        <v/>
      </c>
    </row>
    <row r="93" spans="2:43">
      <c r="B93" s="120"/>
      <c r="C93" s="36">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6" t="str">
        <f t="shared" si="7"/>
        <v/>
      </c>
      <c r="AK93" s="49"/>
      <c r="AL93" s="49" t="str">
        <f t="shared" si="10"/>
        <v>00</v>
      </c>
      <c r="AM93" s="51" t="str">
        <f t="shared" si="11"/>
        <v>00</v>
      </c>
      <c r="AN93" s="51" t="str">
        <f t="shared" si="12"/>
        <v>00</v>
      </c>
      <c r="AO93" s="51" t="str">
        <f t="shared" si="13"/>
        <v>00</v>
      </c>
      <c r="AQ93" t="str">
        <f t="shared" si="8"/>
        <v/>
      </c>
    </row>
    <row r="94" spans="2:43">
      <c r="B94" s="120"/>
      <c r="C94" s="36">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6" t="str">
        <f t="shared" si="7"/>
        <v/>
      </c>
      <c r="AK94" s="49"/>
      <c r="AL94" s="49" t="str">
        <f t="shared" si="10"/>
        <v>00</v>
      </c>
      <c r="AM94" s="51" t="str">
        <f t="shared" si="11"/>
        <v>00</v>
      </c>
      <c r="AN94" s="51" t="str">
        <f t="shared" si="12"/>
        <v>00</v>
      </c>
      <c r="AO94" s="51" t="str">
        <f t="shared" si="13"/>
        <v>00</v>
      </c>
      <c r="AQ94" t="str">
        <f t="shared" si="8"/>
        <v/>
      </c>
    </row>
    <row r="95" spans="2:43">
      <c r="B95" s="120"/>
      <c r="C95" s="36">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6" t="str">
        <f t="shared" si="7"/>
        <v/>
      </c>
      <c r="AK95" s="49"/>
      <c r="AL95" s="49" t="str">
        <f t="shared" si="10"/>
        <v>00</v>
      </c>
      <c r="AM95" s="51" t="str">
        <f t="shared" si="11"/>
        <v>00</v>
      </c>
      <c r="AN95" s="51" t="str">
        <f t="shared" si="12"/>
        <v>00</v>
      </c>
      <c r="AO95" s="51" t="str">
        <f t="shared" si="13"/>
        <v>00</v>
      </c>
      <c r="AQ95" t="str">
        <f t="shared" si="8"/>
        <v/>
      </c>
    </row>
    <row r="96" spans="2:43">
      <c r="B96" s="120"/>
      <c r="C96" s="36">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6" t="str">
        <f t="shared" si="7"/>
        <v/>
      </c>
      <c r="AK96" s="49"/>
      <c r="AL96" s="49" t="str">
        <f t="shared" si="10"/>
        <v>00</v>
      </c>
      <c r="AM96" s="51" t="str">
        <f t="shared" si="11"/>
        <v>00</v>
      </c>
      <c r="AN96" s="51" t="str">
        <f t="shared" si="12"/>
        <v>00</v>
      </c>
      <c r="AO96" s="51" t="str">
        <f t="shared" si="13"/>
        <v>00</v>
      </c>
      <c r="AQ96" t="str">
        <f t="shared" si="8"/>
        <v/>
      </c>
    </row>
    <row r="97" spans="2:43">
      <c r="B97" s="120"/>
      <c r="C97" s="36">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6" t="str">
        <f t="shared" si="7"/>
        <v/>
      </c>
      <c r="AK97" s="49"/>
      <c r="AL97" s="49" t="str">
        <f t="shared" si="10"/>
        <v>00</v>
      </c>
      <c r="AM97" s="51" t="str">
        <f t="shared" si="11"/>
        <v>00</v>
      </c>
      <c r="AN97" s="51" t="str">
        <f t="shared" si="12"/>
        <v>00</v>
      </c>
      <c r="AO97" s="51" t="str">
        <f t="shared" si="13"/>
        <v>00</v>
      </c>
      <c r="AQ97" t="str">
        <f t="shared" si="8"/>
        <v/>
      </c>
    </row>
    <row r="98" spans="2:43">
      <c r="B98" s="120"/>
      <c r="C98" s="36">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6" t="str">
        <f t="shared" si="7"/>
        <v/>
      </c>
      <c r="AK98" s="49"/>
      <c r="AL98" s="49" t="str">
        <f t="shared" si="10"/>
        <v>00</v>
      </c>
      <c r="AM98" s="51" t="str">
        <f t="shared" si="11"/>
        <v>00</v>
      </c>
      <c r="AN98" s="51" t="str">
        <f t="shared" si="12"/>
        <v>00</v>
      </c>
      <c r="AO98" s="51" t="str">
        <f t="shared" si="13"/>
        <v>00</v>
      </c>
      <c r="AQ98" t="str">
        <f t="shared" si="8"/>
        <v/>
      </c>
    </row>
    <row r="99" spans="2:43">
      <c r="B99" s="120"/>
      <c r="C99" s="36">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6" t="str">
        <f t="shared" si="7"/>
        <v/>
      </c>
      <c r="AK99" s="49"/>
      <c r="AL99" s="49" t="str">
        <f t="shared" si="10"/>
        <v>00</v>
      </c>
      <c r="AM99" s="51" t="str">
        <f t="shared" si="11"/>
        <v>00</v>
      </c>
      <c r="AN99" s="51" t="str">
        <f t="shared" si="12"/>
        <v>00</v>
      </c>
      <c r="AO99" s="51" t="str">
        <f t="shared" si="13"/>
        <v>00</v>
      </c>
      <c r="AQ99" t="str">
        <f t="shared" si="8"/>
        <v/>
      </c>
    </row>
    <row r="100" spans="2:43">
      <c r="B100" s="120"/>
      <c r="C100" s="36">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6" t="str">
        <f t="shared" si="7"/>
        <v/>
      </c>
      <c r="AK100" s="49"/>
      <c r="AL100" s="49" t="str">
        <f t="shared" si="10"/>
        <v>00</v>
      </c>
      <c r="AM100" s="51" t="str">
        <f t="shared" si="11"/>
        <v>00</v>
      </c>
      <c r="AN100" s="51" t="str">
        <f t="shared" si="12"/>
        <v>00</v>
      </c>
      <c r="AO100" s="51" t="str">
        <f t="shared" si="13"/>
        <v>00</v>
      </c>
      <c r="AQ100" t="str">
        <f t="shared" si="8"/>
        <v/>
      </c>
    </row>
    <row r="101" spans="2:43">
      <c r="B101" s="120"/>
      <c r="C101" s="36">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6" t="str">
        <f t="shared" si="7"/>
        <v/>
      </c>
      <c r="AK101" s="49"/>
      <c r="AL101" s="49" t="str">
        <f t="shared" si="10"/>
        <v>00</v>
      </c>
      <c r="AM101" s="51" t="str">
        <f t="shared" si="11"/>
        <v>00</v>
      </c>
      <c r="AN101" s="51" t="str">
        <f t="shared" si="12"/>
        <v>00</v>
      </c>
      <c r="AO101" s="51" t="str">
        <f t="shared" si="13"/>
        <v>00</v>
      </c>
      <c r="AQ101" t="str">
        <f t="shared" si="8"/>
        <v/>
      </c>
    </row>
    <row r="102" spans="2:43">
      <c r="B102" s="120"/>
      <c r="C102" s="36">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6" t="str">
        <f t="shared" si="7"/>
        <v/>
      </c>
      <c r="AK102" s="49"/>
      <c r="AL102" s="49" t="str">
        <f t="shared" si="10"/>
        <v>00</v>
      </c>
      <c r="AM102" s="51" t="str">
        <f t="shared" si="11"/>
        <v>00</v>
      </c>
      <c r="AN102" s="51" t="str">
        <f t="shared" si="12"/>
        <v>00</v>
      </c>
      <c r="AO102" s="51" t="str">
        <f t="shared" si="13"/>
        <v>00</v>
      </c>
      <c r="AQ102" t="str">
        <f t="shared" si="8"/>
        <v/>
      </c>
    </row>
    <row r="103" spans="2:43">
      <c r="B103" s="120"/>
      <c r="C103" s="36">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6" t="str">
        <f t="shared" si="7"/>
        <v/>
      </c>
      <c r="AK103" s="49"/>
      <c r="AL103" s="49" t="str">
        <f t="shared" si="10"/>
        <v>00</v>
      </c>
      <c r="AM103" s="51" t="str">
        <f t="shared" si="11"/>
        <v>00</v>
      </c>
      <c r="AN103" s="51" t="str">
        <f t="shared" si="12"/>
        <v>00</v>
      </c>
      <c r="AO103" s="51" t="str">
        <f t="shared" si="13"/>
        <v>00</v>
      </c>
      <c r="AQ103" t="str">
        <f t="shared" si="8"/>
        <v/>
      </c>
    </row>
    <row r="104" spans="2:43">
      <c r="B104" s="120"/>
      <c r="C104" s="36">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6" t="str">
        <f t="shared" si="7"/>
        <v/>
      </c>
      <c r="AK104" s="49"/>
      <c r="AL104" s="49" t="str">
        <f t="shared" si="10"/>
        <v>00</v>
      </c>
      <c r="AM104" s="51" t="str">
        <f t="shared" si="11"/>
        <v>00</v>
      </c>
      <c r="AN104" s="51" t="str">
        <f t="shared" si="12"/>
        <v>00</v>
      </c>
      <c r="AO104" s="51" t="str">
        <f t="shared" si="13"/>
        <v>00</v>
      </c>
      <c r="AQ104" t="str">
        <f t="shared" si="8"/>
        <v/>
      </c>
    </row>
    <row r="105" spans="2:43">
      <c r="B105" s="120"/>
      <c r="C105" s="36">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6" t="str">
        <f t="shared" si="7"/>
        <v/>
      </c>
      <c r="AK105" s="49"/>
      <c r="AL105" s="49" t="str">
        <f t="shared" si="10"/>
        <v>00</v>
      </c>
      <c r="AM105" s="51" t="str">
        <f t="shared" si="11"/>
        <v>00</v>
      </c>
      <c r="AN105" s="51" t="str">
        <f t="shared" si="12"/>
        <v>00</v>
      </c>
      <c r="AO105" s="51" t="str">
        <f t="shared" si="13"/>
        <v>00</v>
      </c>
      <c r="AQ105" t="str">
        <f t="shared" si="8"/>
        <v/>
      </c>
    </row>
    <row r="106" spans="2:43">
      <c r="B106" s="120"/>
      <c r="C106" s="36">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6" t="str">
        <f t="shared" si="7"/>
        <v/>
      </c>
      <c r="AK106" s="49"/>
      <c r="AL106" s="49" t="str">
        <f t="shared" si="10"/>
        <v>00</v>
      </c>
      <c r="AM106" s="51" t="str">
        <f t="shared" si="11"/>
        <v>00</v>
      </c>
      <c r="AN106" s="51" t="str">
        <f t="shared" si="12"/>
        <v>00</v>
      </c>
      <c r="AO106" s="51" t="str">
        <f t="shared" si="13"/>
        <v>00</v>
      </c>
      <c r="AQ106" t="str">
        <f t="shared" si="8"/>
        <v/>
      </c>
    </row>
    <row r="107" spans="2:43">
      <c r="B107" s="120"/>
      <c r="C107" s="36">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6" t="str">
        <f t="shared" si="7"/>
        <v/>
      </c>
      <c r="AK107" s="49"/>
      <c r="AL107" s="49" t="str">
        <f t="shared" si="10"/>
        <v>00</v>
      </c>
      <c r="AM107" s="51" t="str">
        <f t="shared" si="11"/>
        <v>00</v>
      </c>
      <c r="AN107" s="51" t="str">
        <f t="shared" si="12"/>
        <v>00</v>
      </c>
      <c r="AO107" s="51" t="str">
        <f t="shared" si="13"/>
        <v>00</v>
      </c>
      <c r="AQ107" t="str">
        <f t="shared" si="8"/>
        <v/>
      </c>
    </row>
    <row r="108" spans="2:43">
      <c r="B108" s="120"/>
      <c r="C108" s="36">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6" t="str">
        <f t="shared" si="7"/>
        <v/>
      </c>
      <c r="AK108" s="49"/>
      <c r="AL108" s="49" t="str">
        <f t="shared" si="10"/>
        <v>00</v>
      </c>
      <c r="AM108" s="51" t="str">
        <f t="shared" si="11"/>
        <v>00</v>
      </c>
      <c r="AN108" s="51" t="str">
        <f t="shared" si="12"/>
        <v>00</v>
      </c>
      <c r="AO108" s="51" t="str">
        <f t="shared" si="13"/>
        <v>00</v>
      </c>
      <c r="AQ108" t="str">
        <f t="shared" si="8"/>
        <v/>
      </c>
    </row>
    <row r="109" spans="2:43">
      <c r="B109" s="120"/>
      <c r="C109" s="36">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6" t="str">
        <f t="shared" si="7"/>
        <v/>
      </c>
      <c r="AK109" s="49"/>
      <c r="AL109" s="49" t="str">
        <f t="shared" si="10"/>
        <v>00</v>
      </c>
      <c r="AM109" s="51" t="str">
        <f t="shared" si="11"/>
        <v>00</v>
      </c>
      <c r="AN109" s="51" t="str">
        <f t="shared" si="12"/>
        <v>00</v>
      </c>
      <c r="AO109" s="51" t="str">
        <f t="shared" si="13"/>
        <v>00</v>
      </c>
      <c r="AQ109" t="str">
        <f t="shared" si="8"/>
        <v/>
      </c>
    </row>
    <row r="110" spans="2:43">
      <c r="B110" s="120"/>
      <c r="C110" s="36">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6" t="str">
        <f t="shared" si="7"/>
        <v/>
      </c>
      <c r="AK110" s="49"/>
      <c r="AL110" s="49" t="str">
        <f t="shared" si="10"/>
        <v>00</v>
      </c>
      <c r="AM110" s="51" t="str">
        <f t="shared" si="11"/>
        <v>00</v>
      </c>
      <c r="AN110" s="51" t="str">
        <f t="shared" si="12"/>
        <v>00</v>
      </c>
      <c r="AO110" s="51" t="str">
        <f t="shared" si="13"/>
        <v>00</v>
      </c>
      <c r="AQ110" t="str">
        <f t="shared" si="8"/>
        <v/>
      </c>
    </row>
    <row r="111" spans="2:43">
      <c r="B111" s="120"/>
      <c r="C111" s="36">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6" t="str">
        <f t="shared" si="7"/>
        <v/>
      </c>
      <c r="AK111" s="49"/>
      <c r="AL111" s="49" t="str">
        <f t="shared" si="10"/>
        <v>00</v>
      </c>
      <c r="AM111" s="51" t="str">
        <f t="shared" si="11"/>
        <v>00</v>
      </c>
      <c r="AN111" s="51" t="str">
        <f t="shared" si="12"/>
        <v>00</v>
      </c>
      <c r="AO111" s="51" t="str">
        <f t="shared" si="13"/>
        <v>00</v>
      </c>
      <c r="AQ111" t="str">
        <f t="shared" si="8"/>
        <v/>
      </c>
    </row>
    <row r="112" spans="2:43">
      <c r="B112" s="120"/>
      <c r="C112" s="36">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6" t="str">
        <f t="shared" si="7"/>
        <v/>
      </c>
      <c r="AK112" s="49"/>
      <c r="AL112" s="49" t="str">
        <f t="shared" si="10"/>
        <v>00</v>
      </c>
      <c r="AM112" s="51" t="str">
        <f t="shared" si="11"/>
        <v>00</v>
      </c>
      <c r="AN112" s="51" t="str">
        <f t="shared" si="12"/>
        <v>00</v>
      </c>
      <c r="AO112" s="51" t="str">
        <f t="shared" si="13"/>
        <v>00</v>
      </c>
      <c r="AQ112" t="str">
        <f t="shared" si="8"/>
        <v/>
      </c>
    </row>
    <row r="113" spans="2:43">
      <c r="B113" s="120"/>
      <c r="C113" s="36">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6" t="str">
        <f t="shared" si="7"/>
        <v/>
      </c>
      <c r="AK113" s="49"/>
      <c r="AL113" s="49" t="str">
        <f t="shared" si="10"/>
        <v>00</v>
      </c>
      <c r="AM113" s="51" t="str">
        <f t="shared" si="11"/>
        <v>00</v>
      </c>
      <c r="AN113" s="51" t="str">
        <f t="shared" si="12"/>
        <v>00</v>
      </c>
      <c r="AO113" s="51" t="str">
        <f t="shared" si="13"/>
        <v>00</v>
      </c>
      <c r="AQ113" t="str">
        <f t="shared" si="8"/>
        <v/>
      </c>
    </row>
    <row r="114" spans="2:43">
      <c r="B114" s="120"/>
      <c r="C114" s="36">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6" t="str">
        <f t="shared" si="7"/>
        <v/>
      </c>
      <c r="AK114" s="49"/>
      <c r="AL114" s="49" t="str">
        <f t="shared" si="10"/>
        <v>00</v>
      </c>
      <c r="AM114" s="51" t="str">
        <f t="shared" si="11"/>
        <v>00</v>
      </c>
      <c r="AN114" s="51" t="str">
        <f t="shared" si="12"/>
        <v>00</v>
      </c>
      <c r="AO114" s="51" t="str">
        <f t="shared" si="13"/>
        <v>00</v>
      </c>
      <c r="AQ114" t="str">
        <f t="shared" si="8"/>
        <v/>
      </c>
    </row>
    <row r="115" spans="2:43">
      <c r="B115" s="120"/>
      <c r="C115" s="36">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6" t="str">
        <f t="shared" si="7"/>
        <v/>
      </c>
      <c r="AK115" s="49"/>
      <c r="AL115" s="49" t="str">
        <f t="shared" si="10"/>
        <v>00</v>
      </c>
      <c r="AM115" s="51" t="str">
        <f t="shared" si="11"/>
        <v>00</v>
      </c>
      <c r="AN115" s="51" t="str">
        <f t="shared" si="12"/>
        <v>00</v>
      </c>
      <c r="AO115" s="51" t="str">
        <f t="shared" si="13"/>
        <v>00</v>
      </c>
      <c r="AQ115" t="str">
        <f t="shared" si="8"/>
        <v/>
      </c>
    </row>
    <row r="116" spans="2:43">
      <c r="B116" s="120"/>
      <c r="C116" s="36">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6" t="str">
        <f t="shared" si="7"/>
        <v/>
      </c>
      <c r="AK116" s="49"/>
      <c r="AL116" s="49" t="str">
        <f t="shared" si="10"/>
        <v>00</v>
      </c>
      <c r="AM116" s="51" t="str">
        <f t="shared" si="11"/>
        <v>00</v>
      </c>
      <c r="AN116" s="51" t="str">
        <f t="shared" si="12"/>
        <v>00</v>
      </c>
      <c r="AO116" s="51" t="str">
        <f t="shared" si="13"/>
        <v>00</v>
      </c>
      <c r="AQ116" t="str">
        <f t="shared" si="8"/>
        <v/>
      </c>
    </row>
    <row r="117" spans="2:43">
      <c r="B117" s="120"/>
      <c r="C117" s="36">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6" t="str">
        <f t="shared" si="7"/>
        <v/>
      </c>
      <c r="AK117" s="49"/>
      <c r="AL117" s="49" t="str">
        <f t="shared" si="10"/>
        <v>00</v>
      </c>
      <c r="AM117" s="51" t="str">
        <f t="shared" si="11"/>
        <v>00</v>
      </c>
      <c r="AN117" s="51" t="str">
        <f t="shared" si="12"/>
        <v>00</v>
      </c>
      <c r="AO117" s="51" t="str">
        <f t="shared" si="13"/>
        <v>00</v>
      </c>
      <c r="AQ117" t="str">
        <f t="shared" si="8"/>
        <v/>
      </c>
    </row>
    <row r="118" spans="2:43">
      <c r="B118" s="120"/>
      <c r="C118" s="36">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6" t="str">
        <f t="shared" si="7"/>
        <v/>
      </c>
      <c r="AK118" s="49"/>
      <c r="AL118" s="49" t="str">
        <f t="shared" si="10"/>
        <v>00</v>
      </c>
      <c r="AM118" s="51" t="str">
        <f t="shared" si="11"/>
        <v>00</v>
      </c>
      <c r="AN118" s="51" t="str">
        <f t="shared" si="12"/>
        <v>00</v>
      </c>
      <c r="AO118" s="51" t="str">
        <f t="shared" si="13"/>
        <v>00</v>
      </c>
      <c r="AQ118" t="str">
        <f t="shared" si="8"/>
        <v/>
      </c>
    </row>
    <row r="119" spans="2:43">
      <c r="B119" s="120"/>
      <c r="C119" s="36">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6" t="str">
        <f t="shared" si="7"/>
        <v/>
      </c>
      <c r="AK119" s="49"/>
      <c r="AL119" s="49" t="str">
        <f t="shared" si="10"/>
        <v>00</v>
      </c>
      <c r="AM119" s="51" t="str">
        <f t="shared" si="11"/>
        <v>00</v>
      </c>
      <c r="AN119" s="51" t="str">
        <f t="shared" si="12"/>
        <v>00</v>
      </c>
      <c r="AO119" s="51" t="str">
        <f t="shared" si="13"/>
        <v>00</v>
      </c>
      <c r="AQ119" t="str">
        <f t="shared" si="8"/>
        <v/>
      </c>
    </row>
    <row r="120" spans="2:43">
      <c r="B120" s="120"/>
      <c r="C120" s="36">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6" t="str">
        <f t="shared" si="7"/>
        <v/>
      </c>
      <c r="AK120" s="49"/>
      <c r="AL120" s="49" t="str">
        <f t="shared" si="10"/>
        <v>00</v>
      </c>
      <c r="AM120" s="51" t="str">
        <f t="shared" si="11"/>
        <v>00</v>
      </c>
      <c r="AN120" s="51" t="str">
        <f t="shared" si="12"/>
        <v>00</v>
      </c>
      <c r="AO120" s="51" t="str">
        <f t="shared" si="13"/>
        <v>00</v>
      </c>
      <c r="AQ120" t="str">
        <f t="shared" si="8"/>
        <v/>
      </c>
    </row>
    <row r="121" spans="2:43">
      <c r="B121" s="120"/>
      <c r="C121" s="36">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6" t="str">
        <f t="shared" si="7"/>
        <v/>
      </c>
      <c r="AK121" s="49"/>
      <c r="AL121" s="49" t="str">
        <f t="shared" si="10"/>
        <v>00</v>
      </c>
      <c r="AM121" s="51" t="str">
        <f t="shared" si="11"/>
        <v>00</v>
      </c>
      <c r="AN121" s="51" t="str">
        <f t="shared" si="12"/>
        <v>00</v>
      </c>
      <c r="AO121" s="51" t="str">
        <f t="shared" si="13"/>
        <v>00</v>
      </c>
      <c r="AQ121" t="str">
        <f t="shared" si="8"/>
        <v/>
      </c>
    </row>
    <row r="122" spans="2:43">
      <c r="B122" s="120"/>
      <c r="C122" s="36">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6" t="str">
        <f t="shared" si="7"/>
        <v/>
      </c>
      <c r="AK122" s="49"/>
      <c r="AL122" s="49" t="str">
        <f t="shared" si="10"/>
        <v>00</v>
      </c>
      <c r="AM122" s="51" t="str">
        <f t="shared" si="11"/>
        <v>00</v>
      </c>
      <c r="AN122" s="51" t="str">
        <f t="shared" si="12"/>
        <v>00</v>
      </c>
      <c r="AO122" s="51" t="str">
        <f t="shared" si="13"/>
        <v>00</v>
      </c>
      <c r="AQ122" t="str">
        <f t="shared" si="8"/>
        <v/>
      </c>
    </row>
    <row r="123" spans="2:43">
      <c r="B123" s="120"/>
      <c r="C123" s="36">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6" t="str">
        <f t="shared" si="7"/>
        <v/>
      </c>
      <c r="AK123" s="49"/>
      <c r="AL123" s="49" t="str">
        <f t="shared" si="10"/>
        <v>00</v>
      </c>
      <c r="AM123" s="51" t="str">
        <f t="shared" si="11"/>
        <v>00</v>
      </c>
      <c r="AN123" s="51" t="str">
        <f t="shared" si="12"/>
        <v>00</v>
      </c>
      <c r="AO123" s="51" t="str">
        <f t="shared" si="13"/>
        <v>00</v>
      </c>
      <c r="AQ123" t="str">
        <f t="shared" si="8"/>
        <v/>
      </c>
    </row>
    <row r="124" spans="2:43">
      <c r="B124" s="120"/>
      <c r="C124" s="36">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6" t="str">
        <f t="shared" si="7"/>
        <v/>
      </c>
      <c r="AK124" s="49"/>
      <c r="AL124" s="49" t="str">
        <f t="shared" si="10"/>
        <v>00</v>
      </c>
      <c r="AM124" s="51" t="str">
        <f t="shared" si="11"/>
        <v>00</v>
      </c>
      <c r="AN124" s="51" t="str">
        <f t="shared" si="12"/>
        <v>00</v>
      </c>
      <c r="AO124" s="51" t="str">
        <f t="shared" si="13"/>
        <v>00</v>
      </c>
      <c r="AQ124" t="str">
        <f t="shared" si="8"/>
        <v/>
      </c>
    </row>
    <row r="125" spans="2:43">
      <c r="B125" s="120"/>
      <c r="C125" s="36">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6" t="str">
        <f t="shared" si="7"/>
        <v/>
      </c>
      <c r="AK125" s="49"/>
      <c r="AL125" s="49" t="str">
        <f t="shared" si="10"/>
        <v>00</v>
      </c>
      <c r="AM125" s="51" t="str">
        <f t="shared" si="11"/>
        <v>00</v>
      </c>
      <c r="AN125" s="51" t="str">
        <f t="shared" si="12"/>
        <v>00</v>
      </c>
      <c r="AO125" s="51" t="str">
        <f t="shared" si="13"/>
        <v>00</v>
      </c>
      <c r="AQ125" t="str">
        <f t="shared" si="8"/>
        <v/>
      </c>
    </row>
    <row r="126" spans="2:43">
      <c r="B126" s="120"/>
      <c r="C126" s="36">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6" t="str">
        <f t="shared" si="7"/>
        <v/>
      </c>
      <c r="AK126" s="49"/>
      <c r="AL126" s="49" t="str">
        <f t="shared" si="10"/>
        <v>00</v>
      </c>
      <c r="AM126" s="51" t="str">
        <f t="shared" si="11"/>
        <v>00</v>
      </c>
      <c r="AN126" s="51" t="str">
        <f t="shared" si="12"/>
        <v>00</v>
      </c>
      <c r="AO126" s="51" t="str">
        <f t="shared" si="13"/>
        <v>00</v>
      </c>
      <c r="AQ126" t="str">
        <f t="shared" si="8"/>
        <v/>
      </c>
    </row>
    <row r="127" spans="2:43">
      <c r="B127" s="120"/>
      <c r="C127" s="36">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6" t="str">
        <f t="shared" si="7"/>
        <v/>
      </c>
      <c r="AK127" s="49"/>
      <c r="AL127" s="49" t="str">
        <f t="shared" si="10"/>
        <v>00</v>
      </c>
      <c r="AM127" s="51" t="str">
        <f t="shared" si="11"/>
        <v>00</v>
      </c>
      <c r="AN127" s="51" t="str">
        <f t="shared" si="12"/>
        <v>00</v>
      </c>
      <c r="AO127" s="51" t="str">
        <f t="shared" si="13"/>
        <v>00</v>
      </c>
      <c r="AQ127" t="str">
        <f t="shared" si="8"/>
        <v/>
      </c>
    </row>
    <row r="128" spans="2:43">
      <c r="B128" s="120"/>
      <c r="C128" s="36">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6" t="str">
        <f t="shared" si="7"/>
        <v/>
      </c>
      <c r="AK128" s="49"/>
      <c r="AL128" s="49" t="str">
        <f t="shared" si="10"/>
        <v>00</v>
      </c>
      <c r="AM128" s="51" t="str">
        <f t="shared" si="11"/>
        <v>00</v>
      </c>
      <c r="AN128" s="51" t="str">
        <f t="shared" si="12"/>
        <v>00</v>
      </c>
      <c r="AO128" s="51" t="str">
        <f t="shared" si="13"/>
        <v>00</v>
      </c>
      <c r="AQ128" t="str">
        <f t="shared" si="8"/>
        <v/>
      </c>
    </row>
    <row r="129" spans="1:43">
      <c r="B129" s="120"/>
      <c r="C129" s="36">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6" t="str">
        <f t="shared" si="7"/>
        <v/>
      </c>
      <c r="AK129" s="49"/>
      <c r="AL129" s="49" t="str">
        <f t="shared" si="10"/>
        <v>00</v>
      </c>
      <c r="AM129" s="51" t="str">
        <f t="shared" si="11"/>
        <v>00</v>
      </c>
      <c r="AN129" s="51" t="str">
        <f t="shared" si="12"/>
        <v>00</v>
      </c>
      <c r="AO129" s="51" t="str">
        <f t="shared" si="13"/>
        <v>00</v>
      </c>
      <c r="AQ129" t="str">
        <f t="shared" si="8"/>
        <v/>
      </c>
    </row>
    <row r="130" spans="1:43">
      <c r="B130" s="120"/>
      <c r="C130" s="36">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6" t="str">
        <f t="shared" si="7"/>
        <v/>
      </c>
      <c r="AK130" s="49"/>
      <c r="AL130" s="49" t="str">
        <f t="shared" si="10"/>
        <v>00</v>
      </c>
      <c r="AM130" s="51" t="str">
        <f t="shared" si="11"/>
        <v>00</v>
      </c>
      <c r="AN130" s="51" t="str">
        <f t="shared" si="12"/>
        <v>00</v>
      </c>
      <c r="AO130" s="51" t="str">
        <f t="shared" si="13"/>
        <v>00</v>
      </c>
      <c r="AQ130" t="str">
        <f t="shared" si="8"/>
        <v/>
      </c>
    </row>
    <row r="131" spans="1:43">
      <c r="B131" s="120"/>
      <c r="C131" s="36">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6" t="str">
        <f t="shared" si="7"/>
        <v/>
      </c>
      <c r="AK131" s="49"/>
      <c r="AL131" s="49" t="str">
        <f t="shared" si="10"/>
        <v>00</v>
      </c>
      <c r="AM131" s="51" t="str">
        <f t="shared" si="11"/>
        <v>00</v>
      </c>
      <c r="AN131" s="51" t="str">
        <f t="shared" si="12"/>
        <v>00</v>
      </c>
      <c r="AO131" s="51" t="str">
        <f t="shared" si="13"/>
        <v>00</v>
      </c>
      <c r="AQ131" t="str">
        <f t="shared" si="8"/>
        <v/>
      </c>
    </row>
    <row r="132" spans="1:43">
      <c r="B132" s="120"/>
      <c r="C132" s="36">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6" t="str">
        <f t="shared" si="7"/>
        <v/>
      </c>
      <c r="AK132" s="49"/>
      <c r="AL132" s="49" t="str">
        <f t="shared" si="10"/>
        <v>00</v>
      </c>
      <c r="AM132" s="51" t="str">
        <f t="shared" si="11"/>
        <v>00</v>
      </c>
      <c r="AN132" s="51" t="str">
        <f t="shared" si="12"/>
        <v>00</v>
      </c>
      <c r="AO132" s="51" t="str">
        <f t="shared" si="13"/>
        <v>00</v>
      </c>
      <c r="AQ132" t="str">
        <f t="shared" si="8"/>
        <v/>
      </c>
    </row>
    <row r="133" spans="1:43">
      <c r="B133" s="120"/>
      <c r="C133" s="36">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6" t="str">
        <f t="shared" si="7"/>
        <v/>
      </c>
      <c r="AK133" s="49"/>
      <c r="AL133" s="49" t="str">
        <f t="shared" si="10"/>
        <v>00</v>
      </c>
      <c r="AM133" s="51" t="str">
        <f t="shared" si="11"/>
        <v>00</v>
      </c>
      <c r="AN133" s="51" t="str">
        <f t="shared" si="12"/>
        <v>00</v>
      </c>
      <c r="AO133" s="51" t="str">
        <f t="shared" si="13"/>
        <v>00</v>
      </c>
      <c r="AQ133" t="str">
        <f t="shared" si="8"/>
        <v/>
      </c>
    </row>
    <row r="134" spans="1:43">
      <c r="B134" s="121"/>
      <c r="C134" s="36">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6" t="str">
        <f t="shared" si="7"/>
        <v/>
      </c>
      <c r="AK134" s="49"/>
      <c r="AL134" s="49" t="str">
        <f t="shared" si="10"/>
        <v>00</v>
      </c>
      <c r="AM134" s="51" t="str">
        <f t="shared" si="11"/>
        <v>00</v>
      </c>
      <c r="AN134" s="51" t="str">
        <f t="shared" si="12"/>
        <v>00</v>
      </c>
      <c r="AO134" s="51"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2" t="str">
        <f ca="1">IF(B6&lt;&gt;"",B6,"")</f>
        <v>Table C_BRKBZ</v>
      </c>
      <c r="C136" s="36">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1</v>
      </c>
      <c r="AG136" s="113">
        <f t="shared" si="29"/>
        <v>1</v>
      </c>
      <c r="AH136" s="113">
        <f t="shared" si="29"/>
        <v>1</v>
      </c>
      <c r="AI136" s="113">
        <f t="shared" si="29"/>
        <v>1</v>
      </c>
      <c r="AJ136" s="36" t="str">
        <f t="shared" ref="AJ136:AJ199" si="30">IF(AJ6&lt;&gt;"",AJ6,"")</f>
        <v>TESTMODE1</v>
      </c>
      <c r="AK136" s="49"/>
      <c r="AL136" s="49" t="str">
        <f>BIN2HEX(AB136&amp;AC136&amp;AD136&amp;AE136&amp;AF136&amp;AG136&amp;AH136&amp;AI136,2)</f>
        <v>0F</v>
      </c>
      <c r="AM136" s="51" t="str">
        <f>BIN2HEX(T136&amp;U136&amp;V136&amp;W136&amp;X136&amp;Y136&amp;Z136&amp;AA136,2)</f>
        <v>00</v>
      </c>
      <c r="AN136" s="51" t="str">
        <f>BIN2HEX(L136&amp;M136&amp;N136&amp;O136&amp;P136&amp;Q136&amp;R136&amp;S136,2)</f>
        <v>00</v>
      </c>
      <c r="AO136" s="5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TESTMODE1                                       */</v>
      </c>
    </row>
    <row r="137" spans="1:43">
      <c r="B137" s="120"/>
      <c r="C137" s="36">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1</v>
      </c>
      <c r="AC137" s="113">
        <f t="shared" si="29"/>
        <v>1</v>
      </c>
      <c r="AD137" s="113">
        <f t="shared" si="29"/>
        <v>1</v>
      </c>
      <c r="AE137" s="113">
        <f t="shared" si="29"/>
        <v>1</v>
      </c>
      <c r="AF137" s="113">
        <f t="shared" si="29"/>
        <v>0</v>
      </c>
      <c r="AG137" s="113">
        <f t="shared" si="29"/>
        <v>0</v>
      </c>
      <c r="AH137" s="113">
        <f t="shared" si="29"/>
        <v>0</v>
      </c>
      <c r="AI137" s="113">
        <f t="shared" si="29"/>
        <v>0</v>
      </c>
      <c r="AJ137" s="36" t="str">
        <f t="shared" si="30"/>
        <v>TESTMODE1</v>
      </c>
      <c r="AK137" s="49"/>
      <c r="AL137" s="49" t="str">
        <f t="shared" ref="AL137:AL199" si="33">BIN2HEX(AB137&amp;AC137&amp;AD137&amp;AE137&amp;AF137&amp;AG137&amp;AH137&amp;AI137,2)</f>
        <v>F0</v>
      </c>
      <c r="AM137" s="51" t="str">
        <f t="shared" ref="AM137:AM199" si="34">BIN2HEX(T137&amp;U137&amp;V137&amp;W137&amp;X137&amp;Y137&amp;Z137&amp;AA137,2)</f>
        <v>00</v>
      </c>
      <c r="AN137" s="51" t="str">
        <f t="shared" ref="AN137:AN199" si="35">BIN2HEX(L137&amp;M137&amp;N137&amp;O137&amp;P137&amp;Q137&amp;R137&amp;S137,2)</f>
        <v>00</v>
      </c>
      <c r="AO137" s="51" t="str">
        <f t="shared" ref="AO137:AO199" si="36">BIN2HEX(D137&amp;E137&amp;F137&amp;G137&amp;H137&amp;I137&amp;J137&amp;K137,2)</f>
        <v>00</v>
      </c>
      <c r="AQ137" t="str">
        <f t="shared" si="31"/>
        <v xml:space="preserve">    (U4)0x000000F0U,                                                           /* 01 TESTMODE1                                       */</v>
      </c>
    </row>
    <row r="138" spans="1:43">
      <c r="B138" s="120"/>
      <c r="C138" s="36">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1</v>
      </c>
      <c r="AG138" s="113">
        <f t="shared" si="29"/>
        <v>1</v>
      </c>
      <c r="AH138" s="113">
        <f t="shared" si="29"/>
        <v>1</v>
      </c>
      <c r="AI138" s="113">
        <f t="shared" si="29"/>
        <v>1</v>
      </c>
      <c r="AJ138" s="36" t="str">
        <f t="shared" si="30"/>
        <v>TESTMODE2</v>
      </c>
      <c r="AK138" s="49"/>
      <c r="AL138" s="49" t="str">
        <f t="shared" si="33"/>
        <v>0F</v>
      </c>
      <c r="AM138" s="51" t="str">
        <f t="shared" si="34"/>
        <v>00</v>
      </c>
      <c r="AN138" s="51" t="str">
        <f t="shared" si="35"/>
        <v>00</v>
      </c>
      <c r="AO138" s="51" t="str">
        <f t="shared" si="36"/>
        <v>00</v>
      </c>
      <c r="AQ138" t="str">
        <f t="shared" si="31"/>
        <v xml:space="preserve">    (U4)0x0000000FU,                                                           /* 02 TESTMODE2                                       */</v>
      </c>
    </row>
    <row r="139" spans="1:43">
      <c r="B139" s="120"/>
      <c r="C139" s="36">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1</v>
      </c>
      <c r="AC139" s="113">
        <f t="shared" si="29"/>
        <v>1</v>
      </c>
      <c r="AD139" s="113">
        <f t="shared" si="29"/>
        <v>1</v>
      </c>
      <c r="AE139" s="113">
        <f t="shared" si="29"/>
        <v>1</v>
      </c>
      <c r="AF139" s="113">
        <f t="shared" si="29"/>
        <v>0</v>
      </c>
      <c r="AG139" s="113">
        <f t="shared" si="29"/>
        <v>0</v>
      </c>
      <c r="AH139" s="113">
        <f t="shared" si="29"/>
        <v>0</v>
      </c>
      <c r="AI139" s="113">
        <f t="shared" si="29"/>
        <v>0</v>
      </c>
      <c r="AJ139" s="36" t="str">
        <f t="shared" si="30"/>
        <v>TESTMODE2</v>
      </c>
      <c r="AK139" s="49"/>
      <c r="AL139" s="49" t="str">
        <f t="shared" si="33"/>
        <v>F0</v>
      </c>
      <c r="AM139" s="51" t="str">
        <f t="shared" si="34"/>
        <v>00</v>
      </c>
      <c r="AN139" s="51" t="str">
        <f t="shared" si="35"/>
        <v>00</v>
      </c>
      <c r="AO139" s="51" t="str">
        <f t="shared" si="36"/>
        <v>00</v>
      </c>
      <c r="AQ139" t="str">
        <f t="shared" si="31"/>
        <v xml:space="preserve">    (U4)0x000000F0U,                                                           /* 03 TESTMODE2                                       */</v>
      </c>
    </row>
    <row r="140" spans="1:43">
      <c r="B140" s="120"/>
      <c r="C140" s="36">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1</v>
      </c>
      <c r="AG140" s="113">
        <f t="shared" si="29"/>
        <v>1</v>
      </c>
      <c r="AH140" s="113">
        <f t="shared" si="29"/>
        <v>1</v>
      </c>
      <c r="AI140" s="113">
        <f t="shared" si="29"/>
        <v>1</v>
      </c>
      <c r="AJ140" s="36" t="str">
        <f t="shared" si="30"/>
        <v>TESTMODE3</v>
      </c>
      <c r="AK140" s="49"/>
      <c r="AL140" s="49" t="str">
        <f t="shared" si="33"/>
        <v>0F</v>
      </c>
      <c r="AM140" s="51" t="str">
        <f t="shared" si="34"/>
        <v>00</v>
      </c>
      <c r="AN140" s="51" t="str">
        <f t="shared" si="35"/>
        <v>00</v>
      </c>
      <c r="AO140" s="51" t="str">
        <f t="shared" si="36"/>
        <v>00</v>
      </c>
      <c r="AQ140" t="str">
        <f t="shared" si="31"/>
        <v xml:space="preserve">    (U4)0x0000000FU,                                                           /* 04 TESTMODE3                                       */</v>
      </c>
    </row>
    <row r="141" spans="1:43">
      <c r="B141" s="120"/>
      <c r="C141" s="36">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1</v>
      </c>
      <c r="AC141" s="113">
        <f t="shared" si="29"/>
        <v>1</v>
      </c>
      <c r="AD141" s="113">
        <f t="shared" si="29"/>
        <v>1</v>
      </c>
      <c r="AE141" s="113">
        <f t="shared" si="29"/>
        <v>1</v>
      </c>
      <c r="AF141" s="113">
        <f t="shared" si="29"/>
        <v>0</v>
      </c>
      <c r="AG141" s="113">
        <f t="shared" si="29"/>
        <v>0</v>
      </c>
      <c r="AH141" s="113">
        <f t="shared" si="29"/>
        <v>0</v>
      </c>
      <c r="AI141" s="113">
        <f t="shared" si="29"/>
        <v>0</v>
      </c>
      <c r="AJ141" s="36" t="str">
        <f t="shared" si="30"/>
        <v>TESTMODE3</v>
      </c>
      <c r="AK141" s="49"/>
      <c r="AL141" s="49" t="str">
        <f t="shared" si="33"/>
        <v>F0</v>
      </c>
      <c r="AM141" s="51" t="str">
        <f t="shared" si="34"/>
        <v>00</v>
      </c>
      <c r="AN141" s="51" t="str">
        <f t="shared" si="35"/>
        <v>00</v>
      </c>
      <c r="AO141" s="51" t="str">
        <f t="shared" si="36"/>
        <v>00</v>
      </c>
      <c r="AQ141" t="str">
        <f t="shared" si="31"/>
        <v xml:space="preserve">    (U4)0x000000F0U,                                                           /* 05 TESTMODE3                                       */</v>
      </c>
    </row>
    <row r="142" spans="1:43">
      <c r="B142" s="120"/>
      <c r="C142" s="36">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1</v>
      </c>
      <c r="AG142" s="113">
        <f t="shared" si="29"/>
        <v>1</v>
      </c>
      <c r="AH142" s="113">
        <f t="shared" si="29"/>
        <v>1</v>
      </c>
      <c r="AI142" s="113">
        <f t="shared" si="29"/>
        <v>1</v>
      </c>
      <c r="AJ142" s="36" t="str">
        <f t="shared" si="30"/>
        <v>FAILURE</v>
      </c>
      <c r="AK142" s="49"/>
      <c r="AL142" s="49" t="str">
        <f t="shared" si="33"/>
        <v>0F</v>
      </c>
      <c r="AM142" s="51" t="str">
        <f t="shared" si="34"/>
        <v>00</v>
      </c>
      <c r="AN142" s="51" t="str">
        <f t="shared" si="35"/>
        <v>00</v>
      </c>
      <c r="AO142" s="51" t="str">
        <f t="shared" si="36"/>
        <v>00</v>
      </c>
      <c r="AQ142" t="str">
        <f t="shared" si="31"/>
        <v xml:space="preserve">    (U4)0x0000000FU,                                                           /* 06 FAILURE                                         */</v>
      </c>
    </row>
    <row r="143" spans="1:43">
      <c r="B143" s="120"/>
      <c r="C143" s="36">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1</v>
      </c>
      <c r="AC143" s="113">
        <f t="shared" si="29"/>
        <v>1</v>
      </c>
      <c r="AD143" s="113">
        <f t="shared" si="29"/>
        <v>1</v>
      </c>
      <c r="AE143" s="113">
        <f t="shared" si="29"/>
        <v>1</v>
      </c>
      <c r="AF143" s="113">
        <f t="shared" si="29"/>
        <v>0</v>
      </c>
      <c r="AG143" s="113">
        <f t="shared" si="29"/>
        <v>0</v>
      </c>
      <c r="AH143" s="113">
        <f t="shared" si="29"/>
        <v>0</v>
      </c>
      <c r="AI143" s="113">
        <f t="shared" ref="AI143" si="37">IF(OR(AI13=0,AI13=1),1,0)</f>
        <v>0</v>
      </c>
      <c r="AJ143" s="36" t="str">
        <f t="shared" si="30"/>
        <v>FAILURE</v>
      </c>
      <c r="AK143" s="49"/>
      <c r="AL143" s="49" t="str">
        <f t="shared" si="33"/>
        <v>F0</v>
      </c>
      <c r="AM143" s="51" t="str">
        <f t="shared" si="34"/>
        <v>00</v>
      </c>
      <c r="AN143" s="51" t="str">
        <f t="shared" si="35"/>
        <v>00</v>
      </c>
      <c r="AO143" s="51" t="str">
        <f t="shared" si="36"/>
        <v>00</v>
      </c>
      <c r="AQ143" t="str">
        <f t="shared" si="31"/>
        <v xml:space="preserve">    (U4)0x000000F0U,                                                           /* 07 FAILURE                                         */</v>
      </c>
    </row>
    <row r="144" spans="1:43">
      <c r="B144" s="120"/>
      <c r="C144" s="36">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1</v>
      </c>
      <c r="AG144" s="113">
        <f t="shared" si="38"/>
        <v>1</v>
      </c>
      <c r="AH144" s="113">
        <f t="shared" si="38"/>
        <v>1</v>
      </c>
      <c r="AI144" s="113">
        <f t="shared" si="38"/>
        <v>1</v>
      </c>
      <c r="AJ144" s="36" t="str">
        <f t="shared" si="30"/>
        <v>UNAVAILABLE2</v>
      </c>
      <c r="AK144" s="49"/>
      <c r="AL144" s="49" t="str">
        <f t="shared" si="33"/>
        <v>0F</v>
      </c>
      <c r="AM144" s="51" t="str">
        <f t="shared" si="34"/>
        <v>00</v>
      </c>
      <c r="AN144" s="51" t="str">
        <f t="shared" si="35"/>
        <v>00</v>
      </c>
      <c r="AO144" s="51" t="str">
        <f t="shared" si="36"/>
        <v>00</v>
      </c>
      <c r="AQ144" t="str">
        <f t="shared" si="31"/>
        <v xml:space="preserve">    (U4)0x0000000FU,                                                           /* 08 UNAVAILABLE2                                    */</v>
      </c>
    </row>
    <row r="145" spans="2:43">
      <c r="B145" s="120"/>
      <c r="C145" s="36">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1</v>
      </c>
      <c r="AC145" s="113">
        <f t="shared" si="38"/>
        <v>1</v>
      </c>
      <c r="AD145" s="113">
        <f t="shared" si="38"/>
        <v>1</v>
      </c>
      <c r="AE145" s="113">
        <f t="shared" si="38"/>
        <v>1</v>
      </c>
      <c r="AF145" s="113">
        <f t="shared" si="38"/>
        <v>0</v>
      </c>
      <c r="AG145" s="113">
        <f t="shared" si="38"/>
        <v>0</v>
      </c>
      <c r="AH145" s="113">
        <f t="shared" si="38"/>
        <v>0</v>
      </c>
      <c r="AI145" s="113">
        <f t="shared" si="38"/>
        <v>0</v>
      </c>
      <c r="AJ145" s="36" t="str">
        <f t="shared" si="30"/>
        <v>UNAVAILABLE2</v>
      </c>
      <c r="AK145" s="49"/>
      <c r="AL145" s="49" t="str">
        <f t="shared" si="33"/>
        <v>F0</v>
      </c>
      <c r="AM145" s="51" t="str">
        <f t="shared" si="34"/>
        <v>00</v>
      </c>
      <c r="AN145" s="51" t="str">
        <f t="shared" si="35"/>
        <v>00</v>
      </c>
      <c r="AO145" s="51" t="str">
        <f t="shared" si="36"/>
        <v>00</v>
      </c>
      <c r="AQ145" t="str">
        <f t="shared" si="31"/>
        <v xml:space="preserve">    (U4)0x000000F0U,                                                           /* 09 UNAVAILABLE2                                    */</v>
      </c>
    </row>
    <row r="146" spans="2:43">
      <c r="B146" s="120"/>
      <c r="C146" s="36">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1</v>
      </c>
      <c r="AG146" s="113">
        <f t="shared" si="38"/>
        <v>1</v>
      </c>
      <c r="AH146" s="113">
        <f t="shared" si="38"/>
        <v>1</v>
      </c>
      <c r="AI146" s="113">
        <f t="shared" si="38"/>
        <v>1</v>
      </c>
      <c r="AJ146" s="36" t="str">
        <f t="shared" si="30"/>
        <v>UNAVAILABLE1</v>
      </c>
      <c r="AK146" s="49"/>
      <c r="AL146" s="49" t="str">
        <f t="shared" si="33"/>
        <v>0F</v>
      </c>
      <c r="AM146" s="51" t="str">
        <f t="shared" si="34"/>
        <v>00</v>
      </c>
      <c r="AN146" s="51" t="str">
        <f t="shared" si="35"/>
        <v>00</v>
      </c>
      <c r="AO146" s="51" t="str">
        <f t="shared" si="36"/>
        <v>00</v>
      </c>
      <c r="AQ146" t="str">
        <f t="shared" si="31"/>
        <v xml:space="preserve">    (U4)0x0000000FU,                                                           /* 10 UNAVAILABLE1                                    */</v>
      </c>
    </row>
    <row r="147" spans="2:43">
      <c r="B147" s="120"/>
      <c r="C147" s="36">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1</v>
      </c>
      <c r="AC147" s="113">
        <f t="shared" si="38"/>
        <v>1</v>
      </c>
      <c r="AD147" s="113">
        <f t="shared" si="38"/>
        <v>1</v>
      </c>
      <c r="AE147" s="113">
        <f t="shared" si="38"/>
        <v>1</v>
      </c>
      <c r="AF147" s="113">
        <f t="shared" si="38"/>
        <v>0</v>
      </c>
      <c r="AG147" s="113">
        <f t="shared" si="38"/>
        <v>0</v>
      </c>
      <c r="AH147" s="113">
        <f t="shared" si="38"/>
        <v>0</v>
      </c>
      <c r="AI147" s="113">
        <f t="shared" si="38"/>
        <v>0</v>
      </c>
      <c r="AJ147" s="36" t="str">
        <f t="shared" si="30"/>
        <v>UNAVAILABLE1</v>
      </c>
      <c r="AK147" s="49"/>
      <c r="AL147" s="49" t="str">
        <f t="shared" si="33"/>
        <v>F0</v>
      </c>
      <c r="AM147" s="51" t="str">
        <f t="shared" si="34"/>
        <v>00</v>
      </c>
      <c r="AN147" s="51" t="str">
        <f t="shared" si="35"/>
        <v>00</v>
      </c>
      <c r="AO147" s="51" t="str">
        <f t="shared" si="36"/>
        <v>00</v>
      </c>
      <c r="AQ147" t="str">
        <f t="shared" si="31"/>
        <v xml:space="preserve">    (U4)0x000000F0U,                                                           /* 11 UNAVAILABLE1                                    */</v>
      </c>
    </row>
    <row r="148" spans="2:43">
      <c r="B148" s="120"/>
      <c r="C148" s="36">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1</v>
      </c>
      <c r="AG148" s="113">
        <f t="shared" si="38"/>
        <v>1</v>
      </c>
      <c r="AH148" s="113">
        <f t="shared" si="38"/>
        <v>1</v>
      </c>
      <c r="AI148" s="113">
        <f t="shared" si="38"/>
        <v>1</v>
      </c>
      <c r="AJ148" s="36" t="str">
        <f t="shared" si="30"/>
        <v>APPOPE3</v>
      </c>
      <c r="AK148" s="49"/>
      <c r="AL148" s="49" t="str">
        <f t="shared" si="33"/>
        <v>0F</v>
      </c>
      <c r="AM148" s="51" t="str">
        <f t="shared" si="34"/>
        <v>00</v>
      </c>
      <c r="AN148" s="51" t="str">
        <f t="shared" si="35"/>
        <v>00</v>
      </c>
      <c r="AO148" s="51" t="str">
        <f t="shared" si="36"/>
        <v>00</v>
      </c>
      <c r="AQ148" t="str">
        <f t="shared" si="31"/>
        <v xml:space="preserve">    (U4)0x0000000FU,                                                           /* 12 APPOPE3                                         */</v>
      </c>
    </row>
    <row r="149" spans="2:43">
      <c r="B149" s="120"/>
      <c r="C149" s="36">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1</v>
      </c>
      <c r="AC149" s="113">
        <f t="shared" si="38"/>
        <v>1</v>
      </c>
      <c r="AD149" s="113">
        <f t="shared" si="38"/>
        <v>1</v>
      </c>
      <c r="AE149" s="113">
        <f t="shared" si="38"/>
        <v>1</v>
      </c>
      <c r="AF149" s="113">
        <f t="shared" si="38"/>
        <v>0</v>
      </c>
      <c r="AG149" s="113">
        <f t="shared" si="38"/>
        <v>0</v>
      </c>
      <c r="AH149" s="113">
        <f t="shared" si="38"/>
        <v>0</v>
      </c>
      <c r="AI149" s="113">
        <f t="shared" si="38"/>
        <v>0</v>
      </c>
      <c r="AJ149" s="36" t="str">
        <f t="shared" si="30"/>
        <v>APPOPE3</v>
      </c>
      <c r="AK149" s="49"/>
      <c r="AL149" s="49" t="str">
        <f t="shared" si="33"/>
        <v>F0</v>
      </c>
      <c r="AM149" s="51" t="str">
        <f t="shared" si="34"/>
        <v>00</v>
      </c>
      <c r="AN149" s="51" t="str">
        <f t="shared" si="35"/>
        <v>00</v>
      </c>
      <c r="AO149" s="51" t="str">
        <f t="shared" si="36"/>
        <v>00</v>
      </c>
      <c r="AQ149" t="str">
        <f t="shared" si="31"/>
        <v xml:space="preserve">    (U4)0x000000F0U,                                                           /* 13 APPOPE3                                         */</v>
      </c>
    </row>
    <row r="150" spans="2:43">
      <c r="B150" s="120"/>
      <c r="C150" s="36">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1</v>
      </c>
      <c r="AG150" s="113">
        <f t="shared" si="38"/>
        <v>1</v>
      </c>
      <c r="AH150" s="113">
        <f t="shared" si="38"/>
        <v>1</v>
      </c>
      <c r="AI150" s="113">
        <f t="shared" si="38"/>
        <v>1</v>
      </c>
      <c r="AJ150" s="36" t="str">
        <f t="shared" si="30"/>
        <v>APPOPE1</v>
      </c>
      <c r="AK150" s="49"/>
      <c r="AL150" s="49" t="str">
        <f t="shared" si="33"/>
        <v>0F</v>
      </c>
      <c r="AM150" s="51" t="str">
        <f t="shared" si="34"/>
        <v>00</v>
      </c>
      <c r="AN150" s="51" t="str">
        <f t="shared" si="35"/>
        <v>00</v>
      </c>
      <c r="AO150" s="51" t="str">
        <f t="shared" si="36"/>
        <v>00</v>
      </c>
      <c r="AQ150" t="str">
        <f t="shared" si="31"/>
        <v xml:space="preserve">    (U4)0x0000000FU,                                                           /* 14 APPOPE1                                         */</v>
      </c>
    </row>
    <row r="151" spans="2:43">
      <c r="B151" s="120"/>
      <c r="C151" s="36">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1</v>
      </c>
      <c r="AC151" s="113">
        <f t="shared" si="38"/>
        <v>1</v>
      </c>
      <c r="AD151" s="113">
        <f t="shared" si="38"/>
        <v>1</v>
      </c>
      <c r="AE151" s="113">
        <f t="shared" si="38"/>
        <v>1</v>
      </c>
      <c r="AF151" s="113">
        <f t="shared" si="38"/>
        <v>0</v>
      </c>
      <c r="AG151" s="113">
        <f t="shared" si="38"/>
        <v>0</v>
      </c>
      <c r="AH151" s="113">
        <f t="shared" si="38"/>
        <v>0</v>
      </c>
      <c r="AI151" s="113">
        <f t="shared" ref="AI151" si="39">IF(OR(AI21=0,AI21=1),1,0)</f>
        <v>0</v>
      </c>
      <c r="AJ151" s="36" t="str">
        <f t="shared" si="30"/>
        <v>APPOPE1</v>
      </c>
      <c r="AK151" s="49"/>
      <c r="AL151" s="49" t="str">
        <f t="shared" si="33"/>
        <v>F0</v>
      </c>
      <c r="AM151" s="51" t="str">
        <f t="shared" si="34"/>
        <v>00</v>
      </c>
      <c r="AN151" s="51" t="str">
        <f t="shared" si="35"/>
        <v>00</v>
      </c>
      <c r="AO151" s="51" t="str">
        <f t="shared" si="36"/>
        <v>00</v>
      </c>
      <c r="AQ151" t="str">
        <f t="shared" si="31"/>
        <v xml:space="preserve">    (U4)0x000000F0U,                                                           /* 15 APPOPE1                                         */</v>
      </c>
    </row>
    <row r="152" spans="2:43">
      <c r="B152" s="120"/>
      <c r="C152" s="36">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1</v>
      </c>
      <c r="AG152" s="113">
        <f t="shared" si="40"/>
        <v>1</v>
      </c>
      <c r="AH152" s="113">
        <f t="shared" si="40"/>
        <v>1</v>
      </c>
      <c r="AI152" s="113">
        <f t="shared" si="40"/>
        <v>1</v>
      </c>
      <c r="AJ152" s="36" t="str">
        <f t="shared" si="30"/>
        <v>APPOPE2</v>
      </c>
      <c r="AK152" s="49"/>
      <c r="AL152" s="49" t="str">
        <f t="shared" si="33"/>
        <v>0F</v>
      </c>
      <c r="AM152" s="51" t="str">
        <f t="shared" si="34"/>
        <v>00</v>
      </c>
      <c r="AN152" s="51" t="str">
        <f t="shared" si="35"/>
        <v>00</v>
      </c>
      <c r="AO152" s="51" t="str">
        <f t="shared" si="36"/>
        <v>00</v>
      </c>
      <c r="AQ152" t="str">
        <f t="shared" si="31"/>
        <v xml:space="preserve">    (U4)0x0000000FU,                                                           /* 16 APPOPE2                                         */</v>
      </c>
    </row>
    <row r="153" spans="2:43">
      <c r="B153" s="120"/>
      <c r="C153" s="36">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1</v>
      </c>
      <c r="AC153" s="113">
        <f t="shared" si="40"/>
        <v>1</v>
      </c>
      <c r="AD153" s="113">
        <f t="shared" si="40"/>
        <v>1</v>
      </c>
      <c r="AE153" s="113">
        <f t="shared" si="40"/>
        <v>1</v>
      </c>
      <c r="AF153" s="113">
        <f t="shared" si="40"/>
        <v>0</v>
      </c>
      <c r="AG153" s="113">
        <f t="shared" si="40"/>
        <v>0</v>
      </c>
      <c r="AH153" s="113">
        <f t="shared" si="40"/>
        <v>0</v>
      </c>
      <c r="AI153" s="113">
        <f t="shared" si="40"/>
        <v>0</v>
      </c>
      <c r="AJ153" s="36" t="str">
        <f t="shared" si="30"/>
        <v>APPOPE2</v>
      </c>
      <c r="AK153" s="49"/>
      <c r="AL153" s="49" t="str">
        <f t="shared" si="33"/>
        <v>F0</v>
      </c>
      <c r="AM153" s="51" t="str">
        <f t="shared" si="34"/>
        <v>00</v>
      </c>
      <c r="AN153" s="51" t="str">
        <f t="shared" si="35"/>
        <v>00</v>
      </c>
      <c r="AO153" s="51" t="str">
        <f t="shared" si="36"/>
        <v>00</v>
      </c>
      <c r="AQ153" t="str">
        <f t="shared" si="31"/>
        <v xml:space="preserve">    (U4)0x000000F0U                                                            /* 17 APPOPE2                                         */</v>
      </c>
    </row>
    <row r="154" spans="2:43">
      <c r="B154" s="120"/>
      <c r="C154" s="36">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6" t="str">
        <f t="shared" si="30"/>
        <v/>
      </c>
      <c r="AK154" s="49"/>
      <c r="AL154" s="49" t="str">
        <f t="shared" si="33"/>
        <v>00</v>
      </c>
      <c r="AM154" s="51" t="str">
        <f t="shared" si="34"/>
        <v>00</v>
      </c>
      <c r="AN154" s="51" t="str">
        <f t="shared" si="35"/>
        <v>00</v>
      </c>
      <c r="AO154" s="51" t="str">
        <f t="shared" si="36"/>
        <v>00</v>
      </c>
      <c r="AQ154" t="str">
        <f t="shared" si="31"/>
        <v/>
      </c>
    </row>
    <row r="155" spans="2:43">
      <c r="B155" s="120"/>
      <c r="C155" s="36">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6" t="str">
        <f t="shared" si="30"/>
        <v/>
      </c>
      <c r="AK155" s="49"/>
      <c r="AL155" s="49" t="str">
        <f t="shared" si="33"/>
        <v>00</v>
      </c>
      <c r="AM155" s="51" t="str">
        <f t="shared" si="34"/>
        <v>00</v>
      </c>
      <c r="AN155" s="51" t="str">
        <f t="shared" si="35"/>
        <v>00</v>
      </c>
      <c r="AO155" s="51" t="str">
        <f t="shared" si="36"/>
        <v>00</v>
      </c>
      <c r="AQ155" t="str">
        <f t="shared" si="31"/>
        <v/>
      </c>
    </row>
    <row r="156" spans="2:43">
      <c r="B156" s="120"/>
      <c r="C156" s="36">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6" t="str">
        <f t="shared" si="30"/>
        <v/>
      </c>
      <c r="AK156" s="49"/>
      <c r="AL156" s="49" t="str">
        <f t="shared" si="33"/>
        <v>00</v>
      </c>
      <c r="AM156" s="51" t="str">
        <f t="shared" si="34"/>
        <v>00</v>
      </c>
      <c r="AN156" s="51" t="str">
        <f t="shared" si="35"/>
        <v>00</v>
      </c>
      <c r="AO156" s="51" t="str">
        <f t="shared" si="36"/>
        <v>00</v>
      </c>
      <c r="AQ156" t="str">
        <f t="shared" si="31"/>
        <v/>
      </c>
    </row>
    <row r="157" spans="2:43">
      <c r="B157" s="120"/>
      <c r="C157" s="36">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6" t="str">
        <f t="shared" si="30"/>
        <v/>
      </c>
      <c r="AK157" s="49"/>
      <c r="AL157" s="49" t="str">
        <f t="shared" si="33"/>
        <v>00</v>
      </c>
      <c r="AM157" s="51" t="str">
        <f t="shared" si="34"/>
        <v>00</v>
      </c>
      <c r="AN157" s="51" t="str">
        <f t="shared" si="35"/>
        <v>00</v>
      </c>
      <c r="AO157" s="51" t="str">
        <f t="shared" si="36"/>
        <v>00</v>
      </c>
      <c r="AQ157" t="str">
        <f t="shared" si="31"/>
        <v/>
      </c>
    </row>
    <row r="158" spans="2:43">
      <c r="B158" s="120"/>
      <c r="C158" s="36">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6" t="str">
        <f t="shared" si="30"/>
        <v/>
      </c>
      <c r="AK158" s="49"/>
      <c r="AL158" s="49" t="str">
        <f t="shared" si="33"/>
        <v>00</v>
      </c>
      <c r="AM158" s="51" t="str">
        <f t="shared" si="34"/>
        <v>00</v>
      </c>
      <c r="AN158" s="51" t="str">
        <f t="shared" si="35"/>
        <v>00</v>
      </c>
      <c r="AO158" s="51" t="str">
        <f t="shared" si="36"/>
        <v>00</v>
      </c>
      <c r="AQ158" t="str">
        <f t="shared" si="31"/>
        <v/>
      </c>
    </row>
    <row r="159" spans="2:43">
      <c r="B159" s="120"/>
      <c r="C159" s="36">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6" t="str">
        <f t="shared" si="30"/>
        <v/>
      </c>
      <c r="AK159" s="49"/>
      <c r="AL159" s="49" t="str">
        <f t="shared" si="33"/>
        <v>00</v>
      </c>
      <c r="AM159" s="51" t="str">
        <f t="shared" si="34"/>
        <v>00</v>
      </c>
      <c r="AN159" s="51" t="str">
        <f t="shared" si="35"/>
        <v>00</v>
      </c>
      <c r="AO159" s="51" t="str">
        <f t="shared" si="36"/>
        <v>00</v>
      </c>
      <c r="AQ159" t="str">
        <f t="shared" si="31"/>
        <v/>
      </c>
    </row>
    <row r="160" spans="2:43">
      <c r="B160" s="120"/>
      <c r="C160" s="36">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6" t="str">
        <f t="shared" si="30"/>
        <v/>
      </c>
      <c r="AK160" s="49"/>
      <c r="AL160" s="49" t="str">
        <f t="shared" si="33"/>
        <v>00</v>
      </c>
      <c r="AM160" s="51" t="str">
        <f t="shared" si="34"/>
        <v>00</v>
      </c>
      <c r="AN160" s="51" t="str">
        <f t="shared" si="35"/>
        <v>00</v>
      </c>
      <c r="AO160" s="51" t="str">
        <f t="shared" si="36"/>
        <v>00</v>
      </c>
      <c r="AQ160" t="str">
        <f t="shared" si="31"/>
        <v/>
      </c>
    </row>
    <row r="161" spans="2:43">
      <c r="B161" s="120"/>
      <c r="C161" s="36">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6" t="str">
        <f t="shared" si="30"/>
        <v/>
      </c>
      <c r="AK161" s="49"/>
      <c r="AL161" s="49" t="str">
        <f t="shared" si="33"/>
        <v>00</v>
      </c>
      <c r="AM161" s="51" t="str">
        <f t="shared" si="34"/>
        <v>00</v>
      </c>
      <c r="AN161" s="51" t="str">
        <f t="shared" si="35"/>
        <v>00</v>
      </c>
      <c r="AO161" s="51" t="str">
        <f t="shared" si="36"/>
        <v>00</v>
      </c>
      <c r="AQ161" t="str">
        <f t="shared" si="31"/>
        <v/>
      </c>
    </row>
    <row r="162" spans="2:43">
      <c r="B162" s="120"/>
      <c r="C162" s="36">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6" t="str">
        <f t="shared" si="30"/>
        <v/>
      </c>
      <c r="AK162" s="49"/>
      <c r="AL162" s="49" t="str">
        <f t="shared" si="33"/>
        <v>00</v>
      </c>
      <c r="AM162" s="51" t="str">
        <f t="shared" si="34"/>
        <v>00</v>
      </c>
      <c r="AN162" s="51" t="str">
        <f t="shared" si="35"/>
        <v>00</v>
      </c>
      <c r="AO162" s="51" t="str">
        <f t="shared" si="36"/>
        <v>00</v>
      </c>
      <c r="AQ162" t="str">
        <f t="shared" si="31"/>
        <v/>
      </c>
    </row>
    <row r="163" spans="2:43">
      <c r="B163" s="120"/>
      <c r="C163" s="36">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6" t="str">
        <f t="shared" si="30"/>
        <v/>
      </c>
      <c r="AK163" s="49"/>
      <c r="AL163" s="49" t="str">
        <f t="shared" si="33"/>
        <v>00</v>
      </c>
      <c r="AM163" s="51" t="str">
        <f t="shared" si="34"/>
        <v>00</v>
      </c>
      <c r="AN163" s="51" t="str">
        <f t="shared" si="35"/>
        <v>00</v>
      </c>
      <c r="AO163" s="51" t="str">
        <f t="shared" si="36"/>
        <v>00</v>
      </c>
      <c r="AQ163" t="str">
        <f t="shared" si="31"/>
        <v/>
      </c>
    </row>
    <row r="164" spans="2:43">
      <c r="B164" s="120"/>
      <c r="C164" s="36">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6" t="str">
        <f t="shared" si="30"/>
        <v/>
      </c>
      <c r="AK164" s="49"/>
      <c r="AL164" s="49" t="str">
        <f t="shared" si="33"/>
        <v>00</v>
      </c>
      <c r="AM164" s="51" t="str">
        <f t="shared" si="34"/>
        <v>00</v>
      </c>
      <c r="AN164" s="51" t="str">
        <f t="shared" si="35"/>
        <v>00</v>
      </c>
      <c r="AO164" s="51" t="str">
        <f t="shared" si="36"/>
        <v>00</v>
      </c>
      <c r="AQ164" t="str">
        <f t="shared" si="31"/>
        <v/>
      </c>
    </row>
    <row r="165" spans="2:43">
      <c r="B165" s="120"/>
      <c r="C165" s="36">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6" t="str">
        <f t="shared" si="30"/>
        <v/>
      </c>
      <c r="AK165" s="49"/>
      <c r="AL165" s="49" t="str">
        <f t="shared" si="33"/>
        <v>00</v>
      </c>
      <c r="AM165" s="51" t="str">
        <f t="shared" si="34"/>
        <v>00</v>
      </c>
      <c r="AN165" s="51" t="str">
        <f t="shared" si="35"/>
        <v>00</v>
      </c>
      <c r="AO165" s="51" t="str">
        <f t="shared" si="36"/>
        <v>00</v>
      </c>
      <c r="AQ165" t="str">
        <f t="shared" si="31"/>
        <v/>
      </c>
    </row>
    <row r="166" spans="2:43">
      <c r="B166" s="120"/>
      <c r="C166" s="36">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6" t="str">
        <f t="shared" si="30"/>
        <v/>
      </c>
      <c r="AK166" s="49"/>
      <c r="AL166" s="49" t="str">
        <f t="shared" si="33"/>
        <v>00</v>
      </c>
      <c r="AM166" s="51" t="str">
        <f t="shared" si="34"/>
        <v>00</v>
      </c>
      <c r="AN166" s="51" t="str">
        <f t="shared" si="35"/>
        <v>00</v>
      </c>
      <c r="AO166" s="51" t="str">
        <f t="shared" si="36"/>
        <v>00</v>
      </c>
      <c r="AQ166" t="str">
        <f t="shared" si="31"/>
        <v/>
      </c>
    </row>
    <row r="167" spans="2:43">
      <c r="B167" s="120"/>
      <c r="C167" s="36">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6" t="str">
        <f t="shared" si="30"/>
        <v/>
      </c>
      <c r="AK167" s="49"/>
      <c r="AL167" s="49" t="str">
        <f t="shared" si="33"/>
        <v>00</v>
      </c>
      <c r="AM167" s="51" t="str">
        <f t="shared" si="34"/>
        <v>00</v>
      </c>
      <c r="AN167" s="51" t="str">
        <f t="shared" si="35"/>
        <v>00</v>
      </c>
      <c r="AO167" s="51" t="str">
        <f t="shared" si="36"/>
        <v>00</v>
      </c>
      <c r="AQ167" t="str">
        <f t="shared" si="31"/>
        <v/>
      </c>
    </row>
    <row r="168" spans="2:43">
      <c r="B168" s="120"/>
      <c r="C168" s="36">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6" t="str">
        <f t="shared" si="30"/>
        <v/>
      </c>
      <c r="AK168" s="49"/>
      <c r="AL168" s="49" t="str">
        <f t="shared" si="33"/>
        <v>00</v>
      </c>
      <c r="AM168" s="51" t="str">
        <f t="shared" si="34"/>
        <v>00</v>
      </c>
      <c r="AN168" s="51" t="str">
        <f t="shared" si="35"/>
        <v>00</v>
      </c>
      <c r="AO168" s="51" t="str">
        <f t="shared" si="36"/>
        <v>00</v>
      </c>
      <c r="AQ168" t="str">
        <f t="shared" si="31"/>
        <v/>
      </c>
    </row>
    <row r="169" spans="2:43">
      <c r="B169" s="120"/>
      <c r="C169" s="36">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6" t="str">
        <f t="shared" si="30"/>
        <v/>
      </c>
      <c r="AK169" s="49"/>
      <c r="AL169" s="49" t="str">
        <f t="shared" si="33"/>
        <v>00</v>
      </c>
      <c r="AM169" s="51" t="str">
        <f t="shared" si="34"/>
        <v>00</v>
      </c>
      <c r="AN169" s="51" t="str">
        <f t="shared" si="35"/>
        <v>00</v>
      </c>
      <c r="AO169" s="51" t="str">
        <f t="shared" si="36"/>
        <v>00</v>
      </c>
      <c r="AQ169" t="str">
        <f t="shared" si="31"/>
        <v/>
      </c>
    </row>
    <row r="170" spans="2:43">
      <c r="B170" s="120"/>
      <c r="C170" s="36">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6" t="str">
        <f t="shared" si="30"/>
        <v/>
      </c>
      <c r="AK170" s="49"/>
      <c r="AL170" s="49" t="str">
        <f t="shared" si="33"/>
        <v>00</v>
      </c>
      <c r="AM170" s="51" t="str">
        <f t="shared" si="34"/>
        <v>00</v>
      </c>
      <c r="AN170" s="51" t="str">
        <f t="shared" si="35"/>
        <v>00</v>
      </c>
      <c r="AO170" s="51" t="str">
        <f t="shared" si="36"/>
        <v>00</v>
      </c>
      <c r="AQ170" t="str">
        <f t="shared" si="31"/>
        <v/>
      </c>
    </row>
    <row r="171" spans="2:43">
      <c r="B171" s="120"/>
      <c r="C171" s="36">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6" t="str">
        <f t="shared" si="30"/>
        <v/>
      </c>
      <c r="AK171" s="49"/>
      <c r="AL171" s="49" t="str">
        <f t="shared" si="33"/>
        <v>00</v>
      </c>
      <c r="AM171" s="51" t="str">
        <f t="shared" si="34"/>
        <v>00</v>
      </c>
      <c r="AN171" s="51" t="str">
        <f t="shared" si="35"/>
        <v>00</v>
      </c>
      <c r="AO171" s="51" t="str">
        <f t="shared" si="36"/>
        <v>00</v>
      </c>
      <c r="AQ171" t="str">
        <f t="shared" si="31"/>
        <v/>
      </c>
    </row>
    <row r="172" spans="2:43">
      <c r="B172" s="120"/>
      <c r="C172" s="36">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6" t="str">
        <f t="shared" si="30"/>
        <v/>
      </c>
      <c r="AK172" s="49"/>
      <c r="AL172" s="49" t="str">
        <f t="shared" si="33"/>
        <v>00</v>
      </c>
      <c r="AM172" s="51" t="str">
        <f t="shared" si="34"/>
        <v>00</v>
      </c>
      <c r="AN172" s="51" t="str">
        <f t="shared" si="35"/>
        <v>00</v>
      </c>
      <c r="AO172" s="51" t="str">
        <f t="shared" si="36"/>
        <v>00</v>
      </c>
      <c r="AQ172" t="str">
        <f t="shared" si="31"/>
        <v/>
      </c>
    </row>
    <row r="173" spans="2:43">
      <c r="B173" s="120"/>
      <c r="C173" s="36">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6" t="str">
        <f t="shared" si="30"/>
        <v/>
      </c>
      <c r="AK173" s="49"/>
      <c r="AL173" s="49" t="str">
        <f t="shared" si="33"/>
        <v>00</v>
      </c>
      <c r="AM173" s="51" t="str">
        <f t="shared" si="34"/>
        <v>00</v>
      </c>
      <c r="AN173" s="51" t="str">
        <f t="shared" si="35"/>
        <v>00</v>
      </c>
      <c r="AO173" s="51" t="str">
        <f t="shared" si="36"/>
        <v>00</v>
      </c>
      <c r="AQ173" t="str">
        <f t="shared" si="31"/>
        <v/>
      </c>
    </row>
    <row r="174" spans="2:43">
      <c r="B174" s="120"/>
      <c r="C174" s="36">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6" t="str">
        <f t="shared" si="30"/>
        <v/>
      </c>
      <c r="AK174" s="49"/>
      <c r="AL174" s="49" t="str">
        <f t="shared" si="33"/>
        <v>00</v>
      </c>
      <c r="AM174" s="51" t="str">
        <f t="shared" si="34"/>
        <v>00</v>
      </c>
      <c r="AN174" s="51" t="str">
        <f t="shared" si="35"/>
        <v>00</v>
      </c>
      <c r="AO174" s="51" t="str">
        <f t="shared" si="36"/>
        <v>00</v>
      </c>
      <c r="AQ174" t="str">
        <f t="shared" si="31"/>
        <v/>
      </c>
    </row>
    <row r="175" spans="2:43">
      <c r="B175" s="120"/>
      <c r="C175" s="36">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6" t="str">
        <f t="shared" si="30"/>
        <v/>
      </c>
      <c r="AK175" s="49"/>
      <c r="AL175" s="49" t="str">
        <f t="shared" si="33"/>
        <v>00</v>
      </c>
      <c r="AM175" s="51" t="str">
        <f t="shared" si="34"/>
        <v>00</v>
      </c>
      <c r="AN175" s="51" t="str">
        <f t="shared" si="35"/>
        <v>00</v>
      </c>
      <c r="AO175" s="51" t="str">
        <f t="shared" si="36"/>
        <v>00</v>
      </c>
      <c r="AQ175" t="str">
        <f t="shared" si="31"/>
        <v/>
      </c>
    </row>
    <row r="176" spans="2:43">
      <c r="B176" s="120"/>
      <c r="C176" s="36">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6" t="str">
        <f t="shared" si="30"/>
        <v/>
      </c>
      <c r="AK176" s="49"/>
      <c r="AL176" s="49" t="str">
        <f t="shared" si="33"/>
        <v>00</v>
      </c>
      <c r="AM176" s="51" t="str">
        <f t="shared" si="34"/>
        <v>00</v>
      </c>
      <c r="AN176" s="51" t="str">
        <f t="shared" si="35"/>
        <v>00</v>
      </c>
      <c r="AO176" s="51" t="str">
        <f t="shared" si="36"/>
        <v>00</v>
      </c>
      <c r="AQ176" t="str">
        <f t="shared" si="31"/>
        <v/>
      </c>
    </row>
    <row r="177" spans="2:43">
      <c r="B177" s="120"/>
      <c r="C177" s="36">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6" t="str">
        <f t="shared" si="30"/>
        <v/>
      </c>
      <c r="AK177" s="49"/>
      <c r="AL177" s="49" t="str">
        <f t="shared" si="33"/>
        <v>00</v>
      </c>
      <c r="AM177" s="51" t="str">
        <f t="shared" si="34"/>
        <v>00</v>
      </c>
      <c r="AN177" s="51" t="str">
        <f t="shared" si="35"/>
        <v>00</v>
      </c>
      <c r="AO177" s="51" t="str">
        <f t="shared" si="36"/>
        <v>00</v>
      </c>
      <c r="AQ177" t="str">
        <f t="shared" si="31"/>
        <v/>
      </c>
    </row>
    <row r="178" spans="2:43">
      <c r="B178" s="120"/>
      <c r="C178" s="36">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6" t="str">
        <f t="shared" si="30"/>
        <v/>
      </c>
      <c r="AK178" s="49"/>
      <c r="AL178" s="49" t="str">
        <f t="shared" si="33"/>
        <v>00</v>
      </c>
      <c r="AM178" s="51" t="str">
        <f t="shared" si="34"/>
        <v>00</v>
      </c>
      <c r="AN178" s="51" t="str">
        <f t="shared" si="35"/>
        <v>00</v>
      </c>
      <c r="AO178" s="51" t="str">
        <f t="shared" si="36"/>
        <v>00</v>
      </c>
      <c r="AQ178" t="str">
        <f t="shared" si="31"/>
        <v/>
      </c>
    </row>
    <row r="179" spans="2:43">
      <c r="B179" s="120"/>
      <c r="C179" s="36">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6" t="str">
        <f t="shared" si="30"/>
        <v/>
      </c>
      <c r="AK179" s="49"/>
      <c r="AL179" s="49" t="str">
        <f t="shared" si="33"/>
        <v>00</v>
      </c>
      <c r="AM179" s="51" t="str">
        <f t="shared" si="34"/>
        <v>00</v>
      </c>
      <c r="AN179" s="51" t="str">
        <f t="shared" si="35"/>
        <v>00</v>
      </c>
      <c r="AO179" s="51" t="str">
        <f t="shared" si="36"/>
        <v>00</v>
      </c>
      <c r="AQ179" t="str">
        <f t="shared" si="31"/>
        <v/>
      </c>
    </row>
    <row r="180" spans="2:43">
      <c r="B180" s="120"/>
      <c r="C180" s="36">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6" t="str">
        <f t="shared" si="30"/>
        <v/>
      </c>
      <c r="AK180" s="49"/>
      <c r="AL180" s="49" t="str">
        <f t="shared" si="33"/>
        <v>00</v>
      </c>
      <c r="AM180" s="51" t="str">
        <f t="shared" si="34"/>
        <v>00</v>
      </c>
      <c r="AN180" s="51" t="str">
        <f t="shared" si="35"/>
        <v>00</v>
      </c>
      <c r="AO180" s="51" t="str">
        <f t="shared" si="36"/>
        <v>00</v>
      </c>
      <c r="AQ180" t="str">
        <f t="shared" si="31"/>
        <v/>
      </c>
    </row>
    <row r="181" spans="2:43">
      <c r="B181" s="120"/>
      <c r="C181" s="36">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6" t="str">
        <f t="shared" si="30"/>
        <v/>
      </c>
      <c r="AK181" s="49"/>
      <c r="AL181" s="49" t="str">
        <f t="shared" si="33"/>
        <v>00</v>
      </c>
      <c r="AM181" s="51" t="str">
        <f t="shared" si="34"/>
        <v>00</v>
      </c>
      <c r="AN181" s="51" t="str">
        <f t="shared" si="35"/>
        <v>00</v>
      </c>
      <c r="AO181" s="51" t="str">
        <f t="shared" si="36"/>
        <v>00</v>
      </c>
      <c r="AQ181" t="str">
        <f t="shared" si="31"/>
        <v/>
      </c>
    </row>
    <row r="182" spans="2:43">
      <c r="B182" s="120"/>
      <c r="C182" s="36">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6" t="str">
        <f t="shared" si="30"/>
        <v/>
      </c>
      <c r="AK182" s="49"/>
      <c r="AL182" s="49" t="str">
        <f t="shared" si="33"/>
        <v>00</v>
      </c>
      <c r="AM182" s="51" t="str">
        <f t="shared" si="34"/>
        <v>00</v>
      </c>
      <c r="AN182" s="51" t="str">
        <f t="shared" si="35"/>
        <v>00</v>
      </c>
      <c r="AO182" s="51" t="str">
        <f t="shared" si="36"/>
        <v>00</v>
      </c>
      <c r="AQ182" t="str">
        <f t="shared" si="31"/>
        <v/>
      </c>
    </row>
    <row r="183" spans="2:43">
      <c r="B183" s="120"/>
      <c r="C183" s="36">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6" t="str">
        <f t="shared" si="30"/>
        <v/>
      </c>
      <c r="AK183" s="49"/>
      <c r="AL183" s="49" t="str">
        <f t="shared" si="33"/>
        <v>00</v>
      </c>
      <c r="AM183" s="51" t="str">
        <f t="shared" si="34"/>
        <v>00</v>
      </c>
      <c r="AN183" s="51" t="str">
        <f t="shared" si="35"/>
        <v>00</v>
      </c>
      <c r="AO183" s="51" t="str">
        <f t="shared" si="36"/>
        <v>00</v>
      </c>
      <c r="AQ183" t="str">
        <f t="shared" si="31"/>
        <v/>
      </c>
    </row>
    <row r="184" spans="2:43">
      <c r="B184" s="120"/>
      <c r="C184" s="36">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6" t="str">
        <f t="shared" si="30"/>
        <v/>
      </c>
      <c r="AK184" s="49"/>
      <c r="AL184" s="49" t="str">
        <f t="shared" si="33"/>
        <v>00</v>
      </c>
      <c r="AM184" s="51" t="str">
        <f t="shared" si="34"/>
        <v>00</v>
      </c>
      <c r="AN184" s="51" t="str">
        <f t="shared" si="35"/>
        <v>00</v>
      </c>
      <c r="AO184" s="51" t="str">
        <f t="shared" si="36"/>
        <v>00</v>
      </c>
      <c r="AQ184" t="str">
        <f t="shared" si="31"/>
        <v/>
      </c>
    </row>
    <row r="185" spans="2:43">
      <c r="B185" s="120"/>
      <c r="C185" s="36">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6" t="str">
        <f t="shared" si="30"/>
        <v/>
      </c>
      <c r="AK185" s="49"/>
      <c r="AL185" s="49" t="str">
        <f t="shared" si="33"/>
        <v>00</v>
      </c>
      <c r="AM185" s="51" t="str">
        <f t="shared" si="34"/>
        <v>00</v>
      </c>
      <c r="AN185" s="51" t="str">
        <f t="shared" si="35"/>
        <v>00</v>
      </c>
      <c r="AO185" s="51" t="str">
        <f t="shared" si="36"/>
        <v>00</v>
      </c>
      <c r="AQ185" t="str">
        <f t="shared" si="31"/>
        <v/>
      </c>
    </row>
    <row r="186" spans="2:43">
      <c r="B186" s="120"/>
      <c r="C186" s="36">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6" t="str">
        <f t="shared" si="30"/>
        <v/>
      </c>
      <c r="AK186" s="49"/>
      <c r="AL186" s="49" t="str">
        <f t="shared" si="33"/>
        <v>00</v>
      </c>
      <c r="AM186" s="51" t="str">
        <f t="shared" si="34"/>
        <v>00</v>
      </c>
      <c r="AN186" s="51" t="str">
        <f t="shared" si="35"/>
        <v>00</v>
      </c>
      <c r="AO186" s="51" t="str">
        <f t="shared" si="36"/>
        <v>00</v>
      </c>
      <c r="AQ186" t="str">
        <f t="shared" si="31"/>
        <v/>
      </c>
    </row>
    <row r="187" spans="2:43">
      <c r="B187" s="120"/>
      <c r="C187" s="36">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6" t="str">
        <f t="shared" si="30"/>
        <v/>
      </c>
      <c r="AK187" s="49"/>
      <c r="AL187" s="49" t="str">
        <f t="shared" si="33"/>
        <v>00</v>
      </c>
      <c r="AM187" s="51" t="str">
        <f t="shared" si="34"/>
        <v>00</v>
      </c>
      <c r="AN187" s="51" t="str">
        <f t="shared" si="35"/>
        <v>00</v>
      </c>
      <c r="AO187" s="51" t="str">
        <f t="shared" si="36"/>
        <v>00</v>
      </c>
      <c r="AQ187" t="str">
        <f t="shared" si="31"/>
        <v/>
      </c>
    </row>
    <row r="188" spans="2:43">
      <c r="B188" s="120"/>
      <c r="C188" s="36">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6" t="str">
        <f t="shared" si="30"/>
        <v/>
      </c>
      <c r="AK188" s="49"/>
      <c r="AL188" s="49" t="str">
        <f t="shared" si="33"/>
        <v>00</v>
      </c>
      <c r="AM188" s="51" t="str">
        <f t="shared" si="34"/>
        <v>00</v>
      </c>
      <c r="AN188" s="51" t="str">
        <f t="shared" si="35"/>
        <v>00</v>
      </c>
      <c r="AO188" s="51" t="str">
        <f t="shared" si="36"/>
        <v>00</v>
      </c>
      <c r="AQ188" t="str">
        <f t="shared" si="31"/>
        <v/>
      </c>
    </row>
    <row r="189" spans="2:43">
      <c r="B189" s="120"/>
      <c r="C189" s="36">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6" t="str">
        <f t="shared" si="30"/>
        <v/>
      </c>
      <c r="AK189" s="49"/>
      <c r="AL189" s="49" t="str">
        <f t="shared" si="33"/>
        <v>00</v>
      </c>
      <c r="AM189" s="51" t="str">
        <f t="shared" si="34"/>
        <v>00</v>
      </c>
      <c r="AN189" s="51" t="str">
        <f t="shared" si="35"/>
        <v>00</v>
      </c>
      <c r="AO189" s="51" t="str">
        <f t="shared" si="36"/>
        <v>00</v>
      </c>
      <c r="AQ189" t="str">
        <f t="shared" si="31"/>
        <v/>
      </c>
    </row>
    <row r="190" spans="2:43">
      <c r="B190" s="120"/>
      <c r="C190" s="36">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6" t="str">
        <f t="shared" si="30"/>
        <v/>
      </c>
      <c r="AK190" s="49"/>
      <c r="AL190" s="49" t="str">
        <f t="shared" si="33"/>
        <v>00</v>
      </c>
      <c r="AM190" s="51" t="str">
        <f t="shared" si="34"/>
        <v>00</v>
      </c>
      <c r="AN190" s="51" t="str">
        <f t="shared" si="35"/>
        <v>00</v>
      </c>
      <c r="AO190" s="51" t="str">
        <f t="shared" si="36"/>
        <v>00</v>
      </c>
      <c r="AQ190" t="str">
        <f t="shared" si="31"/>
        <v/>
      </c>
    </row>
    <row r="191" spans="2:43">
      <c r="B191" s="120"/>
      <c r="C191" s="36">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6" t="str">
        <f t="shared" si="30"/>
        <v/>
      </c>
      <c r="AK191" s="49"/>
      <c r="AL191" s="49" t="str">
        <f t="shared" si="33"/>
        <v>00</v>
      </c>
      <c r="AM191" s="51" t="str">
        <f t="shared" si="34"/>
        <v>00</v>
      </c>
      <c r="AN191" s="51" t="str">
        <f t="shared" si="35"/>
        <v>00</v>
      </c>
      <c r="AO191" s="51" t="str">
        <f t="shared" si="36"/>
        <v>00</v>
      </c>
      <c r="AQ191" t="str">
        <f t="shared" si="31"/>
        <v/>
      </c>
    </row>
    <row r="192" spans="2:43">
      <c r="B192" s="120"/>
      <c r="C192" s="36">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6" t="str">
        <f t="shared" si="30"/>
        <v/>
      </c>
      <c r="AK192" s="49"/>
      <c r="AL192" s="49" t="str">
        <f t="shared" si="33"/>
        <v>00</v>
      </c>
      <c r="AM192" s="51" t="str">
        <f t="shared" si="34"/>
        <v>00</v>
      </c>
      <c r="AN192" s="51" t="str">
        <f t="shared" si="35"/>
        <v>00</v>
      </c>
      <c r="AO192" s="51" t="str">
        <f t="shared" si="36"/>
        <v>00</v>
      </c>
      <c r="AQ192" t="str">
        <f t="shared" si="31"/>
        <v/>
      </c>
    </row>
    <row r="193" spans="2:43">
      <c r="B193" s="120"/>
      <c r="C193" s="36">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6" t="str">
        <f t="shared" si="30"/>
        <v/>
      </c>
      <c r="AK193" s="49"/>
      <c r="AL193" s="49" t="str">
        <f t="shared" si="33"/>
        <v>00</v>
      </c>
      <c r="AM193" s="51" t="str">
        <f t="shared" si="34"/>
        <v>00</v>
      </c>
      <c r="AN193" s="51" t="str">
        <f t="shared" si="35"/>
        <v>00</v>
      </c>
      <c r="AO193" s="51" t="str">
        <f t="shared" si="36"/>
        <v>00</v>
      </c>
      <c r="AQ193" t="str">
        <f t="shared" si="31"/>
        <v/>
      </c>
    </row>
    <row r="194" spans="2:43">
      <c r="B194" s="120"/>
      <c r="C194" s="36">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6" t="str">
        <f t="shared" si="30"/>
        <v/>
      </c>
      <c r="AK194" s="49"/>
      <c r="AL194" s="49" t="str">
        <f t="shared" si="33"/>
        <v>00</v>
      </c>
      <c r="AM194" s="51" t="str">
        <f t="shared" si="34"/>
        <v>00</v>
      </c>
      <c r="AN194" s="51" t="str">
        <f t="shared" si="35"/>
        <v>00</v>
      </c>
      <c r="AO194" s="51" t="str">
        <f t="shared" si="36"/>
        <v>00</v>
      </c>
      <c r="AQ194" t="str">
        <f t="shared" si="31"/>
        <v/>
      </c>
    </row>
    <row r="195" spans="2:43">
      <c r="B195" s="120"/>
      <c r="C195" s="36">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6" t="str">
        <f t="shared" si="30"/>
        <v/>
      </c>
      <c r="AK195" s="49"/>
      <c r="AL195" s="49" t="str">
        <f t="shared" si="33"/>
        <v>00</v>
      </c>
      <c r="AM195" s="51" t="str">
        <f t="shared" si="34"/>
        <v>00</v>
      </c>
      <c r="AN195" s="51" t="str">
        <f t="shared" si="35"/>
        <v>00</v>
      </c>
      <c r="AO195" s="51" t="str">
        <f t="shared" si="36"/>
        <v>00</v>
      </c>
      <c r="AQ195" t="str">
        <f t="shared" si="31"/>
        <v/>
      </c>
    </row>
    <row r="196" spans="2:43">
      <c r="B196" s="120"/>
      <c r="C196" s="36">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6" t="str">
        <f t="shared" si="30"/>
        <v/>
      </c>
      <c r="AK196" s="49"/>
      <c r="AL196" s="49" t="str">
        <f t="shared" si="33"/>
        <v>00</v>
      </c>
      <c r="AM196" s="51" t="str">
        <f t="shared" si="34"/>
        <v>00</v>
      </c>
      <c r="AN196" s="51" t="str">
        <f t="shared" si="35"/>
        <v>00</v>
      </c>
      <c r="AO196" s="51" t="str">
        <f t="shared" si="36"/>
        <v>00</v>
      </c>
      <c r="AQ196" t="str">
        <f t="shared" si="31"/>
        <v/>
      </c>
    </row>
    <row r="197" spans="2:43">
      <c r="B197" s="120"/>
      <c r="C197" s="36">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6" t="str">
        <f t="shared" si="30"/>
        <v/>
      </c>
      <c r="AK197" s="49"/>
      <c r="AL197" s="49" t="str">
        <f t="shared" si="33"/>
        <v>00</v>
      </c>
      <c r="AM197" s="51" t="str">
        <f t="shared" si="34"/>
        <v>00</v>
      </c>
      <c r="AN197" s="51" t="str">
        <f t="shared" si="35"/>
        <v>00</v>
      </c>
      <c r="AO197" s="51" t="str">
        <f t="shared" si="36"/>
        <v>00</v>
      </c>
      <c r="AQ197" t="str">
        <f t="shared" si="31"/>
        <v/>
      </c>
    </row>
    <row r="198" spans="2:43">
      <c r="B198" s="120"/>
      <c r="C198" s="36">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6" t="str">
        <f t="shared" si="30"/>
        <v/>
      </c>
      <c r="AK198" s="49"/>
      <c r="AL198" s="49" t="str">
        <f t="shared" si="33"/>
        <v>00</v>
      </c>
      <c r="AM198" s="51" t="str">
        <f t="shared" si="34"/>
        <v>00</v>
      </c>
      <c r="AN198" s="51" t="str">
        <f t="shared" si="35"/>
        <v>00</v>
      </c>
      <c r="AO198" s="51" t="str">
        <f t="shared" si="36"/>
        <v>00</v>
      </c>
      <c r="AQ198" t="str">
        <f t="shared" si="31"/>
        <v/>
      </c>
    </row>
    <row r="199" spans="2:43">
      <c r="B199" s="121"/>
      <c r="C199" s="36">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6" t="str">
        <f t="shared" si="30"/>
        <v/>
      </c>
      <c r="AK199" s="49"/>
      <c r="AL199" s="49" t="str">
        <f t="shared" si="33"/>
        <v>00</v>
      </c>
      <c r="AM199" s="51" t="str">
        <f t="shared" si="34"/>
        <v>00</v>
      </c>
      <c r="AN199" s="51" t="str">
        <f t="shared" si="35"/>
        <v>00</v>
      </c>
      <c r="AO199" s="51" t="str">
        <f t="shared" si="36"/>
        <v>00</v>
      </c>
      <c r="AQ199" t="str">
        <f t="shared" si="31"/>
        <v/>
      </c>
    </row>
  </sheetData>
  <protectedRanges>
    <protectedRange sqref="L3:AA3 D6:AJ69" name="Table作成編集範囲"/>
    <protectedRange sqref="AB3:AI3" name="Table作成編集範囲_1"/>
    <protectedRange sqref="B3" name="Table作成編集範囲_2"/>
  </protectedRanges>
  <mergeCells count="5">
    <mergeCell ref="C2:C3"/>
    <mergeCell ref="AJ2:AJ3"/>
    <mergeCell ref="A4:B5"/>
    <mergeCell ref="AB3:AE3"/>
    <mergeCell ref="AF3:AI3"/>
  </mergeCells>
  <phoneticPr fontId="2"/>
  <conditionalFormatting sqref="D6:AI69">
    <cfRule type="cellIs" dxfId="2" priority="38" operator="equal">
      <formula>1</formula>
    </cfRule>
    <cfRule type="cellIs" dxfId="1" priority="39"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CU109"/>
  <sheetViews>
    <sheetView zoomScale="85" zoomScaleNormal="85" workbookViewId="0"/>
  </sheetViews>
  <sheetFormatPr defaultRowHeight="13.5"/>
  <cols>
    <col min="2" max="2" width="67.375" customWidth="1"/>
    <col min="3" max="10" width="3.375" customWidth="1"/>
    <col min="11" max="12" width="30.75" customWidth="1"/>
    <col min="13" max="13" width="26.5" customWidth="1"/>
    <col min="14" max="21" width="10.875" customWidth="1"/>
    <col min="35" max="38" width="8.875" customWidth="1"/>
    <col min="51" max="54" width="8.875" customWidth="1"/>
    <col min="101" max="116" width="8.875" customWidth="1"/>
    <col min="119" max="119" width="8.875" customWidth="1"/>
  </cols>
  <sheetData>
    <row r="2" spans="2:99" ht="15" thickBot="1">
      <c r="B2" s="25" t="s">
        <v>208</v>
      </c>
    </row>
    <row r="3" spans="2:99" ht="15" thickBot="1">
      <c r="B3" s="85" t="s">
        <v>120</v>
      </c>
      <c r="C3" s="296" t="s">
        <v>196</v>
      </c>
      <c r="D3" s="297"/>
      <c r="E3" s="297"/>
      <c r="F3" s="297"/>
      <c r="G3" s="297"/>
      <c r="H3" s="297"/>
      <c r="I3" s="297"/>
      <c r="J3" s="298"/>
      <c r="K3" s="85"/>
      <c r="L3" s="152"/>
      <c r="M3" s="155"/>
      <c r="N3" s="153"/>
      <c r="O3" s="153"/>
      <c r="P3" s="153"/>
      <c r="Q3" s="154"/>
    </row>
    <row r="4" spans="2:99">
      <c r="B4" s="59"/>
      <c r="C4" s="29" t="s">
        <v>209</v>
      </c>
      <c r="D4" s="29"/>
      <c r="E4" s="29"/>
      <c r="F4" s="29"/>
      <c r="G4" s="29"/>
      <c r="H4" s="29"/>
      <c r="I4" s="29"/>
      <c r="J4" s="29"/>
      <c r="K4" s="29"/>
      <c r="L4" s="203"/>
      <c r="M4" s="204" t="s">
        <v>49</v>
      </c>
      <c r="N4" s="32" t="s">
        <v>21</v>
      </c>
      <c r="O4" s="33"/>
      <c r="P4" s="33"/>
      <c r="Q4" s="34"/>
    </row>
    <row r="5" spans="2:99">
      <c r="B5" s="60" t="s">
        <v>22</v>
      </c>
      <c r="C5" s="299" t="s">
        <v>162</v>
      </c>
      <c r="D5" s="300"/>
      <c r="E5" s="300"/>
      <c r="F5" s="300"/>
      <c r="G5" s="300"/>
      <c r="H5" s="300"/>
      <c r="I5" s="300"/>
      <c r="J5" s="301"/>
      <c r="K5" s="2" t="s">
        <v>362</v>
      </c>
      <c r="L5" s="64" t="s">
        <v>212</v>
      </c>
      <c r="M5" s="27" t="s">
        <v>210</v>
      </c>
      <c r="N5" s="187" t="s">
        <v>23</v>
      </c>
      <c r="O5" s="65" t="s">
        <v>24</v>
      </c>
      <c r="P5" s="188" t="s">
        <v>25</v>
      </c>
      <c r="Q5" s="124" t="s">
        <v>26</v>
      </c>
      <c r="CU5" s="202"/>
    </row>
    <row r="6" spans="2:99">
      <c r="B6" s="60" t="s">
        <v>31</v>
      </c>
      <c r="C6" s="147" t="s">
        <v>190</v>
      </c>
      <c r="D6" s="147" t="s">
        <v>190</v>
      </c>
      <c r="E6" s="147" t="s">
        <v>190</v>
      </c>
      <c r="F6" s="147" t="s">
        <v>190</v>
      </c>
      <c r="G6" s="147" t="s">
        <v>190</v>
      </c>
      <c r="H6" s="147" t="s">
        <v>190</v>
      </c>
      <c r="I6" s="147" t="s">
        <v>190</v>
      </c>
      <c r="J6" s="147" t="s">
        <v>190</v>
      </c>
      <c r="K6" s="2" t="s">
        <v>361</v>
      </c>
      <c r="L6" s="1" t="s">
        <v>361</v>
      </c>
      <c r="M6" s="27" t="s">
        <v>211</v>
      </c>
      <c r="N6" s="189"/>
      <c r="O6" s="66"/>
      <c r="P6" s="190"/>
      <c r="Q6" s="124"/>
    </row>
    <row r="7" spans="2:99" ht="52.9" customHeight="1">
      <c r="B7" s="61" t="s">
        <v>27</v>
      </c>
      <c r="C7" s="302" t="s">
        <v>33</v>
      </c>
      <c r="D7" s="300"/>
      <c r="E7" s="300"/>
      <c r="F7" s="300"/>
      <c r="G7" s="300"/>
      <c r="H7" s="300"/>
      <c r="I7" s="300"/>
      <c r="J7" s="301"/>
      <c r="K7" s="2" t="s">
        <v>361</v>
      </c>
      <c r="L7" s="1" t="s">
        <v>361</v>
      </c>
      <c r="M7" s="28"/>
      <c r="N7" s="189"/>
      <c r="O7" s="66"/>
      <c r="P7" s="190"/>
      <c r="Q7" s="124"/>
    </row>
    <row r="8" spans="2:99" ht="136.5">
      <c r="B8" s="60" t="s">
        <v>259</v>
      </c>
      <c r="C8" s="191" t="s">
        <v>214</v>
      </c>
      <c r="D8" s="191" t="s">
        <v>60</v>
      </c>
      <c r="E8" s="191" t="s">
        <v>215</v>
      </c>
      <c r="F8" s="191" t="s">
        <v>216</v>
      </c>
      <c r="G8" s="191" t="s">
        <v>217</v>
      </c>
      <c r="H8" s="191" t="s">
        <v>218</v>
      </c>
      <c r="I8" s="191" t="s">
        <v>219</v>
      </c>
      <c r="J8" s="191" t="s">
        <v>220</v>
      </c>
      <c r="K8" s="2" t="s">
        <v>257</v>
      </c>
      <c r="L8" s="1" t="s">
        <v>256</v>
      </c>
      <c r="M8" s="27" t="s">
        <v>193</v>
      </c>
      <c r="N8" s="189"/>
      <c r="O8" s="66"/>
      <c r="P8" s="190"/>
      <c r="Q8" s="124"/>
    </row>
    <row r="9" spans="2:99" ht="135.75" thickBot="1">
      <c r="B9" s="62" t="s">
        <v>28</v>
      </c>
      <c r="C9" s="148" t="s">
        <v>221</v>
      </c>
      <c r="D9" s="148" t="s">
        <v>190</v>
      </c>
      <c r="E9" s="148" t="s">
        <v>221</v>
      </c>
      <c r="F9" s="148" t="s">
        <v>221</v>
      </c>
      <c r="G9" s="148" t="s">
        <v>221</v>
      </c>
      <c r="H9" s="148" t="s">
        <v>221</v>
      </c>
      <c r="I9" s="148" t="s">
        <v>221</v>
      </c>
      <c r="J9" s="148" t="s">
        <v>221</v>
      </c>
      <c r="K9" s="205" t="s">
        <v>260</v>
      </c>
      <c r="L9" s="185" t="s">
        <v>260</v>
      </c>
      <c r="M9" s="185" t="s">
        <v>242</v>
      </c>
      <c r="N9" s="192"/>
      <c r="O9" s="193"/>
      <c r="P9" s="194" t="s">
        <v>258</v>
      </c>
      <c r="Q9" s="179"/>
    </row>
    <row r="10" spans="2:99" ht="13.9" customHeight="1" thickTop="1">
      <c r="B10" s="63" t="s">
        <v>261</v>
      </c>
      <c r="C10" s="149" t="s">
        <v>156</v>
      </c>
      <c r="D10" s="149" t="s">
        <v>156</v>
      </c>
      <c r="E10" s="149" t="s">
        <v>156</v>
      </c>
      <c r="F10" s="149" t="s">
        <v>156</v>
      </c>
      <c r="G10" s="149" t="s">
        <v>156</v>
      </c>
      <c r="H10" s="149" t="s">
        <v>156</v>
      </c>
      <c r="I10" s="149" t="s">
        <v>156</v>
      </c>
      <c r="J10" s="149" t="s">
        <v>156</v>
      </c>
      <c r="K10" s="12" t="s">
        <v>223</v>
      </c>
      <c r="L10" s="13" t="s">
        <v>223</v>
      </c>
      <c r="M10" s="210" t="s">
        <v>198</v>
      </c>
      <c r="N10" s="149"/>
      <c r="O10" s="30"/>
      <c r="P10" s="195" t="s">
        <v>226</v>
      </c>
      <c r="Q10" s="175"/>
    </row>
    <row r="11" spans="2:99" ht="13.15" customHeight="1">
      <c r="B11" s="63" t="s">
        <v>262</v>
      </c>
      <c r="C11" s="150" t="s">
        <v>156</v>
      </c>
      <c r="D11" s="150" t="s">
        <v>156</v>
      </c>
      <c r="E11" s="150" t="s">
        <v>156</v>
      </c>
      <c r="F11" s="150" t="s">
        <v>156</v>
      </c>
      <c r="G11" s="150" t="s">
        <v>156</v>
      </c>
      <c r="H11" s="150" t="s">
        <v>156</v>
      </c>
      <c r="I11" s="150" t="s">
        <v>156</v>
      </c>
      <c r="J11" s="150" t="s">
        <v>156</v>
      </c>
      <c r="K11" s="2" t="s">
        <v>223</v>
      </c>
      <c r="L11" s="1" t="s">
        <v>253</v>
      </c>
      <c r="M11" s="212" t="s">
        <v>199</v>
      </c>
      <c r="N11" s="150"/>
      <c r="O11" s="31"/>
      <c r="P11" s="195" t="s">
        <v>228</v>
      </c>
      <c r="Q11" s="175"/>
    </row>
    <row r="12" spans="2:99" ht="13.15" customHeight="1">
      <c r="B12" s="63" t="s">
        <v>263</v>
      </c>
      <c r="C12" s="150" t="s">
        <v>156</v>
      </c>
      <c r="D12" s="150" t="s">
        <v>156</v>
      </c>
      <c r="E12" s="150" t="s">
        <v>156</v>
      </c>
      <c r="F12" s="150" t="s">
        <v>156</v>
      </c>
      <c r="G12" s="150" t="s">
        <v>156</v>
      </c>
      <c r="H12" s="150" t="s">
        <v>156</v>
      </c>
      <c r="I12" s="150" t="s">
        <v>156</v>
      </c>
      <c r="J12" s="150" t="s">
        <v>156</v>
      </c>
      <c r="K12" s="2" t="s">
        <v>223</v>
      </c>
      <c r="L12" s="1" t="s">
        <v>225</v>
      </c>
      <c r="M12" s="212" t="s">
        <v>206</v>
      </c>
      <c r="N12" s="150"/>
      <c r="O12" s="31"/>
      <c r="P12" s="195" t="s">
        <v>229</v>
      </c>
      <c r="Q12" s="175"/>
    </row>
    <row r="13" spans="2:99" ht="13.15" customHeight="1">
      <c r="B13" s="63" t="s">
        <v>264</v>
      </c>
      <c r="C13" s="150" t="s">
        <v>156</v>
      </c>
      <c r="D13" s="150" t="s">
        <v>156</v>
      </c>
      <c r="E13" s="150" t="s">
        <v>156</v>
      </c>
      <c r="F13" s="150" t="s">
        <v>156</v>
      </c>
      <c r="G13" s="150" t="s">
        <v>156</v>
      </c>
      <c r="H13" s="150" t="s">
        <v>156</v>
      </c>
      <c r="I13" s="150" t="s">
        <v>156</v>
      </c>
      <c r="J13" s="150" t="s">
        <v>156</v>
      </c>
      <c r="K13" s="2" t="s">
        <v>223</v>
      </c>
      <c r="L13" s="1" t="s">
        <v>227</v>
      </c>
      <c r="M13" s="212" t="s">
        <v>200</v>
      </c>
      <c r="N13" s="150"/>
      <c r="O13" s="31"/>
      <c r="P13" s="195" t="s">
        <v>231</v>
      </c>
      <c r="Q13" s="175"/>
    </row>
    <row r="14" spans="2:99" ht="13.15" customHeight="1">
      <c r="B14" s="63" t="s">
        <v>265</v>
      </c>
      <c r="C14" s="150" t="s">
        <v>156</v>
      </c>
      <c r="D14" s="150" t="s">
        <v>156</v>
      </c>
      <c r="E14" s="150" t="s">
        <v>156</v>
      </c>
      <c r="F14" s="150" t="s">
        <v>156</v>
      </c>
      <c r="G14" s="150" t="s">
        <v>156</v>
      </c>
      <c r="H14" s="150" t="s">
        <v>156</v>
      </c>
      <c r="I14" s="150" t="s">
        <v>156</v>
      </c>
      <c r="J14" s="150" t="s">
        <v>156</v>
      </c>
      <c r="K14" s="2" t="s">
        <v>223</v>
      </c>
      <c r="L14" s="1" t="s">
        <v>238</v>
      </c>
      <c r="M14" s="212" t="s">
        <v>198</v>
      </c>
      <c r="N14" s="150"/>
      <c r="O14" s="31"/>
      <c r="P14" s="195" t="s">
        <v>226</v>
      </c>
      <c r="Q14" s="175"/>
    </row>
    <row r="15" spans="2:99" ht="13.15" customHeight="1">
      <c r="B15" s="63" t="s">
        <v>266</v>
      </c>
      <c r="C15" s="150" t="s">
        <v>156</v>
      </c>
      <c r="D15" s="150" t="s">
        <v>156</v>
      </c>
      <c r="E15" s="150" t="s">
        <v>156</v>
      </c>
      <c r="F15" s="150" t="s">
        <v>156</v>
      </c>
      <c r="G15" s="150" t="s">
        <v>156</v>
      </c>
      <c r="H15" s="150" t="s">
        <v>156</v>
      </c>
      <c r="I15" s="150" t="s">
        <v>156</v>
      </c>
      <c r="J15" s="150" t="s">
        <v>156</v>
      </c>
      <c r="K15" s="2" t="s">
        <v>223</v>
      </c>
      <c r="L15" s="1" t="s">
        <v>230</v>
      </c>
      <c r="M15" s="212" t="s">
        <v>198</v>
      </c>
      <c r="N15" s="150"/>
      <c r="O15" s="31"/>
      <c r="P15" s="195" t="s">
        <v>226</v>
      </c>
      <c r="Q15" s="175"/>
    </row>
    <row r="16" spans="2:99" ht="13.15" customHeight="1">
      <c r="B16" s="63" t="s">
        <v>267</v>
      </c>
      <c r="C16" s="150" t="s">
        <v>156</v>
      </c>
      <c r="D16" s="150" t="s">
        <v>156</v>
      </c>
      <c r="E16" s="150" t="s">
        <v>156</v>
      </c>
      <c r="F16" s="150" t="s">
        <v>156</v>
      </c>
      <c r="G16" s="150" t="s">
        <v>156</v>
      </c>
      <c r="H16" s="150" t="s">
        <v>156</v>
      </c>
      <c r="I16" s="150" t="s">
        <v>156</v>
      </c>
      <c r="J16" s="150" t="s">
        <v>156</v>
      </c>
      <c r="K16" s="2" t="s">
        <v>223</v>
      </c>
      <c r="L16" s="1" t="s">
        <v>232</v>
      </c>
      <c r="M16" s="212" t="s">
        <v>203</v>
      </c>
      <c r="N16" s="150"/>
      <c r="O16" s="31"/>
      <c r="P16" s="196" t="s">
        <v>226</v>
      </c>
      <c r="Q16" s="175"/>
    </row>
    <row r="17" spans="2:17" ht="13.15" customHeight="1">
      <c r="B17" s="63" t="s">
        <v>268</v>
      </c>
      <c r="C17" s="150" t="s">
        <v>156</v>
      </c>
      <c r="D17" s="150" t="s">
        <v>156</v>
      </c>
      <c r="E17" s="150" t="s">
        <v>156</v>
      </c>
      <c r="F17" s="150" t="s">
        <v>156</v>
      </c>
      <c r="G17" s="150" t="s">
        <v>156</v>
      </c>
      <c r="H17" s="150" t="s">
        <v>156</v>
      </c>
      <c r="I17" s="150" t="s">
        <v>156</v>
      </c>
      <c r="J17" s="150" t="s">
        <v>156</v>
      </c>
      <c r="K17" s="2" t="s">
        <v>223</v>
      </c>
      <c r="L17" s="1" t="s">
        <v>233</v>
      </c>
      <c r="M17" s="212" t="s">
        <v>204</v>
      </c>
      <c r="N17" s="150"/>
      <c r="O17" s="31"/>
      <c r="P17" s="196" t="s">
        <v>228</v>
      </c>
      <c r="Q17" s="175"/>
    </row>
    <row r="18" spans="2:17" ht="13.15" customHeight="1">
      <c r="B18" s="63" t="s">
        <v>269</v>
      </c>
      <c r="C18" s="150" t="s">
        <v>156</v>
      </c>
      <c r="D18" s="150" t="s">
        <v>156</v>
      </c>
      <c r="E18" s="150" t="s">
        <v>156</v>
      </c>
      <c r="F18" s="150" t="s">
        <v>156</v>
      </c>
      <c r="G18" s="150" t="s">
        <v>156</v>
      </c>
      <c r="H18" s="150" t="s">
        <v>156</v>
      </c>
      <c r="I18" s="150" t="s">
        <v>156</v>
      </c>
      <c r="J18" s="150" t="s">
        <v>156</v>
      </c>
      <c r="K18" s="2" t="s">
        <v>223</v>
      </c>
      <c r="L18" s="1" t="s">
        <v>234</v>
      </c>
      <c r="M18" s="212" t="s">
        <v>198</v>
      </c>
      <c r="N18" s="150"/>
      <c r="O18" s="31"/>
      <c r="P18" s="196" t="s">
        <v>226</v>
      </c>
      <c r="Q18" s="175"/>
    </row>
    <row r="19" spans="2:17" ht="13.15" customHeight="1">
      <c r="B19" s="63" t="s">
        <v>270</v>
      </c>
      <c r="C19" s="150" t="s">
        <v>156</v>
      </c>
      <c r="D19" s="150" t="s">
        <v>156</v>
      </c>
      <c r="E19" s="150" t="s">
        <v>156</v>
      </c>
      <c r="F19" s="150" t="s">
        <v>156</v>
      </c>
      <c r="G19" s="150" t="s">
        <v>156</v>
      </c>
      <c r="H19" s="150" t="s">
        <v>156</v>
      </c>
      <c r="I19" s="150" t="s">
        <v>156</v>
      </c>
      <c r="J19" s="150" t="s">
        <v>156</v>
      </c>
      <c r="K19" s="2" t="s">
        <v>223</v>
      </c>
      <c r="L19" s="1" t="s">
        <v>235</v>
      </c>
      <c r="M19" s="212" t="s">
        <v>198</v>
      </c>
      <c r="N19" s="150"/>
      <c r="O19" s="31"/>
      <c r="P19" s="196" t="s">
        <v>226</v>
      </c>
      <c r="Q19" s="175"/>
    </row>
    <row r="20" spans="2:17">
      <c r="B20" s="63" t="s">
        <v>271</v>
      </c>
      <c r="C20" s="150" t="s">
        <v>156</v>
      </c>
      <c r="D20" s="150" t="s">
        <v>156</v>
      </c>
      <c r="E20" s="150" t="s">
        <v>156</v>
      </c>
      <c r="F20" s="150" t="s">
        <v>156</v>
      </c>
      <c r="G20" s="150" t="s">
        <v>156</v>
      </c>
      <c r="H20" s="150" t="s">
        <v>156</v>
      </c>
      <c r="I20" s="150" t="s">
        <v>156</v>
      </c>
      <c r="J20" s="150" t="s">
        <v>156</v>
      </c>
      <c r="K20" s="2" t="s">
        <v>253</v>
      </c>
      <c r="L20" s="1" t="s">
        <v>223</v>
      </c>
      <c r="M20" s="212" t="s">
        <v>199</v>
      </c>
      <c r="N20" s="150"/>
      <c r="O20" s="31"/>
      <c r="P20" s="196" t="s">
        <v>228</v>
      </c>
      <c r="Q20" s="175"/>
    </row>
    <row r="21" spans="2:17">
      <c r="B21" s="63" t="s">
        <v>272</v>
      </c>
      <c r="C21" s="150" t="s">
        <v>156</v>
      </c>
      <c r="D21" s="150" t="s">
        <v>156</v>
      </c>
      <c r="E21" s="150" t="s">
        <v>156</v>
      </c>
      <c r="F21" s="150" t="s">
        <v>156</v>
      </c>
      <c r="G21" s="150" t="s">
        <v>156</v>
      </c>
      <c r="H21" s="150" t="s">
        <v>156</v>
      </c>
      <c r="I21" s="150" t="s">
        <v>156</v>
      </c>
      <c r="J21" s="150" t="s">
        <v>156</v>
      </c>
      <c r="K21" s="2" t="s">
        <v>253</v>
      </c>
      <c r="L21" s="1" t="s">
        <v>253</v>
      </c>
      <c r="M21" s="212" t="s">
        <v>199</v>
      </c>
      <c r="N21" s="150"/>
      <c r="O21" s="31"/>
      <c r="P21" s="196" t="s">
        <v>228</v>
      </c>
      <c r="Q21" s="175"/>
    </row>
    <row r="22" spans="2:17">
      <c r="B22" s="63" t="s">
        <v>273</v>
      </c>
      <c r="C22" s="150" t="s">
        <v>156</v>
      </c>
      <c r="D22" s="150" t="s">
        <v>156</v>
      </c>
      <c r="E22" s="150" t="s">
        <v>156</v>
      </c>
      <c r="F22" s="150" t="s">
        <v>156</v>
      </c>
      <c r="G22" s="150" t="s">
        <v>156</v>
      </c>
      <c r="H22" s="150" t="s">
        <v>156</v>
      </c>
      <c r="I22" s="150" t="s">
        <v>156</v>
      </c>
      <c r="J22" s="150" t="s">
        <v>156</v>
      </c>
      <c r="K22" s="2" t="s">
        <v>253</v>
      </c>
      <c r="L22" s="1" t="s">
        <v>225</v>
      </c>
      <c r="M22" s="212" t="s">
        <v>199</v>
      </c>
      <c r="N22" s="150"/>
      <c r="O22" s="31"/>
      <c r="P22" s="196" t="s">
        <v>228</v>
      </c>
      <c r="Q22" s="175"/>
    </row>
    <row r="23" spans="2:17">
      <c r="B23" s="63" t="s">
        <v>274</v>
      </c>
      <c r="C23" s="150" t="s">
        <v>156</v>
      </c>
      <c r="D23" s="150" t="s">
        <v>156</v>
      </c>
      <c r="E23" s="150" t="s">
        <v>156</v>
      </c>
      <c r="F23" s="150" t="s">
        <v>156</v>
      </c>
      <c r="G23" s="150" t="s">
        <v>156</v>
      </c>
      <c r="H23" s="150" t="s">
        <v>156</v>
      </c>
      <c r="I23" s="150" t="s">
        <v>156</v>
      </c>
      <c r="J23" s="150" t="s">
        <v>156</v>
      </c>
      <c r="K23" s="2" t="s">
        <v>253</v>
      </c>
      <c r="L23" s="1" t="s">
        <v>227</v>
      </c>
      <c r="M23" s="212" t="s">
        <v>199</v>
      </c>
      <c r="N23" s="150"/>
      <c r="O23" s="31"/>
      <c r="P23" s="196" t="s">
        <v>228</v>
      </c>
      <c r="Q23" s="175"/>
    </row>
    <row r="24" spans="2:17">
      <c r="B24" s="63" t="s">
        <v>275</v>
      </c>
      <c r="C24" s="150" t="s">
        <v>156</v>
      </c>
      <c r="D24" s="150" t="s">
        <v>156</v>
      </c>
      <c r="E24" s="150" t="s">
        <v>156</v>
      </c>
      <c r="F24" s="150" t="s">
        <v>156</v>
      </c>
      <c r="G24" s="150" t="s">
        <v>156</v>
      </c>
      <c r="H24" s="150" t="s">
        <v>156</v>
      </c>
      <c r="I24" s="150" t="s">
        <v>156</v>
      </c>
      <c r="J24" s="150" t="s">
        <v>156</v>
      </c>
      <c r="K24" s="2" t="s">
        <v>253</v>
      </c>
      <c r="L24" s="1" t="s">
        <v>238</v>
      </c>
      <c r="M24" s="212" t="s">
        <v>199</v>
      </c>
      <c r="N24" s="150"/>
      <c r="O24" s="31"/>
      <c r="P24" s="196" t="s">
        <v>228</v>
      </c>
      <c r="Q24" s="175"/>
    </row>
    <row r="25" spans="2:17">
      <c r="B25" s="63" t="s">
        <v>276</v>
      </c>
      <c r="C25" s="150" t="s">
        <v>156</v>
      </c>
      <c r="D25" s="150" t="s">
        <v>156</v>
      </c>
      <c r="E25" s="150" t="s">
        <v>156</v>
      </c>
      <c r="F25" s="150" t="s">
        <v>156</v>
      </c>
      <c r="G25" s="150" t="s">
        <v>156</v>
      </c>
      <c r="H25" s="150" t="s">
        <v>156</v>
      </c>
      <c r="I25" s="150" t="s">
        <v>156</v>
      </c>
      <c r="J25" s="150" t="s">
        <v>156</v>
      </c>
      <c r="K25" s="2" t="s">
        <v>253</v>
      </c>
      <c r="L25" s="1" t="s">
        <v>230</v>
      </c>
      <c r="M25" s="212" t="s">
        <v>199</v>
      </c>
      <c r="N25" s="150"/>
      <c r="O25" s="31"/>
      <c r="P25" s="196" t="s">
        <v>228</v>
      </c>
      <c r="Q25" s="175"/>
    </row>
    <row r="26" spans="2:17">
      <c r="B26" s="63" t="s">
        <v>277</v>
      </c>
      <c r="C26" s="150" t="s">
        <v>156</v>
      </c>
      <c r="D26" s="150" t="s">
        <v>156</v>
      </c>
      <c r="E26" s="150" t="s">
        <v>156</v>
      </c>
      <c r="F26" s="150" t="s">
        <v>156</v>
      </c>
      <c r="G26" s="150" t="s">
        <v>156</v>
      </c>
      <c r="H26" s="150" t="s">
        <v>156</v>
      </c>
      <c r="I26" s="150" t="s">
        <v>156</v>
      </c>
      <c r="J26" s="150" t="s">
        <v>156</v>
      </c>
      <c r="K26" s="2" t="s">
        <v>253</v>
      </c>
      <c r="L26" s="1" t="s">
        <v>232</v>
      </c>
      <c r="M26" s="212" t="s">
        <v>199</v>
      </c>
      <c r="N26" s="150"/>
      <c r="O26" s="31"/>
      <c r="P26" s="196" t="s">
        <v>228</v>
      </c>
      <c r="Q26" s="175"/>
    </row>
    <row r="27" spans="2:17">
      <c r="B27" s="63" t="s">
        <v>278</v>
      </c>
      <c r="C27" s="150" t="s">
        <v>156</v>
      </c>
      <c r="D27" s="150" t="s">
        <v>156</v>
      </c>
      <c r="E27" s="150" t="s">
        <v>156</v>
      </c>
      <c r="F27" s="150" t="s">
        <v>156</v>
      </c>
      <c r="G27" s="150" t="s">
        <v>156</v>
      </c>
      <c r="H27" s="150" t="s">
        <v>156</v>
      </c>
      <c r="I27" s="150" t="s">
        <v>156</v>
      </c>
      <c r="J27" s="150" t="s">
        <v>156</v>
      </c>
      <c r="K27" s="2" t="s">
        <v>253</v>
      </c>
      <c r="L27" s="1" t="s">
        <v>233</v>
      </c>
      <c r="M27" s="212" t="s">
        <v>199</v>
      </c>
      <c r="N27" s="150"/>
      <c r="O27" s="31"/>
      <c r="P27" s="196" t="s">
        <v>228</v>
      </c>
      <c r="Q27" s="175"/>
    </row>
    <row r="28" spans="2:17">
      <c r="B28" s="63" t="s">
        <v>279</v>
      </c>
      <c r="C28" s="150" t="s">
        <v>156</v>
      </c>
      <c r="D28" s="150" t="s">
        <v>156</v>
      </c>
      <c r="E28" s="150" t="s">
        <v>156</v>
      </c>
      <c r="F28" s="150" t="s">
        <v>156</v>
      </c>
      <c r="G28" s="150" t="s">
        <v>156</v>
      </c>
      <c r="H28" s="150" t="s">
        <v>156</v>
      </c>
      <c r="I28" s="150" t="s">
        <v>156</v>
      </c>
      <c r="J28" s="150" t="s">
        <v>156</v>
      </c>
      <c r="K28" s="2" t="s">
        <v>253</v>
      </c>
      <c r="L28" s="1" t="s">
        <v>234</v>
      </c>
      <c r="M28" s="212" t="s">
        <v>199</v>
      </c>
      <c r="N28" s="150"/>
      <c r="O28" s="31"/>
      <c r="P28" s="196" t="s">
        <v>228</v>
      </c>
      <c r="Q28" s="175"/>
    </row>
    <row r="29" spans="2:17">
      <c r="B29" s="63" t="s">
        <v>280</v>
      </c>
      <c r="C29" s="150" t="s">
        <v>156</v>
      </c>
      <c r="D29" s="150" t="s">
        <v>156</v>
      </c>
      <c r="E29" s="150" t="s">
        <v>156</v>
      </c>
      <c r="F29" s="150" t="s">
        <v>156</v>
      </c>
      <c r="G29" s="150" t="s">
        <v>156</v>
      </c>
      <c r="H29" s="150" t="s">
        <v>156</v>
      </c>
      <c r="I29" s="150" t="s">
        <v>156</v>
      </c>
      <c r="J29" s="150" t="s">
        <v>156</v>
      </c>
      <c r="K29" s="2" t="s">
        <v>253</v>
      </c>
      <c r="L29" s="1" t="s">
        <v>235</v>
      </c>
      <c r="M29" s="212" t="s">
        <v>199</v>
      </c>
      <c r="N29" s="150"/>
      <c r="O29" s="31"/>
      <c r="P29" s="196" t="s">
        <v>228</v>
      </c>
      <c r="Q29" s="175"/>
    </row>
    <row r="30" spans="2:17" ht="13.15" customHeight="1">
      <c r="B30" s="63" t="s">
        <v>281</v>
      </c>
      <c r="C30" s="150" t="s">
        <v>156</v>
      </c>
      <c r="D30" s="150" t="s">
        <v>156</v>
      </c>
      <c r="E30" s="150" t="s">
        <v>156</v>
      </c>
      <c r="F30" s="150" t="s">
        <v>156</v>
      </c>
      <c r="G30" s="150" t="s">
        <v>156</v>
      </c>
      <c r="H30" s="150" t="s">
        <v>156</v>
      </c>
      <c r="I30" s="150" t="s">
        <v>156</v>
      </c>
      <c r="J30" s="150" t="s">
        <v>156</v>
      </c>
      <c r="K30" s="2" t="s">
        <v>225</v>
      </c>
      <c r="L30" s="1" t="s">
        <v>223</v>
      </c>
      <c r="M30" s="212" t="s">
        <v>206</v>
      </c>
      <c r="N30" s="150"/>
      <c r="O30" s="31"/>
      <c r="P30" s="196" t="s">
        <v>229</v>
      </c>
      <c r="Q30" s="175"/>
    </row>
    <row r="31" spans="2:17" ht="13.15" customHeight="1">
      <c r="B31" s="63" t="s">
        <v>282</v>
      </c>
      <c r="C31" s="150" t="s">
        <v>156</v>
      </c>
      <c r="D31" s="150" t="s">
        <v>156</v>
      </c>
      <c r="E31" s="150" t="s">
        <v>156</v>
      </c>
      <c r="F31" s="150" t="s">
        <v>156</v>
      </c>
      <c r="G31" s="150" t="s">
        <v>156</v>
      </c>
      <c r="H31" s="150" t="s">
        <v>156</v>
      </c>
      <c r="I31" s="150" t="s">
        <v>156</v>
      </c>
      <c r="J31" s="150" t="s">
        <v>156</v>
      </c>
      <c r="K31" s="2" t="s">
        <v>225</v>
      </c>
      <c r="L31" s="1" t="s">
        <v>253</v>
      </c>
      <c r="M31" s="212" t="s">
        <v>199</v>
      </c>
      <c r="N31" s="150"/>
      <c r="O31" s="31"/>
      <c r="P31" s="196" t="s">
        <v>228</v>
      </c>
      <c r="Q31" s="175"/>
    </row>
    <row r="32" spans="2:17" ht="13.15" customHeight="1">
      <c r="B32" s="63" t="s">
        <v>283</v>
      </c>
      <c r="C32" s="150" t="s">
        <v>156</v>
      </c>
      <c r="D32" s="150" t="s">
        <v>156</v>
      </c>
      <c r="E32" s="150" t="s">
        <v>156</v>
      </c>
      <c r="F32" s="150" t="s">
        <v>156</v>
      </c>
      <c r="G32" s="150" t="s">
        <v>156</v>
      </c>
      <c r="H32" s="150" t="s">
        <v>156</v>
      </c>
      <c r="I32" s="150" t="s">
        <v>156</v>
      </c>
      <c r="J32" s="150" t="s">
        <v>156</v>
      </c>
      <c r="K32" s="2" t="s">
        <v>225</v>
      </c>
      <c r="L32" s="1" t="s">
        <v>225</v>
      </c>
      <c r="M32" s="212" t="s">
        <v>206</v>
      </c>
      <c r="N32" s="150"/>
      <c r="O32" s="31"/>
      <c r="P32" s="196" t="s">
        <v>229</v>
      </c>
      <c r="Q32" s="175"/>
    </row>
    <row r="33" spans="2:17" ht="13.15" customHeight="1">
      <c r="B33" s="63" t="s">
        <v>284</v>
      </c>
      <c r="C33" s="150" t="s">
        <v>156</v>
      </c>
      <c r="D33" s="150" t="s">
        <v>156</v>
      </c>
      <c r="E33" s="150" t="s">
        <v>156</v>
      </c>
      <c r="F33" s="150" t="s">
        <v>156</v>
      </c>
      <c r="G33" s="150" t="s">
        <v>156</v>
      </c>
      <c r="H33" s="150" t="s">
        <v>156</v>
      </c>
      <c r="I33" s="150" t="s">
        <v>156</v>
      </c>
      <c r="J33" s="150" t="s">
        <v>156</v>
      </c>
      <c r="K33" s="2" t="s">
        <v>225</v>
      </c>
      <c r="L33" s="1" t="s">
        <v>227</v>
      </c>
      <c r="M33" s="212" t="s">
        <v>206</v>
      </c>
      <c r="N33" s="150"/>
      <c r="O33" s="31"/>
      <c r="P33" s="196" t="s">
        <v>229</v>
      </c>
      <c r="Q33" s="175"/>
    </row>
    <row r="34" spans="2:17" ht="13.15" customHeight="1">
      <c r="B34" s="63" t="s">
        <v>285</v>
      </c>
      <c r="C34" s="150" t="s">
        <v>156</v>
      </c>
      <c r="D34" s="150" t="s">
        <v>156</v>
      </c>
      <c r="E34" s="150" t="s">
        <v>156</v>
      </c>
      <c r="F34" s="150" t="s">
        <v>156</v>
      </c>
      <c r="G34" s="150" t="s">
        <v>156</v>
      </c>
      <c r="H34" s="150" t="s">
        <v>156</v>
      </c>
      <c r="I34" s="150" t="s">
        <v>156</v>
      </c>
      <c r="J34" s="150" t="s">
        <v>156</v>
      </c>
      <c r="K34" s="2" t="s">
        <v>225</v>
      </c>
      <c r="L34" s="1" t="s">
        <v>238</v>
      </c>
      <c r="M34" s="212" t="s">
        <v>206</v>
      </c>
      <c r="N34" s="150"/>
      <c r="O34" s="31"/>
      <c r="P34" s="196" t="s">
        <v>229</v>
      </c>
      <c r="Q34" s="175"/>
    </row>
    <row r="35" spans="2:17" ht="13.15" customHeight="1">
      <c r="B35" s="63" t="s">
        <v>286</v>
      </c>
      <c r="C35" s="150" t="s">
        <v>156</v>
      </c>
      <c r="D35" s="150" t="s">
        <v>156</v>
      </c>
      <c r="E35" s="150" t="s">
        <v>156</v>
      </c>
      <c r="F35" s="150" t="s">
        <v>156</v>
      </c>
      <c r="G35" s="150" t="s">
        <v>156</v>
      </c>
      <c r="H35" s="150" t="s">
        <v>156</v>
      </c>
      <c r="I35" s="150" t="s">
        <v>156</v>
      </c>
      <c r="J35" s="150" t="s">
        <v>156</v>
      </c>
      <c r="K35" s="2" t="s">
        <v>225</v>
      </c>
      <c r="L35" s="1" t="s">
        <v>230</v>
      </c>
      <c r="M35" s="212" t="s">
        <v>206</v>
      </c>
      <c r="N35" s="150"/>
      <c r="O35" s="31"/>
      <c r="P35" s="196" t="s">
        <v>229</v>
      </c>
      <c r="Q35" s="175"/>
    </row>
    <row r="36" spans="2:17" ht="13.15" customHeight="1">
      <c r="B36" s="63" t="s">
        <v>287</v>
      </c>
      <c r="C36" s="150" t="s">
        <v>156</v>
      </c>
      <c r="D36" s="150" t="s">
        <v>156</v>
      </c>
      <c r="E36" s="150" t="s">
        <v>156</v>
      </c>
      <c r="F36" s="150" t="s">
        <v>156</v>
      </c>
      <c r="G36" s="150" t="s">
        <v>156</v>
      </c>
      <c r="H36" s="150" t="s">
        <v>156</v>
      </c>
      <c r="I36" s="150" t="s">
        <v>156</v>
      </c>
      <c r="J36" s="150" t="s">
        <v>156</v>
      </c>
      <c r="K36" s="2" t="s">
        <v>225</v>
      </c>
      <c r="L36" s="1" t="s">
        <v>232</v>
      </c>
      <c r="M36" s="212" t="s">
        <v>206</v>
      </c>
      <c r="N36" s="150"/>
      <c r="O36" s="31"/>
      <c r="P36" s="196" t="s">
        <v>229</v>
      </c>
      <c r="Q36" s="175"/>
    </row>
    <row r="37" spans="2:17" ht="13.15" customHeight="1">
      <c r="B37" s="63" t="s">
        <v>288</v>
      </c>
      <c r="C37" s="150" t="s">
        <v>156</v>
      </c>
      <c r="D37" s="150" t="s">
        <v>156</v>
      </c>
      <c r="E37" s="150" t="s">
        <v>156</v>
      </c>
      <c r="F37" s="150" t="s">
        <v>156</v>
      </c>
      <c r="G37" s="150" t="s">
        <v>156</v>
      </c>
      <c r="H37" s="150" t="s">
        <v>156</v>
      </c>
      <c r="I37" s="150" t="s">
        <v>156</v>
      </c>
      <c r="J37" s="150" t="s">
        <v>156</v>
      </c>
      <c r="K37" s="2" t="s">
        <v>225</v>
      </c>
      <c r="L37" s="1" t="s">
        <v>233</v>
      </c>
      <c r="M37" s="212" t="s">
        <v>206</v>
      </c>
      <c r="N37" s="150"/>
      <c r="O37" s="31"/>
      <c r="P37" s="196" t="s">
        <v>229</v>
      </c>
      <c r="Q37" s="175"/>
    </row>
    <row r="38" spans="2:17" ht="13.15" customHeight="1">
      <c r="B38" s="63" t="s">
        <v>289</v>
      </c>
      <c r="C38" s="150" t="s">
        <v>156</v>
      </c>
      <c r="D38" s="150" t="s">
        <v>156</v>
      </c>
      <c r="E38" s="150" t="s">
        <v>156</v>
      </c>
      <c r="F38" s="150" t="s">
        <v>156</v>
      </c>
      <c r="G38" s="150" t="s">
        <v>156</v>
      </c>
      <c r="H38" s="150" t="s">
        <v>156</v>
      </c>
      <c r="I38" s="150" t="s">
        <v>156</v>
      </c>
      <c r="J38" s="150" t="s">
        <v>156</v>
      </c>
      <c r="K38" s="2" t="s">
        <v>225</v>
      </c>
      <c r="L38" s="1" t="s">
        <v>234</v>
      </c>
      <c r="M38" s="212" t="s">
        <v>206</v>
      </c>
      <c r="N38" s="150"/>
      <c r="O38" s="31"/>
      <c r="P38" s="196" t="s">
        <v>229</v>
      </c>
      <c r="Q38" s="175"/>
    </row>
    <row r="39" spans="2:17" ht="13.15" customHeight="1">
      <c r="B39" s="63" t="s">
        <v>290</v>
      </c>
      <c r="C39" s="150" t="s">
        <v>156</v>
      </c>
      <c r="D39" s="150" t="s">
        <v>156</v>
      </c>
      <c r="E39" s="150" t="s">
        <v>156</v>
      </c>
      <c r="F39" s="150" t="s">
        <v>156</v>
      </c>
      <c r="G39" s="150" t="s">
        <v>156</v>
      </c>
      <c r="H39" s="150" t="s">
        <v>156</v>
      </c>
      <c r="I39" s="150" t="s">
        <v>156</v>
      </c>
      <c r="J39" s="150" t="s">
        <v>156</v>
      </c>
      <c r="K39" s="2" t="s">
        <v>225</v>
      </c>
      <c r="L39" s="1" t="s">
        <v>235</v>
      </c>
      <c r="M39" s="212" t="s">
        <v>206</v>
      </c>
      <c r="N39" s="150"/>
      <c r="O39" s="31"/>
      <c r="P39" s="196" t="s">
        <v>229</v>
      </c>
      <c r="Q39" s="175"/>
    </row>
    <row r="40" spans="2:17" ht="13.15" customHeight="1">
      <c r="B40" s="63" t="s">
        <v>291</v>
      </c>
      <c r="C40" s="150" t="s">
        <v>156</v>
      </c>
      <c r="D40" s="150" t="s">
        <v>156</v>
      </c>
      <c r="E40" s="150" t="s">
        <v>156</v>
      </c>
      <c r="F40" s="150" t="s">
        <v>156</v>
      </c>
      <c r="G40" s="150" t="s">
        <v>156</v>
      </c>
      <c r="H40" s="150" t="s">
        <v>156</v>
      </c>
      <c r="I40" s="150" t="s">
        <v>156</v>
      </c>
      <c r="J40" s="150" t="s">
        <v>156</v>
      </c>
      <c r="K40" s="2" t="s">
        <v>227</v>
      </c>
      <c r="L40" s="1" t="s">
        <v>223</v>
      </c>
      <c r="M40" s="212" t="s">
        <v>200</v>
      </c>
      <c r="N40" s="150"/>
      <c r="O40" s="31"/>
      <c r="P40" s="196" t="s">
        <v>231</v>
      </c>
      <c r="Q40" s="175"/>
    </row>
    <row r="41" spans="2:17" ht="13.15" customHeight="1">
      <c r="B41" s="63" t="s">
        <v>292</v>
      </c>
      <c r="C41" s="150" t="s">
        <v>156</v>
      </c>
      <c r="D41" s="150" t="s">
        <v>156</v>
      </c>
      <c r="E41" s="150" t="s">
        <v>156</v>
      </c>
      <c r="F41" s="150" t="s">
        <v>156</v>
      </c>
      <c r="G41" s="150" t="s">
        <v>156</v>
      </c>
      <c r="H41" s="150" t="s">
        <v>156</v>
      </c>
      <c r="I41" s="150" t="s">
        <v>156</v>
      </c>
      <c r="J41" s="150" t="s">
        <v>156</v>
      </c>
      <c r="K41" s="2" t="s">
        <v>227</v>
      </c>
      <c r="L41" s="1" t="s">
        <v>253</v>
      </c>
      <c r="M41" s="212" t="s">
        <v>199</v>
      </c>
      <c r="N41" s="150"/>
      <c r="O41" s="31"/>
      <c r="P41" s="196" t="s">
        <v>228</v>
      </c>
      <c r="Q41" s="175"/>
    </row>
    <row r="42" spans="2:17" ht="13.15" customHeight="1">
      <c r="B42" s="63" t="s">
        <v>293</v>
      </c>
      <c r="C42" s="150" t="s">
        <v>156</v>
      </c>
      <c r="D42" s="150" t="s">
        <v>156</v>
      </c>
      <c r="E42" s="150" t="s">
        <v>156</v>
      </c>
      <c r="F42" s="150" t="s">
        <v>156</v>
      </c>
      <c r="G42" s="150" t="s">
        <v>156</v>
      </c>
      <c r="H42" s="150" t="s">
        <v>156</v>
      </c>
      <c r="I42" s="150" t="s">
        <v>156</v>
      </c>
      <c r="J42" s="150" t="s">
        <v>156</v>
      </c>
      <c r="K42" s="2" t="s">
        <v>227</v>
      </c>
      <c r="L42" s="1" t="s">
        <v>225</v>
      </c>
      <c r="M42" s="212" t="s">
        <v>206</v>
      </c>
      <c r="N42" s="150"/>
      <c r="O42" s="31"/>
      <c r="P42" s="196" t="s">
        <v>229</v>
      </c>
      <c r="Q42" s="175"/>
    </row>
    <row r="43" spans="2:17" ht="13.15" customHeight="1">
      <c r="B43" s="63" t="s">
        <v>294</v>
      </c>
      <c r="C43" s="150" t="s">
        <v>156</v>
      </c>
      <c r="D43" s="150" t="s">
        <v>156</v>
      </c>
      <c r="E43" s="150" t="s">
        <v>156</v>
      </c>
      <c r="F43" s="150" t="s">
        <v>156</v>
      </c>
      <c r="G43" s="150" t="s">
        <v>156</v>
      </c>
      <c r="H43" s="150" t="s">
        <v>156</v>
      </c>
      <c r="I43" s="150" t="s">
        <v>156</v>
      </c>
      <c r="J43" s="150" t="s">
        <v>156</v>
      </c>
      <c r="K43" s="2" t="s">
        <v>227</v>
      </c>
      <c r="L43" s="1" t="s">
        <v>227</v>
      </c>
      <c r="M43" s="212" t="s">
        <v>200</v>
      </c>
      <c r="N43" s="150"/>
      <c r="O43" s="31"/>
      <c r="P43" s="196" t="s">
        <v>231</v>
      </c>
      <c r="Q43" s="175"/>
    </row>
    <row r="44" spans="2:17" ht="13.15" customHeight="1">
      <c r="B44" s="63" t="s">
        <v>295</v>
      </c>
      <c r="C44" s="150" t="s">
        <v>156</v>
      </c>
      <c r="D44" s="150" t="s">
        <v>156</v>
      </c>
      <c r="E44" s="150" t="s">
        <v>156</v>
      </c>
      <c r="F44" s="150" t="s">
        <v>156</v>
      </c>
      <c r="G44" s="150" t="s">
        <v>156</v>
      </c>
      <c r="H44" s="150" t="s">
        <v>156</v>
      </c>
      <c r="I44" s="150" t="s">
        <v>156</v>
      </c>
      <c r="J44" s="150" t="s">
        <v>156</v>
      </c>
      <c r="K44" s="2" t="s">
        <v>227</v>
      </c>
      <c r="L44" s="1" t="s">
        <v>238</v>
      </c>
      <c r="M44" s="212" t="s">
        <v>200</v>
      </c>
      <c r="N44" s="150"/>
      <c r="O44" s="31"/>
      <c r="P44" s="196" t="s">
        <v>231</v>
      </c>
      <c r="Q44" s="175"/>
    </row>
    <row r="45" spans="2:17" ht="13.15" customHeight="1">
      <c r="B45" s="63" t="s">
        <v>296</v>
      </c>
      <c r="C45" s="150" t="s">
        <v>156</v>
      </c>
      <c r="D45" s="150" t="s">
        <v>156</v>
      </c>
      <c r="E45" s="150" t="s">
        <v>156</v>
      </c>
      <c r="F45" s="150" t="s">
        <v>156</v>
      </c>
      <c r="G45" s="150" t="s">
        <v>156</v>
      </c>
      <c r="H45" s="150" t="s">
        <v>156</v>
      </c>
      <c r="I45" s="150" t="s">
        <v>156</v>
      </c>
      <c r="J45" s="150" t="s">
        <v>156</v>
      </c>
      <c r="K45" s="2" t="s">
        <v>227</v>
      </c>
      <c r="L45" s="1" t="s">
        <v>230</v>
      </c>
      <c r="M45" s="212" t="s">
        <v>200</v>
      </c>
      <c r="N45" s="150"/>
      <c r="O45" s="31"/>
      <c r="P45" s="196" t="s">
        <v>231</v>
      </c>
      <c r="Q45" s="175"/>
    </row>
    <row r="46" spans="2:17" ht="13.15" customHeight="1">
      <c r="B46" s="63" t="s">
        <v>297</v>
      </c>
      <c r="C46" s="150" t="s">
        <v>156</v>
      </c>
      <c r="D46" s="150" t="s">
        <v>156</v>
      </c>
      <c r="E46" s="150" t="s">
        <v>156</v>
      </c>
      <c r="F46" s="150" t="s">
        <v>156</v>
      </c>
      <c r="G46" s="150" t="s">
        <v>156</v>
      </c>
      <c r="H46" s="150" t="s">
        <v>156</v>
      </c>
      <c r="I46" s="150" t="s">
        <v>156</v>
      </c>
      <c r="J46" s="150" t="s">
        <v>156</v>
      </c>
      <c r="K46" s="2" t="s">
        <v>227</v>
      </c>
      <c r="L46" s="1" t="s">
        <v>232</v>
      </c>
      <c r="M46" s="212" t="s">
        <v>200</v>
      </c>
      <c r="N46" s="150"/>
      <c r="O46" s="31"/>
      <c r="P46" s="196" t="s">
        <v>231</v>
      </c>
      <c r="Q46" s="175"/>
    </row>
    <row r="47" spans="2:17" ht="13.15" customHeight="1">
      <c r="B47" s="63" t="s">
        <v>298</v>
      </c>
      <c r="C47" s="150" t="s">
        <v>156</v>
      </c>
      <c r="D47" s="150" t="s">
        <v>156</v>
      </c>
      <c r="E47" s="150" t="s">
        <v>156</v>
      </c>
      <c r="F47" s="150" t="s">
        <v>156</v>
      </c>
      <c r="G47" s="150" t="s">
        <v>156</v>
      </c>
      <c r="H47" s="150" t="s">
        <v>156</v>
      </c>
      <c r="I47" s="150" t="s">
        <v>156</v>
      </c>
      <c r="J47" s="150" t="s">
        <v>156</v>
      </c>
      <c r="K47" s="2" t="s">
        <v>227</v>
      </c>
      <c r="L47" s="1" t="s">
        <v>233</v>
      </c>
      <c r="M47" s="212" t="s">
        <v>200</v>
      </c>
      <c r="N47" s="150"/>
      <c r="O47" s="31"/>
      <c r="P47" s="196" t="s">
        <v>231</v>
      </c>
      <c r="Q47" s="175"/>
    </row>
    <row r="48" spans="2:17" ht="13.15" customHeight="1">
      <c r="B48" s="63" t="s">
        <v>299</v>
      </c>
      <c r="C48" s="150" t="s">
        <v>156</v>
      </c>
      <c r="D48" s="150" t="s">
        <v>156</v>
      </c>
      <c r="E48" s="150" t="s">
        <v>156</v>
      </c>
      <c r="F48" s="150" t="s">
        <v>156</v>
      </c>
      <c r="G48" s="150" t="s">
        <v>156</v>
      </c>
      <c r="H48" s="150" t="s">
        <v>156</v>
      </c>
      <c r="I48" s="150" t="s">
        <v>156</v>
      </c>
      <c r="J48" s="150" t="s">
        <v>156</v>
      </c>
      <c r="K48" s="2" t="s">
        <v>227</v>
      </c>
      <c r="L48" s="1" t="s">
        <v>234</v>
      </c>
      <c r="M48" s="212" t="s">
        <v>200</v>
      </c>
      <c r="N48" s="150"/>
      <c r="O48" s="31"/>
      <c r="P48" s="196" t="s">
        <v>231</v>
      </c>
      <c r="Q48" s="175"/>
    </row>
    <row r="49" spans="2:17" ht="13.15" customHeight="1">
      <c r="B49" s="63" t="s">
        <v>300</v>
      </c>
      <c r="C49" s="150" t="s">
        <v>156</v>
      </c>
      <c r="D49" s="150" t="s">
        <v>156</v>
      </c>
      <c r="E49" s="150" t="s">
        <v>156</v>
      </c>
      <c r="F49" s="150" t="s">
        <v>156</v>
      </c>
      <c r="G49" s="150" t="s">
        <v>156</v>
      </c>
      <c r="H49" s="150" t="s">
        <v>156</v>
      </c>
      <c r="I49" s="150" t="s">
        <v>156</v>
      </c>
      <c r="J49" s="150" t="s">
        <v>156</v>
      </c>
      <c r="K49" s="2" t="s">
        <v>227</v>
      </c>
      <c r="L49" s="1" t="s">
        <v>235</v>
      </c>
      <c r="M49" s="212" t="s">
        <v>200</v>
      </c>
      <c r="N49" s="150"/>
      <c r="O49" s="31"/>
      <c r="P49" s="196" t="s">
        <v>231</v>
      </c>
      <c r="Q49" s="175"/>
    </row>
    <row r="50" spans="2:17" ht="13.15" customHeight="1">
      <c r="B50" s="63" t="s">
        <v>301</v>
      </c>
      <c r="C50" s="150" t="s">
        <v>156</v>
      </c>
      <c r="D50" s="150" t="s">
        <v>156</v>
      </c>
      <c r="E50" s="150" t="s">
        <v>156</v>
      </c>
      <c r="F50" s="150" t="s">
        <v>156</v>
      </c>
      <c r="G50" s="150" t="s">
        <v>156</v>
      </c>
      <c r="H50" s="150" t="s">
        <v>156</v>
      </c>
      <c r="I50" s="150" t="s">
        <v>156</v>
      </c>
      <c r="J50" s="150" t="s">
        <v>156</v>
      </c>
      <c r="K50" s="2" t="s">
        <v>238</v>
      </c>
      <c r="L50" s="1" t="s">
        <v>223</v>
      </c>
      <c r="M50" s="212" t="s">
        <v>198</v>
      </c>
      <c r="N50" s="150"/>
      <c r="O50" s="31"/>
      <c r="P50" s="196" t="s">
        <v>226</v>
      </c>
      <c r="Q50" s="175"/>
    </row>
    <row r="51" spans="2:17" ht="13.15" customHeight="1">
      <c r="B51" s="63" t="s">
        <v>302</v>
      </c>
      <c r="C51" s="150" t="s">
        <v>156</v>
      </c>
      <c r="D51" s="150" t="s">
        <v>156</v>
      </c>
      <c r="E51" s="150" t="s">
        <v>156</v>
      </c>
      <c r="F51" s="150" t="s">
        <v>156</v>
      </c>
      <c r="G51" s="150" t="s">
        <v>156</v>
      </c>
      <c r="H51" s="150" t="s">
        <v>156</v>
      </c>
      <c r="I51" s="150" t="s">
        <v>156</v>
      </c>
      <c r="J51" s="150" t="s">
        <v>156</v>
      </c>
      <c r="K51" s="2" t="s">
        <v>238</v>
      </c>
      <c r="L51" s="1" t="s">
        <v>253</v>
      </c>
      <c r="M51" s="212" t="s">
        <v>199</v>
      </c>
      <c r="N51" s="150"/>
      <c r="O51" s="31"/>
      <c r="P51" s="196" t="s">
        <v>228</v>
      </c>
      <c r="Q51" s="175"/>
    </row>
    <row r="52" spans="2:17" ht="13.15" customHeight="1">
      <c r="B52" s="63" t="s">
        <v>303</v>
      </c>
      <c r="C52" s="150" t="s">
        <v>156</v>
      </c>
      <c r="D52" s="150" t="s">
        <v>156</v>
      </c>
      <c r="E52" s="150" t="s">
        <v>156</v>
      </c>
      <c r="F52" s="150" t="s">
        <v>156</v>
      </c>
      <c r="G52" s="150" t="s">
        <v>156</v>
      </c>
      <c r="H52" s="150" t="s">
        <v>156</v>
      </c>
      <c r="I52" s="150" t="s">
        <v>156</v>
      </c>
      <c r="J52" s="150" t="s">
        <v>156</v>
      </c>
      <c r="K52" s="2" t="s">
        <v>238</v>
      </c>
      <c r="L52" s="1" t="s">
        <v>225</v>
      </c>
      <c r="M52" s="212" t="s">
        <v>206</v>
      </c>
      <c r="N52" s="150"/>
      <c r="O52" s="31"/>
      <c r="P52" s="196" t="s">
        <v>229</v>
      </c>
      <c r="Q52" s="175"/>
    </row>
    <row r="53" spans="2:17" ht="13.15" customHeight="1">
      <c r="B53" s="63" t="s">
        <v>304</v>
      </c>
      <c r="C53" s="150" t="s">
        <v>156</v>
      </c>
      <c r="D53" s="150" t="s">
        <v>156</v>
      </c>
      <c r="E53" s="150" t="s">
        <v>156</v>
      </c>
      <c r="F53" s="150" t="s">
        <v>156</v>
      </c>
      <c r="G53" s="150" t="s">
        <v>156</v>
      </c>
      <c r="H53" s="150" t="s">
        <v>156</v>
      </c>
      <c r="I53" s="150" t="s">
        <v>156</v>
      </c>
      <c r="J53" s="150" t="s">
        <v>156</v>
      </c>
      <c r="K53" s="2" t="s">
        <v>238</v>
      </c>
      <c r="L53" s="1" t="s">
        <v>227</v>
      </c>
      <c r="M53" s="212" t="s">
        <v>200</v>
      </c>
      <c r="N53" s="150"/>
      <c r="O53" s="31"/>
      <c r="P53" s="196" t="s">
        <v>231</v>
      </c>
      <c r="Q53" s="175"/>
    </row>
    <row r="54" spans="2:17" ht="13.15" customHeight="1">
      <c r="B54" s="63" t="s">
        <v>305</v>
      </c>
      <c r="C54" s="150" t="s">
        <v>156</v>
      </c>
      <c r="D54" s="150" t="s">
        <v>156</v>
      </c>
      <c r="E54" s="150" t="s">
        <v>156</v>
      </c>
      <c r="F54" s="150" t="s">
        <v>156</v>
      </c>
      <c r="G54" s="150" t="s">
        <v>156</v>
      </c>
      <c r="H54" s="150" t="s">
        <v>156</v>
      </c>
      <c r="I54" s="150" t="s">
        <v>156</v>
      </c>
      <c r="J54" s="150" t="s">
        <v>156</v>
      </c>
      <c r="K54" s="2" t="s">
        <v>238</v>
      </c>
      <c r="L54" s="1" t="s">
        <v>238</v>
      </c>
      <c r="M54" s="212" t="s">
        <v>201</v>
      </c>
      <c r="N54" s="150"/>
      <c r="O54" s="31"/>
      <c r="P54" s="196" t="s">
        <v>226</v>
      </c>
      <c r="Q54" s="175"/>
    </row>
    <row r="55" spans="2:17" ht="13.15" customHeight="1">
      <c r="B55" s="63" t="s">
        <v>306</v>
      </c>
      <c r="C55" s="150" t="s">
        <v>156</v>
      </c>
      <c r="D55" s="150" t="s">
        <v>156</v>
      </c>
      <c r="E55" s="150" t="s">
        <v>156</v>
      </c>
      <c r="F55" s="150" t="s">
        <v>156</v>
      </c>
      <c r="G55" s="150" t="s">
        <v>156</v>
      </c>
      <c r="H55" s="150" t="s">
        <v>156</v>
      </c>
      <c r="I55" s="150" t="s">
        <v>156</v>
      </c>
      <c r="J55" s="150" t="s">
        <v>156</v>
      </c>
      <c r="K55" s="2" t="s">
        <v>238</v>
      </c>
      <c r="L55" s="1" t="s">
        <v>230</v>
      </c>
      <c r="M55" s="212" t="s">
        <v>201</v>
      </c>
      <c r="N55" s="150"/>
      <c r="O55" s="31"/>
      <c r="P55" s="196" t="s">
        <v>226</v>
      </c>
      <c r="Q55" s="175"/>
    </row>
    <row r="56" spans="2:17" ht="13.15" customHeight="1">
      <c r="B56" s="63" t="s">
        <v>307</v>
      </c>
      <c r="C56" s="150" t="s">
        <v>156</v>
      </c>
      <c r="D56" s="150" t="s">
        <v>156</v>
      </c>
      <c r="E56" s="150" t="s">
        <v>156</v>
      </c>
      <c r="F56" s="150" t="s">
        <v>156</v>
      </c>
      <c r="G56" s="150" t="s">
        <v>156</v>
      </c>
      <c r="H56" s="150" t="s">
        <v>156</v>
      </c>
      <c r="I56" s="150" t="s">
        <v>156</v>
      </c>
      <c r="J56" s="150" t="s">
        <v>156</v>
      </c>
      <c r="K56" s="2" t="s">
        <v>238</v>
      </c>
      <c r="L56" s="1" t="s">
        <v>232</v>
      </c>
      <c r="M56" s="212" t="s">
        <v>203</v>
      </c>
      <c r="N56" s="150"/>
      <c r="O56" s="31"/>
      <c r="P56" s="196" t="s">
        <v>226</v>
      </c>
      <c r="Q56" s="175"/>
    </row>
    <row r="57" spans="2:17" ht="13.15" customHeight="1">
      <c r="B57" s="63" t="s">
        <v>308</v>
      </c>
      <c r="C57" s="150" t="s">
        <v>156</v>
      </c>
      <c r="D57" s="150" t="s">
        <v>156</v>
      </c>
      <c r="E57" s="150" t="s">
        <v>156</v>
      </c>
      <c r="F57" s="150" t="s">
        <v>156</v>
      </c>
      <c r="G57" s="150" t="s">
        <v>156</v>
      </c>
      <c r="H57" s="150" t="s">
        <v>156</v>
      </c>
      <c r="I57" s="150" t="s">
        <v>156</v>
      </c>
      <c r="J57" s="150" t="s">
        <v>156</v>
      </c>
      <c r="K57" s="2" t="s">
        <v>238</v>
      </c>
      <c r="L57" s="1" t="s">
        <v>233</v>
      </c>
      <c r="M57" s="212" t="s">
        <v>508</v>
      </c>
      <c r="N57" s="150"/>
      <c r="O57" s="31"/>
      <c r="P57" s="196" t="s">
        <v>228</v>
      </c>
      <c r="Q57" s="175"/>
    </row>
    <row r="58" spans="2:17" ht="13.15" customHeight="1">
      <c r="B58" s="63" t="s">
        <v>309</v>
      </c>
      <c r="C58" s="150" t="s">
        <v>156</v>
      </c>
      <c r="D58" s="150" t="s">
        <v>156</v>
      </c>
      <c r="E58" s="150" t="s">
        <v>156</v>
      </c>
      <c r="F58" s="150" t="s">
        <v>156</v>
      </c>
      <c r="G58" s="150" t="s">
        <v>156</v>
      </c>
      <c r="H58" s="150" t="s">
        <v>156</v>
      </c>
      <c r="I58" s="150" t="s">
        <v>156</v>
      </c>
      <c r="J58" s="150" t="s">
        <v>156</v>
      </c>
      <c r="K58" s="2" t="s">
        <v>238</v>
      </c>
      <c r="L58" s="1" t="s">
        <v>234</v>
      </c>
      <c r="M58" s="212" t="s">
        <v>205</v>
      </c>
      <c r="N58" s="150"/>
      <c r="O58" s="31"/>
      <c r="P58" s="196" t="s">
        <v>231</v>
      </c>
      <c r="Q58" s="175"/>
    </row>
    <row r="59" spans="2:17" ht="13.15" customHeight="1">
      <c r="B59" s="63" t="s">
        <v>310</v>
      </c>
      <c r="C59" s="150" t="s">
        <v>156</v>
      </c>
      <c r="D59" s="150" t="s">
        <v>156</v>
      </c>
      <c r="E59" s="150" t="s">
        <v>156</v>
      </c>
      <c r="F59" s="150" t="s">
        <v>156</v>
      </c>
      <c r="G59" s="150" t="s">
        <v>156</v>
      </c>
      <c r="H59" s="150" t="s">
        <v>156</v>
      </c>
      <c r="I59" s="150" t="s">
        <v>156</v>
      </c>
      <c r="J59" s="150" t="s">
        <v>156</v>
      </c>
      <c r="K59" s="2" t="s">
        <v>238</v>
      </c>
      <c r="L59" s="1" t="s">
        <v>235</v>
      </c>
      <c r="M59" s="212" t="s">
        <v>201</v>
      </c>
      <c r="N59" s="150"/>
      <c r="O59" s="31"/>
      <c r="P59" s="196" t="s">
        <v>226</v>
      </c>
      <c r="Q59" s="175"/>
    </row>
    <row r="60" spans="2:17" ht="13.15" customHeight="1">
      <c r="B60" s="63" t="s">
        <v>311</v>
      </c>
      <c r="C60" s="150" t="s">
        <v>156</v>
      </c>
      <c r="D60" s="150" t="s">
        <v>156</v>
      </c>
      <c r="E60" s="150" t="s">
        <v>156</v>
      </c>
      <c r="F60" s="150" t="s">
        <v>156</v>
      </c>
      <c r="G60" s="150" t="s">
        <v>156</v>
      </c>
      <c r="H60" s="150" t="s">
        <v>156</v>
      </c>
      <c r="I60" s="150" t="s">
        <v>156</v>
      </c>
      <c r="J60" s="150" t="s">
        <v>156</v>
      </c>
      <c r="K60" s="2" t="s">
        <v>230</v>
      </c>
      <c r="L60" s="1" t="s">
        <v>223</v>
      </c>
      <c r="M60" s="212" t="s">
        <v>198</v>
      </c>
      <c r="N60" s="150"/>
      <c r="O60" s="31"/>
      <c r="P60" s="196" t="s">
        <v>226</v>
      </c>
      <c r="Q60" s="175"/>
    </row>
    <row r="61" spans="2:17" ht="13.15" customHeight="1">
      <c r="B61" s="63" t="s">
        <v>312</v>
      </c>
      <c r="C61" s="150" t="s">
        <v>156</v>
      </c>
      <c r="D61" s="150" t="s">
        <v>156</v>
      </c>
      <c r="E61" s="150" t="s">
        <v>156</v>
      </c>
      <c r="F61" s="150" t="s">
        <v>156</v>
      </c>
      <c r="G61" s="150" t="s">
        <v>156</v>
      </c>
      <c r="H61" s="150" t="s">
        <v>156</v>
      </c>
      <c r="I61" s="150" t="s">
        <v>156</v>
      </c>
      <c r="J61" s="150" t="s">
        <v>156</v>
      </c>
      <c r="K61" s="2" t="s">
        <v>230</v>
      </c>
      <c r="L61" s="1" t="s">
        <v>253</v>
      </c>
      <c r="M61" s="212" t="s">
        <v>199</v>
      </c>
      <c r="N61" s="150"/>
      <c r="O61" s="31"/>
      <c r="P61" s="196" t="s">
        <v>228</v>
      </c>
      <c r="Q61" s="175"/>
    </row>
    <row r="62" spans="2:17" ht="13.15" customHeight="1">
      <c r="B62" s="63" t="s">
        <v>313</v>
      </c>
      <c r="C62" s="150" t="s">
        <v>156</v>
      </c>
      <c r="D62" s="150" t="s">
        <v>156</v>
      </c>
      <c r="E62" s="150" t="s">
        <v>156</v>
      </c>
      <c r="F62" s="150" t="s">
        <v>156</v>
      </c>
      <c r="G62" s="150" t="s">
        <v>156</v>
      </c>
      <c r="H62" s="150" t="s">
        <v>156</v>
      </c>
      <c r="I62" s="150" t="s">
        <v>156</v>
      </c>
      <c r="J62" s="150" t="s">
        <v>156</v>
      </c>
      <c r="K62" s="2" t="s">
        <v>230</v>
      </c>
      <c r="L62" s="1" t="s">
        <v>225</v>
      </c>
      <c r="M62" s="212" t="s">
        <v>206</v>
      </c>
      <c r="N62" s="150"/>
      <c r="O62" s="31"/>
      <c r="P62" s="196" t="s">
        <v>229</v>
      </c>
      <c r="Q62" s="175"/>
    </row>
    <row r="63" spans="2:17" ht="13.15" customHeight="1">
      <c r="B63" s="63" t="s">
        <v>314</v>
      </c>
      <c r="C63" s="150" t="s">
        <v>156</v>
      </c>
      <c r="D63" s="150" t="s">
        <v>156</v>
      </c>
      <c r="E63" s="150" t="s">
        <v>156</v>
      </c>
      <c r="F63" s="150" t="s">
        <v>156</v>
      </c>
      <c r="G63" s="150" t="s">
        <v>156</v>
      </c>
      <c r="H63" s="150" t="s">
        <v>156</v>
      </c>
      <c r="I63" s="150" t="s">
        <v>156</v>
      </c>
      <c r="J63" s="150" t="s">
        <v>156</v>
      </c>
      <c r="K63" s="2" t="s">
        <v>230</v>
      </c>
      <c r="L63" s="1" t="s">
        <v>227</v>
      </c>
      <c r="M63" s="212" t="s">
        <v>200</v>
      </c>
      <c r="N63" s="150"/>
      <c r="O63" s="31"/>
      <c r="P63" s="196" t="s">
        <v>231</v>
      </c>
      <c r="Q63" s="175"/>
    </row>
    <row r="64" spans="2:17" ht="13.15" customHeight="1">
      <c r="B64" s="63" t="s">
        <v>315</v>
      </c>
      <c r="C64" s="150" t="s">
        <v>156</v>
      </c>
      <c r="D64" s="150" t="s">
        <v>156</v>
      </c>
      <c r="E64" s="150" t="s">
        <v>156</v>
      </c>
      <c r="F64" s="150" t="s">
        <v>156</v>
      </c>
      <c r="G64" s="150" t="s">
        <v>156</v>
      </c>
      <c r="H64" s="150" t="s">
        <v>156</v>
      </c>
      <c r="I64" s="150" t="s">
        <v>156</v>
      </c>
      <c r="J64" s="150" t="s">
        <v>156</v>
      </c>
      <c r="K64" s="2" t="s">
        <v>230</v>
      </c>
      <c r="L64" s="1" t="s">
        <v>238</v>
      </c>
      <c r="M64" s="212" t="s">
        <v>201</v>
      </c>
      <c r="N64" s="150"/>
      <c r="O64" s="31"/>
      <c r="P64" s="196" t="s">
        <v>226</v>
      </c>
      <c r="Q64" s="175"/>
    </row>
    <row r="65" spans="2:17" ht="13.15" customHeight="1">
      <c r="B65" s="63" t="s">
        <v>316</v>
      </c>
      <c r="C65" s="150" t="s">
        <v>156</v>
      </c>
      <c r="D65" s="150" t="s">
        <v>156</v>
      </c>
      <c r="E65" s="150" t="s">
        <v>156</v>
      </c>
      <c r="F65" s="150" t="s">
        <v>156</v>
      </c>
      <c r="G65" s="150" t="s">
        <v>156</v>
      </c>
      <c r="H65" s="150" t="s">
        <v>156</v>
      </c>
      <c r="I65" s="150" t="s">
        <v>156</v>
      </c>
      <c r="J65" s="150" t="s">
        <v>156</v>
      </c>
      <c r="K65" s="2" t="s">
        <v>230</v>
      </c>
      <c r="L65" s="1" t="s">
        <v>230</v>
      </c>
      <c r="M65" s="212" t="s">
        <v>202</v>
      </c>
      <c r="N65" s="150"/>
      <c r="O65" s="31"/>
      <c r="P65" s="196" t="s">
        <v>228</v>
      </c>
      <c r="Q65" s="175"/>
    </row>
    <row r="66" spans="2:17" ht="13.15" customHeight="1">
      <c r="B66" s="63" t="s">
        <v>317</v>
      </c>
      <c r="C66" s="150" t="s">
        <v>156</v>
      </c>
      <c r="D66" s="150" t="s">
        <v>156</v>
      </c>
      <c r="E66" s="150" t="s">
        <v>156</v>
      </c>
      <c r="F66" s="150" t="s">
        <v>156</v>
      </c>
      <c r="G66" s="150" t="s">
        <v>156</v>
      </c>
      <c r="H66" s="150" t="s">
        <v>156</v>
      </c>
      <c r="I66" s="150" t="s">
        <v>156</v>
      </c>
      <c r="J66" s="150" t="s">
        <v>156</v>
      </c>
      <c r="K66" s="2" t="s">
        <v>230</v>
      </c>
      <c r="L66" s="1" t="s">
        <v>232</v>
      </c>
      <c r="M66" s="212" t="s">
        <v>506</v>
      </c>
      <c r="N66" s="150"/>
      <c r="O66" s="31"/>
      <c r="P66" s="196" t="s">
        <v>507</v>
      </c>
      <c r="Q66" s="175"/>
    </row>
    <row r="67" spans="2:17" ht="13.15" customHeight="1">
      <c r="B67" s="63" t="s">
        <v>318</v>
      </c>
      <c r="C67" s="150" t="s">
        <v>156</v>
      </c>
      <c r="D67" s="150" t="s">
        <v>156</v>
      </c>
      <c r="E67" s="150" t="s">
        <v>156</v>
      </c>
      <c r="F67" s="150" t="s">
        <v>156</v>
      </c>
      <c r="G67" s="150" t="s">
        <v>156</v>
      </c>
      <c r="H67" s="150" t="s">
        <v>156</v>
      </c>
      <c r="I67" s="150" t="s">
        <v>156</v>
      </c>
      <c r="J67" s="150" t="s">
        <v>156</v>
      </c>
      <c r="K67" s="2" t="s">
        <v>230</v>
      </c>
      <c r="L67" s="1" t="s">
        <v>233</v>
      </c>
      <c r="M67" s="212" t="s">
        <v>204</v>
      </c>
      <c r="N67" s="150"/>
      <c r="O67" s="31"/>
      <c r="P67" s="196" t="s">
        <v>509</v>
      </c>
      <c r="Q67" s="175"/>
    </row>
    <row r="68" spans="2:17" ht="13.15" customHeight="1">
      <c r="B68" s="63" t="s">
        <v>319</v>
      </c>
      <c r="C68" s="150" t="s">
        <v>156</v>
      </c>
      <c r="D68" s="150" t="s">
        <v>156</v>
      </c>
      <c r="E68" s="150" t="s">
        <v>156</v>
      </c>
      <c r="F68" s="150" t="s">
        <v>156</v>
      </c>
      <c r="G68" s="150" t="s">
        <v>156</v>
      </c>
      <c r="H68" s="150" t="s">
        <v>156</v>
      </c>
      <c r="I68" s="150" t="s">
        <v>156</v>
      </c>
      <c r="J68" s="150" t="s">
        <v>156</v>
      </c>
      <c r="K68" s="2" t="s">
        <v>230</v>
      </c>
      <c r="L68" s="1" t="s">
        <v>234</v>
      </c>
      <c r="M68" s="212" t="s">
        <v>205</v>
      </c>
      <c r="N68" s="150"/>
      <c r="O68" s="31"/>
      <c r="P68" s="196" t="s">
        <v>231</v>
      </c>
      <c r="Q68" s="175"/>
    </row>
    <row r="69" spans="2:17" ht="13.15" customHeight="1">
      <c r="B69" s="63" t="s">
        <v>320</v>
      </c>
      <c r="C69" s="150" t="s">
        <v>156</v>
      </c>
      <c r="D69" s="150" t="s">
        <v>156</v>
      </c>
      <c r="E69" s="150" t="s">
        <v>156</v>
      </c>
      <c r="F69" s="150" t="s">
        <v>156</v>
      </c>
      <c r="G69" s="150" t="s">
        <v>156</v>
      </c>
      <c r="H69" s="150" t="s">
        <v>156</v>
      </c>
      <c r="I69" s="150" t="s">
        <v>156</v>
      </c>
      <c r="J69" s="150" t="s">
        <v>156</v>
      </c>
      <c r="K69" s="2" t="s">
        <v>230</v>
      </c>
      <c r="L69" s="1" t="s">
        <v>235</v>
      </c>
      <c r="M69" s="212" t="s">
        <v>202</v>
      </c>
      <c r="N69" s="150"/>
      <c r="O69" s="31"/>
      <c r="P69" s="196" t="s">
        <v>228</v>
      </c>
      <c r="Q69" s="175"/>
    </row>
    <row r="70" spans="2:17" ht="13.15" customHeight="1">
      <c r="B70" s="63" t="s">
        <v>321</v>
      </c>
      <c r="C70" s="150" t="s">
        <v>156</v>
      </c>
      <c r="D70" s="150" t="s">
        <v>156</v>
      </c>
      <c r="E70" s="150" t="s">
        <v>156</v>
      </c>
      <c r="F70" s="150" t="s">
        <v>156</v>
      </c>
      <c r="G70" s="150" t="s">
        <v>156</v>
      </c>
      <c r="H70" s="150" t="s">
        <v>156</v>
      </c>
      <c r="I70" s="150" t="s">
        <v>156</v>
      </c>
      <c r="J70" s="150" t="s">
        <v>156</v>
      </c>
      <c r="K70" s="2" t="s">
        <v>232</v>
      </c>
      <c r="L70" s="1" t="s">
        <v>223</v>
      </c>
      <c r="M70" s="212" t="s">
        <v>203</v>
      </c>
      <c r="N70" s="150"/>
      <c r="O70" s="31"/>
      <c r="P70" s="196" t="s">
        <v>226</v>
      </c>
      <c r="Q70" s="175"/>
    </row>
    <row r="71" spans="2:17" ht="13.15" customHeight="1">
      <c r="B71" s="63" t="s">
        <v>322</v>
      </c>
      <c r="C71" s="150" t="s">
        <v>156</v>
      </c>
      <c r="D71" s="150" t="s">
        <v>156</v>
      </c>
      <c r="E71" s="150" t="s">
        <v>156</v>
      </c>
      <c r="F71" s="150" t="s">
        <v>156</v>
      </c>
      <c r="G71" s="150" t="s">
        <v>156</v>
      </c>
      <c r="H71" s="150" t="s">
        <v>156</v>
      </c>
      <c r="I71" s="150" t="s">
        <v>156</v>
      </c>
      <c r="J71" s="150" t="s">
        <v>156</v>
      </c>
      <c r="K71" s="2" t="s">
        <v>232</v>
      </c>
      <c r="L71" s="1" t="s">
        <v>253</v>
      </c>
      <c r="M71" s="212" t="s">
        <v>199</v>
      </c>
      <c r="N71" s="150"/>
      <c r="O71" s="31"/>
      <c r="P71" s="196" t="s">
        <v>228</v>
      </c>
      <c r="Q71" s="175"/>
    </row>
    <row r="72" spans="2:17" ht="13.15" customHeight="1">
      <c r="B72" s="63" t="s">
        <v>323</v>
      </c>
      <c r="C72" s="150" t="s">
        <v>156</v>
      </c>
      <c r="D72" s="150" t="s">
        <v>156</v>
      </c>
      <c r="E72" s="150" t="s">
        <v>156</v>
      </c>
      <c r="F72" s="150" t="s">
        <v>156</v>
      </c>
      <c r="G72" s="150" t="s">
        <v>156</v>
      </c>
      <c r="H72" s="150" t="s">
        <v>156</v>
      </c>
      <c r="I72" s="150" t="s">
        <v>156</v>
      </c>
      <c r="J72" s="150" t="s">
        <v>156</v>
      </c>
      <c r="K72" s="2" t="s">
        <v>232</v>
      </c>
      <c r="L72" s="1" t="s">
        <v>225</v>
      </c>
      <c r="M72" s="212" t="s">
        <v>206</v>
      </c>
      <c r="N72" s="150"/>
      <c r="O72" s="31"/>
      <c r="P72" s="196" t="s">
        <v>229</v>
      </c>
      <c r="Q72" s="175"/>
    </row>
    <row r="73" spans="2:17" ht="13.15" customHeight="1">
      <c r="B73" s="63" t="s">
        <v>324</v>
      </c>
      <c r="C73" s="150" t="s">
        <v>156</v>
      </c>
      <c r="D73" s="150" t="s">
        <v>156</v>
      </c>
      <c r="E73" s="150" t="s">
        <v>156</v>
      </c>
      <c r="F73" s="150" t="s">
        <v>156</v>
      </c>
      <c r="G73" s="150" t="s">
        <v>156</v>
      </c>
      <c r="H73" s="150" t="s">
        <v>156</v>
      </c>
      <c r="I73" s="150" t="s">
        <v>156</v>
      </c>
      <c r="J73" s="150" t="s">
        <v>156</v>
      </c>
      <c r="K73" s="2" t="s">
        <v>232</v>
      </c>
      <c r="L73" s="1" t="s">
        <v>227</v>
      </c>
      <c r="M73" s="212" t="s">
        <v>200</v>
      </c>
      <c r="N73" s="150"/>
      <c r="O73" s="31"/>
      <c r="P73" s="196" t="s">
        <v>231</v>
      </c>
      <c r="Q73" s="175"/>
    </row>
    <row r="74" spans="2:17" ht="13.15" customHeight="1">
      <c r="B74" s="63" t="s">
        <v>325</v>
      </c>
      <c r="C74" s="150" t="s">
        <v>156</v>
      </c>
      <c r="D74" s="150" t="s">
        <v>156</v>
      </c>
      <c r="E74" s="150" t="s">
        <v>156</v>
      </c>
      <c r="F74" s="150" t="s">
        <v>156</v>
      </c>
      <c r="G74" s="150" t="s">
        <v>156</v>
      </c>
      <c r="H74" s="150" t="s">
        <v>156</v>
      </c>
      <c r="I74" s="150" t="s">
        <v>156</v>
      </c>
      <c r="J74" s="150" t="s">
        <v>156</v>
      </c>
      <c r="K74" s="2" t="s">
        <v>232</v>
      </c>
      <c r="L74" s="1" t="s">
        <v>238</v>
      </c>
      <c r="M74" s="212" t="s">
        <v>506</v>
      </c>
      <c r="N74" s="150"/>
      <c r="O74" s="31"/>
      <c r="P74" s="196" t="s">
        <v>226</v>
      </c>
      <c r="Q74" s="175"/>
    </row>
    <row r="75" spans="2:17" ht="13.15" customHeight="1">
      <c r="B75" s="63" t="s">
        <v>326</v>
      </c>
      <c r="C75" s="150" t="s">
        <v>156</v>
      </c>
      <c r="D75" s="150" t="s">
        <v>156</v>
      </c>
      <c r="E75" s="150" t="s">
        <v>156</v>
      </c>
      <c r="F75" s="150" t="s">
        <v>156</v>
      </c>
      <c r="G75" s="150" t="s">
        <v>156</v>
      </c>
      <c r="H75" s="150" t="s">
        <v>156</v>
      </c>
      <c r="I75" s="150" t="s">
        <v>156</v>
      </c>
      <c r="J75" s="150" t="s">
        <v>156</v>
      </c>
      <c r="K75" s="2" t="s">
        <v>232</v>
      </c>
      <c r="L75" s="1" t="s">
        <v>230</v>
      </c>
      <c r="M75" s="212" t="s">
        <v>203</v>
      </c>
      <c r="N75" s="150"/>
      <c r="O75" s="31"/>
      <c r="P75" s="196" t="s">
        <v>507</v>
      </c>
      <c r="Q75" s="175"/>
    </row>
    <row r="76" spans="2:17" ht="13.15" customHeight="1">
      <c r="B76" s="63" t="s">
        <v>327</v>
      </c>
      <c r="C76" s="150" t="s">
        <v>156</v>
      </c>
      <c r="D76" s="150" t="s">
        <v>156</v>
      </c>
      <c r="E76" s="150" t="s">
        <v>156</v>
      </c>
      <c r="F76" s="150" t="s">
        <v>156</v>
      </c>
      <c r="G76" s="150" t="s">
        <v>156</v>
      </c>
      <c r="H76" s="150" t="s">
        <v>156</v>
      </c>
      <c r="I76" s="150" t="s">
        <v>156</v>
      </c>
      <c r="J76" s="150" t="s">
        <v>156</v>
      </c>
      <c r="K76" s="2" t="s">
        <v>232</v>
      </c>
      <c r="L76" s="1" t="s">
        <v>232</v>
      </c>
      <c r="M76" s="212" t="s">
        <v>203</v>
      </c>
      <c r="N76" s="150"/>
      <c r="O76" s="31"/>
      <c r="P76" s="196" t="s">
        <v>226</v>
      </c>
      <c r="Q76" s="175"/>
    </row>
    <row r="77" spans="2:17" ht="13.15" customHeight="1">
      <c r="B77" s="63" t="s">
        <v>328</v>
      </c>
      <c r="C77" s="150" t="s">
        <v>156</v>
      </c>
      <c r="D77" s="150" t="s">
        <v>156</v>
      </c>
      <c r="E77" s="150" t="s">
        <v>156</v>
      </c>
      <c r="F77" s="150" t="s">
        <v>156</v>
      </c>
      <c r="G77" s="150" t="s">
        <v>156</v>
      </c>
      <c r="H77" s="150" t="s">
        <v>156</v>
      </c>
      <c r="I77" s="150" t="s">
        <v>156</v>
      </c>
      <c r="J77" s="150" t="s">
        <v>156</v>
      </c>
      <c r="K77" s="2" t="s">
        <v>232</v>
      </c>
      <c r="L77" s="1" t="s">
        <v>233</v>
      </c>
      <c r="M77" s="212" t="s">
        <v>203</v>
      </c>
      <c r="N77" s="150"/>
      <c r="O77" s="31"/>
      <c r="P77" s="196" t="s">
        <v>226</v>
      </c>
      <c r="Q77" s="175"/>
    </row>
    <row r="78" spans="2:17" ht="13.15" customHeight="1">
      <c r="B78" s="63" t="s">
        <v>329</v>
      </c>
      <c r="C78" s="150" t="s">
        <v>156</v>
      </c>
      <c r="D78" s="150" t="s">
        <v>156</v>
      </c>
      <c r="E78" s="150" t="s">
        <v>156</v>
      </c>
      <c r="F78" s="150" t="s">
        <v>156</v>
      </c>
      <c r="G78" s="150" t="s">
        <v>156</v>
      </c>
      <c r="H78" s="150" t="s">
        <v>156</v>
      </c>
      <c r="I78" s="150" t="s">
        <v>156</v>
      </c>
      <c r="J78" s="150" t="s">
        <v>156</v>
      </c>
      <c r="K78" s="2" t="s">
        <v>232</v>
      </c>
      <c r="L78" s="1" t="s">
        <v>234</v>
      </c>
      <c r="M78" s="212" t="s">
        <v>203</v>
      </c>
      <c r="N78" s="150"/>
      <c r="O78" s="31"/>
      <c r="P78" s="196" t="s">
        <v>226</v>
      </c>
      <c r="Q78" s="175"/>
    </row>
    <row r="79" spans="2:17" ht="13.15" customHeight="1">
      <c r="B79" s="63" t="s">
        <v>330</v>
      </c>
      <c r="C79" s="150" t="s">
        <v>156</v>
      </c>
      <c r="D79" s="150" t="s">
        <v>156</v>
      </c>
      <c r="E79" s="150" t="s">
        <v>156</v>
      </c>
      <c r="F79" s="150" t="s">
        <v>156</v>
      </c>
      <c r="G79" s="150" t="s">
        <v>156</v>
      </c>
      <c r="H79" s="150" t="s">
        <v>156</v>
      </c>
      <c r="I79" s="150" t="s">
        <v>156</v>
      </c>
      <c r="J79" s="150" t="s">
        <v>156</v>
      </c>
      <c r="K79" s="2" t="s">
        <v>232</v>
      </c>
      <c r="L79" s="1" t="s">
        <v>235</v>
      </c>
      <c r="M79" s="212" t="s">
        <v>203</v>
      </c>
      <c r="N79" s="150"/>
      <c r="O79" s="31"/>
      <c r="P79" s="196" t="s">
        <v>226</v>
      </c>
      <c r="Q79" s="175"/>
    </row>
    <row r="80" spans="2:17" ht="13.15" customHeight="1">
      <c r="B80" s="63" t="s">
        <v>331</v>
      </c>
      <c r="C80" s="150" t="s">
        <v>156</v>
      </c>
      <c r="D80" s="150" t="s">
        <v>156</v>
      </c>
      <c r="E80" s="150" t="s">
        <v>156</v>
      </c>
      <c r="F80" s="150" t="s">
        <v>156</v>
      </c>
      <c r="G80" s="150" t="s">
        <v>156</v>
      </c>
      <c r="H80" s="150" t="s">
        <v>156</v>
      </c>
      <c r="I80" s="150" t="s">
        <v>156</v>
      </c>
      <c r="J80" s="150" t="s">
        <v>156</v>
      </c>
      <c r="K80" s="2" t="s">
        <v>233</v>
      </c>
      <c r="L80" s="1" t="s">
        <v>223</v>
      </c>
      <c r="M80" s="212" t="s">
        <v>204</v>
      </c>
      <c r="N80" s="150"/>
      <c r="O80" s="31"/>
      <c r="P80" s="196" t="s">
        <v>228</v>
      </c>
      <c r="Q80" s="175"/>
    </row>
    <row r="81" spans="2:17" ht="13.15" customHeight="1">
      <c r="B81" s="63" t="s">
        <v>332</v>
      </c>
      <c r="C81" s="150" t="s">
        <v>156</v>
      </c>
      <c r="D81" s="150" t="s">
        <v>156</v>
      </c>
      <c r="E81" s="150" t="s">
        <v>156</v>
      </c>
      <c r="F81" s="150" t="s">
        <v>156</v>
      </c>
      <c r="G81" s="150" t="s">
        <v>156</v>
      </c>
      <c r="H81" s="150" t="s">
        <v>156</v>
      </c>
      <c r="I81" s="150" t="s">
        <v>156</v>
      </c>
      <c r="J81" s="150" t="s">
        <v>156</v>
      </c>
      <c r="K81" s="2" t="s">
        <v>233</v>
      </c>
      <c r="L81" s="1" t="s">
        <v>253</v>
      </c>
      <c r="M81" s="212" t="s">
        <v>199</v>
      </c>
      <c r="N81" s="150"/>
      <c r="O81" s="31"/>
      <c r="P81" s="196" t="s">
        <v>228</v>
      </c>
      <c r="Q81" s="175"/>
    </row>
    <row r="82" spans="2:17" ht="13.15" customHeight="1">
      <c r="B82" s="63" t="s">
        <v>333</v>
      </c>
      <c r="C82" s="150" t="s">
        <v>156</v>
      </c>
      <c r="D82" s="150" t="s">
        <v>156</v>
      </c>
      <c r="E82" s="150" t="s">
        <v>156</v>
      </c>
      <c r="F82" s="150" t="s">
        <v>156</v>
      </c>
      <c r="G82" s="150" t="s">
        <v>156</v>
      </c>
      <c r="H82" s="150" t="s">
        <v>156</v>
      </c>
      <c r="I82" s="150" t="s">
        <v>156</v>
      </c>
      <c r="J82" s="150" t="s">
        <v>156</v>
      </c>
      <c r="K82" s="2" t="s">
        <v>233</v>
      </c>
      <c r="L82" s="1" t="s">
        <v>225</v>
      </c>
      <c r="M82" s="212" t="s">
        <v>206</v>
      </c>
      <c r="N82" s="150"/>
      <c r="O82" s="31"/>
      <c r="P82" s="196" t="s">
        <v>229</v>
      </c>
      <c r="Q82" s="175"/>
    </row>
    <row r="83" spans="2:17" ht="13.15" customHeight="1">
      <c r="B83" s="63" t="s">
        <v>334</v>
      </c>
      <c r="C83" s="150" t="s">
        <v>156</v>
      </c>
      <c r="D83" s="150" t="s">
        <v>156</v>
      </c>
      <c r="E83" s="150" t="s">
        <v>156</v>
      </c>
      <c r="F83" s="150" t="s">
        <v>156</v>
      </c>
      <c r="G83" s="150" t="s">
        <v>156</v>
      </c>
      <c r="H83" s="150" t="s">
        <v>156</v>
      </c>
      <c r="I83" s="150" t="s">
        <v>156</v>
      </c>
      <c r="J83" s="150" t="s">
        <v>156</v>
      </c>
      <c r="K83" s="2" t="s">
        <v>233</v>
      </c>
      <c r="L83" s="1" t="s">
        <v>227</v>
      </c>
      <c r="M83" s="212" t="s">
        <v>200</v>
      </c>
      <c r="N83" s="150"/>
      <c r="O83" s="31"/>
      <c r="P83" s="196" t="s">
        <v>231</v>
      </c>
      <c r="Q83" s="175"/>
    </row>
    <row r="84" spans="2:17" ht="13.15" customHeight="1">
      <c r="B84" s="63" t="s">
        <v>335</v>
      </c>
      <c r="C84" s="150" t="s">
        <v>156</v>
      </c>
      <c r="D84" s="150" t="s">
        <v>156</v>
      </c>
      <c r="E84" s="150" t="s">
        <v>156</v>
      </c>
      <c r="F84" s="150" t="s">
        <v>156</v>
      </c>
      <c r="G84" s="150" t="s">
        <v>156</v>
      </c>
      <c r="H84" s="150" t="s">
        <v>156</v>
      </c>
      <c r="I84" s="150" t="s">
        <v>156</v>
      </c>
      <c r="J84" s="150" t="s">
        <v>156</v>
      </c>
      <c r="K84" s="2" t="s">
        <v>233</v>
      </c>
      <c r="L84" s="1" t="s">
        <v>238</v>
      </c>
      <c r="M84" s="212" t="s">
        <v>508</v>
      </c>
      <c r="N84" s="150"/>
      <c r="O84" s="31"/>
      <c r="P84" s="196" t="s">
        <v>228</v>
      </c>
      <c r="Q84" s="175"/>
    </row>
    <row r="85" spans="2:17" ht="13.15" customHeight="1">
      <c r="B85" s="63" t="s">
        <v>336</v>
      </c>
      <c r="C85" s="150" t="s">
        <v>156</v>
      </c>
      <c r="D85" s="150" t="s">
        <v>156</v>
      </c>
      <c r="E85" s="150" t="s">
        <v>156</v>
      </c>
      <c r="F85" s="150" t="s">
        <v>156</v>
      </c>
      <c r="G85" s="150" t="s">
        <v>156</v>
      </c>
      <c r="H85" s="150" t="s">
        <v>156</v>
      </c>
      <c r="I85" s="150" t="s">
        <v>156</v>
      </c>
      <c r="J85" s="150" t="s">
        <v>156</v>
      </c>
      <c r="K85" s="2" t="s">
        <v>233</v>
      </c>
      <c r="L85" s="1" t="s">
        <v>230</v>
      </c>
      <c r="M85" s="212" t="s">
        <v>204</v>
      </c>
      <c r="N85" s="150"/>
      <c r="O85" s="31"/>
      <c r="P85" s="196" t="s">
        <v>509</v>
      </c>
      <c r="Q85" s="175"/>
    </row>
    <row r="86" spans="2:17" ht="13.15" customHeight="1">
      <c r="B86" s="63" t="s">
        <v>337</v>
      </c>
      <c r="C86" s="150" t="s">
        <v>156</v>
      </c>
      <c r="D86" s="150" t="s">
        <v>156</v>
      </c>
      <c r="E86" s="150" t="s">
        <v>156</v>
      </c>
      <c r="F86" s="150" t="s">
        <v>156</v>
      </c>
      <c r="G86" s="150" t="s">
        <v>156</v>
      </c>
      <c r="H86" s="150" t="s">
        <v>156</v>
      </c>
      <c r="I86" s="150" t="s">
        <v>156</v>
      </c>
      <c r="J86" s="150" t="s">
        <v>156</v>
      </c>
      <c r="K86" s="2" t="s">
        <v>233</v>
      </c>
      <c r="L86" s="1" t="s">
        <v>232</v>
      </c>
      <c r="M86" s="212" t="s">
        <v>203</v>
      </c>
      <c r="N86" s="150"/>
      <c r="O86" s="31"/>
      <c r="P86" s="196" t="s">
        <v>226</v>
      </c>
      <c r="Q86" s="175"/>
    </row>
    <row r="87" spans="2:17" ht="13.15" customHeight="1">
      <c r="B87" s="63" t="s">
        <v>338</v>
      </c>
      <c r="C87" s="150" t="s">
        <v>156</v>
      </c>
      <c r="D87" s="150" t="s">
        <v>156</v>
      </c>
      <c r="E87" s="150" t="s">
        <v>156</v>
      </c>
      <c r="F87" s="150" t="s">
        <v>156</v>
      </c>
      <c r="G87" s="150" t="s">
        <v>156</v>
      </c>
      <c r="H87" s="150" t="s">
        <v>156</v>
      </c>
      <c r="I87" s="150" t="s">
        <v>156</v>
      </c>
      <c r="J87" s="150" t="s">
        <v>156</v>
      </c>
      <c r="K87" s="2" t="s">
        <v>233</v>
      </c>
      <c r="L87" s="1" t="s">
        <v>233</v>
      </c>
      <c r="M87" s="212" t="s">
        <v>204</v>
      </c>
      <c r="N87" s="150"/>
      <c r="O87" s="31"/>
      <c r="P87" s="196" t="s">
        <v>228</v>
      </c>
      <c r="Q87" s="175"/>
    </row>
    <row r="88" spans="2:17" ht="13.15" customHeight="1">
      <c r="B88" s="63" t="s">
        <v>339</v>
      </c>
      <c r="C88" s="150" t="s">
        <v>156</v>
      </c>
      <c r="D88" s="150" t="s">
        <v>156</v>
      </c>
      <c r="E88" s="150" t="s">
        <v>156</v>
      </c>
      <c r="F88" s="150" t="s">
        <v>156</v>
      </c>
      <c r="G88" s="150" t="s">
        <v>156</v>
      </c>
      <c r="H88" s="150" t="s">
        <v>156</v>
      </c>
      <c r="I88" s="150" t="s">
        <v>156</v>
      </c>
      <c r="J88" s="150" t="s">
        <v>156</v>
      </c>
      <c r="K88" s="2" t="s">
        <v>233</v>
      </c>
      <c r="L88" s="1" t="s">
        <v>234</v>
      </c>
      <c r="M88" s="212" t="s">
        <v>204</v>
      </c>
      <c r="N88" s="150"/>
      <c r="O88" s="31"/>
      <c r="P88" s="196" t="s">
        <v>228</v>
      </c>
      <c r="Q88" s="175"/>
    </row>
    <row r="89" spans="2:17" ht="13.15" customHeight="1">
      <c r="B89" s="63" t="s">
        <v>340</v>
      </c>
      <c r="C89" s="150" t="s">
        <v>156</v>
      </c>
      <c r="D89" s="150" t="s">
        <v>156</v>
      </c>
      <c r="E89" s="150" t="s">
        <v>156</v>
      </c>
      <c r="F89" s="150" t="s">
        <v>156</v>
      </c>
      <c r="G89" s="150" t="s">
        <v>156</v>
      </c>
      <c r="H89" s="150" t="s">
        <v>156</v>
      </c>
      <c r="I89" s="150" t="s">
        <v>156</v>
      </c>
      <c r="J89" s="150" t="s">
        <v>156</v>
      </c>
      <c r="K89" s="2" t="s">
        <v>233</v>
      </c>
      <c r="L89" s="1" t="s">
        <v>235</v>
      </c>
      <c r="M89" s="212" t="s">
        <v>204</v>
      </c>
      <c r="N89" s="150"/>
      <c r="O89" s="31"/>
      <c r="P89" s="196" t="s">
        <v>228</v>
      </c>
      <c r="Q89" s="175"/>
    </row>
    <row r="90" spans="2:17" ht="13.15" customHeight="1">
      <c r="B90" s="63" t="s">
        <v>341</v>
      </c>
      <c r="C90" s="150" t="s">
        <v>156</v>
      </c>
      <c r="D90" s="150" t="s">
        <v>156</v>
      </c>
      <c r="E90" s="150" t="s">
        <v>156</v>
      </c>
      <c r="F90" s="150" t="s">
        <v>156</v>
      </c>
      <c r="G90" s="150" t="s">
        <v>156</v>
      </c>
      <c r="H90" s="150" t="s">
        <v>156</v>
      </c>
      <c r="I90" s="150" t="s">
        <v>156</v>
      </c>
      <c r="J90" s="150" t="s">
        <v>156</v>
      </c>
      <c r="K90" s="2" t="s">
        <v>234</v>
      </c>
      <c r="L90" s="1" t="s">
        <v>223</v>
      </c>
      <c r="M90" s="212" t="s">
        <v>198</v>
      </c>
      <c r="N90" s="150"/>
      <c r="O90" s="31"/>
      <c r="P90" s="196" t="s">
        <v>226</v>
      </c>
      <c r="Q90" s="175"/>
    </row>
    <row r="91" spans="2:17" ht="13.15" customHeight="1">
      <c r="B91" s="63" t="s">
        <v>342</v>
      </c>
      <c r="C91" s="150" t="s">
        <v>156</v>
      </c>
      <c r="D91" s="150" t="s">
        <v>156</v>
      </c>
      <c r="E91" s="150" t="s">
        <v>156</v>
      </c>
      <c r="F91" s="150" t="s">
        <v>156</v>
      </c>
      <c r="G91" s="150" t="s">
        <v>156</v>
      </c>
      <c r="H91" s="150" t="s">
        <v>156</v>
      </c>
      <c r="I91" s="150" t="s">
        <v>156</v>
      </c>
      <c r="J91" s="150" t="s">
        <v>156</v>
      </c>
      <c r="K91" s="2" t="s">
        <v>234</v>
      </c>
      <c r="L91" s="1" t="s">
        <v>253</v>
      </c>
      <c r="M91" s="212" t="s">
        <v>199</v>
      </c>
      <c r="N91" s="150"/>
      <c r="O91" s="31"/>
      <c r="P91" s="196" t="s">
        <v>228</v>
      </c>
      <c r="Q91" s="175"/>
    </row>
    <row r="92" spans="2:17" ht="13.15" customHeight="1">
      <c r="B92" s="63" t="s">
        <v>343</v>
      </c>
      <c r="C92" s="150" t="s">
        <v>156</v>
      </c>
      <c r="D92" s="150" t="s">
        <v>156</v>
      </c>
      <c r="E92" s="150" t="s">
        <v>156</v>
      </c>
      <c r="F92" s="150" t="s">
        <v>156</v>
      </c>
      <c r="G92" s="150" t="s">
        <v>156</v>
      </c>
      <c r="H92" s="150" t="s">
        <v>156</v>
      </c>
      <c r="I92" s="150" t="s">
        <v>156</v>
      </c>
      <c r="J92" s="150" t="s">
        <v>156</v>
      </c>
      <c r="K92" s="2" t="s">
        <v>234</v>
      </c>
      <c r="L92" s="1" t="s">
        <v>225</v>
      </c>
      <c r="M92" s="212" t="s">
        <v>206</v>
      </c>
      <c r="N92" s="150"/>
      <c r="O92" s="31"/>
      <c r="P92" s="196" t="s">
        <v>229</v>
      </c>
      <c r="Q92" s="175"/>
    </row>
    <row r="93" spans="2:17" ht="13.15" customHeight="1">
      <c r="B93" s="63" t="s">
        <v>344</v>
      </c>
      <c r="C93" s="150" t="s">
        <v>156</v>
      </c>
      <c r="D93" s="150" t="s">
        <v>156</v>
      </c>
      <c r="E93" s="150" t="s">
        <v>156</v>
      </c>
      <c r="F93" s="150" t="s">
        <v>156</v>
      </c>
      <c r="G93" s="150" t="s">
        <v>156</v>
      </c>
      <c r="H93" s="150" t="s">
        <v>156</v>
      </c>
      <c r="I93" s="150" t="s">
        <v>156</v>
      </c>
      <c r="J93" s="150" t="s">
        <v>156</v>
      </c>
      <c r="K93" s="2" t="s">
        <v>234</v>
      </c>
      <c r="L93" s="1" t="s">
        <v>227</v>
      </c>
      <c r="M93" s="212" t="s">
        <v>200</v>
      </c>
      <c r="N93" s="150"/>
      <c r="O93" s="31"/>
      <c r="P93" s="196" t="s">
        <v>231</v>
      </c>
      <c r="Q93" s="175"/>
    </row>
    <row r="94" spans="2:17" ht="13.15" customHeight="1">
      <c r="B94" s="63" t="s">
        <v>345</v>
      </c>
      <c r="C94" s="150" t="s">
        <v>156</v>
      </c>
      <c r="D94" s="150" t="s">
        <v>156</v>
      </c>
      <c r="E94" s="150" t="s">
        <v>156</v>
      </c>
      <c r="F94" s="150" t="s">
        <v>156</v>
      </c>
      <c r="G94" s="150" t="s">
        <v>156</v>
      </c>
      <c r="H94" s="150" t="s">
        <v>156</v>
      </c>
      <c r="I94" s="150" t="s">
        <v>156</v>
      </c>
      <c r="J94" s="150" t="s">
        <v>156</v>
      </c>
      <c r="K94" s="2" t="s">
        <v>234</v>
      </c>
      <c r="L94" s="1" t="s">
        <v>238</v>
      </c>
      <c r="M94" s="212" t="s">
        <v>205</v>
      </c>
      <c r="N94" s="150"/>
      <c r="O94" s="31"/>
      <c r="P94" s="196" t="s">
        <v>231</v>
      </c>
      <c r="Q94" s="175"/>
    </row>
    <row r="95" spans="2:17" ht="13.15" customHeight="1">
      <c r="B95" s="63" t="s">
        <v>346</v>
      </c>
      <c r="C95" s="150" t="s">
        <v>156</v>
      </c>
      <c r="D95" s="150" t="s">
        <v>156</v>
      </c>
      <c r="E95" s="150" t="s">
        <v>156</v>
      </c>
      <c r="F95" s="150" t="s">
        <v>156</v>
      </c>
      <c r="G95" s="150" t="s">
        <v>156</v>
      </c>
      <c r="H95" s="150" t="s">
        <v>156</v>
      </c>
      <c r="I95" s="150" t="s">
        <v>156</v>
      </c>
      <c r="J95" s="150" t="s">
        <v>156</v>
      </c>
      <c r="K95" s="2" t="s">
        <v>234</v>
      </c>
      <c r="L95" s="1" t="s">
        <v>230</v>
      </c>
      <c r="M95" s="212" t="s">
        <v>205</v>
      </c>
      <c r="N95" s="150"/>
      <c r="O95" s="31"/>
      <c r="P95" s="196" t="s">
        <v>231</v>
      </c>
      <c r="Q95" s="175"/>
    </row>
    <row r="96" spans="2:17" ht="13.15" customHeight="1">
      <c r="B96" s="63" t="s">
        <v>347</v>
      </c>
      <c r="C96" s="150" t="s">
        <v>156</v>
      </c>
      <c r="D96" s="150" t="s">
        <v>156</v>
      </c>
      <c r="E96" s="150" t="s">
        <v>156</v>
      </c>
      <c r="F96" s="150" t="s">
        <v>156</v>
      </c>
      <c r="G96" s="150" t="s">
        <v>156</v>
      </c>
      <c r="H96" s="150" t="s">
        <v>156</v>
      </c>
      <c r="I96" s="150" t="s">
        <v>156</v>
      </c>
      <c r="J96" s="150" t="s">
        <v>156</v>
      </c>
      <c r="K96" s="2" t="s">
        <v>234</v>
      </c>
      <c r="L96" s="1" t="s">
        <v>232</v>
      </c>
      <c r="M96" s="212" t="s">
        <v>203</v>
      </c>
      <c r="N96" s="150"/>
      <c r="O96" s="31"/>
      <c r="P96" s="196" t="s">
        <v>226</v>
      </c>
      <c r="Q96" s="175"/>
    </row>
    <row r="97" spans="2:17" ht="13.15" customHeight="1">
      <c r="B97" s="63" t="s">
        <v>348</v>
      </c>
      <c r="C97" s="150" t="s">
        <v>156</v>
      </c>
      <c r="D97" s="150" t="s">
        <v>156</v>
      </c>
      <c r="E97" s="150" t="s">
        <v>156</v>
      </c>
      <c r="F97" s="150" t="s">
        <v>156</v>
      </c>
      <c r="G97" s="150" t="s">
        <v>156</v>
      </c>
      <c r="H97" s="150" t="s">
        <v>156</v>
      </c>
      <c r="I97" s="150" t="s">
        <v>156</v>
      </c>
      <c r="J97" s="150" t="s">
        <v>156</v>
      </c>
      <c r="K97" s="2" t="s">
        <v>234</v>
      </c>
      <c r="L97" s="1" t="s">
        <v>233</v>
      </c>
      <c r="M97" s="212" t="s">
        <v>204</v>
      </c>
      <c r="N97" s="150"/>
      <c r="O97" s="31"/>
      <c r="P97" s="196" t="s">
        <v>228</v>
      </c>
      <c r="Q97" s="175"/>
    </row>
    <row r="98" spans="2:17" ht="13.15" customHeight="1">
      <c r="B98" s="63" t="s">
        <v>349</v>
      </c>
      <c r="C98" s="150" t="s">
        <v>156</v>
      </c>
      <c r="D98" s="150" t="s">
        <v>156</v>
      </c>
      <c r="E98" s="150" t="s">
        <v>156</v>
      </c>
      <c r="F98" s="150" t="s">
        <v>156</v>
      </c>
      <c r="G98" s="150" t="s">
        <v>156</v>
      </c>
      <c r="H98" s="150" t="s">
        <v>156</v>
      </c>
      <c r="I98" s="150" t="s">
        <v>156</v>
      </c>
      <c r="J98" s="150" t="s">
        <v>156</v>
      </c>
      <c r="K98" s="2" t="s">
        <v>234</v>
      </c>
      <c r="L98" s="1" t="s">
        <v>234</v>
      </c>
      <c r="M98" s="212" t="s">
        <v>205</v>
      </c>
      <c r="N98" s="150"/>
      <c r="O98" s="31"/>
      <c r="P98" s="196" t="s">
        <v>231</v>
      </c>
      <c r="Q98" s="175"/>
    </row>
    <row r="99" spans="2:17" ht="13.15" customHeight="1">
      <c r="B99" s="63" t="s">
        <v>350</v>
      </c>
      <c r="C99" s="150" t="s">
        <v>156</v>
      </c>
      <c r="D99" s="150" t="s">
        <v>156</v>
      </c>
      <c r="E99" s="150" t="s">
        <v>156</v>
      </c>
      <c r="F99" s="150" t="s">
        <v>156</v>
      </c>
      <c r="G99" s="150" t="s">
        <v>156</v>
      </c>
      <c r="H99" s="150" t="s">
        <v>156</v>
      </c>
      <c r="I99" s="150" t="s">
        <v>156</v>
      </c>
      <c r="J99" s="150" t="s">
        <v>156</v>
      </c>
      <c r="K99" s="2" t="s">
        <v>234</v>
      </c>
      <c r="L99" s="1" t="s">
        <v>235</v>
      </c>
      <c r="M99" s="212" t="s">
        <v>205</v>
      </c>
      <c r="N99" s="150"/>
      <c r="O99" s="31"/>
      <c r="P99" s="196" t="s">
        <v>231</v>
      </c>
      <c r="Q99" s="175"/>
    </row>
    <row r="100" spans="2:17" ht="13.15" customHeight="1">
      <c r="B100" s="63" t="s">
        <v>351</v>
      </c>
      <c r="C100" s="150" t="s">
        <v>156</v>
      </c>
      <c r="D100" s="150" t="s">
        <v>156</v>
      </c>
      <c r="E100" s="150" t="s">
        <v>156</v>
      </c>
      <c r="F100" s="150" t="s">
        <v>156</v>
      </c>
      <c r="G100" s="150" t="s">
        <v>156</v>
      </c>
      <c r="H100" s="150" t="s">
        <v>156</v>
      </c>
      <c r="I100" s="150" t="s">
        <v>156</v>
      </c>
      <c r="J100" s="150" t="s">
        <v>156</v>
      </c>
      <c r="K100" s="2" t="s">
        <v>235</v>
      </c>
      <c r="L100" s="1" t="s">
        <v>223</v>
      </c>
      <c r="M100" s="212" t="s">
        <v>198</v>
      </c>
      <c r="N100" s="150"/>
      <c r="O100" s="31"/>
      <c r="P100" s="196" t="s">
        <v>226</v>
      </c>
      <c r="Q100" s="175"/>
    </row>
    <row r="101" spans="2:17" ht="13.15" customHeight="1">
      <c r="B101" s="63" t="s">
        <v>352</v>
      </c>
      <c r="C101" s="150" t="s">
        <v>156</v>
      </c>
      <c r="D101" s="150" t="s">
        <v>156</v>
      </c>
      <c r="E101" s="150" t="s">
        <v>156</v>
      </c>
      <c r="F101" s="150" t="s">
        <v>156</v>
      </c>
      <c r="G101" s="150" t="s">
        <v>156</v>
      </c>
      <c r="H101" s="150" t="s">
        <v>156</v>
      </c>
      <c r="I101" s="150" t="s">
        <v>156</v>
      </c>
      <c r="J101" s="150" t="s">
        <v>156</v>
      </c>
      <c r="K101" s="2" t="s">
        <v>235</v>
      </c>
      <c r="L101" s="1" t="s">
        <v>253</v>
      </c>
      <c r="M101" s="212" t="s">
        <v>199</v>
      </c>
      <c r="N101" s="150"/>
      <c r="O101" s="31"/>
      <c r="P101" s="196" t="s">
        <v>228</v>
      </c>
      <c r="Q101" s="175"/>
    </row>
    <row r="102" spans="2:17" ht="13.15" customHeight="1">
      <c r="B102" s="63" t="s">
        <v>353</v>
      </c>
      <c r="C102" s="150" t="s">
        <v>156</v>
      </c>
      <c r="D102" s="150" t="s">
        <v>156</v>
      </c>
      <c r="E102" s="150" t="s">
        <v>156</v>
      </c>
      <c r="F102" s="150" t="s">
        <v>156</v>
      </c>
      <c r="G102" s="150" t="s">
        <v>156</v>
      </c>
      <c r="H102" s="150" t="s">
        <v>156</v>
      </c>
      <c r="I102" s="150" t="s">
        <v>156</v>
      </c>
      <c r="J102" s="150" t="s">
        <v>156</v>
      </c>
      <c r="K102" s="2" t="s">
        <v>235</v>
      </c>
      <c r="L102" s="1" t="s">
        <v>225</v>
      </c>
      <c r="M102" s="212" t="s">
        <v>206</v>
      </c>
      <c r="N102" s="150"/>
      <c r="O102" s="31"/>
      <c r="P102" s="196" t="s">
        <v>229</v>
      </c>
      <c r="Q102" s="175"/>
    </row>
    <row r="103" spans="2:17" ht="13.15" customHeight="1">
      <c r="B103" s="63" t="s">
        <v>354</v>
      </c>
      <c r="C103" s="150" t="s">
        <v>156</v>
      </c>
      <c r="D103" s="150" t="s">
        <v>156</v>
      </c>
      <c r="E103" s="150" t="s">
        <v>156</v>
      </c>
      <c r="F103" s="150" t="s">
        <v>156</v>
      </c>
      <c r="G103" s="150" t="s">
        <v>156</v>
      </c>
      <c r="H103" s="150" t="s">
        <v>156</v>
      </c>
      <c r="I103" s="150" t="s">
        <v>156</v>
      </c>
      <c r="J103" s="150" t="s">
        <v>156</v>
      </c>
      <c r="K103" s="2" t="s">
        <v>235</v>
      </c>
      <c r="L103" s="1" t="s">
        <v>227</v>
      </c>
      <c r="M103" s="212" t="s">
        <v>200</v>
      </c>
      <c r="N103" s="150"/>
      <c r="O103" s="31"/>
      <c r="P103" s="196" t="s">
        <v>231</v>
      </c>
      <c r="Q103" s="175"/>
    </row>
    <row r="104" spans="2:17" ht="13.15" customHeight="1">
      <c r="B104" s="63" t="s">
        <v>355</v>
      </c>
      <c r="C104" s="150" t="s">
        <v>156</v>
      </c>
      <c r="D104" s="150" t="s">
        <v>156</v>
      </c>
      <c r="E104" s="150" t="s">
        <v>156</v>
      </c>
      <c r="F104" s="150" t="s">
        <v>156</v>
      </c>
      <c r="G104" s="150" t="s">
        <v>156</v>
      </c>
      <c r="H104" s="150" t="s">
        <v>156</v>
      </c>
      <c r="I104" s="150" t="s">
        <v>156</v>
      </c>
      <c r="J104" s="150" t="s">
        <v>156</v>
      </c>
      <c r="K104" s="2" t="s">
        <v>235</v>
      </c>
      <c r="L104" s="1" t="s">
        <v>238</v>
      </c>
      <c r="M104" s="212" t="s">
        <v>201</v>
      </c>
      <c r="N104" s="150"/>
      <c r="O104" s="31"/>
      <c r="P104" s="196" t="s">
        <v>226</v>
      </c>
      <c r="Q104" s="175"/>
    </row>
    <row r="105" spans="2:17" ht="13.15" customHeight="1">
      <c r="B105" s="63" t="s">
        <v>356</v>
      </c>
      <c r="C105" s="150" t="s">
        <v>156</v>
      </c>
      <c r="D105" s="150" t="s">
        <v>156</v>
      </c>
      <c r="E105" s="150" t="s">
        <v>156</v>
      </c>
      <c r="F105" s="150" t="s">
        <v>156</v>
      </c>
      <c r="G105" s="150" t="s">
        <v>156</v>
      </c>
      <c r="H105" s="150" t="s">
        <v>156</v>
      </c>
      <c r="I105" s="150" t="s">
        <v>156</v>
      </c>
      <c r="J105" s="150" t="s">
        <v>156</v>
      </c>
      <c r="K105" s="2" t="s">
        <v>235</v>
      </c>
      <c r="L105" s="1" t="s">
        <v>230</v>
      </c>
      <c r="M105" s="212" t="s">
        <v>202</v>
      </c>
      <c r="N105" s="150"/>
      <c r="O105" s="31"/>
      <c r="P105" s="196" t="s">
        <v>228</v>
      </c>
      <c r="Q105" s="175"/>
    </row>
    <row r="106" spans="2:17" ht="13.15" customHeight="1">
      <c r="B106" s="63" t="s">
        <v>357</v>
      </c>
      <c r="C106" s="150" t="s">
        <v>156</v>
      </c>
      <c r="D106" s="150" t="s">
        <v>156</v>
      </c>
      <c r="E106" s="150" t="s">
        <v>156</v>
      </c>
      <c r="F106" s="150" t="s">
        <v>156</v>
      </c>
      <c r="G106" s="150" t="s">
        <v>156</v>
      </c>
      <c r="H106" s="150" t="s">
        <v>156</v>
      </c>
      <c r="I106" s="150" t="s">
        <v>156</v>
      </c>
      <c r="J106" s="150" t="s">
        <v>156</v>
      </c>
      <c r="K106" s="2" t="s">
        <v>235</v>
      </c>
      <c r="L106" s="1" t="s">
        <v>232</v>
      </c>
      <c r="M106" s="212" t="s">
        <v>203</v>
      </c>
      <c r="N106" s="150"/>
      <c r="O106" s="31"/>
      <c r="P106" s="196" t="s">
        <v>226</v>
      </c>
      <c r="Q106" s="175"/>
    </row>
    <row r="107" spans="2:17" ht="13.15" customHeight="1">
      <c r="B107" s="63" t="s">
        <v>358</v>
      </c>
      <c r="C107" s="150" t="s">
        <v>156</v>
      </c>
      <c r="D107" s="150" t="s">
        <v>156</v>
      </c>
      <c r="E107" s="150" t="s">
        <v>156</v>
      </c>
      <c r="F107" s="150" t="s">
        <v>156</v>
      </c>
      <c r="G107" s="150" t="s">
        <v>156</v>
      </c>
      <c r="H107" s="150" t="s">
        <v>156</v>
      </c>
      <c r="I107" s="150" t="s">
        <v>156</v>
      </c>
      <c r="J107" s="150" t="s">
        <v>156</v>
      </c>
      <c r="K107" s="2" t="s">
        <v>235</v>
      </c>
      <c r="L107" s="1" t="s">
        <v>233</v>
      </c>
      <c r="M107" s="212" t="s">
        <v>204</v>
      </c>
      <c r="N107" s="150"/>
      <c r="O107" s="31"/>
      <c r="P107" s="196" t="s">
        <v>228</v>
      </c>
      <c r="Q107" s="175"/>
    </row>
    <row r="108" spans="2:17" ht="13.15" customHeight="1">
      <c r="B108" s="63" t="s">
        <v>359</v>
      </c>
      <c r="C108" s="150" t="s">
        <v>156</v>
      </c>
      <c r="D108" s="150" t="s">
        <v>156</v>
      </c>
      <c r="E108" s="150" t="s">
        <v>156</v>
      </c>
      <c r="F108" s="150" t="s">
        <v>156</v>
      </c>
      <c r="G108" s="150" t="s">
        <v>156</v>
      </c>
      <c r="H108" s="150" t="s">
        <v>156</v>
      </c>
      <c r="I108" s="150" t="s">
        <v>156</v>
      </c>
      <c r="J108" s="150" t="s">
        <v>156</v>
      </c>
      <c r="K108" s="2" t="s">
        <v>235</v>
      </c>
      <c r="L108" s="1" t="s">
        <v>234</v>
      </c>
      <c r="M108" s="212" t="s">
        <v>205</v>
      </c>
      <c r="N108" s="150"/>
      <c r="O108" s="31"/>
      <c r="P108" s="196" t="s">
        <v>231</v>
      </c>
      <c r="Q108" s="175"/>
    </row>
    <row r="109" spans="2:17" ht="13.9" customHeight="1" thickBot="1">
      <c r="B109" s="206" t="s">
        <v>360</v>
      </c>
      <c r="C109" s="151" t="s">
        <v>156</v>
      </c>
      <c r="D109" s="151" t="s">
        <v>156</v>
      </c>
      <c r="E109" s="151" t="s">
        <v>156</v>
      </c>
      <c r="F109" s="151" t="s">
        <v>156</v>
      </c>
      <c r="G109" s="151" t="s">
        <v>156</v>
      </c>
      <c r="H109" s="151" t="s">
        <v>156</v>
      </c>
      <c r="I109" s="151" t="s">
        <v>156</v>
      </c>
      <c r="J109" s="151" t="s">
        <v>156</v>
      </c>
      <c r="K109" s="3" t="s">
        <v>235</v>
      </c>
      <c r="L109" s="4" t="s">
        <v>235</v>
      </c>
      <c r="M109" s="213" t="s">
        <v>491</v>
      </c>
      <c r="N109" s="151"/>
      <c r="O109" s="186"/>
      <c r="P109" s="198" t="s">
        <v>491</v>
      </c>
      <c r="Q109" s="176"/>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N269"/>
  <sheetViews>
    <sheetView zoomScale="85" zoomScaleNormal="85" workbookViewId="0"/>
  </sheetViews>
  <sheetFormatPr defaultRowHeight="13.5"/>
  <cols>
    <col min="2" max="2" width="37.75" customWidth="1"/>
    <col min="3" max="10" width="3.375" customWidth="1"/>
    <col min="11" max="12" width="30.75" customWidth="1"/>
    <col min="13" max="13" width="35.75" customWidth="1"/>
    <col min="14" max="14" width="30.75" customWidth="1"/>
  </cols>
  <sheetData>
    <row r="2" spans="2:14" ht="15" thickBot="1">
      <c r="B2" s="25" t="s">
        <v>487</v>
      </c>
    </row>
    <row r="3" spans="2:14" ht="15" thickBot="1">
      <c r="B3" s="85" t="s">
        <v>120</v>
      </c>
      <c r="C3" s="303" t="s">
        <v>190</v>
      </c>
      <c r="D3" s="304"/>
      <c r="E3" s="304"/>
      <c r="F3" s="304"/>
      <c r="G3" s="304"/>
      <c r="H3" s="304"/>
      <c r="I3" s="304"/>
      <c r="J3" s="305"/>
      <c r="K3" s="152"/>
      <c r="L3" s="152"/>
      <c r="M3" s="152"/>
      <c r="N3" s="155"/>
    </row>
    <row r="4" spans="2:14">
      <c r="B4" s="59"/>
      <c r="C4" s="29" t="s">
        <v>209</v>
      </c>
      <c r="D4" s="29"/>
      <c r="E4" s="29"/>
      <c r="F4" s="29"/>
      <c r="G4" s="29"/>
      <c r="H4" s="29"/>
      <c r="I4" s="29"/>
      <c r="J4" s="29"/>
      <c r="K4" s="29"/>
      <c r="L4" s="29"/>
      <c r="M4" s="29"/>
      <c r="N4" s="26" t="s">
        <v>212</v>
      </c>
    </row>
    <row r="5" spans="2:14">
      <c r="B5" s="60" t="s">
        <v>22</v>
      </c>
      <c r="C5" s="299" t="s">
        <v>162</v>
      </c>
      <c r="D5" s="300"/>
      <c r="E5" s="300"/>
      <c r="F5" s="300"/>
      <c r="G5" s="300"/>
      <c r="H5" s="300"/>
      <c r="I5" s="300"/>
      <c r="J5" s="301"/>
      <c r="K5" s="201" t="s">
        <v>194</v>
      </c>
      <c r="L5" s="201" t="s">
        <v>194</v>
      </c>
      <c r="M5" s="1" t="s">
        <v>513</v>
      </c>
      <c r="N5" s="64" t="s">
        <v>488</v>
      </c>
    </row>
    <row r="6" spans="2:14">
      <c r="B6" s="60" t="s">
        <v>31</v>
      </c>
      <c r="C6" s="147" t="s">
        <v>190</v>
      </c>
      <c r="D6" s="147" t="s">
        <v>190</v>
      </c>
      <c r="E6" s="147" t="s">
        <v>190</v>
      </c>
      <c r="F6" s="147" t="s">
        <v>190</v>
      </c>
      <c r="G6" s="147" t="s">
        <v>190</v>
      </c>
      <c r="H6" s="147" t="s">
        <v>190</v>
      </c>
      <c r="I6" s="147" t="s">
        <v>190</v>
      </c>
      <c r="J6" s="147" t="s">
        <v>190</v>
      </c>
      <c r="K6" s="123" t="s">
        <v>195</v>
      </c>
      <c r="L6" s="123" t="s">
        <v>195</v>
      </c>
      <c r="M6" s="123" t="s">
        <v>29</v>
      </c>
      <c r="N6" s="64" t="s">
        <v>211</v>
      </c>
    </row>
    <row r="7" spans="2:14" ht="27">
      <c r="B7" s="61" t="s">
        <v>27</v>
      </c>
      <c r="C7" s="302" t="s">
        <v>33</v>
      </c>
      <c r="D7" s="300"/>
      <c r="E7" s="300"/>
      <c r="F7" s="300"/>
      <c r="G7" s="300"/>
      <c r="H7" s="300"/>
      <c r="I7" s="300"/>
      <c r="J7" s="301"/>
      <c r="K7" s="1" t="s">
        <v>489</v>
      </c>
      <c r="L7" s="1" t="s">
        <v>489</v>
      </c>
      <c r="M7" s="123" t="s">
        <v>29</v>
      </c>
      <c r="N7" s="208"/>
    </row>
    <row r="8" spans="2:14" ht="136.5">
      <c r="B8" s="60" t="s">
        <v>213</v>
      </c>
      <c r="C8" s="191" t="s">
        <v>214</v>
      </c>
      <c r="D8" s="191" t="s">
        <v>60</v>
      </c>
      <c r="E8" s="191" t="s">
        <v>215</v>
      </c>
      <c r="F8" s="191" t="s">
        <v>216</v>
      </c>
      <c r="G8" s="191" t="s">
        <v>217</v>
      </c>
      <c r="H8" s="191" t="s">
        <v>218</v>
      </c>
      <c r="I8" s="191" t="s">
        <v>219</v>
      </c>
      <c r="J8" s="191" t="s">
        <v>220</v>
      </c>
      <c r="K8" s="1" t="s">
        <v>490</v>
      </c>
      <c r="L8" s="1" t="s">
        <v>492</v>
      </c>
      <c r="M8" s="1" t="s">
        <v>493</v>
      </c>
      <c r="N8" s="64" t="s">
        <v>193</v>
      </c>
    </row>
    <row r="9" spans="2:14" ht="149.25" thickBot="1">
      <c r="B9" s="62" t="s">
        <v>28</v>
      </c>
      <c r="C9" s="148" t="s">
        <v>221</v>
      </c>
      <c r="D9" s="148" t="s">
        <v>190</v>
      </c>
      <c r="E9" s="148" t="s">
        <v>221</v>
      </c>
      <c r="F9" s="148" t="s">
        <v>221</v>
      </c>
      <c r="G9" s="148" t="s">
        <v>221</v>
      </c>
      <c r="H9" s="148" t="s">
        <v>221</v>
      </c>
      <c r="I9" s="148" t="s">
        <v>221</v>
      </c>
      <c r="J9" s="148" t="s">
        <v>221</v>
      </c>
      <c r="K9" s="185" t="s">
        <v>252</v>
      </c>
      <c r="L9" s="185" t="s">
        <v>241</v>
      </c>
      <c r="M9" s="185" t="s">
        <v>241</v>
      </c>
      <c r="N9" s="209" t="s">
        <v>260</v>
      </c>
    </row>
    <row r="10" spans="2:14" ht="14.25" thickTop="1">
      <c r="B10" s="63" t="s">
        <v>363</v>
      </c>
      <c r="C10" s="149" t="s">
        <v>156</v>
      </c>
      <c r="D10" s="149" t="s">
        <v>156</v>
      </c>
      <c r="E10" s="149" t="s">
        <v>156</v>
      </c>
      <c r="F10" s="149" t="s">
        <v>156</v>
      </c>
      <c r="G10" s="149" t="s">
        <v>156</v>
      </c>
      <c r="H10" s="149" t="s">
        <v>156</v>
      </c>
      <c r="I10" s="149" t="s">
        <v>156</v>
      </c>
      <c r="J10" s="149" t="s">
        <v>156</v>
      </c>
      <c r="K10" s="13" t="s">
        <v>222</v>
      </c>
      <c r="L10" s="210" t="s">
        <v>223</v>
      </c>
      <c r="M10" s="210" t="s">
        <v>223</v>
      </c>
      <c r="N10" s="211" t="s">
        <v>30</v>
      </c>
    </row>
    <row r="11" spans="2:14">
      <c r="B11" s="21" t="s">
        <v>364</v>
      </c>
      <c r="C11" s="150" t="s">
        <v>156</v>
      </c>
      <c r="D11" s="150" t="s">
        <v>156</v>
      </c>
      <c r="E11" s="150" t="s">
        <v>156</v>
      </c>
      <c r="F11" s="150" t="s">
        <v>156</v>
      </c>
      <c r="G11" s="150" t="s">
        <v>156</v>
      </c>
      <c r="H11" s="150" t="s">
        <v>156</v>
      </c>
      <c r="I11" s="150" t="s">
        <v>156</v>
      </c>
      <c r="J11" s="150" t="s">
        <v>156</v>
      </c>
      <c r="K11" s="1" t="s">
        <v>222</v>
      </c>
      <c r="L11" s="212" t="s">
        <v>223</v>
      </c>
      <c r="M11" s="212" t="s">
        <v>253</v>
      </c>
      <c r="N11" s="170" t="s">
        <v>30</v>
      </c>
    </row>
    <row r="12" spans="2:14">
      <c r="B12" s="21" t="s">
        <v>365</v>
      </c>
      <c r="C12" s="150" t="s">
        <v>156</v>
      </c>
      <c r="D12" s="150" t="s">
        <v>156</v>
      </c>
      <c r="E12" s="150" t="s">
        <v>156</v>
      </c>
      <c r="F12" s="150" t="s">
        <v>156</v>
      </c>
      <c r="G12" s="150" t="s">
        <v>156</v>
      </c>
      <c r="H12" s="150" t="s">
        <v>156</v>
      </c>
      <c r="I12" s="150" t="s">
        <v>156</v>
      </c>
      <c r="J12" s="150" t="s">
        <v>156</v>
      </c>
      <c r="K12" s="1" t="s">
        <v>222</v>
      </c>
      <c r="L12" s="212" t="s">
        <v>223</v>
      </c>
      <c r="M12" s="212" t="s">
        <v>225</v>
      </c>
      <c r="N12" s="170" t="s">
        <v>30</v>
      </c>
    </row>
    <row r="13" spans="2:14">
      <c r="B13" s="21" t="s">
        <v>366</v>
      </c>
      <c r="C13" s="150" t="s">
        <v>156</v>
      </c>
      <c r="D13" s="150" t="s">
        <v>156</v>
      </c>
      <c r="E13" s="150" t="s">
        <v>156</v>
      </c>
      <c r="F13" s="150" t="s">
        <v>156</v>
      </c>
      <c r="G13" s="150" t="s">
        <v>156</v>
      </c>
      <c r="H13" s="150" t="s">
        <v>156</v>
      </c>
      <c r="I13" s="150" t="s">
        <v>156</v>
      </c>
      <c r="J13" s="150" t="s">
        <v>156</v>
      </c>
      <c r="K13" s="1" t="s">
        <v>222</v>
      </c>
      <c r="L13" s="212" t="s">
        <v>223</v>
      </c>
      <c r="M13" s="212" t="s">
        <v>227</v>
      </c>
      <c r="N13" s="170" t="s">
        <v>30</v>
      </c>
    </row>
    <row r="14" spans="2:14">
      <c r="B14" s="21" t="s">
        <v>367</v>
      </c>
      <c r="C14" s="150" t="s">
        <v>156</v>
      </c>
      <c r="D14" s="150" t="s">
        <v>156</v>
      </c>
      <c r="E14" s="150" t="s">
        <v>156</v>
      </c>
      <c r="F14" s="150" t="s">
        <v>156</v>
      </c>
      <c r="G14" s="150" t="s">
        <v>156</v>
      </c>
      <c r="H14" s="150" t="s">
        <v>156</v>
      </c>
      <c r="I14" s="150" t="s">
        <v>156</v>
      </c>
      <c r="J14" s="150" t="s">
        <v>156</v>
      </c>
      <c r="K14" s="1" t="s">
        <v>222</v>
      </c>
      <c r="L14" s="212" t="s">
        <v>223</v>
      </c>
      <c r="M14" s="212" t="s">
        <v>238</v>
      </c>
      <c r="N14" s="170" t="s">
        <v>30</v>
      </c>
    </row>
    <row r="15" spans="2:14">
      <c r="B15" s="21" t="s">
        <v>368</v>
      </c>
      <c r="C15" s="150" t="s">
        <v>156</v>
      </c>
      <c r="D15" s="150" t="s">
        <v>156</v>
      </c>
      <c r="E15" s="150" t="s">
        <v>156</v>
      </c>
      <c r="F15" s="150" t="s">
        <v>156</v>
      </c>
      <c r="G15" s="150" t="s">
        <v>156</v>
      </c>
      <c r="H15" s="150" t="s">
        <v>156</v>
      </c>
      <c r="I15" s="150" t="s">
        <v>156</v>
      </c>
      <c r="J15" s="150" t="s">
        <v>156</v>
      </c>
      <c r="K15" s="1" t="s">
        <v>222</v>
      </c>
      <c r="L15" s="212" t="s">
        <v>223</v>
      </c>
      <c r="M15" s="212" t="s">
        <v>230</v>
      </c>
      <c r="N15" s="170" t="s">
        <v>30</v>
      </c>
    </row>
    <row r="16" spans="2:14">
      <c r="B16" s="21" t="s">
        <v>369</v>
      </c>
      <c r="C16" s="150" t="s">
        <v>156</v>
      </c>
      <c r="D16" s="150" t="s">
        <v>156</v>
      </c>
      <c r="E16" s="150" t="s">
        <v>156</v>
      </c>
      <c r="F16" s="150" t="s">
        <v>156</v>
      </c>
      <c r="G16" s="150" t="s">
        <v>156</v>
      </c>
      <c r="H16" s="150" t="s">
        <v>156</v>
      </c>
      <c r="I16" s="150" t="s">
        <v>156</v>
      </c>
      <c r="J16" s="150" t="s">
        <v>156</v>
      </c>
      <c r="K16" s="1" t="s">
        <v>222</v>
      </c>
      <c r="L16" s="212" t="s">
        <v>223</v>
      </c>
      <c r="M16" s="212" t="s">
        <v>232</v>
      </c>
      <c r="N16" s="170" t="s">
        <v>30</v>
      </c>
    </row>
    <row r="17" spans="2:14">
      <c r="B17" s="21" t="s">
        <v>370</v>
      </c>
      <c r="C17" s="150" t="s">
        <v>156</v>
      </c>
      <c r="D17" s="150" t="s">
        <v>156</v>
      </c>
      <c r="E17" s="150" t="s">
        <v>156</v>
      </c>
      <c r="F17" s="150" t="s">
        <v>156</v>
      </c>
      <c r="G17" s="150" t="s">
        <v>156</v>
      </c>
      <c r="H17" s="150" t="s">
        <v>156</v>
      </c>
      <c r="I17" s="150" t="s">
        <v>156</v>
      </c>
      <c r="J17" s="150" t="s">
        <v>156</v>
      </c>
      <c r="K17" s="1" t="s">
        <v>222</v>
      </c>
      <c r="L17" s="212" t="s">
        <v>223</v>
      </c>
      <c r="M17" s="212" t="s">
        <v>233</v>
      </c>
      <c r="N17" s="170" t="s">
        <v>30</v>
      </c>
    </row>
    <row r="18" spans="2:14">
      <c r="B18" s="21" t="s">
        <v>371</v>
      </c>
      <c r="C18" s="150" t="s">
        <v>156</v>
      </c>
      <c r="D18" s="150" t="s">
        <v>156</v>
      </c>
      <c r="E18" s="150" t="s">
        <v>156</v>
      </c>
      <c r="F18" s="150" t="s">
        <v>156</v>
      </c>
      <c r="G18" s="150" t="s">
        <v>156</v>
      </c>
      <c r="H18" s="150" t="s">
        <v>156</v>
      </c>
      <c r="I18" s="150" t="s">
        <v>156</v>
      </c>
      <c r="J18" s="150" t="s">
        <v>156</v>
      </c>
      <c r="K18" s="1" t="s">
        <v>222</v>
      </c>
      <c r="L18" s="212" t="s">
        <v>223</v>
      </c>
      <c r="M18" s="212" t="s">
        <v>234</v>
      </c>
      <c r="N18" s="170" t="s">
        <v>30</v>
      </c>
    </row>
    <row r="19" spans="2:14">
      <c r="B19" s="21" t="s">
        <v>372</v>
      </c>
      <c r="C19" s="150" t="s">
        <v>156</v>
      </c>
      <c r="D19" s="150" t="s">
        <v>156</v>
      </c>
      <c r="E19" s="150" t="s">
        <v>156</v>
      </c>
      <c r="F19" s="150" t="s">
        <v>156</v>
      </c>
      <c r="G19" s="150" t="s">
        <v>156</v>
      </c>
      <c r="H19" s="150" t="s">
        <v>156</v>
      </c>
      <c r="I19" s="150" t="s">
        <v>156</v>
      </c>
      <c r="J19" s="150" t="s">
        <v>156</v>
      </c>
      <c r="K19" s="1" t="s">
        <v>222</v>
      </c>
      <c r="L19" s="212" t="s">
        <v>223</v>
      </c>
      <c r="M19" s="212" t="s">
        <v>235</v>
      </c>
      <c r="N19" s="170" t="s">
        <v>30</v>
      </c>
    </row>
    <row r="20" spans="2:14">
      <c r="B20" s="21" t="s">
        <v>373</v>
      </c>
      <c r="C20" s="150" t="s">
        <v>156</v>
      </c>
      <c r="D20" s="150" t="s">
        <v>156</v>
      </c>
      <c r="E20" s="150" t="s">
        <v>156</v>
      </c>
      <c r="F20" s="150" t="s">
        <v>156</v>
      </c>
      <c r="G20" s="150" t="s">
        <v>156</v>
      </c>
      <c r="H20" s="150" t="s">
        <v>156</v>
      </c>
      <c r="I20" s="150" t="s">
        <v>156</v>
      </c>
      <c r="J20" s="150" t="s">
        <v>156</v>
      </c>
      <c r="K20" s="1" t="s">
        <v>222</v>
      </c>
      <c r="L20" s="212" t="s">
        <v>223</v>
      </c>
      <c r="M20" s="212" t="s">
        <v>236</v>
      </c>
      <c r="N20" s="170" t="s">
        <v>30</v>
      </c>
    </row>
    <row r="21" spans="2:14">
      <c r="B21" s="21" t="s">
        <v>364</v>
      </c>
      <c r="C21" s="150" t="s">
        <v>156</v>
      </c>
      <c r="D21" s="150" t="s">
        <v>156</v>
      </c>
      <c r="E21" s="150" t="s">
        <v>156</v>
      </c>
      <c r="F21" s="150" t="s">
        <v>156</v>
      </c>
      <c r="G21" s="150" t="s">
        <v>156</v>
      </c>
      <c r="H21" s="150" t="s">
        <v>156</v>
      </c>
      <c r="I21" s="150" t="s">
        <v>156</v>
      </c>
      <c r="J21" s="150" t="s">
        <v>156</v>
      </c>
      <c r="K21" s="1" t="s">
        <v>222</v>
      </c>
      <c r="L21" s="212" t="s">
        <v>223</v>
      </c>
      <c r="M21" s="212" t="s">
        <v>247</v>
      </c>
      <c r="N21" s="170" t="s">
        <v>30</v>
      </c>
    </row>
    <row r="22" spans="2:14">
      <c r="B22" s="21" t="s">
        <v>364</v>
      </c>
      <c r="C22" s="150" t="s">
        <v>156</v>
      </c>
      <c r="D22" s="150" t="s">
        <v>156</v>
      </c>
      <c r="E22" s="150" t="s">
        <v>156</v>
      </c>
      <c r="F22" s="150" t="s">
        <v>156</v>
      </c>
      <c r="G22" s="150" t="s">
        <v>156</v>
      </c>
      <c r="H22" s="150" t="s">
        <v>156</v>
      </c>
      <c r="I22" s="150" t="s">
        <v>156</v>
      </c>
      <c r="J22" s="150" t="s">
        <v>156</v>
      </c>
      <c r="K22" s="1" t="s">
        <v>222</v>
      </c>
      <c r="L22" s="212" t="s">
        <v>223</v>
      </c>
      <c r="M22" s="212" t="s">
        <v>248</v>
      </c>
      <c r="N22" s="170" t="s">
        <v>30</v>
      </c>
    </row>
    <row r="23" spans="2:14">
      <c r="B23" s="21" t="s">
        <v>364</v>
      </c>
      <c r="C23" s="150" t="s">
        <v>156</v>
      </c>
      <c r="D23" s="150" t="s">
        <v>156</v>
      </c>
      <c r="E23" s="150" t="s">
        <v>156</v>
      </c>
      <c r="F23" s="150" t="s">
        <v>156</v>
      </c>
      <c r="G23" s="150" t="s">
        <v>156</v>
      </c>
      <c r="H23" s="150" t="s">
        <v>156</v>
      </c>
      <c r="I23" s="150" t="s">
        <v>156</v>
      </c>
      <c r="J23" s="150" t="s">
        <v>156</v>
      </c>
      <c r="K23" s="1" t="s">
        <v>222</v>
      </c>
      <c r="L23" s="212" t="s">
        <v>223</v>
      </c>
      <c r="M23" s="212" t="s">
        <v>249</v>
      </c>
      <c r="N23" s="170" t="s">
        <v>30</v>
      </c>
    </row>
    <row r="24" spans="2:14">
      <c r="B24" s="21" t="s">
        <v>364</v>
      </c>
      <c r="C24" s="150" t="s">
        <v>156</v>
      </c>
      <c r="D24" s="150" t="s">
        <v>156</v>
      </c>
      <c r="E24" s="150" t="s">
        <v>156</v>
      </c>
      <c r="F24" s="150" t="s">
        <v>156</v>
      </c>
      <c r="G24" s="150" t="s">
        <v>156</v>
      </c>
      <c r="H24" s="150" t="s">
        <v>156</v>
      </c>
      <c r="I24" s="150" t="s">
        <v>156</v>
      </c>
      <c r="J24" s="150" t="s">
        <v>156</v>
      </c>
      <c r="K24" s="1" t="s">
        <v>222</v>
      </c>
      <c r="L24" s="212" t="s">
        <v>223</v>
      </c>
      <c r="M24" s="212" t="s">
        <v>250</v>
      </c>
      <c r="N24" s="170" t="s">
        <v>30</v>
      </c>
    </row>
    <row r="25" spans="2:14">
      <c r="B25" s="21" t="s">
        <v>364</v>
      </c>
      <c r="C25" s="150" t="s">
        <v>156</v>
      </c>
      <c r="D25" s="150" t="s">
        <v>156</v>
      </c>
      <c r="E25" s="150" t="s">
        <v>156</v>
      </c>
      <c r="F25" s="150" t="s">
        <v>156</v>
      </c>
      <c r="G25" s="150" t="s">
        <v>156</v>
      </c>
      <c r="H25" s="150" t="s">
        <v>156</v>
      </c>
      <c r="I25" s="150" t="s">
        <v>156</v>
      </c>
      <c r="J25" s="150" t="s">
        <v>156</v>
      </c>
      <c r="K25" s="1" t="s">
        <v>222</v>
      </c>
      <c r="L25" s="212" t="s">
        <v>223</v>
      </c>
      <c r="M25" s="212" t="s">
        <v>251</v>
      </c>
      <c r="N25" s="170" t="s">
        <v>30</v>
      </c>
    </row>
    <row r="26" spans="2:14">
      <c r="B26" s="21" t="s">
        <v>374</v>
      </c>
      <c r="C26" s="150" t="s">
        <v>156</v>
      </c>
      <c r="D26" s="150" t="s">
        <v>156</v>
      </c>
      <c r="E26" s="150" t="s">
        <v>156</v>
      </c>
      <c r="F26" s="150" t="s">
        <v>156</v>
      </c>
      <c r="G26" s="150" t="s">
        <v>156</v>
      </c>
      <c r="H26" s="150" t="s">
        <v>156</v>
      </c>
      <c r="I26" s="150" t="s">
        <v>156</v>
      </c>
      <c r="J26" s="150" t="s">
        <v>156</v>
      </c>
      <c r="K26" s="1" t="s">
        <v>222</v>
      </c>
      <c r="L26" s="212" t="s">
        <v>253</v>
      </c>
      <c r="M26" s="212" t="s">
        <v>223</v>
      </c>
      <c r="N26" s="170" t="s">
        <v>30</v>
      </c>
    </row>
    <row r="27" spans="2:14">
      <c r="B27" s="21" t="s">
        <v>375</v>
      </c>
      <c r="C27" s="150" t="s">
        <v>156</v>
      </c>
      <c r="D27" s="150" t="s">
        <v>156</v>
      </c>
      <c r="E27" s="150" t="s">
        <v>156</v>
      </c>
      <c r="F27" s="150" t="s">
        <v>156</v>
      </c>
      <c r="G27" s="150" t="s">
        <v>156</v>
      </c>
      <c r="H27" s="150" t="s">
        <v>156</v>
      </c>
      <c r="I27" s="150" t="s">
        <v>156</v>
      </c>
      <c r="J27" s="150" t="s">
        <v>156</v>
      </c>
      <c r="K27" s="1" t="s">
        <v>222</v>
      </c>
      <c r="L27" s="212" t="s">
        <v>253</v>
      </c>
      <c r="M27" s="212" t="s">
        <v>253</v>
      </c>
      <c r="N27" s="170" t="s">
        <v>30</v>
      </c>
    </row>
    <row r="28" spans="2:14">
      <c r="B28" s="21" t="s">
        <v>376</v>
      </c>
      <c r="C28" s="150" t="s">
        <v>156</v>
      </c>
      <c r="D28" s="150" t="s">
        <v>156</v>
      </c>
      <c r="E28" s="150" t="s">
        <v>156</v>
      </c>
      <c r="F28" s="150" t="s">
        <v>156</v>
      </c>
      <c r="G28" s="150" t="s">
        <v>156</v>
      </c>
      <c r="H28" s="150" t="s">
        <v>156</v>
      </c>
      <c r="I28" s="150" t="s">
        <v>156</v>
      </c>
      <c r="J28" s="150" t="s">
        <v>156</v>
      </c>
      <c r="K28" s="1" t="s">
        <v>222</v>
      </c>
      <c r="L28" s="212" t="s">
        <v>253</v>
      </c>
      <c r="M28" s="212" t="s">
        <v>225</v>
      </c>
      <c r="N28" s="170" t="s">
        <v>30</v>
      </c>
    </row>
    <row r="29" spans="2:14">
      <c r="B29" s="21" t="s">
        <v>377</v>
      </c>
      <c r="C29" s="150" t="s">
        <v>156</v>
      </c>
      <c r="D29" s="150" t="s">
        <v>156</v>
      </c>
      <c r="E29" s="150" t="s">
        <v>156</v>
      </c>
      <c r="F29" s="150" t="s">
        <v>156</v>
      </c>
      <c r="G29" s="150" t="s">
        <v>156</v>
      </c>
      <c r="H29" s="150" t="s">
        <v>156</v>
      </c>
      <c r="I29" s="150" t="s">
        <v>156</v>
      </c>
      <c r="J29" s="150" t="s">
        <v>156</v>
      </c>
      <c r="K29" s="1" t="s">
        <v>222</v>
      </c>
      <c r="L29" s="212" t="s">
        <v>253</v>
      </c>
      <c r="M29" s="212" t="s">
        <v>227</v>
      </c>
      <c r="N29" s="170" t="s">
        <v>30</v>
      </c>
    </row>
    <row r="30" spans="2:14">
      <c r="B30" s="21" t="s">
        <v>378</v>
      </c>
      <c r="C30" s="150" t="s">
        <v>156</v>
      </c>
      <c r="D30" s="150" t="s">
        <v>156</v>
      </c>
      <c r="E30" s="150" t="s">
        <v>156</v>
      </c>
      <c r="F30" s="150" t="s">
        <v>156</v>
      </c>
      <c r="G30" s="150" t="s">
        <v>156</v>
      </c>
      <c r="H30" s="150" t="s">
        <v>156</v>
      </c>
      <c r="I30" s="150" t="s">
        <v>156</v>
      </c>
      <c r="J30" s="150" t="s">
        <v>156</v>
      </c>
      <c r="K30" s="1" t="s">
        <v>222</v>
      </c>
      <c r="L30" s="212" t="s">
        <v>253</v>
      </c>
      <c r="M30" s="212" t="s">
        <v>238</v>
      </c>
      <c r="N30" s="170" t="s">
        <v>30</v>
      </c>
    </row>
    <row r="31" spans="2:14">
      <c r="B31" s="21" t="s">
        <v>379</v>
      </c>
      <c r="C31" s="150" t="s">
        <v>156</v>
      </c>
      <c r="D31" s="150" t="s">
        <v>156</v>
      </c>
      <c r="E31" s="150" t="s">
        <v>156</v>
      </c>
      <c r="F31" s="150" t="s">
        <v>156</v>
      </c>
      <c r="G31" s="150" t="s">
        <v>156</v>
      </c>
      <c r="H31" s="150" t="s">
        <v>156</v>
      </c>
      <c r="I31" s="150" t="s">
        <v>156</v>
      </c>
      <c r="J31" s="150" t="s">
        <v>156</v>
      </c>
      <c r="K31" s="1" t="s">
        <v>222</v>
      </c>
      <c r="L31" s="212" t="s">
        <v>253</v>
      </c>
      <c r="M31" s="212" t="s">
        <v>230</v>
      </c>
      <c r="N31" s="170" t="s">
        <v>30</v>
      </c>
    </row>
    <row r="32" spans="2:14">
      <c r="B32" s="21" t="s">
        <v>380</v>
      </c>
      <c r="C32" s="150" t="s">
        <v>156</v>
      </c>
      <c r="D32" s="150" t="s">
        <v>156</v>
      </c>
      <c r="E32" s="150" t="s">
        <v>156</v>
      </c>
      <c r="F32" s="150" t="s">
        <v>156</v>
      </c>
      <c r="G32" s="150" t="s">
        <v>156</v>
      </c>
      <c r="H32" s="150" t="s">
        <v>156</v>
      </c>
      <c r="I32" s="150" t="s">
        <v>156</v>
      </c>
      <c r="J32" s="150" t="s">
        <v>156</v>
      </c>
      <c r="K32" s="1" t="s">
        <v>222</v>
      </c>
      <c r="L32" s="212" t="s">
        <v>253</v>
      </c>
      <c r="M32" s="212" t="s">
        <v>232</v>
      </c>
      <c r="N32" s="170" t="s">
        <v>30</v>
      </c>
    </row>
    <row r="33" spans="2:14">
      <c r="B33" s="21" t="s">
        <v>381</v>
      </c>
      <c r="C33" s="150" t="s">
        <v>156</v>
      </c>
      <c r="D33" s="150" t="s">
        <v>156</v>
      </c>
      <c r="E33" s="150" t="s">
        <v>156</v>
      </c>
      <c r="F33" s="150" t="s">
        <v>156</v>
      </c>
      <c r="G33" s="150" t="s">
        <v>156</v>
      </c>
      <c r="H33" s="150" t="s">
        <v>156</v>
      </c>
      <c r="I33" s="150" t="s">
        <v>156</v>
      </c>
      <c r="J33" s="150" t="s">
        <v>156</v>
      </c>
      <c r="K33" s="1" t="s">
        <v>222</v>
      </c>
      <c r="L33" s="212" t="s">
        <v>253</v>
      </c>
      <c r="M33" s="212" t="s">
        <v>233</v>
      </c>
      <c r="N33" s="170" t="s">
        <v>30</v>
      </c>
    </row>
    <row r="34" spans="2:14">
      <c r="B34" s="21" t="s">
        <v>382</v>
      </c>
      <c r="C34" s="150" t="s">
        <v>156</v>
      </c>
      <c r="D34" s="150" t="s">
        <v>156</v>
      </c>
      <c r="E34" s="150" t="s">
        <v>156</v>
      </c>
      <c r="F34" s="150" t="s">
        <v>156</v>
      </c>
      <c r="G34" s="150" t="s">
        <v>156</v>
      </c>
      <c r="H34" s="150" t="s">
        <v>156</v>
      </c>
      <c r="I34" s="150" t="s">
        <v>156</v>
      </c>
      <c r="J34" s="150" t="s">
        <v>156</v>
      </c>
      <c r="K34" s="1" t="s">
        <v>222</v>
      </c>
      <c r="L34" s="212" t="s">
        <v>253</v>
      </c>
      <c r="M34" s="212" t="s">
        <v>234</v>
      </c>
      <c r="N34" s="170" t="s">
        <v>30</v>
      </c>
    </row>
    <row r="35" spans="2:14">
      <c r="B35" s="21" t="s">
        <v>383</v>
      </c>
      <c r="C35" s="150" t="s">
        <v>156</v>
      </c>
      <c r="D35" s="150" t="s">
        <v>156</v>
      </c>
      <c r="E35" s="150" t="s">
        <v>156</v>
      </c>
      <c r="F35" s="150" t="s">
        <v>156</v>
      </c>
      <c r="G35" s="150" t="s">
        <v>156</v>
      </c>
      <c r="H35" s="150" t="s">
        <v>156</v>
      </c>
      <c r="I35" s="150" t="s">
        <v>156</v>
      </c>
      <c r="J35" s="150" t="s">
        <v>156</v>
      </c>
      <c r="K35" s="1" t="s">
        <v>222</v>
      </c>
      <c r="L35" s="212" t="s">
        <v>253</v>
      </c>
      <c r="M35" s="212" t="s">
        <v>235</v>
      </c>
      <c r="N35" s="170" t="s">
        <v>30</v>
      </c>
    </row>
    <row r="36" spans="2:14">
      <c r="B36" s="21" t="s">
        <v>384</v>
      </c>
      <c r="C36" s="150" t="s">
        <v>156</v>
      </c>
      <c r="D36" s="150" t="s">
        <v>156</v>
      </c>
      <c r="E36" s="150" t="s">
        <v>156</v>
      </c>
      <c r="F36" s="150" t="s">
        <v>156</v>
      </c>
      <c r="G36" s="150" t="s">
        <v>156</v>
      </c>
      <c r="H36" s="150" t="s">
        <v>156</v>
      </c>
      <c r="I36" s="150" t="s">
        <v>156</v>
      </c>
      <c r="J36" s="150" t="s">
        <v>156</v>
      </c>
      <c r="K36" s="1" t="s">
        <v>222</v>
      </c>
      <c r="L36" s="212" t="s">
        <v>253</v>
      </c>
      <c r="M36" s="212" t="s">
        <v>236</v>
      </c>
      <c r="N36" s="170" t="s">
        <v>30</v>
      </c>
    </row>
    <row r="37" spans="2:14">
      <c r="B37" s="21" t="s">
        <v>375</v>
      </c>
      <c r="C37" s="150" t="s">
        <v>156</v>
      </c>
      <c r="D37" s="150" t="s">
        <v>156</v>
      </c>
      <c r="E37" s="150" t="s">
        <v>156</v>
      </c>
      <c r="F37" s="150" t="s">
        <v>156</v>
      </c>
      <c r="G37" s="150" t="s">
        <v>156</v>
      </c>
      <c r="H37" s="150" t="s">
        <v>156</v>
      </c>
      <c r="I37" s="150" t="s">
        <v>156</v>
      </c>
      <c r="J37" s="150" t="s">
        <v>156</v>
      </c>
      <c r="K37" s="1" t="s">
        <v>222</v>
      </c>
      <c r="L37" s="212" t="s">
        <v>253</v>
      </c>
      <c r="M37" s="212" t="s">
        <v>247</v>
      </c>
      <c r="N37" s="170" t="s">
        <v>30</v>
      </c>
    </row>
    <row r="38" spans="2:14">
      <c r="B38" s="21" t="s">
        <v>375</v>
      </c>
      <c r="C38" s="150" t="s">
        <v>156</v>
      </c>
      <c r="D38" s="150" t="s">
        <v>156</v>
      </c>
      <c r="E38" s="150" t="s">
        <v>156</v>
      </c>
      <c r="F38" s="150" t="s">
        <v>156</v>
      </c>
      <c r="G38" s="150" t="s">
        <v>156</v>
      </c>
      <c r="H38" s="150" t="s">
        <v>156</v>
      </c>
      <c r="I38" s="150" t="s">
        <v>156</v>
      </c>
      <c r="J38" s="150" t="s">
        <v>156</v>
      </c>
      <c r="K38" s="1" t="s">
        <v>222</v>
      </c>
      <c r="L38" s="212" t="s">
        <v>253</v>
      </c>
      <c r="M38" s="212" t="s">
        <v>248</v>
      </c>
      <c r="N38" s="170" t="s">
        <v>30</v>
      </c>
    </row>
    <row r="39" spans="2:14">
      <c r="B39" s="21" t="s">
        <v>375</v>
      </c>
      <c r="C39" s="150" t="s">
        <v>156</v>
      </c>
      <c r="D39" s="150" t="s">
        <v>156</v>
      </c>
      <c r="E39" s="150" t="s">
        <v>156</v>
      </c>
      <c r="F39" s="150" t="s">
        <v>156</v>
      </c>
      <c r="G39" s="150" t="s">
        <v>156</v>
      </c>
      <c r="H39" s="150" t="s">
        <v>156</v>
      </c>
      <c r="I39" s="150" t="s">
        <v>156</v>
      </c>
      <c r="J39" s="150" t="s">
        <v>156</v>
      </c>
      <c r="K39" s="1" t="s">
        <v>222</v>
      </c>
      <c r="L39" s="212" t="s">
        <v>253</v>
      </c>
      <c r="M39" s="212" t="s">
        <v>249</v>
      </c>
      <c r="N39" s="170" t="s">
        <v>30</v>
      </c>
    </row>
    <row r="40" spans="2:14">
      <c r="B40" s="21" t="s">
        <v>375</v>
      </c>
      <c r="C40" s="150" t="s">
        <v>156</v>
      </c>
      <c r="D40" s="150" t="s">
        <v>156</v>
      </c>
      <c r="E40" s="150" t="s">
        <v>156</v>
      </c>
      <c r="F40" s="150" t="s">
        <v>156</v>
      </c>
      <c r="G40" s="150" t="s">
        <v>156</v>
      </c>
      <c r="H40" s="150" t="s">
        <v>156</v>
      </c>
      <c r="I40" s="150" t="s">
        <v>156</v>
      </c>
      <c r="J40" s="150" t="s">
        <v>156</v>
      </c>
      <c r="K40" s="1" t="s">
        <v>222</v>
      </c>
      <c r="L40" s="212" t="s">
        <v>253</v>
      </c>
      <c r="M40" s="212" t="s">
        <v>250</v>
      </c>
      <c r="N40" s="170" t="s">
        <v>30</v>
      </c>
    </row>
    <row r="41" spans="2:14">
      <c r="B41" s="21" t="s">
        <v>375</v>
      </c>
      <c r="C41" s="150" t="s">
        <v>156</v>
      </c>
      <c r="D41" s="150" t="s">
        <v>156</v>
      </c>
      <c r="E41" s="150" t="s">
        <v>156</v>
      </c>
      <c r="F41" s="150" t="s">
        <v>156</v>
      </c>
      <c r="G41" s="150" t="s">
        <v>156</v>
      </c>
      <c r="H41" s="150" t="s">
        <v>156</v>
      </c>
      <c r="I41" s="150" t="s">
        <v>156</v>
      </c>
      <c r="J41" s="150" t="s">
        <v>156</v>
      </c>
      <c r="K41" s="1" t="s">
        <v>222</v>
      </c>
      <c r="L41" s="212" t="s">
        <v>253</v>
      </c>
      <c r="M41" s="212" t="s">
        <v>251</v>
      </c>
      <c r="N41" s="170" t="s">
        <v>30</v>
      </c>
    </row>
    <row r="42" spans="2:14">
      <c r="B42" s="21" t="s">
        <v>385</v>
      </c>
      <c r="C42" s="150" t="s">
        <v>156</v>
      </c>
      <c r="D42" s="150" t="s">
        <v>156</v>
      </c>
      <c r="E42" s="150" t="s">
        <v>156</v>
      </c>
      <c r="F42" s="150" t="s">
        <v>156</v>
      </c>
      <c r="G42" s="150" t="s">
        <v>156</v>
      </c>
      <c r="H42" s="150" t="s">
        <v>156</v>
      </c>
      <c r="I42" s="150" t="s">
        <v>156</v>
      </c>
      <c r="J42" s="150" t="s">
        <v>156</v>
      </c>
      <c r="K42" s="1" t="s">
        <v>222</v>
      </c>
      <c r="L42" s="212" t="s">
        <v>225</v>
      </c>
      <c r="M42" s="212" t="s">
        <v>223</v>
      </c>
      <c r="N42" s="170" t="s">
        <v>243</v>
      </c>
    </row>
    <row r="43" spans="2:14">
      <c r="B43" s="21" t="s">
        <v>386</v>
      </c>
      <c r="C43" s="150" t="s">
        <v>156</v>
      </c>
      <c r="D43" s="150" t="s">
        <v>156</v>
      </c>
      <c r="E43" s="150" t="s">
        <v>156</v>
      </c>
      <c r="F43" s="150" t="s">
        <v>156</v>
      </c>
      <c r="G43" s="150" t="s">
        <v>156</v>
      </c>
      <c r="H43" s="150" t="s">
        <v>156</v>
      </c>
      <c r="I43" s="150" t="s">
        <v>156</v>
      </c>
      <c r="J43" s="150" t="s">
        <v>156</v>
      </c>
      <c r="K43" s="1" t="s">
        <v>222</v>
      </c>
      <c r="L43" s="212" t="s">
        <v>225</v>
      </c>
      <c r="M43" s="212" t="s">
        <v>253</v>
      </c>
      <c r="N43" s="170" t="s">
        <v>243</v>
      </c>
    </row>
    <row r="44" spans="2:14">
      <c r="B44" s="21" t="s">
        <v>387</v>
      </c>
      <c r="C44" s="150" t="s">
        <v>156</v>
      </c>
      <c r="D44" s="150" t="s">
        <v>156</v>
      </c>
      <c r="E44" s="150" t="s">
        <v>156</v>
      </c>
      <c r="F44" s="150" t="s">
        <v>156</v>
      </c>
      <c r="G44" s="150" t="s">
        <v>156</v>
      </c>
      <c r="H44" s="150" t="s">
        <v>156</v>
      </c>
      <c r="I44" s="150" t="s">
        <v>156</v>
      </c>
      <c r="J44" s="150" t="s">
        <v>156</v>
      </c>
      <c r="K44" s="1" t="s">
        <v>222</v>
      </c>
      <c r="L44" s="212" t="s">
        <v>225</v>
      </c>
      <c r="M44" s="212" t="s">
        <v>225</v>
      </c>
      <c r="N44" s="170" t="s">
        <v>243</v>
      </c>
    </row>
    <row r="45" spans="2:14">
      <c r="B45" s="21" t="s">
        <v>388</v>
      </c>
      <c r="C45" s="150" t="s">
        <v>156</v>
      </c>
      <c r="D45" s="150" t="s">
        <v>156</v>
      </c>
      <c r="E45" s="150" t="s">
        <v>156</v>
      </c>
      <c r="F45" s="150" t="s">
        <v>156</v>
      </c>
      <c r="G45" s="150" t="s">
        <v>156</v>
      </c>
      <c r="H45" s="150" t="s">
        <v>156</v>
      </c>
      <c r="I45" s="150" t="s">
        <v>156</v>
      </c>
      <c r="J45" s="150" t="s">
        <v>156</v>
      </c>
      <c r="K45" s="1" t="s">
        <v>222</v>
      </c>
      <c r="L45" s="212" t="s">
        <v>225</v>
      </c>
      <c r="M45" s="212" t="s">
        <v>227</v>
      </c>
      <c r="N45" s="170" t="s">
        <v>243</v>
      </c>
    </row>
    <row r="46" spans="2:14">
      <c r="B46" s="21" t="s">
        <v>389</v>
      </c>
      <c r="C46" s="150" t="s">
        <v>156</v>
      </c>
      <c r="D46" s="150" t="s">
        <v>156</v>
      </c>
      <c r="E46" s="150" t="s">
        <v>156</v>
      </c>
      <c r="F46" s="150" t="s">
        <v>156</v>
      </c>
      <c r="G46" s="150" t="s">
        <v>156</v>
      </c>
      <c r="H46" s="150" t="s">
        <v>156</v>
      </c>
      <c r="I46" s="150" t="s">
        <v>156</v>
      </c>
      <c r="J46" s="150" t="s">
        <v>156</v>
      </c>
      <c r="K46" s="1" t="s">
        <v>222</v>
      </c>
      <c r="L46" s="212" t="s">
        <v>225</v>
      </c>
      <c r="M46" s="212" t="s">
        <v>238</v>
      </c>
      <c r="N46" s="170" t="s">
        <v>243</v>
      </c>
    </row>
    <row r="47" spans="2:14">
      <c r="B47" s="21" t="s">
        <v>390</v>
      </c>
      <c r="C47" s="150" t="s">
        <v>156</v>
      </c>
      <c r="D47" s="150" t="s">
        <v>156</v>
      </c>
      <c r="E47" s="150" t="s">
        <v>156</v>
      </c>
      <c r="F47" s="150" t="s">
        <v>156</v>
      </c>
      <c r="G47" s="150" t="s">
        <v>156</v>
      </c>
      <c r="H47" s="150" t="s">
        <v>156</v>
      </c>
      <c r="I47" s="150" t="s">
        <v>156</v>
      </c>
      <c r="J47" s="150" t="s">
        <v>156</v>
      </c>
      <c r="K47" s="1" t="s">
        <v>222</v>
      </c>
      <c r="L47" s="212" t="s">
        <v>225</v>
      </c>
      <c r="M47" s="212" t="s">
        <v>230</v>
      </c>
      <c r="N47" s="170" t="s">
        <v>243</v>
      </c>
    </row>
    <row r="48" spans="2:14">
      <c r="B48" s="21" t="s">
        <v>391</v>
      </c>
      <c r="C48" s="150" t="s">
        <v>156</v>
      </c>
      <c r="D48" s="150" t="s">
        <v>156</v>
      </c>
      <c r="E48" s="150" t="s">
        <v>156</v>
      </c>
      <c r="F48" s="150" t="s">
        <v>156</v>
      </c>
      <c r="G48" s="150" t="s">
        <v>156</v>
      </c>
      <c r="H48" s="150" t="s">
        <v>156</v>
      </c>
      <c r="I48" s="150" t="s">
        <v>156</v>
      </c>
      <c r="J48" s="150" t="s">
        <v>156</v>
      </c>
      <c r="K48" s="1" t="s">
        <v>222</v>
      </c>
      <c r="L48" s="212" t="s">
        <v>225</v>
      </c>
      <c r="M48" s="212" t="s">
        <v>232</v>
      </c>
      <c r="N48" s="170" t="s">
        <v>243</v>
      </c>
    </row>
    <row r="49" spans="2:14">
      <c r="B49" s="21" t="s">
        <v>392</v>
      </c>
      <c r="C49" s="150" t="s">
        <v>156</v>
      </c>
      <c r="D49" s="150" t="s">
        <v>156</v>
      </c>
      <c r="E49" s="150" t="s">
        <v>156</v>
      </c>
      <c r="F49" s="150" t="s">
        <v>156</v>
      </c>
      <c r="G49" s="150" t="s">
        <v>156</v>
      </c>
      <c r="H49" s="150" t="s">
        <v>156</v>
      </c>
      <c r="I49" s="150" t="s">
        <v>156</v>
      </c>
      <c r="J49" s="150" t="s">
        <v>156</v>
      </c>
      <c r="K49" s="1" t="s">
        <v>222</v>
      </c>
      <c r="L49" s="212" t="s">
        <v>225</v>
      </c>
      <c r="M49" s="212" t="s">
        <v>233</v>
      </c>
      <c r="N49" s="170" t="s">
        <v>243</v>
      </c>
    </row>
    <row r="50" spans="2:14">
      <c r="B50" s="21" t="s">
        <v>393</v>
      </c>
      <c r="C50" s="150" t="s">
        <v>156</v>
      </c>
      <c r="D50" s="150" t="s">
        <v>156</v>
      </c>
      <c r="E50" s="150" t="s">
        <v>156</v>
      </c>
      <c r="F50" s="150" t="s">
        <v>156</v>
      </c>
      <c r="G50" s="150" t="s">
        <v>156</v>
      </c>
      <c r="H50" s="150" t="s">
        <v>156</v>
      </c>
      <c r="I50" s="150" t="s">
        <v>156</v>
      </c>
      <c r="J50" s="150" t="s">
        <v>156</v>
      </c>
      <c r="K50" s="1" t="s">
        <v>222</v>
      </c>
      <c r="L50" s="212" t="s">
        <v>225</v>
      </c>
      <c r="M50" s="212" t="s">
        <v>234</v>
      </c>
      <c r="N50" s="170" t="s">
        <v>243</v>
      </c>
    </row>
    <row r="51" spans="2:14">
      <c r="B51" s="21" t="s">
        <v>394</v>
      </c>
      <c r="C51" s="150" t="s">
        <v>156</v>
      </c>
      <c r="D51" s="150" t="s">
        <v>156</v>
      </c>
      <c r="E51" s="150" t="s">
        <v>156</v>
      </c>
      <c r="F51" s="150" t="s">
        <v>156</v>
      </c>
      <c r="G51" s="150" t="s">
        <v>156</v>
      </c>
      <c r="H51" s="150" t="s">
        <v>156</v>
      </c>
      <c r="I51" s="150" t="s">
        <v>156</v>
      </c>
      <c r="J51" s="150" t="s">
        <v>156</v>
      </c>
      <c r="K51" s="1" t="s">
        <v>222</v>
      </c>
      <c r="L51" s="212" t="s">
        <v>225</v>
      </c>
      <c r="M51" s="212" t="s">
        <v>235</v>
      </c>
      <c r="N51" s="170" t="s">
        <v>243</v>
      </c>
    </row>
    <row r="52" spans="2:14">
      <c r="B52" s="21" t="s">
        <v>395</v>
      </c>
      <c r="C52" s="150" t="s">
        <v>156</v>
      </c>
      <c r="D52" s="150" t="s">
        <v>156</v>
      </c>
      <c r="E52" s="150" t="s">
        <v>156</v>
      </c>
      <c r="F52" s="150" t="s">
        <v>156</v>
      </c>
      <c r="G52" s="150" t="s">
        <v>156</v>
      </c>
      <c r="H52" s="150" t="s">
        <v>156</v>
      </c>
      <c r="I52" s="150" t="s">
        <v>156</v>
      </c>
      <c r="J52" s="150" t="s">
        <v>156</v>
      </c>
      <c r="K52" s="1" t="s">
        <v>222</v>
      </c>
      <c r="L52" s="212" t="s">
        <v>225</v>
      </c>
      <c r="M52" s="212" t="s">
        <v>236</v>
      </c>
      <c r="N52" s="170" t="s">
        <v>243</v>
      </c>
    </row>
    <row r="53" spans="2:14">
      <c r="B53" s="21" t="s">
        <v>386</v>
      </c>
      <c r="C53" s="150" t="s">
        <v>156</v>
      </c>
      <c r="D53" s="150" t="s">
        <v>156</v>
      </c>
      <c r="E53" s="150" t="s">
        <v>156</v>
      </c>
      <c r="F53" s="150" t="s">
        <v>156</v>
      </c>
      <c r="G53" s="150" t="s">
        <v>156</v>
      </c>
      <c r="H53" s="150" t="s">
        <v>156</v>
      </c>
      <c r="I53" s="150" t="s">
        <v>156</v>
      </c>
      <c r="J53" s="150" t="s">
        <v>156</v>
      </c>
      <c r="K53" s="1" t="s">
        <v>222</v>
      </c>
      <c r="L53" s="212" t="s">
        <v>225</v>
      </c>
      <c r="M53" s="212" t="s">
        <v>247</v>
      </c>
      <c r="N53" s="170" t="s">
        <v>243</v>
      </c>
    </row>
    <row r="54" spans="2:14">
      <c r="B54" s="21" t="s">
        <v>386</v>
      </c>
      <c r="C54" s="150" t="s">
        <v>156</v>
      </c>
      <c r="D54" s="150" t="s">
        <v>156</v>
      </c>
      <c r="E54" s="150" t="s">
        <v>156</v>
      </c>
      <c r="F54" s="150" t="s">
        <v>156</v>
      </c>
      <c r="G54" s="150" t="s">
        <v>156</v>
      </c>
      <c r="H54" s="150" t="s">
        <v>156</v>
      </c>
      <c r="I54" s="150" t="s">
        <v>156</v>
      </c>
      <c r="J54" s="150" t="s">
        <v>156</v>
      </c>
      <c r="K54" s="1" t="s">
        <v>222</v>
      </c>
      <c r="L54" s="212" t="s">
        <v>225</v>
      </c>
      <c r="M54" s="212" t="s">
        <v>248</v>
      </c>
      <c r="N54" s="170" t="s">
        <v>243</v>
      </c>
    </row>
    <row r="55" spans="2:14">
      <c r="B55" s="21" t="s">
        <v>386</v>
      </c>
      <c r="C55" s="150" t="s">
        <v>156</v>
      </c>
      <c r="D55" s="150" t="s">
        <v>156</v>
      </c>
      <c r="E55" s="150" t="s">
        <v>156</v>
      </c>
      <c r="F55" s="150" t="s">
        <v>156</v>
      </c>
      <c r="G55" s="150" t="s">
        <v>156</v>
      </c>
      <c r="H55" s="150" t="s">
        <v>156</v>
      </c>
      <c r="I55" s="150" t="s">
        <v>156</v>
      </c>
      <c r="J55" s="150" t="s">
        <v>156</v>
      </c>
      <c r="K55" s="1" t="s">
        <v>222</v>
      </c>
      <c r="L55" s="212" t="s">
        <v>225</v>
      </c>
      <c r="M55" s="212" t="s">
        <v>249</v>
      </c>
      <c r="N55" s="170" t="s">
        <v>243</v>
      </c>
    </row>
    <row r="56" spans="2:14">
      <c r="B56" s="21" t="s">
        <v>386</v>
      </c>
      <c r="C56" s="150" t="s">
        <v>156</v>
      </c>
      <c r="D56" s="150" t="s">
        <v>156</v>
      </c>
      <c r="E56" s="150" t="s">
        <v>156</v>
      </c>
      <c r="F56" s="150" t="s">
        <v>156</v>
      </c>
      <c r="G56" s="150" t="s">
        <v>156</v>
      </c>
      <c r="H56" s="150" t="s">
        <v>156</v>
      </c>
      <c r="I56" s="150" t="s">
        <v>156</v>
      </c>
      <c r="J56" s="150" t="s">
        <v>156</v>
      </c>
      <c r="K56" s="1" t="s">
        <v>222</v>
      </c>
      <c r="L56" s="212" t="s">
        <v>225</v>
      </c>
      <c r="M56" s="212" t="s">
        <v>250</v>
      </c>
      <c r="N56" s="170" t="s">
        <v>243</v>
      </c>
    </row>
    <row r="57" spans="2:14">
      <c r="B57" s="21" t="s">
        <v>386</v>
      </c>
      <c r="C57" s="150" t="s">
        <v>156</v>
      </c>
      <c r="D57" s="150" t="s">
        <v>156</v>
      </c>
      <c r="E57" s="150" t="s">
        <v>156</v>
      </c>
      <c r="F57" s="150" t="s">
        <v>156</v>
      </c>
      <c r="G57" s="150" t="s">
        <v>156</v>
      </c>
      <c r="H57" s="150" t="s">
        <v>156</v>
      </c>
      <c r="I57" s="150" t="s">
        <v>156</v>
      </c>
      <c r="J57" s="150" t="s">
        <v>156</v>
      </c>
      <c r="K57" s="1" t="s">
        <v>222</v>
      </c>
      <c r="L57" s="212" t="s">
        <v>225</v>
      </c>
      <c r="M57" s="212" t="s">
        <v>251</v>
      </c>
      <c r="N57" s="170" t="s">
        <v>243</v>
      </c>
    </row>
    <row r="58" spans="2:14">
      <c r="B58" s="21" t="s">
        <v>396</v>
      </c>
      <c r="C58" s="150" t="s">
        <v>156</v>
      </c>
      <c r="D58" s="150" t="s">
        <v>156</v>
      </c>
      <c r="E58" s="150" t="s">
        <v>156</v>
      </c>
      <c r="F58" s="150" t="s">
        <v>156</v>
      </c>
      <c r="G58" s="150" t="s">
        <v>156</v>
      </c>
      <c r="H58" s="150" t="s">
        <v>156</v>
      </c>
      <c r="I58" s="150" t="s">
        <v>156</v>
      </c>
      <c r="J58" s="150" t="s">
        <v>156</v>
      </c>
      <c r="K58" s="1" t="s">
        <v>222</v>
      </c>
      <c r="L58" s="212" t="s">
        <v>227</v>
      </c>
      <c r="M58" s="212" t="s">
        <v>223</v>
      </c>
      <c r="N58" s="170" t="s">
        <v>244</v>
      </c>
    </row>
    <row r="59" spans="2:14">
      <c r="B59" s="21" t="s">
        <v>397</v>
      </c>
      <c r="C59" s="150" t="s">
        <v>156</v>
      </c>
      <c r="D59" s="150" t="s">
        <v>156</v>
      </c>
      <c r="E59" s="150" t="s">
        <v>156</v>
      </c>
      <c r="F59" s="150" t="s">
        <v>156</v>
      </c>
      <c r="G59" s="150" t="s">
        <v>156</v>
      </c>
      <c r="H59" s="150" t="s">
        <v>156</v>
      </c>
      <c r="I59" s="150" t="s">
        <v>156</v>
      </c>
      <c r="J59" s="150" t="s">
        <v>156</v>
      </c>
      <c r="K59" s="1" t="s">
        <v>222</v>
      </c>
      <c r="L59" s="212" t="s">
        <v>227</v>
      </c>
      <c r="M59" s="212" t="s">
        <v>253</v>
      </c>
      <c r="N59" s="170" t="s">
        <v>244</v>
      </c>
    </row>
    <row r="60" spans="2:14">
      <c r="B60" s="21" t="s">
        <v>398</v>
      </c>
      <c r="C60" s="150" t="s">
        <v>156</v>
      </c>
      <c r="D60" s="150" t="s">
        <v>156</v>
      </c>
      <c r="E60" s="150" t="s">
        <v>156</v>
      </c>
      <c r="F60" s="150" t="s">
        <v>156</v>
      </c>
      <c r="G60" s="150" t="s">
        <v>156</v>
      </c>
      <c r="H60" s="150" t="s">
        <v>156</v>
      </c>
      <c r="I60" s="150" t="s">
        <v>156</v>
      </c>
      <c r="J60" s="150" t="s">
        <v>156</v>
      </c>
      <c r="K60" s="1" t="s">
        <v>222</v>
      </c>
      <c r="L60" s="212" t="s">
        <v>227</v>
      </c>
      <c r="M60" s="212" t="s">
        <v>225</v>
      </c>
      <c r="N60" s="170" t="s">
        <v>244</v>
      </c>
    </row>
    <row r="61" spans="2:14">
      <c r="B61" s="21" t="s">
        <v>399</v>
      </c>
      <c r="C61" s="150" t="s">
        <v>156</v>
      </c>
      <c r="D61" s="150" t="s">
        <v>156</v>
      </c>
      <c r="E61" s="150" t="s">
        <v>156</v>
      </c>
      <c r="F61" s="150" t="s">
        <v>156</v>
      </c>
      <c r="G61" s="150" t="s">
        <v>156</v>
      </c>
      <c r="H61" s="150" t="s">
        <v>156</v>
      </c>
      <c r="I61" s="150" t="s">
        <v>156</v>
      </c>
      <c r="J61" s="150" t="s">
        <v>156</v>
      </c>
      <c r="K61" s="1" t="s">
        <v>222</v>
      </c>
      <c r="L61" s="212" t="s">
        <v>227</v>
      </c>
      <c r="M61" s="212" t="s">
        <v>227</v>
      </c>
      <c r="N61" s="170" t="s">
        <v>244</v>
      </c>
    </row>
    <row r="62" spans="2:14">
      <c r="B62" s="21" t="s">
        <v>400</v>
      </c>
      <c r="C62" s="150" t="s">
        <v>156</v>
      </c>
      <c r="D62" s="150" t="s">
        <v>156</v>
      </c>
      <c r="E62" s="150" t="s">
        <v>156</v>
      </c>
      <c r="F62" s="150" t="s">
        <v>156</v>
      </c>
      <c r="G62" s="150" t="s">
        <v>156</v>
      </c>
      <c r="H62" s="150" t="s">
        <v>156</v>
      </c>
      <c r="I62" s="150" t="s">
        <v>156</v>
      </c>
      <c r="J62" s="150" t="s">
        <v>156</v>
      </c>
      <c r="K62" s="1" t="s">
        <v>222</v>
      </c>
      <c r="L62" s="212" t="s">
        <v>227</v>
      </c>
      <c r="M62" s="212" t="s">
        <v>238</v>
      </c>
      <c r="N62" s="170" t="s">
        <v>244</v>
      </c>
    </row>
    <row r="63" spans="2:14">
      <c r="B63" s="21" t="s">
        <v>401</v>
      </c>
      <c r="C63" s="150" t="s">
        <v>156</v>
      </c>
      <c r="D63" s="150" t="s">
        <v>156</v>
      </c>
      <c r="E63" s="150" t="s">
        <v>156</v>
      </c>
      <c r="F63" s="150" t="s">
        <v>156</v>
      </c>
      <c r="G63" s="150" t="s">
        <v>156</v>
      </c>
      <c r="H63" s="150" t="s">
        <v>156</v>
      </c>
      <c r="I63" s="150" t="s">
        <v>156</v>
      </c>
      <c r="J63" s="150" t="s">
        <v>156</v>
      </c>
      <c r="K63" s="1" t="s">
        <v>222</v>
      </c>
      <c r="L63" s="212" t="s">
        <v>227</v>
      </c>
      <c r="M63" s="212" t="s">
        <v>230</v>
      </c>
      <c r="N63" s="170" t="s">
        <v>244</v>
      </c>
    </row>
    <row r="64" spans="2:14">
      <c r="B64" s="21" t="s">
        <v>402</v>
      </c>
      <c r="C64" s="150" t="s">
        <v>156</v>
      </c>
      <c r="D64" s="150" t="s">
        <v>156</v>
      </c>
      <c r="E64" s="150" t="s">
        <v>156</v>
      </c>
      <c r="F64" s="150" t="s">
        <v>156</v>
      </c>
      <c r="G64" s="150" t="s">
        <v>156</v>
      </c>
      <c r="H64" s="150" t="s">
        <v>156</v>
      </c>
      <c r="I64" s="150" t="s">
        <v>156</v>
      </c>
      <c r="J64" s="150" t="s">
        <v>156</v>
      </c>
      <c r="K64" s="1" t="s">
        <v>222</v>
      </c>
      <c r="L64" s="212" t="s">
        <v>227</v>
      </c>
      <c r="M64" s="212" t="s">
        <v>232</v>
      </c>
      <c r="N64" s="170" t="s">
        <v>244</v>
      </c>
    </row>
    <row r="65" spans="2:14">
      <c r="B65" s="21" t="s">
        <v>403</v>
      </c>
      <c r="C65" s="150" t="s">
        <v>156</v>
      </c>
      <c r="D65" s="150" t="s">
        <v>156</v>
      </c>
      <c r="E65" s="150" t="s">
        <v>156</v>
      </c>
      <c r="F65" s="150" t="s">
        <v>156</v>
      </c>
      <c r="G65" s="150" t="s">
        <v>156</v>
      </c>
      <c r="H65" s="150" t="s">
        <v>156</v>
      </c>
      <c r="I65" s="150" t="s">
        <v>156</v>
      </c>
      <c r="J65" s="150" t="s">
        <v>156</v>
      </c>
      <c r="K65" s="1" t="s">
        <v>222</v>
      </c>
      <c r="L65" s="212" t="s">
        <v>227</v>
      </c>
      <c r="M65" s="212" t="s">
        <v>233</v>
      </c>
      <c r="N65" s="170" t="s">
        <v>244</v>
      </c>
    </row>
    <row r="66" spans="2:14">
      <c r="B66" s="21" t="s">
        <v>404</v>
      </c>
      <c r="C66" s="150" t="s">
        <v>156</v>
      </c>
      <c r="D66" s="150" t="s">
        <v>156</v>
      </c>
      <c r="E66" s="150" t="s">
        <v>156</v>
      </c>
      <c r="F66" s="150" t="s">
        <v>156</v>
      </c>
      <c r="G66" s="150" t="s">
        <v>156</v>
      </c>
      <c r="H66" s="150" t="s">
        <v>156</v>
      </c>
      <c r="I66" s="150" t="s">
        <v>156</v>
      </c>
      <c r="J66" s="150" t="s">
        <v>156</v>
      </c>
      <c r="K66" s="1" t="s">
        <v>222</v>
      </c>
      <c r="L66" s="212" t="s">
        <v>227</v>
      </c>
      <c r="M66" s="212" t="s">
        <v>234</v>
      </c>
      <c r="N66" s="170" t="s">
        <v>244</v>
      </c>
    </row>
    <row r="67" spans="2:14">
      <c r="B67" s="21" t="s">
        <v>405</v>
      </c>
      <c r="C67" s="150" t="s">
        <v>156</v>
      </c>
      <c r="D67" s="150" t="s">
        <v>156</v>
      </c>
      <c r="E67" s="150" t="s">
        <v>156</v>
      </c>
      <c r="F67" s="150" t="s">
        <v>156</v>
      </c>
      <c r="G67" s="150" t="s">
        <v>156</v>
      </c>
      <c r="H67" s="150" t="s">
        <v>156</v>
      </c>
      <c r="I67" s="150" t="s">
        <v>156</v>
      </c>
      <c r="J67" s="150" t="s">
        <v>156</v>
      </c>
      <c r="K67" s="1" t="s">
        <v>222</v>
      </c>
      <c r="L67" s="212" t="s">
        <v>227</v>
      </c>
      <c r="M67" s="212" t="s">
        <v>235</v>
      </c>
      <c r="N67" s="170" t="s">
        <v>244</v>
      </c>
    </row>
    <row r="68" spans="2:14">
      <c r="B68" s="21" t="s">
        <v>406</v>
      </c>
      <c r="C68" s="150" t="s">
        <v>156</v>
      </c>
      <c r="D68" s="150" t="s">
        <v>156</v>
      </c>
      <c r="E68" s="150" t="s">
        <v>156</v>
      </c>
      <c r="F68" s="150" t="s">
        <v>156</v>
      </c>
      <c r="G68" s="150" t="s">
        <v>156</v>
      </c>
      <c r="H68" s="150" t="s">
        <v>156</v>
      </c>
      <c r="I68" s="150" t="s">
        <v>156</v>
      </c>
      <c r="J68" s="150" t="s">
        <v>156</v>
      </c>
      <c r="K68" s="1" t="s">
        <v>222</v>
      </c>
      <c r="L68" s="212" t="s">
        <v>227</v>
      </c>
      <c r="M68" s="212" t="s">
        <v>236</v>
      </c>
      <c r="N68" s="170" t="s">
        <v>244</v>
      </c>
    </row>
    <row r="69" spans="2:14">
      <c r="B69" s="21" t="s">
        <v>397</v>
      </c>
      <c r="C69" s="150" t="s">
        <v>156</v>
      </c>
      <c r="D69" s="150" t="s">
        <v>156</v>
      </c>
      <c r="E69" s="150" t="s">
        <v>156</v>
      </c>
      <c r="F69" s="150" t="s">
        <v>156</v>
      </c>
      <c r="G69" s="150" t="s">
        <v>156</v>
      </c>
      <c r="H69" s="150" t="s">
        <v>156</v>
      </c>
      <c r="I69" s="150" t="s">
        <v>156</v>
      </c>
      <c r="J69" s="150" t="s">
        <v>156</v>
      </c>
      <c r="K69" s="1" t="s">
        <v>222</v>
      </c>
      <c r="L69" s="212" t="s">
        <v>227</v>
      </c>
      <c r="M69" s="212" t="s">
        <v>247</v>
      </c>
      <c r="N69" s="170" t="s">
        <v>244</v>
      </c>
    </row>
    <row r="70" spans="2:14">
      <c r="B70" s="21" t="s">
        <v>397</v>
      </c>
      <c r="C70" s="150" t="s">
        <v>156</v>
      </c>
      <c r="D70" s="150" t="s">
        <v>156</v>
      </c>
      <c r="E70" s="150" t="s">
        <v>156</v>
      </c>
      <c r="F70" s="150" t="s">
        <v>156</v>
      </c>
      <c r="G70" s="150" t="s">
        <v>156</v>
      </c>
      <c r="H70" s="150" t="s">
        <v>156</v>
      </c>
      <c r="I70" s="150" t="s">
        <v>156</v>
      </c>
      <c r="J70" s="150" t="s">
        <v>156</v>
      </c>
      <c r="K70" s="1" t="s">
        <v>222</v>
      </c>
      <c r="L70" s="212" t="s">
        <v>227</v>
      </c>
      <c r="M70" s="212" t="s">
        <v>248</v>
      </c>
      <c r="N70" s="170" t="s">
        <v>244</v>
      </c>
    </row>
    <row r="71" spans="2:14">
      <c r="B71" s="21" t="s">
        <v>397</v>
      </c>
      <c r="C71" s="150" t="s">
        <v>156</v>
      </c>
      <c r="D71" s="150" t="s">
        <v>156</v>
      </c>
      <c r="E71" s="150" t="s">
        <v>156</v>
      </c>
      <c r="F71" s="150" t="s">
        <v>156</v>
      </c>
      <c r="G71" s="150" t="s">
        <v>156</v>
      </c>
      <c r="H71" s="150" t="s">
        <v>156</v>
      </c>
      <c r="I71" s="150" t="s">
        <v>156</v>
      </c>
      <c r="J71" s="150" t="s">
        <v>156</v>
      </c>
      <c r="K71" s="1" t="s">
        <v>222</v>
      </c>
      <c r="L71" s="212" t="s">
        <v>227</v>
      </c>
      <c r="M71" s="212" t="s">
        <v>249</v>
      </c>
      <c r="N71" s="170" t="s">
        <v>244</v>
      </c>
    </row>
    <row r="72" spans="2:14">
      <c r="B72" s="21" t="s">
        <v>397</v>
      </c>
      <c r="C72" s="150" t="s">
        <v>156</v>
      </c>
      <c r="D72" s="150" t="s">
        <v>156</v>
      </c>
      <c r="E72" s="150" t="s">
        <v>156</v>
      </c>
      <c r="F72" s="150" t="s">
        <v>156</v>
      </c>
      <c r="G72" s="150" t="s">
        <v>156</v>
      </c>
      <c r="H72" s="150" t="s">
        <v>156</v>
      </c>
      <c r="I72" s="150" t="s">
        <v>156</v>
      </c>
      <c r="J72" s="150" t="s">
        <v>156</v>
      </c>
      <c r="K72" s="1" t="s">
        <v>222</v>
      </c>
      <c r="L72" s="212" t="s">
        <v>227</v>
      </c>
      <c r="M72" s="212" t="s">
        <v>250</v>
      </c>
      <c r="N72" s="170" t="s">
        <v>244</v>
      </c>
    </row>
    <row r="73" spans="2:14">
      <c r="B73" s="21" t="s">
        <v>397</v>
      </c>
      <c r="C73" s="150" t="s">
        <v>156</v>
      </c>
      <c r="D73" s="150" t="s">
        <v>156</v>
      </c>
      <c r="E73" s="150" t="s">
        <v>156</v>
      </c>
      <c r="F73" s="150" t="s">
        <v>156</v>
      </c>
      <c r="G73" s="150" t="s">
        <v>156</v>
      </c>
      <c r="H73" s="150" t="s">
        <v>156</v>
      </c>
      <c r="I73" s="150" t="s">
        <v>156</v>
      </c>
      <c r="J73" s="150" t="s">
        <v>156</v>
      </c>
      <c r="K73" s="1" t="s">
        <v>222</v>
      </c>
      <c r="L73" s="212" t="s">
        <v>227</v>
      </c>
      <c r="M73" s="212" t="s">
        <v>251</v>
      </c>
      <c r="N73" s="170" t="s">
        <v>244</v>
      </c>
    </row>
    <row r="74" spans="2:14">
      <c r="B74" s="21" t="s">
        <v>407</v>
      </c>
      <c r="C74" s="150" t="s">
        <v>156</v>
      </c>
      <c r="D74" s="150" t="s">
        <v>156</v>
      </c>
      <c r="E74" s="150" t="s">
        <v>156</v>
      </c>
      <c r="F74" s="150" t="s">
        <v>156</v>
      </c>
      <c r="G74" s="150" t="s">
        <v>156</v>
      </c>
      <c r="H74" s="150" t="s">
        <v>156</v>
      </c>
      <c r="I74" s="150" t="s">
        <v>156</v>
      </c>
      <c r="J74" s="150" t="s">
        <v>156</v>
      </c>
      <c r="K74" s="1" t="s">
        <v>222</v>
      </c>
      <c r="L74" s="212" t="s">
        <v>238</v>
      </c>
      <c r="M74" s="212" t="s">
        <v>223</v>
      </c>
      <c r="N74" s="170" t="s">
        <v>245</v>
      </c>
    </row>
    <row r="75" spans="2:14">
      <c r="B75" s="21" t="s">
        <v>408</v>
      </c>
      <c r="C75" s="150" t="s">
        <v>156</v>
      </c>
      <c r="D75" s="150" t="s">
        <v>156</v>
      </c>
      <c r="E75" s="150" t="s">
        <v>156</v>
      </c>
      <c r="F75" s="150" t="s">
        <v>156</v>
      </c>
      <c r="G75" s="150" t="s">
        <v>156</v>
      </c>
      <c r="H75" s="150" t="s">
        <v>156</v>
      </c>
      <c r="I75" s="150" t="s">
        <v>156</v>
      </c>
      <c r="J75" s="150" t="s">
        <v>156</v>
      </c>
      <c r="K75" s="1" t="s">
        <v>222</v>
      </c>
      <c r="L75" s="212" t="s">
        <v>238</v>
      </c>
      <c r="M75" s="212" t="s">
        <v>253</v>
      </c>
      <c r="N75" s="170" t="s">
        <v>245</v>
      </c>
    </row>
    <row r="76" spans="2:14">
      <c r="B76" s="21" t="s">
        <v>409</v>
      </c>
      <c r="C76" s="150" t="s">
        <v>156</v>
      </c>
      <c r="D76" s="150" t="s">
        <v>156</v>
      </c>
      <c r="E76" s="150" t="s">
        <v>156</v>
      </c>
      <c r="F76" s="150" t="s">
        <v>156</v>
      </c>
      <c r="G76" s="150" t="s">
        <v>156</v>
      </c>
      <c r="H76" s="150" t="s">
        <v>156</v>
      </c>
      <c r="I76" s="150" t="s">
        <v>156</v>
      </c>
      <c r="J76" s="150" t="s">
        <v>156</v>
      </c>
      <c r="K76" s="1" t="s">
        <v>222</v>
      </c>
      <c r="L76" s="212" t="s">
        <v>238</v>
      </c>
      <c r="M76" s="212" t="s">
        <v>225</v>
      </c>
      <c r="N76" s="170" t="s">
        <v>245</v>
      </c>
    </row>
    <row r="77" spans="2:14">
      <c r="B77" s="21" t="s">
        <v>410</v>
      </c>
      <c r="C77" s="150" t="s">
        <v>156</v>
      </c>
      <c r="D77" s="150" t="s">
        <v>156</v>
      </c>
      <c r="E77" s="150" t="s">
        <v>156</v>
      </c>
      <c r="F77" s="150" t="s">
        <v>156</v>
      </c>
      <c r="G77" s="150" t="s">
        <v>156</v>
      </c>
      <c r="H77" s="150" t="s">
        <v>156</v>
      </c>
      <c r="I77" s="150" t="s">
        <v>156</v>
      </c>
      <c r="J77" s="150" t="s">
        <v>156</v>
      </c>
      <c r="K77" s="1" t="s">
        <v>222</v>
      </c>
      <c r="L77" s="212" t="s">
        <v>238</v>
      </c>
      <c r="M77" s="212" t="s">
        <v>227</v>
      </c>
      <c r="N77" s="170" t="s">
        <v>245</v>
      </c>
    </row>
    <row r="78" spans="2:14">
      <c r="B78" s="21" t="s">
        <v>411</v>
      </c>
      <c r="C78" s="150" t="s">
        <v>156</v>
      </c>
      <c r="D78" s="150" t="s">
        <v>156</v>
      </c>
      <c r="E78" s="150" t="s">
        <v>156</v>
      </c>
      <c r="F78" s="150" t="s">
        <v>156</v>
      </c>
      <c r="G78" s="150" t="s">
        <v>156</v>
      </c>
      <c r="H78" s="150" t="s">
        <v>156</v>
      </c>
      <c r="I78" s="150" t="s">
        <v>156</v>
      </c>
      <c r="J78" s="150" t="s">
        <v>156</v>
      </c>
      <c r="K78" s="1" t="s">
        <v>222</v>
      </c>
      <c r="L78" s="212" t="s">
        <v>238</v>
      </c>
      <c r="M78" s="212" t="s">
        <v>238</v>
      </c>
      <c r="N78" s="170" t="s">
        <v>30</v>
      </c>
    </row>
    <row r="79" spans="2:14">
      <c r="B79" s="21" t="s">
        <v>412</v>
      </c>
      <c r="C79" s="150" t="s">
        <v>156</v>
      </c>
      <c r="D79" s="150" t="s">
        <v>156</v>
      </c>
      <c r="E79" s="150" t="s">
        <v>156</v>
      </c>
      <c r="F79" s="150" t="s">
        <v>156</v>
      </c>
      <c r="G79" s="150" t="s">
        <v>156</v>
      </c>
      <c r="H79" s="150" t="s">
        <v>156</v>
      </c>
      <c r="I79" s="150" t="s">
        <v>156</v>
      </c>
      <c r="J79" s="150" t="s">
        <v>156</v>
      </c>
      <c r="K79" s="1" t="s">
        <v>222</v>
      </c>
      <c r="L79" s="212" t="s">
        <v>238</v>
      </c>
      <c r="M79" s="212" t="s">
        <v>230</v>
      </c>
      <c r="N79" s="170" t="s">
        <v>245</v>
      </c>
    </row>
    <row r="80" spans="2:14">
      <c r="B80" s="21" t="s">
        <v>413</v>
      </c>
      <c r="C80" s="150" t="s">
        <v>156</v>
      </c>
      <c r="D80" s="150" t="s">
        <v>156</v>
      </c>
      <c r="E80" s="150" t="s">
        <v>156</v>
      </c>
      <c r="F80" s="150" t="s">
        <v>156</v>
      </c>
      <c r="G80" s="150" t="s">
        <v>156</v>
      </c>
      <c r="H80" s="150" t="s">
        <v>156</v>
      </c>
      <c r="I80" s="150" t="s">
        <v>156</v>
      </c>
      <c r="J80" s="150" t="s">
        <v>156</v>
      </c>
      <c r="K80" s="1" t="s">
        <v>222</v>
      </c>
      <c r="L80" s="212" t="s">
        <v>238</v>
      </c>
      <c r="M80" s="212" t="s">
        <v>232</v>
      </c>
      <c r="N80" s="170" t="s">
        <v>245</v>
      </c>
    </row>
    <row r="81" spans="2:14">
      <c r="B81" s="21" t="s">
        <v>414</v>
      </c>
      <c r="C81" s="150" t="s">
        <v>156</v>
      </c>
      <c r="D81" s="150" t="s">
        <v>156</v>
      </c>
      <c r="E81" s="150" t="s">
        <v>156</v>
      </c>
      <c r="F81" s="150" t="s">
        <v>156</v>
      </c>
      <c r="G81" s="150" t="s">
        <v>156</v>
      </c>
      <c r="H81" s="150" t="s">
        <v>156</v>
      </c>
      <c r="I81" s="150" t="s">
        <v>156</v>
      </c>
      <c r="J81" s="150" t="s">
        <v>156</v>
      </c>
      <c r="K81" s="1" t="s">
        <v>222</v>
      </c>
      <c r="L81" s="212" t="s">
        <v>238</v>
      </c>
      <c r="M81" s="212" t="s">
        <v>233</v>
      </c>
      <c r="N81" s="170" t="s">
        <v>245</v>
      </c>
    </row>
    <row r="82" spans="2:14">
      <c r="B82" s="21" t="s">
        <v>415</v>
      </c>
      <c r="C82" s="150" t="s">
        <v>156</v>
      </c>
      <c r="D82" s="150" t="s">
        <v>156</v>
      </c>
      <c r="E82" s="150" t="s">
        <v>156</v>
      </c>
      <c r="F82" s="150" t="s">
        <v>156</v>
      </c>
      <c r="G82" s="150" t="s">
        <v>156</v>
      </c>
      <c r="H82" s="150" t="s">
        <v>156</v>
      </c>
      <c r="I82" s="150" t="s">
        <v>156</v>
      </c>
      <c r="J82" s="150" t="s">
        <v>156</v>
      </c>
      <c r="K82" s="1" t="s">
        <v>222</v>
      </c>
      <c r="L82" s="212" t="s">
        <v>238</v>
      </c>
      <c r="M82" s="212" t="s">
        <v>234</v>
      </c>
      <c r="N82" s="170" t="s">
        <v>245</v>
      </c>
    </row>
    <row r="83" spans="2:14">
      <c r="B83" s="21" t="s">
        <v>416</v>
      </c>
      <c r="C83" s="150" t="s">
        <v>156</v>
      </c>
      <c r="D83" s="150" t="s">
        <v>156</v>
      </c>
      <c r="E83" s="150" t="s">
        <v>156</v>
      </c>
      <c r="F83" s="150" t="s">
        <v>156</v>
      </c>
      <c r="G83" s="150" t="s">
        <v>156</v>
      </c>
      <c r="H83" s="150" t="s">
        <v>156</v>
      </c>
      <c r="I83" s="150" t="s">
        <v>156</v>
      </c>
      <c r="J83" s="150" t="s">
        <v>156</v>
      </c>
      <c r="K83" s="1" t="s">
        <v>222</v>
      </c>
      <c r="L83" s="212" t="s">
        <v>238</v>
      </c>
      <c r="M83" s="212" t="s">
        <v>235</v>
      </c>
      <c r="N83" s="170" t="s">
        <v>245</v>
      </c>
    </row>
    <row r="84" spans="2:14">
      <c r="B84" s="21" t="s">
        <v>417</v>
      </c>
      <c r="C84" s="150" t="s">
        <v>156</v>
      </c>
      <c r="D84" s="150" t="s">
        <v>156</v>
      </c>
      <c r="E84" s="150" t="s">
        <v>156</v>
      </c>
      <c r="F84" s="150" t="s">
        <v>156</v>
      </c>
      <c r="G84" s="150" t="s">
        <v>156</v>
      </c>
      <c r="H84" s="150" t="s">
        <v>156</v>
      </c>
      <c r="I84" s="150" t="s">
        <v>156</v>
      </c>
      <c r="J84" s="150" t="s">
        <v>156</v>
      </c>
      <c r="K84" s="1" t="s">
        <v>222</v>
      </c>
      <c r="L84" s="212" t="s">
        <v>238</v>
      </c>
      <c r="M84" s="212" t="s">
        <v>236</v>
      </c>
      <c r="N84" s="170" t="s">
        <v>245</v>
      </c>
    </row>
    <row r="85" spans="2:14">
      <c r="B85" s="21" t="s">
        <v>408</v>
      </c>
      <c r="C85" s="150" t="s">
        <v>156</v>
      </c>
      <c r="D85" s="150" t="s">
        <v>156</v>
      </c>
      <c r="E85" s="150" t="s">
        <v>156</v>
      </c>
      <c r="F85" s="150" t="s">
        <v>156</v>
      </c>
      <c r="G85" s="150" t="s">
        <v>156</v>
      </c>
      <c r="H85" s="150" t="s">
        <v>156</v>
      </c>
      <c r="I85" s="150" t="s">
        <v>156</v>
      </c>
      <c r="J85" s="150" t="s">
        <v>156</v>
      </c>
      <c r="K85" s="1" t="s">
        <v>222</v>
      </c>
      <c r="L85" s="212" t="s">
        <v>238</v>
      </c>
      <c r="M85" s="212" t="s">
        <v>247</v>
      </c>
      <c r="N85" s="170" t="s">
        <v>245</v>
      </c>
    </row>
    <row r="86" spans="2:14">
      <c r="B86" s="21" t="s">
        <v>408</v>
      </c>
      <c r="C86" s="150" t="s">
        <v>156</v>
      </c>
      <c r="D86" s="150" t="s">
        <v>156</v>
      </c>
      <c r="E86" s="150" t="s">
        <v>156</v>
      </c>
      <c r="F86" s="150" t="s">
        <v>156</v>
      </c>
      <c r="G86" s="150" t="s">
        <v>156</v>
      </c>
      <c r="H86" s="150" t="s">
        <v>156</v>
      </c>
      <c r="I86" s="150" t="s">
        <v>156</v>
      </c>
      <c r="J86" s="150" t="s">
        <v>156</v>
      </c>
      <c r="K86" s="1" t="s">
        <v>222</v>
      </c>
      <c r="L86" s="212" t="s">
        <v>238</v>
      </c>
      <c r="M86" s="212" t="s">
        <v>248</v>
      </c>
      <c r="N86" s="170" t="s">
        <v>245</v>
      </c>
    </row>
    <row r="87" spans="2:14">
      <c r="B87" s="21" t="s">
        <v>408</v>
      </c>
      <c r="C87" s="150" t="s">
        <v>156</v>
      </c>
      <c r="D87" s="150" t="s">
        <v>156</v>
      </c>
      <c r="E87" s="150" t="s">
        <v>156</v>
      </c>
      <c r="F87" s="150" t="s">
        <v>156</v>
      </c>
      <c r="G87" s="150" t="s">
        <v>156</v>
      </c>
      <c r="H87" s="150" t="s">
        <v>156</v>
      </c>
      <c r="I87" s="150" t="s">
        <v>156</v>
      </c>
      <c r="J87" s="150" t="s">
        <v>156</v>
      </c>
      <c r="K87" s="1" t="s">
        <v>222</v>
      </c>
      <c r="L87" s="212" t="s">
        <v>238</v>
      </c>
      <c r="M87" s="212" t="s">
        <v>249</v>
      </c>
      <c r="N87" s="170" t="s">
        <v>245</v>
      </c>
    </row>
    <row r="88" spans="2:14">
      <c r="B88" s="21" t="s">
        <v>408</v>
      </c>
      <c r="C88" s="150" t="s">
        <v>156</v>
      </c>
      <c r="D88" s="150" t="s">
        <v>156</v>
      </c>
      <c r="E88" s="150" t="s">
        <v>156</v>
      </c>
      <c r="F88" s="150" t="s">
        <v>156</v>
      </c>
      <c r="G88" s="150" t="s">
        <v>156</v>
      </c>
      <c r="H88" s="150" t="s">
        <v>156</v>
      </c>
      <c r="I88" s="150" t="s">
        <v>156</v>
      </c>
      <c r="J88" s="150" t="s">
        <v>156</v>
      </c>
      <c r="K88" s="1" t="s">
        <v>222</v>
      </c>
      <c r="L88" s="212" t="s">
        <v>238</v>
      </c>
      <c r="M88" s="212" t="s">
        <v>250</v>
      </c>
      <c r="N88" s="170" t="s">
        <v>245</v>
      </c>
    </row>
    <row r="89" spans="2:14">
      <c r="B89" s="21" t="s">
        <v>408</v>
      </c>
      <c r="C89" s="150" t="s">
        <v>156</v>
      </c>
      <c r="D89" s="150" t="s">
        <v>156</v>
      </c>
      <c r="E89" s="150" t="s">
        <v>156</v>
      </c>
      <c r="F89" s="150" t="s">
        <v>156</v>
      </c>
      <c r="G89" s="150" t="s">
        <v>156</v>
      </c>
      <c r="H89" s="150" t="s">
        <v>156</v>
      </c>
      <c r="I89" s="150" t="s">
        <v>156</v>
      </c>
      <c r="J89" s="150" t="s">
        <v>156</v>
      </c>
      <c r="K89" s="1" t="s">
        <v>222</v>
      </c>
      <c r="L89" s="212" t="s">
        <v>238</v>
      </c>
      <c r="M89" s="212" t="s">
        <v>251</v>
      </c>
      <c r="N89" s="170" t="s">
        <v>245</v>
      </c>
    </row>
    <row r="90" spans="2:14">
      <c r="B90" s="21" t="s">
        <v>418</v>
      </c>
      <c r="C90" s="150" t="s">
        <v>156</v>
      </c>
      <c r="D90" s="150" t="s">
        <v>156</v>
      </c>
      <c r="E90" s="150" t="s">
        <v>156</v>
      </c>
      <c r="F90" s="150" t="s">
        <v>156</v>
      </c>
      <c r="G90" s="150" t="s">
        <v>156</v>
      </c>
      <c r="H90" s="150" t="s">
        <v>156</v>
      </c>
      <c r="I90" s="150" t="s">
        <v>156</v>
      </c>
      <c r="J90" s="150" t="s">
        <v>156</v>
      </c>
      <c r="K90" s="1" t="s">
        <v>222</v>
      </c>
      <c r="L90" s="212" t="s">
        <v>230</v>
      </c>
      <c r="M90" s="212" t="s">
        <v>223</v>
      </c>
      <c r="N90" s="170" t="s">
        <v>246</v>
      </c>
    </row>
    <row r="91" spans="2:14">
      <c r="B91" s="21" t="s">
        <v>419</v>
      </c>
      <c r="C91" s="150" t="s">
        <v>156</v>
      </c>
      <c r="D91" s="150" t="s">
        <v>156</v>
      </c>
      <c r="E91" s="150" t="s">
        <v>156</v>
      </c>
      <c r="F91" s="150" t="s">
        <v>156</v>
      </c>
      <c r="G91" s="150" t="s">
        <v>156</v>
      </c>
      <c r="H91" s="150" t="s">
        <v>156</v>
      </c>
      <c r="I91" s="150" t="s">
        <v>156</v>
      </c>
      <c r="J91" s="150" t="s">
        <v>156</v>
      </c>
      <c r="K91" s="1" t="s">
        <v>222</v>
      </c>
      <c r="L91" s="212" t="s">
        <v>230</v>
      </c>
      <c r="M91" s="212" t="s">
        <v>253</v>
      </c>
      <c r="N91" s="170" t="s">
        <v>246</v>
      </c>
    </row>
    <row r="92" spans="2:14">
      <c r="B92" s="21" t="s">
        <v>420</v>
      </c>
      <c r="C92" s="150" t="s">
        <v>156</v>
      </c>
      <c r="D92" s="150" t="s">
        <v>156</v>
      </c>
      <c r="E92" s="150" t="s">
        <v>156</v>
      </c>
      <c r="F92" s="150" t="s">
        <v>156</v>
      </c>
      <c r="G92" s="150" t="s">
        <v>156</v>
      </c>
      <c r="H92" s="150" t="s">
        <v>156</v>
      </c>
      <c r="I92" s="150" t="s">
        <v>156</v>
      </c>
      <c r="J92" s="150" t="s">
        <v>156</v>
      </c>
      <c r="K92" s="1" t="s">
        <v>222</v>
      </c>
      <c r="L92" s="212" t="s">
        <v>230</v>
      </c>
      <c r="M92" s="212" t="s">
        <v>225</v>
      </c>
      <c r="N92" s="170" t="s">
        <v>246</v>
      </c>
    </row>
    <row r="93" spans="2:14">
      <c r="B93" s="21" t="s">
        <v>421</v>
      </c>
      <c r="C93" s="150" t="s">
        <v>156</v>
      </c>
      <c r="D93" s="150" t="s">
        <v>156</v>
      </c>
      <c r="E93" s="150" t="s">
        <v>156</v>
      </c>
      <c r="F93" s="150" t="s">
        <v>156</v>
      </c>
      <c r="G93" s="150" t="s">
        <v>156</v>
      </c>
      <c r="H93" s="150" t="s">
        <v>156</v>
      </c>
      <c r="I93" s="150" t="s">
        <v>156</v>
      </c>
      <c r="J93" s="150" t="s">
        <v>156</v>
      </c>
      <c r="K93" s="1" t="s">
        <v>222</v>
      </c>
      <c r="L93" s="212" t="s">
        <v>230</v>
      </c>
      <c r="M93" s="212" t="s">
        <v>227</v>
      </c>
      <c r="N93" s="170" t="s">
        <v>246</v>
      </c>
    </row>
    <row r="94" spans="2:14">
      <c r="B94" s="21" t="s">
        <v>422</v>
      </c>
      <c r="C94" s="150" t="s">
        <v>156</v>
      </c>
      <c r="D94" s="150" t="s">
        <v>156</v>
      </c>
      <c r="E94" s="150" t="s">
        <v>156</v>
      </c>
      <c r="F94" s="150" t="s">
        <v>156</v>
      </c>
      <c r="G94" s="150" t="s">
        <v>156</v>
      </c>
      <c r="H94" s="150" t="s">
        <v>156</v>
      </c>
      <c r="I94" s="150" t="s">
        <v>156</v>
      </c>
      <c r="J94" s="150" t="s">
        <v>156</v>
      </c>
      <c r="K94" s="1" t="s">
        <v>222</v>
      </c>
      <c r="L94" s="212" t="s">
        <v>230</v>
      </c>
      <c r="M94" s="212" t="s">
        <v>238</v>
      </c>
      <c r="N94" s="170" t="s">
        <v>246</v>
      </c>
    </row>
    <row r="95" spans="2:14">
      <c r="B95" s="21" t="s">
        <v>423</v>
      </c>
      <c r="C95" s="150" t="s">
        <v>156</v>
      </c>
      <c r="D95" s="150" t="s">
        <v>156</v>
      </c>
      <c r="E95" s="150" t="s">
        <v>156</v>
      </c>
      <c r="F95" s="150" t="s">
        <v>156</v>
      </c>
      <c r="G95" s="150" t="s">
        <v>156</v>
      </c>
      <c r="H95" s="150" t="s">
        <v>156</v>
      </c>
      <c r="I95" s="150" t="s">
        <v>156</v>
      </c>
      <c r="J95" s="150" t="s">
        <v>156</v>
      </c>
      <c r="K95" s="1" t="s">
        <v>222</v>
      </c>
      <c r="L95" s="212" t="s">
        <v>230</v>
      </c>
      <c r="M95" s="212" t="s">
        <v>230</v>
      </c>
      <c r="N95" s="170" t="s">
        <v>30</v>
      </c>
    </row>
    <row r="96" spans="2:14">
      <c r="B96" s="21" t="s">
        <v>424</v>
      </c>
      <c r="C96" s="150" t="s">
        <v>156</v>
      </c>
      <c r="D96" s="150" t="s">
        <v>156</v>
      </c>
      <c r="E96" s="150" t="s">
        <v>156</v>
      </c>
      <c r="F96" s="150" t="s">
        <v>156</v>
      </c>
      <c r="G96" s="150" t="s">
        <v>156</v>
      </c>
      <c r="H96" s="150" t="s">
        <v>156</v>
      </c>
      <c r="I96" s="150" t="s">
        <v>156</v>
      </c>
      <c r="J96" s="150" t="s">
        <v>156</v>
      </c>
      <c r="K96" s="1" t="s">
        <v>222</v>
      </c>
      <c r="L96" s="212" t="s">
        <v>230</v>
      </c>
      <c r="M96" s="212" t="s">
        <v>232</v>
      </c>
      <c r="N96" s="170" t="s">
        <v>246</v>
      </c>
    </row>
    <row r="97" spans="2:14">
      <c r="B97" s="21" t="s">
        <v>425</v>
      </c>
      <c r="C97" s="150" t="s">
        <v>156</v>
      </c>
      <c r="D97" s="150" t="s">
        <v>156</v>
      </c>
      <c r="E97" s="150" t="s">
        <v>156</v>
      </c>
      <c r="F97" s="150" t="s">
        <v>156</v>
      </c>
      <c r="G97" s="150" t="s">
        <v>156</v>
      </c>
      <c r="H97" s="150" t="s">
        <v>156</v>
      </c>
      <c r="I97" s="150" t="s">
        <v>156</v>
      </c>
      <c r="J97" s="150" t="s">
        <v>156</v>
      </c>
      <c r="K97" s="1" t="s">
        <v>222</v>
      </c>
      <c r="L97" s="212" t="s">
        <v>230</v>
      </c>
      <c r="M97" s="212" t="s">
        <v>233</v>
      </c>
      <c r="N97" s="170" t="s">
        <v>246</v>
      </c>
    </row>
    <row r="98" spans="2:14">
      <c r="B98" s="21" t="s">
        <v>426</v>
      </c>
      <c r="C98" s="150" t="s">
        <v>156</v>
      </c>
      <c r="D98" s="150" t="s">
        <v>156</v>
      </c>
      <c r="E98" s="150" t="s">
        <v>156</v>
      </c>
      <c r="F98" s="150" t="s">
        <v>156</v>
      </c>
      <c r="G98" s="150" t="s">
        <v>156</v>
      </c>
      <c r="H98" s="150" t="s">
        <v>156</v>
      </c>
      <c r="I98" s="150" t="s">
        <v>156</v>
      </c>
      <c r="J98" s="150" t="s">
        <v>156</v>
      </c>
      <c r="K98" s="1" t="s">
        <v>222</v>
      </c>
      <c r="L98" s="212" t="s">
        <v>230</v>
      </c>
      <c r="M98" s="212" t="s">
        <v>234</v>
      </c>
      <c r="N98" s="170" t="s">
        <v>246</v>
      </c>
    </row>
    <row r="99" spans="2:14">
      <c r="B99" s="21" t="s">
        <v>427</v>
      </c>
      <c r="C99" s="150" t="s">
        <v>156</v>
      </c>
      <c r="D99" s="150" t="s">
        <v>156</v>
      </c>
      <c r="E99" s="150" t="s">
        <v>156</v>
      </c>
      <c r="F99" s="150" t="s">
        <v>156</v>
      </c>
      <c r="G99" s="150" t="s">
        <v>156</v>
      </c>
      <c r="H99" s="150" t="s">
        <v>156</v>
      </c>
      <c r="I99" s="150" t="s">
        <v>156</v>
      </c>
      <c r="J99" s="150" t="s">
        <v>156</v>
      </c>
      <c r="K99" s="1" t="s">
        <v>222</v>
      </c>
      <c r="L99" s="212" t="s">
        <v>230</v>
      </c>
      <c r="M99" s="212" t="s">
        <v>235</v>
      </c>
      <c r="N99" s="170" t="s">
        <v>246</v>
      </c>
    </row>
    <row r="100" spans="2:14">
      <c r="B100" s="21" t="s">
        <v>428</v>
      </c>
      <c r="C100" s="150" t="s">
        <v>156</v>
      </c>
      <c r="D100" s="150" t="s">
        <v>156</v>
      </c>
      <c r="E100" s="150" t="s">
        <v>156</v>
      </c>
      <c r="F100" s="150" t="s">
        <v>156</v>
      </c>
      <c r="G100" s="150" t="s">
        <v>156</v>
      </c>
      <c r="H100" s="150" t="s">
        <v>156</v>
      </c>
      <c r="I100" s="150" t="s">
        <v>156</v>
      </c>
      <c r="J100" s="150" t="s">
        <v>156</v>
      </c>
      <c r="K100" s="1" t="s">
        <v>222</v>
      </c>
      <c r="L100" s="212" t="s">
        <v>230</v>
      </c>
      <c r="M100" s="212" t="s">
        <v>236</v>
      </c>
      <c r="N100" s="170" t="s">
        <v>246</v>
      </c>
    </row>
    <row r="101" spans="2:14">
      <c r="B101" s="21" t="s">
        <v>419</v>
      </c>
      <c r="C101" s="150" t="s">
        <v>156</v>
      </c>
      <c r="D101" s="150" t="s">
        <v>156</v>
      </c>
      <c r="E101" s="150" t="s">
        <v>156</v>
      </c>
      <c r="F101" s="150" t="s">
        <v>156</v>
      </c>
      <c r="G101" s="150" t="s">
        <v>156</v>
      </c>
      <c r="H101" s="150" t="s">
        <v>156</v>
      </c>
      <c r="I101" s="150" t="s">
        <v>156</v>
      </c>
      <c r="J101" s="150" t="s">
        <v>156</v>
      </c>
      <c r="K101" s="1" t="s">
        <v>222</v>
      </c>
      <c r="L101" s="212" t="s">
        <v>230</v>
      </c>
      <c r="M101" s="212" t="s">
        <v>247</v>
      </c>
      <c r="N101" s="170" t="s">
        <v>246</v>
      </c>
    </row>
    <row r="102" spans="2:14">
      <c r="B102" s="21" t="s">
        <v>419</v>
      </c>
      <c r="C102" s="150" t="s">
        <v>156</v>
      </c>
      <c r="D102" s="150" t="s">
        <v>156</v>
      </c>
      <c r="E102" s="150" t="s">
        <v>156</v>
      </c>
      <c r="F102" s="150" t="s">
        <v>156</v>
      </c>
      <c r="G102" s="150" t="s">
        <v>156</v>
      </c>
      <c r="H102" s="150" t="s">
        <v>156</v>
      </c>
      <c r="I102" s="150" t="s">
        <v>156</v>
      </c>
      <c r="J102" s="150" t="s">
        <v>156</v>
      </c>
      <c r="K102" s="1" t="s">
        <v>222</v>
      </c>
      <c r="L102" s="212" t="s">
        <v>230</v>
      </c>
      <c r="M102" s="212" t="s">
        <v>248</v>
      </c>
      <c r="N102" s="170" t="s">
        <v>246</v>
      </c>
    </row>
    <row r="103" spans="2:14">
      <c r="B103" s="21" t="s">
        <v>419</v>
      </c>
      <c r="C103" s="150" t="s">
        <v>156</v>
      </c>
      <c r="D103" s="150" t="s">
        <v>156</v>
      </c>
      <c r="E103" s="150" t="s">
        <v>156</v>
      </c>
      <c r="F103" s="150" t="s">
        <v>156</v>
      </c>
      <c r="G103" s="150" t="s">
        <v>156</v>
      </c>
      <c r="H103" s="150" t="s">
        <v>156</v>
      </c>
      <c r="I103" s="150" t="s">
        <v>156</v>
      </c>
      <c r="J103" s="150" t="s">
        <v>156</v>
      </c>
      <c r="K103" s="1" t="s">
        <v>222</v>
      </c>
      <c r="L103" s="212" t="s">
        <v>230</v>
      </c>
      <c r="M103" s="212" t="s">
        <v>249</v>
      </c>
      <c r="N103" s="170" t="s">
        <v>246</v>
      </c>
    </row>
    <row r="104" spans="2:14">
      <c r="B104" s="21" t="s">
        <v>419</v>
      </c>
      <c r="C104" s="150" t="s">
        <v>156</v>
      </c>
      <c r="D104" s="150" t="s">
        <v>156</v>
      </c>
      <c r="E104" s="150" t="s">
        <v>156</v>
      </c>
      <c r="F104" s="150" t="s">
        <v>156</v>
      </c>
      <c r="G104" s="150" t="s">
        <v>156</v>
      </c>
      <c r="H104" s="150" t="s">
        <v>156</v>
      </c>
      <c r="I104" s="150" t="s">
        <v>156</v>
      </c>
      <c r="J104" s="150" t="s">
        <v>156</v>
      </c>
      <c r="K104" s="1" t="s">
        <v>222</v>
      </c>
      <c r="L104" s="212" t="s">
        <v>230</v>
      </c>
      <c r="M104" s="212" t="s">
        <v>250</v>
      </c>
      <c r="N104" s="170" t="s">
        <v>246</v>
      </c>
    </row>
    <row r="105" spans="2:14">
      <c r="B105" s="21" t="s">
        <v>419</v>
      </c>
      <c r="C105" s="150" t="s">
        <v>156</v>
      </c>
      <c r="D105" s="150" t="s">
        <v>156</v>
      </c>
      <c r="E105" s="150" t="s">
        <v>156</v>
      </c>
      <c r="F105" s="150" t="s">
        <v>156</v>
      </c>
      <c r="G105" s="150" t="s">
        <v>156</v>
      </c>
      <c r="H105" s="150" t="s">
        <v>156</v>
      </c>
      <c r="I105" s="150" t="s">
        <v>156</v>
      </c>
      <c r="J105" s="150" t="s">
        <v>156</v>
      </c>
      <c r="K105" s="1" t="s">
        <v>222</v>
      </c>
      <c r="L105" s="212" t="s">
        <v>230</v>
      </c>
      <c r="M105" s="212" t="s">
        <v>251</v>
      </c>
      <c r="N105" s="170" t="s">
        <v>246</v>
      </c>
    </row>
    <row r="106" spans="2:14">
      <c r="B106" s="21" t="s">
        <v>429</v>
      </c>
      <c r="C106" s="150" t="s">
        <v>156</v>
      </c>
      <c r="D106" s="150" t="s">
        <v>156</v>
      </c>
      <c r="E106" s="150" t="s">
        <v>156</v>
      </c>
      <c r="F106" s="150" t="s">
        <v>156</v>
      </c>
      <c r="G106" s="150" t="s">
        <v>156</v>
      </c>
      <c r="H106" s="150" t="s">
        <v>156</v>
      </c>
      <c r="I106" s="150" t="s">
        <v>156</v>
      </c>
      <c r="J106" s="150" t="s">
        <v>156</v>
      </c>
      <c r="K106" s="1" t="s">
        <v>222</v>
      </c>
      <c r="L106" s="212" t="s">
        <v>232</v>
      </c>
      <c r="M106" s="212" t="s">
        <v>223</v>
      </c>
      <c r="N106" s="170" t="s">
        <v>201</v>
      </c>
    </row>
    <row r="107" spans="2:14">
      <c r="B107" s="21" t="s">
        <v>430</v>
      </c>
      <c r="C107" s="150" t="s">
        <v>156</v>
      </c>
      <c r="D107" s="150" t="s">
        <v>156</v>
      </c>
      <c r="E107" s="150" t="s">
        <v>156</v>
      </c>
      <c r="F107" s="150" t="s">
        <v>156</v>
      </c>
      <c r="G107" s="150" t="s">
        <v>156</v>
      </c>
      <c r="H107" s="150" t="s">
        <v>156</v>
      </c>
      <c r="I107" s="150" t="s">
        <v>156</v>
      </c>
      <c r="J107" s="150" t="s">
        <v>156</v>
      </c>
      <c r="K107" s="1" t="s">
        <v>222</v>
      </c>
      <c r="L107" s="212" t="s">
        <v>232</v>
      </c>
      <c r="M107" s="212" t="s">
        <v>253</v>
      </c>
      <c r="N107" s="170" t="s">
        <v>201</v>
      </c>
    </row>
    <row r="108" spans="2:14">
      <c r="B108" s="21" t="s">
        <v>431</v>
      </c>
      <c r="C108" s="150" t="s">
        <v>156</v>
      </c>
      <c r="D108" s="150" t="s">
        <v>156</v>
      </c>
      <c r="E108" s="150" t="s">
        <v>156</v>
      </c>
      <c r="F108" s="150" t="s">
        <v>156</v>
      </c>
      <c r="G108" s="150" t="s">
        <v>156</v>
      </c>
      <c r="H108" s="150" t="s">
        <v>156</v>
      </c>
      <c r="I108" s="150" t="s">
        <v>156</v>
      </c>
      <c r="J108" s="150" t="s">
        <v>156</v>
      </c>
      <c r="K108" s="1" t="s">
        <v>222</v>
      </c>
      <c r="L108" s="212" t="s">
        <v>232</v>
      </c>
      <c r="M108" s="212" t="s">
        <v>225</v>
      </c>
      <c r="N108" s="170" t="s">
        <v>201</v>
      </c>
    </row>
    <row r="109" spans="2:14">
      <c r="B109" s="21" t="s">
        <v>432</v>
      </c>
      <c r="C109" s="150" t="s">
        <v>156</v>
      </c>
      <c r="D109" s="150" t="s">
        <v>156</v>
      </c>
      <c r="E109" s="150" t="s">
        <v>156</v>
      </c>
      <c r="F109" s="150" t="s">
        <v>156</v>
      </c>
      <c r="G109" s="150" t="s">
        <v>156</v>
      </c>
      <c r="H109" s="150" t="s">
        <v>156</v>
      </c>
      <c r="I109" s="150" t="s">
        <v>156</v>
      </c>
      <c r="J109" s="150" t="s">
        <v>156</v>
      </c>
      <c r="K109" s="1" t="s">
        <v>222</v>
      </c>
      <c r="L109" s="212" t="s">
        <v>232</v>
      </c>
      <c r="M109" s="212" t="s">
        <v>227</v>
      </c>
      <c r="N109" s="170" t="s">
        <v>201</v>
      </c>
    </row>
    <row r="110" spans="2:14">
      <c r="B110" s="21" t="s">
        <v>433</v>
      </c>
      <c r="C110" s="150" t="s">
        <v>156</v>
      </c>
      <c r="D110" s="150" t="s">
        <v>156</v>
      </c>
      <c r="E110" s="150" t="s">
        <v>156</v>
      </c>
      <c r="F110" s="150" t="s">
        <v>156</v>
      </c>
      <c r="G110" s="150" t="s">
        <v>156</v>
      </c>
      <c r="H110" s="150" t="s">
        <v>156</v>
      </c>
      <c r="I110" s="150" t="s">
        <v>156</v>
      </c>
      <c r="J110" s="150" t="s">
        <v>156</v>
      </c>
      <c r="K110" s="1" t="s">
        <v>222</v>
      </c>
      <c r="L110" s="212" t="s">
        <v>232</v>
      </c>
      <c r="M110" s="212" t="s">
        <v>238</v>
      </c>
      <c r="N110" s="170" t="s">
        <v>201</v>
      </c>
    </row>
    <row r="111" spans="2:14">
      <c r="B111" s="21" t="s">
        <v>434</v>
      </c>
      <c r="C111" s="150" t="s">
        <v>156</v>
      </c>
      <c r="D111" s="150" t="s">
        <v>156</v>
      </c>
      <c r="E111" s="150" t="s">
        <v>156</v>
      </c>
      <c r="F111" s="150" t="s">
        <v>156</v>
      </c>
      <c r="G111" s="150" t="s">
        <v>156</v>
      </c>
      <c r="H111" s="150" t="s">
        <v>156</v>
      </c>
      <c r="I111" s="150" t="s">
        <v>156</v>
      </c>
      <c r="J111" s="150" t="s">
        <v>156</v>
      </c>
      <c r="K111" s="1" t="s">
        <v>222</v>
      </c>
      <c r="L111" s="212" t="s">
        <v>232</v>
      </c>
      <c r="M111" s="212" t="s">
        <v>230</v>
      </c>
      <c r="N111" s="170" t="s">
        <v>201</v>
      </c>
    </row>
    <row r="112" spans="2:14">
      <c r="B112" s="21" t="s">
        <v>435</v>
      </c>
      <c r="C112" s="150" t="s">
        <v>156</v>
      </c>
      <c r="D112" s="150" t="s">
        <v>156</v>
      </c>
      <c r="E112" s="150" t="s">
        <v>156</v>
      </c>
      <c r="F112" s="150" t="s">
        <v>156</v>
      </c>
      <c r="G112" s="150" t="s">
        <v>156</v>
      </c>
      <c r="H112" s="150" t="s">
        <v>156</v>
      </c>
      <c r="I112" s="150" t="s">
        <v>156</v>
      </c>
      <c r="J112" s="150" t="s">
        <v>156</v>
      </c>
      <c r="K112" s="1" t="s">
        <v>222</v>
      </c>
      <c r="L112" s="212" t="s">
        <v>232</v>
      </c>
      <c r="M112" s="212" t="s">
        <v>232</v>
      </c>
      <c r="N112" s="170" t="s">
        <v>201</v>
      </c>
    </row>
    <row r="113" spans="2:14">
      <c r="B113" s="21" t="s">
        <v>436</v>
      </c>
      <c r="C113" s="150" t="s">
        <v>156</v>
      </c>
      <c r="D113" s="150" t="s">
        <v>156</v>
      </c>
      <c r="E113" s="150" t="s">
        <v>156</v>
      </c>
      <c r="F113" s="150" t="s">
        <v>156</v>
      </c>
      <c r="G113" s="150" t="s">
        <v>156</v>
      </c>
      <c r="H113" s="150" t="s">
        <v>156</v>
      </c>
      <c r="I113" s="150" t="s">
        <v>156</v>
      </c>
      <c r="J113" s="150" t="s">
        <v>156</v>
      </c>
      <c r="K113" s="1" t="s">
        <v>222</v>
      </c>
      <c r="L113" s="212" t="s">
        <v>232</v>
      </c>
      <c r="M113" s="212" t="s">
        <v>233</v>
      </c>
      <c r="N113" s="170" t="s">
        <v>201</v>
      </c>
    </row>
    <row r="114" spans="2:14">
      <c r="B114" s="21" t="s">
        <v>437</v>
      </c>
      <c r="C114" s="150" t="s">
        <v>156</v>
      </c>
      <c r="D114" s="150" t="s">
        <v>156</v>
      </c>
      <c r="E114" s="150" t="s">
        <v>156</v>
      </c>
      <c r="F114" s="150" t="s">
        <v>156</v>
      </c>
      <c r="G114" s="150" t="s">
        <v>156</v>
      </c>
      <c r="H114" s="150" t="s">
        <v>156</v>
      </c>
      <c r="I114" s="150" t="s">
        <v>156</v>
      </c>
      <c r="J114" s="150" t="s">
        <v>156</v>
      </c>
      <c r="K114" s="1" t="s">
        <v>222</v>
      </c>
      <c r="L114" s="212" t="s">
        <v>232</v>
      </c>
      <c r="M114" s="212" t="s">
        <v>234</v>
      </c>
      <c r="N114" s="170" t="s">
        <v>201</v>
      </c>
    </row>
    <row r="115" spans="2:14">
      <c r="B115" s="21" t="s">
        <v>438</v>
      </c>
      <c r="C115" s="150" t="s">
        <v>156</v>
      </c>
      <c r="D115" s="150" t="s">
        <v>156</v>
      </c>
      <c r="E115" s="150" t="s">
        <v>156</v>
      </c>
      <c r="F115" s="150" t="s">
        <v>156</v>
      </c>
      <c r="G115" s="150" t="s">
        <v>156</v>
      </c>
      <c r="H115" s="150" t="s">
        <v>156</v>
      </c>
      <c r="I115" s="150" t="s">
        <v>156</v>
      </c>
      <c r="J115" s="150" t="s">
        <v>156</v>
      </c>
      <c r="K115" s="1" t="s">
        <v>222</v>
      </c>
      <c r="L115" s="212" t="s">
        <v>232</v>
      </c>
      <c r="M115" s="212" t="s">
        <v>235</v>
      </c>
      <c r="N115" s="170" t="s">
        <v>201</v>
      </c>
    </row>
    <row r="116" spans="2:14">
      <c r="B116" s="21" t="s">
        <v>439</v>
      </c>
      <c r="C116" s="150" t="s">
        <v>156</v>
      </c>
      <c r="D116" s="150" t="s">
        <v>156</v>
      </c>
      <c r="E116" s="150" t="s">
        <v>156</v>
      </c>
      <c r="F116" s="150" t="s">
        <v>156</v>
      </c>
      <c r="G116" s="150" t="s">
        <v>156</v>
      </c>
      <c r="H116" s="150" t="s">
        <v>156</v>
      </c>
      <c r="I116" s="150" t="s">
        <v>156</v>
      </c>
      <c r="J116" s="150" t="s">
        <v>156</v>
      </c>
      <c r="K116" s="1" t="s">
        <v>222</v>
      </c>
      <c r="L116" s="212" t="s">
        <v>232</v>
      </c>
      <c r="M116" s="212" t="s">
        <v>236</v>
      </c>
      <c r="N116" s="170" t="s">
        <v>201</v>
      </c>
    </row>
    <row r="117" spans="2:14">
      <c r="B117" s="21" t="s">
        <v>430</v>
      </c>
      <c r="C117" s="150" t="s">
        <v>156</v>
      </c>
      <c r="D117" s="150" t="s">
        <v>156</v>
      </c>
      <c r="E117" s="150" t="s">
        <v>156</v>
      </c>
      <c r="F117" s="150" t="s">
        <v>156</v>
      </c>
      <c r="G117" s="150" t="s">
        <v>156</v>
      </c>
      <c r="H117" s="150" t="s">
        <v>156</v>
      </c>
      <c r="I117" s="150" t="s">
        <v>156</v>
      </c>
      <c r="J117" s="150" t="s">
        <v>156</v>
      </c>
      <c r="K117" s="1" t="s">
        <v>222</v>
      </c>
      <c r="L117" s="212" t="s">
        <v>232</v>
      </c>
      <c r="M117" s="212" t="s">
        <v>247</v>
      </c>
      <c r="N117" s="170" t="s">
        <v>201</v>
      </c>
    </row>
    <row r="118" spans="2:14">
      <c r="B118" s="21" t="s">
        <v>430</v>
      </c>
      <c r="C118" s="150" t="s">
        <v>156</v>
      </c>
      <c r="D118" s="150" t="s">
        <v>156</v>
      </c>
      <c r="E118" s="150" t="s">
        <v>156</v>
      </c>
      <c r="F118" s="150" t="s">
        <v>156</v>
      </c>
      <c r="G118" s="150" t="s">
        <v>156</v>
      </c>
      <c r="H118" s="150" t="s">
        <v>156</v>
      </c>
      <c r="I118" s="150" t="s">
        <v>156</v>
      </c>
      <c r="J118" s="150" t="s">
        <v>156</v>
      </c>
      <c r="K118" s="1" t="s">
        <v>222</v>
      </c>
      <c r="L118" s="212" t="s">
        <v>232</v>
      </c>
      <c r="M118" s="212" t="s">
        <v>248</v>
      </c>
      <c r="N118" s="170" t="s">
        <v>201</v>
      </c>
    </row>
    <row r="119" spans="2:14">
      <c r="B119" s="21" t="s">
        <v>430</v>
      </c>
      <c r="C119" s="150" t="s">
        <v>156</v>
      </c>
      <c r="D119" s="150" t="s">
        <v>156</v>
      </c>
      <c r="E119" s="150" t="s">
        <v>156</v>
      </c>
      <c r="F119" s="150" t="s">
        <v>156</v>
      </c>
      <c r="G119" s="150" t="s">
        <v>156</v>
      </c>
      <c r="H119" s="150" t="s">
        <v>156</v>
      </c>
      <c r="I119" s="150" t="s">
        <v>156</v>
      </c>
      <c r="J119" s="150" t="s">
        <v>156</v>
      </c>
      <c r="K119" s="1" t="s">
        <v>222</v>
      </c>
      <c r="L119" s="212" t="s">
        <v>232</v>
      </c>
      <c r="M119" s="212" t="s">
        <v>249</v>
      </c>
      <c r="N119" s="170" t="s">
        <v>201</v>
      </c>
    </row>
    <row r="120" spans="2:14">
      <c r="B120" s="21" t="s">
        <v>430</v>
      </c>
      <c r="C120" s="150" t="s">
        <v>156</v>
      </c>
      <c r="D120" s="150" t="s">
        <v>156</v>
      </c>
      <c r="E120" s="150" t="s">
        <v>156</v>
      </c>
      <c r="F120" s="150" t="s">
        <v>156</v>
      </c>
      <c r="G120" s="150" t="s">
        <v>156</v>
      </c>
      <c r="H120" s="150" t="s">
        <v>156</v>
      </c>
      <c r="I120" s="150" t="s">
        <v>156</v>
      </c>
      <c r="J120" s="150" t="s">
        <v>156</v>
      </c>
      <c r="K120" s="1" t="s">
        <v>222</v>
      </c>
      <c r="L120" s="212" t="s">
        <v>232</v>
      </c>
      <c r="M120" s="212" t="s">
        <v>250</v>
      </c>
      <c r="N120" s="170" t="s">
        <v>201</v>
      </c>
    </row>
    <row r="121" spans="2:14">
      <c r="B121" s="21" t="s">
        <v>430</v>
      </c>
      <c r="C121" s="150" t="s">
        <v>156</v>
      </c>
      <c r="D121" s="150" t="s">
        <v>156</v>
      </c>
      <c r="E121" s="150" t="s">
        <v>156</v>
      </c>
      <c r="F121" s="150" t="s">
        <v>156</v>
      </c>
      <c r="G121" s="150" t="s">
        <v>156</v>
      </c>
      <c r="H121" s="150" t="s">
        <v>156</v>
      </c>
      <c r="I121" s="150" t="s">
        <v>156</v>
      </c>
      <c r="J121" s="150" t="s">
        <v>156</v>
      </c>
      <c r="K121" s="1" t="s">
        <v>222</v>
      </c>
      <c r="L121" s="212" t="s">
        <v>232</v>
      </c>
      <c r="M121" s="212" t="s">
        <v>251</v>
      </c>
      <c r="N121" s="170" t="s">
        <v>201</v>
      </c>
    </row>
    <row r="122" spans="2:14">
      <c r="B122" s="21" t="s">
        <v>440</v>
      </c>
      <c r="C122" s="150" t="s">
        <v>156</v>
      </c>
      <c r="D122" s="150" t="s">
        <v>156</v>
      </c>
      <c r="E122" s="150" t="s">
        <v>156</v>
      </c>
      <c r="F122" s="150" t="s">
        <v>156</v>
      </c>
      <c r="G122" s="150" t="s">
        <v>156</v>
      </c>
      <c r="H122" s="150" t="s">
        <v>156</v>
      </c>
      <c r="I122" s="150" t="s">
        <v>156</v>
      </c>
      <c r="J122" s="150" t="s">
        <v>156</v>
      </c>
      <c r="K122" s="1" t="s">
        <v>222</v>
      </c>
      <c r="L122" s="212" t="s">
        <v>233</v>
      </c>
      <c r="M122" s="212" t="s">
        <v>223</v>
      </c>
      <c r="N122" s="170" t="s">
        <v>202</v>
      </c>
    </row>
    <row r="123" spans="2:14">
      <c r="B123" s="21" t="s">
        <v>441</v>
      </c>
      <c r="C123" s="150" t="s">
        <v>156</v>
      </c>
      <c r="D123" s="150" t="s">
        <v>156</v>
      </c>
      <c r="E123" s="150" t="s">
        <v>156</v>
      </c>
      <c r="F123" s="150" t="s">
        <v>156</v>
      </c>
      <c r="G123" s="150" t="s">
        <v>156</v>
      </c>
      <c r="H123" s="150" t="s">
        <v>156</v>
      </c>
      <c r="I123" s="150" t="s">
        <v>156</v>
      </c>
      <c r="J123" s="150" t="s">
        <v>156</v>
      </c>
      <c r="K123" s="1" t="s">
        <v>222</v>
      </c>
      <c r="L123" s="212" t="s">
        <v>233</v>
      </c>
      <c r="M123" s="212" t="s">
        <v>253</v>
      </c>
      <c r="N123" s="170" t="s">
        <v>202</v>
      </c>
    </row>
    <row r="124" spans="2:14">
      <c r="B124" s="21" t="s">
        <v>442</v>
      </c>
      <c r="C124" s="150" t="s">
        <v>156</v>
      </c>
      <c r="D124" s="150" t="s">
        <v>156</v>
      </c>
      <c r="E124" s="150" t="s">
        <v>156</v>
      </c>
      <c r="F124" s="150" t="s">
        <v>156</v>
      </c>
      <c r="G124" s="150" t="s">
        <v>156</v>
      </c>
      <c r="H124" s="150" t="s">
        <v>156</v>
      </c>
      <c r="I124" s="150" t="s">
        <v>156</v>
      </c>
      <c r="J124" s="150" t="s">
        <v>156</v>
      </c>
      <c r="K124" s="1" t="s">
        <v>222</v>
      </c>
      <c r="L124" s="212" t="s">
        <v>233</v>
      </c>
      <c r="M124" s="212" t="s">
        <v>225</v>
      </c>
      <c r="N124" s="170" t="s">
        <v>202</v>
      </c>
    </row>
    <row r="125" spans="2:14">
      <c r="B125" s="21" t="s">
        <v>443</v>
      </c>
      <c r="C125" s="150" t="s">
        <v>156</v>
      </c>
      <c r="D125" s="150" t="s">
        <v>156</v>
      </c>
      <c r="E125" s="150" t="s">
        <v>156</v>
      </c>
      <c r="F125" s="150" t="s">
        <v>156</v>
      </c>
      <c r="G125" s="150" t="s">
        <v>156</v>
      </c>
      <c r="H125" s="150" t="s">
        <v>156</v>
      </c>
      <c r="I125" s="150" t="s">
        <v>156</v>
      </c>
      <c r="J125" s="150" t="s">
        <v>156</v>
      </c>
      <c r="K125" s="1" t="s">
        <v>222</v>
      </c>
      <c r="L125" s="212" t="s">
        <v>233</v>
      </c>
      <c r="M125" s="212" t="s">
        <v>227</v>
      </c>
      <c r="N125" s="170" t="s">
        <v>202</v>
      </c>
    </row>
    <row r="126" spans="2:14">
      <c r="B126" s="21" t="s">
        <v>444</v>
      </c>
      <c r="C126" s="150" t="s">
        <v>156</v>
      </c>
      <c r="D126" s="150" t="s">
        <v>156</v>
      </c>
      <c r="E126" s="150" t="s">
        <v>156</v>
      </c>
      <c r="F126" s="150" t="s">
        <v>156</v>
      </c>
      <c r="G126" s="150" t="s">
        <v>156</v>
      </c>
      <c r="H126" s="150" t="s">
        <v>156</v>
      </c>
      <c r="I126" s="150" t="s">
        <v>156</v>
      </c>
      <c r="J126" s="150" t="s">
        <v>156</v>
      </c>
      <c r="K126" s="1" t="s">
        <v>222</v>
      </c>
      <c r="L126" s="212" t="s">
        <v>233</v>
      </c>
      <c r="M126" s="212" t="s">
        <v>238</v>
      </c>
      <c r="N126" s="170" t="s">
        <v>202</v>
      </c>
    </row>
    <row r="127" spans="2:14">
      <c r="B127" s="21" t="s">
        <v>445</v>
      </c>
      <c r="C127" s="150" t="s">
        <v>156</v>
      </c>
      <c r="D127" s="150" t="s">
        <v>156</v>
      </c>
      <c r="E127" s="150" t="s">
        <v>156</v>
      </c>
      <c r="F127" s="150" t="s">
        <v>156</v>
      </c>
      <c r="G127" s="150" t="s">
        <v>156</v>
      </c>
      <c r="H127" s="150" t="s">
        <v>156</v>
      </c>
      <c r="I127" s="150" t="s">
        <v>156</v>
      </c>
      <c r="J127" s="150" t="s">
        <v>156</v>
      </c>
      <c r="K127" s="1" t="s">
        <v>222</v>
      </c>
      <c r="L127" s="212" t="s">
        <v>233</v>
      </c>
      <c r="M127" s="212" t="s">
        <v>230</v>
      </c>
      <c r="N127" s="170" t="s">
        <v>202</v>
      </c>
    </row>
    <row r="128" spans="2:14">
      <c r="B128" s="21" t="s">
        <v>446</v>
      </c>
      <c r="C128" s="150" t="s">
        <v>156</v>
      </c>
      <c r="D128" s="150" t="s">
        <v>156</v>
      </c>
      <c r="E128" s="150" t="s">
        <v>156</v>
      </c>
      <c r="F128" s="150" t="s">
        <v>156</v>
      </c>
      <c r="G128" s="150" t="s">
        <v>156</v>
      </c>
      <c r="H128" s="150" t="s">
        <v>156</v>
      </c>
      <c r="I128" s="150" t="s">
        <v>156</v>
      </c>
      <c r="J128" s="150" t="s">
        <v>156</v>
      </c>
      <c r="K128" s="1" t="s">
        <v>222</v>
      </c>
      <c r="L128" s="212" t="s">
        <v>233</v>
      </c>
      <c r="M128" s="212" t="s">
        <v>232</v>
      </c>
      <c r="N128" s="170" t="s">
        <v>202</v>
      </c>
    </row>
    <row r="129" spans="2:14">
      <c r="B129" s="21" t="s">
        <v>447</v>
      </c>
      <c r="C129" s="150" t="s">
        <v>156</v>
      </c>
      <c r="D129" s="150" t="s">
        <v>156</v>
      </c>
      <c r="E129" s="150" t="s">
        <v>156</v>
      </c>
      <c r="F129" s="150" t="s">
        <v>156</v>
      </c>
      <c r="G129" s="150" t="s">
        <v>156</v>
      </c>
      <c r="H129" s="150" t="s">
        <v>156</v>
      </c>
      <c r="I129" s="150" t="s">
        <v>156</v>
      </c>
      <c r="J129" s="150" t="s">
        <v>156</v>
      </c>
      <c r="K129" s="1" t="s">
        <v>222</v>
      </c>
      <c r="L129" s="212" t="s">
        <v>233</v>
      </c>
      <c r="M129" s="212" t="s">
        <v>233</v>
      </c>
      <c r="N129" s="170" t="s">
        <v>202</v>
      </c>
    </row>
    <row r="130" spans="2:14">
      <c r="B130" s="21" t="s">
        <v>448</v>
      </c>
      <c r="C130" s="150" t="s">
        <v>156</v>
      </c>
      <c r="D130" s="150" t="s">
        <v>156</v>
      </c>
      <c r="E130" s="150" t="s">
        <v>156</v>
      </c>
      <c r="F130" s="150" t="s">
        <v>156</v>
      </c>
      <c r="G130" s="150" t="s">
        <v>156</v>
      </c>
      <c r="H130" s="150" t="s">
        <v>156</v>
      </c>
      <c r="I130" s="150" t="s">
        <v>156</v>
      </c>
      <c r="J130" s="150" t="s">
        <v>156</v>
      </c>
      <c r="K130" s="1" t="s">
        <v>222</v>
      </c>
      <c r="L130" s="212" t="s">
        <v>233</v>
      </c>
      <c r="M130" s="212" t="s">
        <v>234</v>
      </c>
      <c r="N130" s="170" t="s">
        <v>202</v>
      </c>
    </row>
    <row r="131" spans="2:14">
      <c r="B131" s="21" t="s">
        <v>449</v>
      </c>
      <c r="C131" s="150" t="s">
        <v>156</v>
      </c>
      <c r="D131" s="150" t="s">
        <v>156</v>
      </c>
      <c r="E131" s="150" t="s">
        <v>156</v>
      </c>
      <c r="F131" s="150" t="s">
        <v>156</v>
      </c>
      <c r="G131" s="150" t="s">
        <v>156</v>
      </c>
      <c r="H131" s="150" t="s">
        <v>156</v>
      </c>
      <c r="I131" s="150" t="s">
        <v>156</v>
      </c>
      <c r="J131" s="150" t="s">
        <v>156</v>
      </c>
      <c r="K131" s="1" t="s">
        <v>222</v>
      </c>
      <c r="L131" s="212" t="s">
        <v>233</v>
      </c>
      <c r="M131" s="212" t="s">
        <v>235</v>
      </c>
      <c r="N131" s="170" t="s">
        <v>202</v>
      </c>
    </row>
    <row r="132" spans="2:14">
      <c r="B132" s="21" t="s">
        <v>450</v>
      </c>
      <c r="C132" s="150" t="s">
        <v>156</v>
      </c>
      <c r="D132" s="150" t="s">
        <v>156</v>
      </c>
      <c r="E132" s="150" t="s">
        <v>156</v>
      </c>
      <c r="F132" s="150" t="s">
        <v>156</v>
      </c>
      <c r="G132" s="150" t="s">
        <v>156</v>
      </c>
      <c r="H132" s="150" t="s">
        <v>156</v>
      </c>
      <c r="I132" s="150" t="s">
        <v>156</v>
      </c>
      <c r="J132" s="150" t="s">
        <v>156</v>
      </c>
      <c r="K132" s="1" t="s">
        <v>222</v>
      </c>
      <c r="L132" s="212" t="s">
        <v>233</v>
      </c>
      <c r="M132" s="212" t="s">
        <v>236</v>
      </c>
      <c r="N132" s="170" t="s">
        <v>202</v>
      </c>
    </row>
    <row r="133" spans="2:14">
      <c r="B133" s="21" t="s">
        <v>441</v>
      </c>
      <c r="C133" s="150" t="s">
        <v>156</v>
      </c>
      <c r="D133" s="150" t="s">
        <v>156</v>
      </c>
      <c r="E133" s="150" t="s">
        <v>156</v>
      </c>
      <c r="F133" s="150" t="s">
        <v>156</v>
      </c>
      <c r="G133" s="150" t="s">
        <v>156</v>
      </c>
      <c r="H133" s="150" t="s">
        <v>156</v>
      </c>
      <c r="I133" s="150" t="s">
        <v>156</v>
      </c>
      <c r="J133" s="150" t="s">
        <v>156</v>
      </c>
      <c r="K133" s="1" t="s">
        <v>222</v>
      </c>
      <c r="L133" s="212" t="s">
        <v>233</v>
      </c>
      <c r="M133" s="212" t="s">
        <v>247</v>
      </c>
      <c r="N133" s="170" t="s">
        <v>202</v>
      </c>
    </row>
    <row r="134" spans="2:14">
      <c r="B134" s="21" t="s">
        <v>441</v>
      </c>
      <c r="C134" s="150" t="s">
        <v>156</v>
      </c>
      <c r="D134" s="150" t="s">
        <v>156</v>
      </c>
      <c r="E134" s="150" t="s">
        <v>156</v>
      </c>
      <c r="F134" s="150" t="s">
        <v>156</v>
      </c>
      <c r="G134" s="150" t="s">
        <v>156</v>
      </c>
      <c r="H134" s="150" t="s">
        <v>156</v>
      </c>
      <c r="I134" s="150" t="s">
        <v>156</v>
      </c>
      <c r="J134" s="150" t="s">
        <v>156</v>
      </c>
      <c r="K134" s="1" t="s">
        <v>222</v>
      </c>
      <c r="L134" s="212" t="s">
        <v>233</v>
      </c>
      <c r="M134" s="212" t="s">
        <v>248</v>
      </c>
      <c r="N134" s="170" t="s">
        <v>202</v>
      </c>
    </row>
    <row r="135" spans="2:14">
      <c r="B135" s="21" t="s">
        <v>441</v>
      </c>
      <c r="C135" s="150" t="s">
        <v>156</v>
      </c>
      <c r="D135" s="150" t="s">
        <v>156</v>
      </c>
      <c r="E135" s="150" t="s">
        <v>156</v>
      </c>
      <c r="F135" s="150" t="s">
        <v>156</v>
      </c>
      <c r="G135" s="150" t="s">
        <v>156</v>
      </c>
      <c r="H135" s="150" t="s">
        <v>156</v>
      </c>
      <c r="I135" s="150" t="s">
        <v>156</v>
      </c>
      <c r="J135" s="150" t="s">
        <v>156</v>
      </c>
      <c r="K135" s="1" t="s">
        <v>222</v>
      </c>
      <c r="L135" s="212" t="s">
        <v>233</v>
      </c>
      <c r="M135" s="212" t="s">
        <v>249</v>
      </c>
      <c r="N135" s="170" t="s">
        <v>202</v>
      </c>
    </row>
    <row r="136" spans="2:14">
      <c r="B136" s="21" t="s">
        <v>441</v>
      </c>
      <c r="C136" s="150" t="s">
        <v>156</v>
      </c>
      <c r="D136" s="150" t="s">
        <v>156</v>
      </c>
      <c r="E136" s="150" t="s">
        <v>156</v>
      </c>
      <c r="F136" s="150" t="s">
        <v>156</v>
      </c>
      <c r="G136" s="150" t="s">
        <v>156</v>
      </c>
      <c r="H136" s="150" t="s">
        <v>156</v>
      </c>
      <c r="I136" s="150" t="s">
        <v>156</v>
      </c>
      <c r="J136" s="150" t="s">
        <v>156</v>
      </c>
      <c r="K136" s="1" t="s">
        <v>222</v>
      </c>
      <c r="L136" s="212" t="s">
        <v>233</v>
      </c>
      <c r="M136" s="212" t="s">
        <v>250</v>
      </c>
      <c r="N136" s="170" t="s">
        <v>202</v>
      </c>
    </row>
    <row r="137" spans="2:14">
      <c r="B137" s="21" t="s">
        <v>441</v>
      </c>
      <c r="C137" s="150" t="s">
        <v>156</v>
      </c>
      <c r="D137" s="150" t="s">
        <v>156</v>
      </c>
      <c r="E137" s="150" t="s">
        <v>156</v>
      </c>
      <c r="F137" s="150" t="s">
        <v>156</v>
      </c>
      <c r="G137" s="150" t="s">
        <v>156</v>
      </c>
      <c r="H137" s="150" t="s">
        <v>156</v>
      </c>
      <c r="I137" s="150" t="s">
        <v>156</v>
      </c>
      <c r="J137" s="150" t="s">
        <v>156</v>
      </c>
      <c r="K137" s="1" t="s">
        <v>222</v>
      </c>
      <c r="L137" s="212" t="s">
        <v>233</v>
      </c>
      <c r="M137" s="212" t="s">
        <v>251</v>
      </c>
      <c r="N137" s="170" t="s">
        <v>202</v>
      </c>
    </row>
    <row r="138" spans="2:14">
      <c r="B138" s="21" t="s">
        <v>451</v>
      </c>
      <c r="C138" s="150" t="s">
        <v>156</v>
      </c>
      <c r="D138" s="150" t="s">
        <v>156</v>
      </c>
      <c r="E138" s="150" t="s">
        <v>156</v>
      </c>
      <c r="F138" s="150" t="s">
        <v>156</v>
      </c>
      <c r="G138" s="150" t="s">
        <v>156</v>
      </c>
      <c r="H138" s="150" t="s">
        <v>156</v>
      </c>
      <c r="I138" s="150" t="s">
        <v>156</v>
      </c>
      <c r="J138" s="150" t="s">
        <v>156</v>
      </c>
      <c r="K138" s="1" t="s">
        <v>222</v>
      </c>
      <c r="L138" s="212" t="s">
        <v>234</v>
      </c>
      <c r="M138" s="212" t="s">
        <v>223</v>
      </c>
      <c r="N138" s="170" t="s">
        <v>203</v>
      </c>
    </row>
    <row r="139" spans="2:14">
      <c r="B139" s="21" t="s">
        <v>452</v>
      </c>
      <c r="C139" s="150" t="s">
        <v>156</v>
      </c>
      <c r="D139" s="150" t="s">
        <v>156</v>
      </c>
      <c r="E139" s="150" t="s">
        <v>156</v>
      </c>
      <c r="F139" s="150" t="s">
        <v>156</v>
      </c>
      <c r="G139" s="150" t="s">
        <v>156</v>
      </c>
      <c r="H139" s="150" t="s">
        <v>156</v>
      </c>
      <c r="I139" s="150" t="s">
        <v>156</v>
      </c>
      <c r="J139" s="150" t="s">
        <v>156</v>
      </c>
      <c r="K139" s="1" t="s">
        <v>222</v>
      </c>
      <c r="L139" s="212" t="s">
        <v>234</v>
      </c>
      <c r="M139" s="212" t="s">
        <v>253</v>
      </c>
      <c r="N139" s="170" t="s">
        <v>203</v>
      </c>
    </row>
    <row r="140" spans="2:14">
      <c r="B140" s="21" t="s">
        <v>453</v>
      </c>
      <c r="C140" s="150" t="s">
        <v>156</v>
      </c>
      <c r="D140" s="150" t="s">
        <v>156</v>
      </c>
      <c r="E140" s="150" t="s">
        <v>156</v>
      </c>
      <c r="F140" s="150" t="s">
        <v>156</v>
      </c>
      <c r="G140" s="150" t="s">
        <v>156</v>
      </c>
      <c r="H140" s="150" t="s">
        <v>156</v>
      </c>
      <c r="I140" s="150" t="s">
        <v>156</v>
      </c>
      <c r="J140" s="150" t="s">
        <v>156</v>
      </c>
      <c r="K140" s="1" t="s">
        <v>222</v>
      </c>
      <c r="L140" s="212" t="s">
        <v>234</v>
      </c>
      <c r="M140" s="212" t="s">
        <v>225</v>
      </c>
      <c r="N140" s="170" t="s">
        <v>203</v>
      </c>
    </row>
    <row r="141" spans="2:14">
      <c r="B141" s="21" t="s">
        <v>454</v>
      </c>
      <c r="C141" s="150" t="s">
        <v>156</v>
      </c>
      <c r="D141" s="150" t="s">
        <v>156</v>
      </c>
      <c r="E141" s="150" t="s">
        <v>156</v>
      </c>
      <c r="F141" s="150" t="s">
        <v>156</v>
      </c>
      <c r="G141" s="150" t="s">
        <v>156</v>
      </c>
      <c r="H141" s="150" t="s">
        <v>156</v>
      </c>
      <c r="I141" s="150" t="s">
        <v>156</v>
      </c>
      <c r="J141" s="150" t="s">
        <v>156</v>
      </c>
      <c r="K141" s="1" t="s">
        <v>222</v>
      </c>
      <c r="L141" s="212" t="s">
        <v>234</v>
      </c>
      <c r="M141" s="212" t="s">
        <v>227</v>
      </c>
      <c r="N141" s="170" t="s">
        <v>203</v>
      </c>
    </row>
    <row r="142" spans="2:14">
      <c r="B142" s="21" t="s">
        <v>455</v>
      </c>
      <c r="C142" s="150" t="s">
        <v>156</v>
      </c>
      <c r="D142" s="150" t="s">
        <v>156</v>
      </c>
      <c r="E142" s="150" t="s">
        <v>156</v>
      </c>
      <c r="F142" s="150" t="s">
        <v>156</v>
      </c>
      <c r="G142" s="150" t="s">
        <v>156</v>
      </c>
      <c r="H142" s="150" t="s">
        <v>156</v>
      </c>
      <c r="I142" s="150" t="s">
        <v>156</v>
      </c>
      <c r="J142" s="150" t="s">
        <v>156</v>
      </c>
      <c r="K142" s="1" t="s">
        <v>222</v>
      </c>
      <c r="L142" s="212" t="s">
        <v>234</v>
      </c>
      <c r="M142" s="212" t="s">
        <v>238</v>
      </c>
      <c r="N142" s="170" t="s">
        <v>203</v>
      </c>
    </row>
    <row r="143" spans="2:14">
      <c r="B143" s="21" t="s">
        <v>456</v>
      </c>
      <c r="C143" s="150" t="s">
        <v>156</v>
      </c>
      <c r="D143" s="150" t="s">
        <v>156</v>
      </c>
      <c r="E143" s="150" t="s">
        <v>156</v>
      </c>
      <c r="F143" s="150" t="s">
        <v>156</v>
      </c>
      <c r="G143" s="150" t="s">
        <v>156</v>
      </c>
      <c r="H143" s="150" t="s">
        <v>156</v>
      </c>
      <c r="I143" s="150" t="s">
        <v>156</v>
      </c>
      <c r="J143" s="150" t="s">
        <v>156</v>
      </c>
      <c r="K143" s="1" t="s">
        <v>222</v>
      </c>
      <c r="L143" s="212" t="s">
        <v>234</v>
      </c>
      <c r="M143" s="212" t="s">
        <v>230</v>
      </c>
      <c r="N143" s="170" t="s">
        <v>203</v>
      </c>
    </row>
    <row r="144" spans="2:14">
      <c r="B144" s="21" t="s">
        <v>457</v>
      </c>
      <c r="C144" s="150" t="s">
        <v>156</v>
      </c>
      <c r="D144" s="150" t="s">
        <v>156</v>
      </c>
      <c r="E144" s="150" t="s">
        <v>156</v>
      </c>
      <c r="F144" s="150" t="s">
        <v>156</v>
      </c>
      <c r="G144" s="150" t="s">
        <v>156</v>
      </c>
      <c r="H144" s="150" t="s">
        <v>156</v>
      </c>
      <c r="I144" s="150" t="s">
        <v>156</v>
      </c>
      <c r="J144" s="150" t="s">
        <v>156</v>
      </c>
      <c r="K144" s="1" t="s">
        <v>222</v>
      </c>
      <c r="L144" s="212" t="s">
        <v>234</v>
      </c>
      <c r="M144" s="212" t="s">
        <v>232</v>
      </c>
      <c r="N144" s="170" t="s">
        <v>203</v>
      </c>
    </row>
    <row r="145" spans="2:14">
      <c r="B145" s="21" t="s">
        <v>458</v>
      </c>
      <c r="C145" s="150" t="s">
        <v>156</v>
      </c>
      <c r="D145" s="150" t="s">
        <v>156</v>
      </c>
      <c r="E145" s="150" t="s">
        <v>156</v>
      </c>
      <c r="F145" s="150" t="s">
        <v>156</v>
      </c>
      <c r="G145" s="150" t="s">
        <v>156</v>
      </c>
      <c r="H145" s="150" t="s">
        <v>156</v>
      </c>
      <c r="I145" s="150" t="s">
        <v>156</v>
      </c>
      <c r="J145" s="150" t="s">
        <v>156</v>
      </c>
      <c r="K145" s="1" t="s">
        <v>222</v>
      </c>
      <c r="L145" s="212" t="s">
        <v>234</v>
      </c>
      <c r="M145" s="212" t="s">
        <v>233</v>
      </c>
      <c r="N145" s="170" t="s">
        <v>203</v>
      </c>
    </row>
    <row r="146" spans="2:14">
      <c r="B146" s="21" t="s">
        <v>459</v>
      </c>
      <c r="C146" s="150" t="s">
        <v>156</v>
      </c>
      <c r="D146" s="150" t="s">
        <v>156</v>
      </c>
      <c r="E146" s="150" t="s">
        <v>156</v>
      </c>
      <c r="F146" s="150" t="s">
        <v>156</v>
      </c>
      <c r="G146" s="150" t="s">
        <v>156</v>
      </c>
      <c r="H146" s="150" t="s">
        <v>156</v>
      </c>
      <c r="I146" s="150" t="s">
        <v>156</v>
      </c>
      <c r="J146" s="150" t="s">
        <v>156</v>
      </c>
      <c r="K146" s="1" t="s">
        <v>222</v>
      </c>
      <c r="L146" s="212" t="s">
        <v>234</v>
      </c>
      <c r="M146" s="212" t="s">
        <v>234</v>
      </c>
      <c r="N146" s="170" t="s">
        <v>203</v>
      </c>
    </row>
    <row r="147" spans="2:14">
      <c r="B147" s="21" t="s">
        <v>460</v>
      </c>
      <c r="C147" s="150" t="s">
        <v>156</v>
      </c>
      <c r="D147" s="150" t="s">
        <v>156</v>
      </c>
      <c r="E147" s="150" t="s">
        <v>156</v>
      </c>
      <c r="F147" s="150" t="s">
        <v>156</v>
      </c>
      <c r="G147" s="150" t="s">
        <v>156</v>
      </c>
      <c r="H147" s="150" t="s">
        <v>156</v>
      </c>
      <c r="I147" s="150" t="s">
        <v>156</v>
      </c>
      <c r="J147" s="150" t="s">
        <v>156</v>
      </c>
      <c r="K147" s="1" t="s">
        <v>222</v>
      </c>
      <c r="L147" s="212" t="s">
        <v>234</v>
      </c>
      <c r="M147" s="212" t="s">
        <v>235</v>
      </c>
      <c r="N147" s="170" t="s">
        <v>203</v>
      </c>
    </row>
    <row r="148" spans="2:14">
      <c r="B148" s="21" t="s">
        <v>461</v>
      </c>
      <c r="C148" s="150" t="s">
        <v>156</v>
      </c>
      <c r="D148" s="150" t="s">
        <v>156</v>
      </c>
      <c r="E148" s="150" t="s">
        <v>156</v>
      </c>
      <c r="F148" s="150" t="s">
        <v>156</v>
      </c>
      <c r="G148" s="150" t="s">
        <v>156</v>
      </c>
      <c r="H148" s="150" t="s">
        <v>156</v>
      </c>
      <c r="I148" s="150" t="s">
        <v>156</v>
      </c>
      <c r="J148" s="150" t="s">
        <v>156</v>
      </c>
      <c r="K148" s="1" t="s">
        <v>222</v>
      </c>
      <c r="L148" s="212" t="s">
        <v>234</v>
      </c>
      <c r="M148" s="212" t="s">
        <v>236</v>
      </c>
      <c r="N148" s="170" t="s">
        <v>203</v>
      </c>
    </row>
    <row r="149" spans="2:14">
      <c r="B149" s="21" t="s">
        <v>452</v>
      </c>
      <c r="C149" s="150" t="s">
        <v>156</v>
      </c>
      <c r="D149" s="150" t="s">
        <v>156</v>
      </c>
      <c r="E149" s="150" t="s">
        <v>156</v>
      </c>
      <c r="F149" s="150" t="s">
        <v>156</v>
      </c>
      <c r="G149" s="150" t="s">
        <v>156</v>
      </c>
      <c r="H149" s="150" t="s">
        <v>156</v>
      </c>
      <c r="I149" s="150" t="s">
        <v>156</v>
      </c>
      <c r="J149" s="150" t="s">
        <v>156</v>
      </c>
      <c r="K149" s="1" t="s">
        <v>222</v>
      </c>
      <c r="L149" s="212" t="s">
        <v>234</v>
      </c>
      <c r="M149" s="212" t="s">
        <v>247</v>
      </c>
      <c r="N149" s="170" t="s">
        <v>203</v>
      </c>
    </row>
    <row r="150" spans="2:14">
      <c r="B150" s="21" t="s">
        <v>452</v>
      </c>
      <c r="C150" s="150" t="s">
        <v>156</v>
      </c>
      <c r="D150" s="150" t="s">
        <v>156</v>
      </c>
      <c r="E150" s="150" t="s">
        <v>156</v>
      </c>
      <c r="F150" s="150" t="s">
        <v>156</v>
      </c>
      <c r="G150" s="150" t="s">
        <v>156</v>
      </c>
      <c r="H150" s="150" t="s">
        <v>156</v>
      </c>
      <c r="I150" s="150" t="s">
        <v>156</v>
      </c>
      <c r="J150" s="150" t="s">
        <v>156</v>
      </c>
      <c r="K150" s="1" t="s">
        <v>222</v>
      </c>
      <c r="L150" s="212" t="s">
        <v>234</v>
      </c>
      <c r="M150" s="212" t="s">
        <v>248</v>
      </c>
      <c r="N150" s="170" t="s">
        <v>203</v>
      </c>
    </row>
    <row r="151" spans="2:14">
      <c r="B151" s="21" t="s">
        <v>452</v>
      </c>
      <c r="C151" s="150" t="s">
        <v>156</v>
      </c>
      <c r="D151" s="150" t="s">
        <v>156</v>
      </c>
      <c r="E151" s="150" t="s">
        <v>156</v>
      </c>
      <c r="F151" s="150" t="s">
        <v>156</v>
      </c>
      <c r="G151" s="150" t="s">
        <v>156</v>
      </c>
      <c r="H151" s="150" t="s">
        <v>156</v>
      </c>
      <c r="I151" s="150" t="s">
        <v>156</v>
      </c>
      <c r="J151" s="150" t="s">
        <v>156</v>
      </c>
      <c r="K151" s="1" t="s">
        <v>222</v>
      </c>
      <c r="L151" s="212" t="s">
        <v>234</v>
      </c>
      <c r="M151" s="212" t="s">
        <v>249</v>
      </c>
      <c r="N151" s="170" t="s">
        <v>203</v>
      </c>
    </row>
    <row r="152" spans="2:14">
      <c r="B152" s="21" t="s">
        <v>452</v>
      </c>
      <c r="C152" s="150" t="s">
        <v>156</v>
      </c>
      <c r="D152" s="150" t="s">
        <v>156</v>
      </c>
      <c r="E152" s="150" t="s">
        <v>156</v>
      </c>
      <c r="F152" s="150" t="s">
        <v>156</v>
      </c>
      <c r="G152" s="150" t="s">
        <v>156</v>
      </c>
      <c r="H152" s="150" t="s">
        <v>156</v>
      </c>
      <c r="I152" s="150" t="s">
        <v>156</v>
      </c>
      <c r="J152" s="150" t="s">
        <v>156</v>
      </c>
      <c r="K152" s="1" t="s">
        <v>222</v>
      </c>
      <c r="L152" s="212" t="s">
        <v>234</v>
      </c>
      <c r="M152" s="212" t="s">
        <v>250</v>
      </c>
      <c r="N152" s="170" t="s">
        <v>203</v>
      </c>
    </row>
    <row r="153" spans="2:14">
      <c r="B153" s="21" t="s">
        <v>452</v>
      </c>
      <c r="C153" s="150" t="s">
        <v>156</v>
      </c>
      <c r="D153" s="150" t="s">
        <v>156</v>
      </c>
      <c r="E153" s="150" t="s">
        <v>156</v>
      </c>
      <c r="F153" s="150" t="s">
        <v>156</v>
      </c>
      <c r="G153" s="150" t="s">
        <v>156</v>
      </c>
      <c r="H153" s="150" t="s">
        <v>156</v>
      </c>
      <c r="I153" s="150" t="s">
        <v>156</v>
      </c>
      <c r="J153" s="150" t="s">
        <v>156</v>
      </c>
      <c r="K153" s="1" t="s">
        <v>222</v>
      </c>
      <c r="L153" s="212" t="s">
        <v>234</v>
      </c>
      <c r="M153" s="212" t="s">
        <v>251</v>
      </c>
      <c r="N153" s="170" t="s">
        <v>203</v>
      </c>
    </row>
    <row r="154" spans="2:14">
      <c r="B154" s="21" t="s">
        <v>462</v>
      </c>
      <c r="C154" s="150" t="s">
        <v>156</v>
      </c>
      <c r="D154" s="150" t="s">
        <v>156</v>
      </c>
      <c r="E154" s="150" t="s">
        <v>156</v>
      </c>
      <c r="F154" s="150" t="s">
        <v>156</v>
      </c>
      <c r="G154" s="150" t="s">
        <v>156</v>
      </c>
      <c r="H154" s="150" t="s">
        <v>156</v>
      </c>
      <c r="I154" s="150" t="s">
        <v>156</v>
      </c>
      <c r="J154" s="150" t="s">
        <v>156</v>
      </c>
      <c r="K154" s="1" t="s">
        <v>222</v>
      </c>
      <c r="L154" s="212" t="s">
        <v>235</v>
      </c>
      <c r="M154" s="212" t="s">
        <v>223</v>
      </c>
      <c r="N154" s="170" t="s">
        <v>204</v>
      </c>
    </row>
    <row r="155" spans="2:14">
      <c r="B155" s="21" t="s">
        <v>463</v>
      </c>
      <c r="C155" s="150" t="s">
        <v>156</v>
      </c>
      <c r="D155" s="150" t="s">
        <v>156</v>
      </c>
      <c r="E155" s="150" t="s">
        <v>156</v>
      </c>
      <c r="F155" s="150" t="s">
        <v>156</v>
      </c>
      <c r="G155" s="150" t="s">
        <v>156</v>
      </c>
      <c r="H155" s="150" t="s">
        <v>156</v>
      </c>
      <c r="I155" s="150" t="s">
        <v>156</v>
      </c>
      <c r="J155" s="150" t="s">
        <v>156</v>
      </c>
      <c r="K155" s="1" t="s">
        <v>222</v>
      </c>
      <c r="L155" s="212" t="s">
        <v>235</v>
      </c>
      <c r="M155" s="212" t="s">
        <v>253</v>
      </c>
      <c r="N155" s="170" t="s">
        <v>204</v>
      </c>
    </row>
    <row r="156" spans="2:14">
      <c r="B156" s="21" t="s">
        <v>464</v>
      </c>
      <c r="C156" s="150" t="s">
        <v>156</v>
      </c>
      <c r="D156" s="150" t="s">
        <v>156</v>
      </c>
      <c r="E156" s="150" t="s">
        <v>156</v>
      </c>
      <c r="F156" s="150" t="s">
        <v>156</v>
      </c>
      <c r="G156" s="150" t="s">
        <v>156</v>
      </c>
      <c r="H156" s="150" t="s">
        <v>156</v>
      </c>
      <c r="I156" s="150" t="s">
        <v>156</v>
      </c>
      <c r="J156" s="150" t="s">
        <v>156</v>
      </c>
      <c r="K156" s="1" t="s">
        <v>222</v>
      </c>
      <c r="L156" s="212" t="s">
        <v>235</v>
      </c>
      <c r="M156" s="212" t="s">
        <v>225</v>
      </c>
      <c r="N156" s="170" t="s">
        <v>204</v>
      </c>
    </row>
    <row r="157" spans="2:14">
      <c r="B157" s="21" t="s">
        <v>465</v>
      </c>
      <c r="C157" s="150" t="s">
        <v>156</v>
      </c>
      <c r="D157" s="150" t="s">
        <v>156</v>
      </c>
      <c r="E157" s="150" t="s">
        <v>156</v>
      </c>
      <c r="F157" s="150" t="s">
        <v>156</v>
      </c>
      <c r="G157" s="150" t="s">
        <v>156</v>
      </c>
      <c r="H157" s="150" t="s">
        <v>156</v>
      </c>
      <c r="I157" s="150" t="s">
        <v>156</v>
      </c>
      <c r="J157" s="150" t="s">
        <v>156</v>
      </c>
      <c r="K157" s="1" t="s">
        <v>222</v>
      </c>
      <c r="L157" s="212" t="s">
        <v>235</v>
      </c>
      <c r="M157" s="212" t="s">
        <v>227</v>
      </c>
      <c r="N157" s="170" t="s">
        <v>204</v>
      </c>
    </row>
    <row r="158" spans="2:14">
      <c r="B158" s="21" t="s">
        <v>466</v>
      </c>
      <c r="C158" s="150" t="s">
        <v>156</v>
      </c>
      <c r="D158" s="150" t="s">
        <v>156</v>
      </c>
      <c r="E158" s="150" t="s">
        <v>156</v>
      </c>
      <c r="F158" s="150" t="s">
        <v>156</v>
      </c>
      <c r="G158" s="150" t="s">
        <v>156</v>
      </c>
      <c r="H158" s="150" t="s">
        <v>156</v>
      </c>
      <c r="I158" s="150" t="s">
        <v>156</v>
      </c>
      <c r="J158" s="150" t="s">
        <v>156</v>
      </c>
      <c r="K158" s="1" t="s">
        <v>222</v>
      </c>
      <c r="L158" s="212" t="s">
        <v>235</v>
      </c>
      <c r="M158" s="212" t="s">
        <v>238</v>
      </c>
      <c r="N158" s="170" t="s">
        <v>204</v>
      </c>
    </row>
    <row r="159" spans="2:14">
      <c r="B159" s="21" t="s">
        <v>467</v>
      </c>
      <c r="C159" s="150" t="s">
        <v>156</v>
      </c>
      <c r="D159" s="150" t="s">
        <v>156</v>
      </c>
      <c r="E159" s="150" t="s">
        <v>156</v>
      </c>
      <c r="F159" s="150" t="s">
        <v>156</v>
      </c>
      <c r="G159" s="150" t="s">
        <v>156</v>
      </c>
      <c r="H159" s="150" t="s">
        <v>156</v>
      </c>
      <c r="I159" s="150" t="s">
        <v>156</v>
      </c>
      <c r="J159" s="150" t="s">
        <v>156</v>
      </c>
      <c r="K159" s="1" t="s">
        <v>222</v>
      </c>
      <c r="L159" s="212" t="s">
        <v>235</v>
      </c>
      <c r="M159" s="212" t="s">
        <v>230</v>
      </c>
      <c r="N159" s="170" t="s">
        <v>204</v>
      </c>
    </row>
    <row r="160" spans="2:14">
      <c r="B160" s="21" t="s">
        <v>468</v>
      </c>
      <c r="C160" s="150" t="s">
        <v>156</v>
      </c>
      <c r="D160" s="150" t="s">
        <v>156</v>
      </c>
      <c r="E160" s="150" t="s">
        <v>156</v>
      </c>
      <c r="F160" s="150" t="s">
        <v>156</v>
      </c>
      <c r="G160" s="150" t="s">
        <v>156</v>
      </c>
      <c r="H160" s="150" t="s">
        <v>156</v>
      </c>
      <c r="I160" s="150" t="s">
        <v>156</v>
      </c>
      <c r="J160" s="150" t="s">
        <v>156</v>
      </c>
      <c r="K160" s="1" t="s">
        <v>222</v>
      </c>
      <c r="L160" s="212" t="s">
        <v>235</v>
      </c>
      <c r="M160" s="212" t="s">
        <v>232</v>
      </c>
      <c r="N160" s="170" t="s">
        <v>204</v>
      </c>
    </row>
    <row r="161" spans="2:14">
      <c r="B161" s="21" t="s">
        <v>469</v>
      </c>
      <c r="C161" s="150" t="s">
        <v>156</v>
      </c>
      <c r="D161" s="150" t="s">
        <v>156</v>
      </c>
      <c r="E161" s="150" t="s">
        <v>156</v>
      </c>
      <c r="F161" s="150" t="s">
        <v>156</v>
      </c>
      <c r="G161" s="150" t="s">
        <v>156</v>
      </c>
      <c r="H161" s="150" t="s">
        <v>156</v>
      </c>
      <c r="I161" s="150" t="s">
        <v>156</v>
      </c>
      <c r="J161" s="150" t="s">
        <v>156</v>
      </c>
      <c r="K161" s="1" t="s">
        <v>222</v>
      </c>
      <c r="L161" s="212" t="s">
        <v>235</v>
      </c>
      <c r="M161" s="212" t="s">
        <v>233</v>
      </c>
      <c r="N161" s="170" t="s">
        <v>204</v>
      </c>
    </row>
    <row r="162" spans="2:14">
      <c r="B162" s="21" t="s">
        <v>470</v>
      </c>
      <c r="C162" s="150" t="s">
        <v>156</v>
      </c>
      <c r="D162" s="150" t="s">
        <v>156</v>
      </c>
      <c r="E162" s="150" t="s">
        <v>156</v>
      </c>
      <c r="F162" s="150" t="s">
        <v>156</v>
      </c>
      <c r="G162" s="150" t="s">
        <v>156</v>
      </c>
      <c r="H162" s="150" t="s">
        <v>156</v>
      </c>
      <c r="I162" s="150" t="s">
        <v>156</v>
      </c>
      <c r="J162" s="150" t="s">
        <v>156</v>
      </c>
      <c r="K162" s="1" t="s">
        <v>222</v>
      </c>
      <c r="L162" s="212" t="s">
        <v>235</v>
      </c>
      <c r="M162" s="212" t="s">
        <v>234</v>
      </c>
      <c r="N162" s="170" t="s">
        <v>204</v>
      </c>
    </row>
    <row r="163" spans="2:14">
      <c r="B163" s="21" t="s">
        <v>471</v>
      </c>
      <c r="C163" s="150" t="s">
        <v>156</v>
      </c>
      <c r="D163" s="150" t="s">
        <v>156</v>
      </c>
      <c r="E163" s="150" t="s">
        <v>156</v>
      </c>
      <c r="F163" s="150" t="s">
        <v>156</v>
      </c>
      <c r="G163" s="150" t="s">
        <v>156</v>
      </c>
      <c r="H163" s="150" t="s">
        <v>156</v>
      </c>
      <c r="I163" s="150" t="s">
        <v>156</v>
      </c>
      <c r="J163" s="150" t="s">
        <v>156</v>
      </c>
      <c r="K163" s="1" t="s">
        <v>222</v>
      </c>
      <c r="L163" s="212" t="s">
        <v>235</v>
      </c>
      <c r="M163" s="212" t="s">
        <v>235</v>
      </c>
      <c r="N163" s="170" t="s">
        <v>204</v>
      </c>
    </row>
    <row r="164" spans="2:14">
      <c r="B164" s="21" t="s">
        <v>472</v>
      </c>
      <c r="C164" s="150" t="s">
        <v>156</v>
      </c>
      <c r="D164" s="150" t="s">
        <v>156</v>
      </c>
      <c r="E164" s="150" t="s">
        <v>156</v>
      </c>
      <c r="F164" s="150" t="s">
        <v>156</v>
      </c>
      <c r="G164" s="150" t="s">
        <v>156</v>
      </c>
      <c r="H164" s="150" t="s">
        <v>156</v>
      </c>
      <c r="I164" s="150" t="s">
        <v>156</v>
      </c>
      <c r="J164" s="150" t="s">
        <v>156</v>
      </c>
      <c r="K164" s="1" t="s">
        <v>222</v>
      </c>
      <c r="L164" s="212" t="s">
        <v>235</v>
      </c>
      <c r="M164" s="212" t="s">
        <v>236</v>
      </c>
      <c r="N164" s="170" t="s">
        <v>204</v>
      </c>
    </row>
    <row r="165" spans="2:14">
      <c r="B165" s="21" t="s">
        <v>463</v>
      </c>
      <c r="C165" s="150" t="s">
        <v>156</v>
      </c>
      <c r="D165" s="150" t="s">
        <v>156</v>
      </c>
      <c r="E165" s="150" t="s">
        <v>156</v>
      </c>
      <c r="F165" s="150" t="s">
        <v>156</v>
      </c>
      <c r="G165" s="150" t="s">
        <v>156</v>
      </c>
      <c r="H165" s="150" t="s">
        <v>156</v>
      </c>
      <c r="I165" s="150" t="s">
        <v>156</v>
      </c>
      <c r="J165" s="150" t="s">
        <v>156</v>
      </c>
      <c r="K165" s="1" t="s">
        <v>222</v>
      </c>
      <c r="L165" s="212" t="s">
        <v>235</v>
      </c>
      <c r="M165" s="212" t="s">
        <v>247</v>
      </c>
      <c r="N165" s="170" t="s">
        <v>204</v>
      </c>
    </row>
    <row r="166" spans="2:14">
      <c r="B166" s="21" t="s">
        <v>463</v>
      </c>
      <c r="C166" s="150" t="s">
        <v>156</v>
      </c>
      <c r="D166" s="150" t="s">
        <v>156</v>
      </c>
      <c r="E166" s="150" t="s">
        <v>156</v>
      </c>
      <c r="F166" s="150" t="s">
        <v>156</v>
      </c>
      <c r="G166" s="150" t="s">
        <v>156</v>
      </c>
      <c r="H166" s="150" t="s">
        <v>156</v>
      </c>
      <c r="I166" s="150" t="s">
        <v>156</v>
      </c>
      <c r="J166" s="150" t="s">
        <v>156</v>
      </c>
      <c r="K166" s="1" t="s">
        <v>222</v>
      </c>
      <c r="L166" s="212" t="s">
        <v>235</v>
      </c>
      <c r="M166" s="212" t="s">
        <v>248</v>
      </c>
      <c r="N166" s="170" t="s">
        <v>204</v>
      </c>
    </row>
    <row r="167" spans="2:14">
      <c r="B167" s="21" t="s">
        <v>463</v>
      </c>
      <c r="C167" s="150" t="s">
        <v>156</v>
      </c>
      <c r="D167" s="150" t="s">
        <v>156</v>
      </c>
      <c r="E167" s="150" t="s">
        <v>156</v>
      </c>
      <c r="F167" s="150" t="s">
        <v>156</v>
      </c>
      <c r="G167" s="150" t="s">
        <v>156</v>
      </c>
      <c r="H167" s="150" t="s">
        <v>156</v>
      </c>
      <c r="I167" s="150" t="s">
        <v>156</v>
      </c>
      <c r="J167" s="150" t="s">
        <v>156</v>
      </c>
      <c r="K167" s="1" t="s">
        <v>222</v>
      </c>
      <c r="L167" s="212" t="s">
        <v>235</v>
      </c>
      <c r="M167" s="212" t="s">
        <v>249</v>
      </c>
      <c r="N167" s="170" t="s">
        <v>204</v>
      </c>
    </row>
    <row r="168" spans="2:14">
      <c r="B168" s="21" t="s">
        <v>463</v>
      </c>
      <c r="C168" s="150" t="s">
        <v>156</v>
      </c>
      <c r="D168" s="150" t="s">
        <v>156</v>
      </c>
      <c r="E168" s="150" t="s">
        <v>156</v>
      </c>
      <c r="F168" s="150" t="s">
        <v>156</v>
      </c>
      <c r="G168" s="150" t="s">
        <v>156</v>
      </c>
      <c r="H168" s="150" t="s">
        <v>156</v>
      </c>
      <c r="I168" s="150" t="s">
        <v>156</v>
      </c>
      <c r="J168" s="150" t="s">
        <v>156</v>
      </c>
      <c r="K168" s="1" t="s">
        <v>222</v>
      </c>
      <c r="L168" s="212" t="s">
        <v>235</v>
      </c>
      <c r="M168" s="212" t="s">
        <v>250</v>
      </c>
      <c r="N168" s="170" t="s">
        <v>204</v>
      </c>
    </row>
    <row r="169" spans="2:14">
      <c r="B169" s="21" t="s">
        <v>463</v>
      </c>
      <c r="C169" s="150" t="s">
        <v>156</v>
      </c>
      <c r="D169" s="150" t="s">
        <v>156</v>
      </c>
      <c r="E169" s="150" t="s">
        <v>156</v>
      </c>
      <c r="F169" s="150" t="s">
        <v>156</v>
      </c>
      <c r="G169" s="150" t="s">
        <v>156</v>
      </c>
      <c r="H169" s="150" t="s">
        <v>156</v>
      </c>
      <c r="I169" s="150" t="s">
        <v>156</v>
      </c>
      <c r="J169" s="150" t="s">
        <v>156</v>
      </c>
      <c r="K169" s="1" t="s">
        <v>222</v>
      </c>
      <c r="L169" s="212" t="s">
        <v>235</v>
      </c>
      <c r="M169" s="212" t="s">
        <v>251</v>
      </c>
      <c r="N169" s="170" t="s">
        <v>204</v>
      </c>
    </row>
    <row r="170" spans="2:14">
      <c r="B170" s="21" t="s">
        <v>473</v>
      </c>
      <c r="C170" s="150" t="s">
        <v>156</v>
      </c>
      <c r="D170" s="150" t="s">
        <v>156</v>
      </c>
      <c r="E170" s="150" t="s">
        <v>156</v>
      </c>
      <c r="F170" s="150" t="s">
        <v>156</v>
      </c>
      <c r="G170" s="150" t="s">
        <v>156</v>
      </c>
      <c r="H170" s="150" t="s">
        <v>156</v>
      </c>
      <c r="I170" s="150" t="s">
        <v>156</v>
      </c>
      <c r="J170" s="150" t="s">
        <v>156</v>
      </c>
      <c r="K170" s="1" t="s">
        <v>222</v>
      </c>
      <c r="L170" s="212" t="s">
        <v>236</v>
      </c>
      <c r="M170" s="212" t="s">
        <v>223</v>
      </c>
      <c r="N170" s="170" t="s">
        <v>205</v>
      </c>
    </row>
    <row r="171" spans="2:14">
      <c r="B171" s="21" t="s">
        <v>474</v>
      </c>
      <c r="C171" s="150" t="s">
        <v>156</v>
      </c>
      <c r="D171" s="150" t="s">
        <v>156</v>
      </c>
      <c r="E171" s="150" t="s">
        <v>156</v>
      </c>
      <c r="F171" s="150" t="s">
        <v>156</v>
      </c>
      <c r="G171" s="150" t="s">
        <v>156</v>
      </c>
      <c r="H171" s="150" t="s">
        <v>156</v>
      </c>
      <c r="I171" s="150" t="s">
        <v>156</v>
      </c>
      <c r="J171" s="150" t="s">
        <v>156</v>
      </c>
      <c r="K171" s="1" t="s">
        <v>222</v>
      </c>
      <c r="L171" s="212" t="s">
        <v>236</v>
      </c>
      <c r="M171" s="212" t="s">
        <v>253</v>
      </c>
      <c r="N171" s="170" t="s">
        <v>205</v>
      </c>
    </row>
    <row r="172" spans="2:14">
      <c r="B172" s="21" t="s">
        <v>475</v>
      </c>
      <c r="C172" s="150" t="s">
        <v>156</v>
      </c>
      <c r="D172" s="150" t="s">
        <v>156</v>
      </c>
      <c r="E172" s="150" t="s">
        <v>156</v>
      </c>
      <c r="F172" s="150" t="s">
        <v>156</v>
      </c>
      <c r="G172" s="150" t="s">
        <v>156</v>
      </c>
      <c r="H172" s="150" t="s">
        <v>156</v>
      </c>
      <c r="I172" s="150" t="s">
        <v>156</v>
      </c>
      <c r="J172" s="150" t="s">
        <v>156</v>
      </c>
      <c r="K172" s="1" t="s">
        <v>222</v>
      </c>
      <c r="L172" s="212" t="s">
        <v>236</v>
      </c>
      <c r="M172" s="212" t="s">
        <v>225</v>
      </c>
      <c r="N172" s="170" t="s">
        <v>205</v>
      </c>
    </row>
    <row r="173" spans="2:14">
      <c r="B173" s="21" t="s">
        <v>476</v>
      </c>
      <c r="C173" s="150" t="s">
        <v>156</v>
      </c>
      <c r="D173" s="150" t="s">
        <v>156</v>
      </c>
      <c r="E173" s="150" t="s">
        <v>156</v>
      </c>
      <c r="F173" s="150" t="s">
        <v>156</v>
      </c>
      <c r="G173" s="150" t="s">
        <v>156</v>
      </c>
      <c r="H173" s="150" t="s">
        <v>156</v>
      </c>
      <c r="I173" s="150" t="s">
        <v>156</v>
      </c>
      <c r="J173" s="150" t="s">
        <v>156</v>
      </c>
      <c r="K173" s="1" t="s">
        <v>222</v>
      </c>
      <c r="L173" s="212" t="s">
        <v>236</v>
      </c>
      <c r="M173" s="212" t="s">
        <v>227</v>
      </c>
      <c r="N173" s="170" t="s">
        <v>205</v>
      </c>
    </row>
    <row r="174" spans="2:14">
      <c r="B174" s="21" t="s">
        <v>477</v>
      </c>
      <c r="C174" s="150" t="s">
        <v>156</v>
      </c>
      <c r="D174" s="150" t="s">
        <v>156</v>
      </c>
      <c r="E174" s="150" t="s">
        <v>156</v>
      </c>
      <c r="F174" s="150" t="s">
        <v>156</v>
      </c>
      <c r="G174" s="150" t="s">
        <v>156</v>
      </c>
      <c r="H174" s="150" t="s">
        <v>156</v>
      </c>
      <c r="I174" s="150" t="s">
        <v>156</v>
      </c>
      <c r="J174" s="150" t="s">
        <v>156</v>
      </c>
      <c r="K174" s="1" t="s">
        <v>222</v>
      </c>
      <c r="L174" s="212" t="s">
        <v>236</v>
      </c>
      <c r="M174" s="212" t="s">
        <v>238</v>
      </c>
      <c r="N174" s="170" t="s">
        <v>205</v>
      </c>
    </row>
    <row r="175" spans="2:14">
      <c r="B175" s="21" t="s">
        <v>478</v>
      </c>
      <c r="C175" s="150" t="s">
        <v>156</v>
      </c>
      <c r="D175" s="150" t="s">
        <v>156</v>
      </c>
      <c r="E175" s="150" t="s">
        <v>156</v>
      </c>
      <c r="F175" s="150" t="s">
        <v>156</v>
      </c>
      <c r="G175" s="150" t="s">
        <v>156</v>
      </c>
      <c r="H175" s="150" t="s">
        <v>156</v>
      </c>
      <c r="I175" s="150" t="s">
        <v>156</v>
      </c>
      <c r="J175" s="150" t="s">
        <v>156</v>
      </c>
      <c r="K175" s="1" t="s">
        <v>222</v>
      </c>
      <c r="L175" s="212" t="s">
        <v>236</v>
      </c>
      <c r="M175" s="212" t="s">
        <v>230</v>
      </c>
      <c r="N175" s="170" t="s">
        <v>205</v>
      </c>
    </row>
    <row r="176" spans="2:14">
      <c r="B176" s="21" t="s">
        <v>479</v>
      </c>
      <c r="C176" s="150" t="s">
        <v>156</v>
      </c>
      <c r="D176" s="150" t="s">
        <v>156</v>
      </c>
      <c r="E176" s="150" t="s">
        <v>156</v>
      </c>
      <c r="F176" s="150" t="s">
        <v>156</v>
      </c>
      <c r="G176" s="150" t="s">
        <v>156</v>
      </c>
      <c r="H176" s="150" t="s">
        <v>156</v>
      </c>
      <c r="I176" s="150" t="s">
        <v>156</v>
      </c>
      <c r="J176" s="150" t="s">
        <v>156</v>
      </c>
      <c r="K176" s="1" t="s">
        <v>222</v>
      </c>
      <c r="L176" s="212" t="s">
        <v>236</v>
      </c>
      <c r="M176" s="212" t="s">
        <v>232</v>
      </c>
      <c r="N176" s="170" t="s">
        <v>205</v>
      </c>
    </row>
    <row r="177" spans="2:14">
      <c r="B177" s="21" t="s">
        <v>480</v>
      </c>
      <c r="C177" s="150" t="s">
        <v>156</v>
      </c>
      <c r="D177" s="150" t="s">
        <v>156</v>
      </c>
      <c r="E177" s="150" t="s">
        <v>156</v>
      </c>
      <c r="F177" s="150" t="s">
        <v>156</v>
      </c>
      <c r="G177" s="150" t="s">
        <v>156</v>
      </c>
      <c r="H177" s="150" t="s">
        <v>156</v>
      </c>
      <c r="I177" s="150" t="s">
        <v>156</v>
      </c>
      <c r="J177" s="150" t="s">
        <v>156</v>
      </c>
      <c r="K177" s="1" t="s">
        <v>222</v>
      </c>
      <c r="L177" s="212" t="s">
        <v>236</v>
      </c>
      <c r="M177" s="212" t="s">
        <v>233</v>
      </c>
      <c r="N177" s="170" t="s">
        <v>205</v>
      </c>
    </row>
    <row r="178" spans="2:14">
      <c r="B178" s="21" t="s">
        <v>481</v>
      </c>
      <c r="C178" s="150" t="s">
        <v>156</v>
      </c>
      <c r="D178" s="150" t="s">
        <v>156</v>
      </c>
      <c r="E178" s="150" t="s">
        <v>156</v>
      </c>
      <c r="F178" s="150" t="s">
        <v>156</v>
      </c>
      <c r="G178" s="150" t="s">
        <v>156</v>
      </c>
      <c r="H178" s="150" t="s">
        <v>156</v>
      </c>
      <c r="I178" s="150" t="s">
        <v>156</v>
      </c>
      <c r="J178" s="150" t="s">
        <v>156</v>
      </c>
      <c r="K178" s="1" t="s">
        <v>222</v>
      </c>
      <c r="L178" s="212" t="s">
        <v>236</v>
      </c>
      <c r="M178" s="212" t="s">
        <v>234</v>
      </c>
      <c r="N178" s="170" t="s">
        <v>205</v>
      </c>
    </row>
    <row r="179" spans="2:14">
      <c r="B179" s="21" t="s">
        <v>482</v>
      </c>
      <c r="C179" s="150" t="s">
        <v>156</v>
      </c>
      <c r="D179" s="150" t="s">
        <v>156</v>
      </c>
      <c r="E179" s="150" t="s">
        <v>156</v>
      </c>
      <c r="F179" s="150" t="s">
        <v>156</v>
      </c>
      <c r="G179" s="150" t="s">
        <v>156</v>
      </c>
      <c r="H179" s="150" t="s">
        <v>156</v>
      </c>
      <c r="I179" s="150" t="s">
        <v>156</v>
      </c>
      <c r="J179" s="150" t="s">
        <v>156</v>
      </c>
      <c r="K179" s="1" t="s">
        <v>222</v>
      </c>
      <c r="L179" s="212" t="s">
        <v>236</v>
      </c>
      <c r="M179" s="212" t="s">
        <v>235</v>
      </c>
      <c r="N179" s="170" t="s">
        <v>205</v>
      </c>
    </row>
    <row r="180" spans="2:14">
      <c r="B180" s="21" t="s">
        <v>483</v>
      </c>
      <c r="C180" s="150" t="s">
        <v>156</v>
      </c>
      <c r="D180" s="150" t="s">
        <v>156</v>
      </c>
      <c r="E180" s="150" t="s">
        <v>156</v>
      </c>
      <c r="F180" s="150" t="s">
        <v>156</v>
      </c>
      <c r="G180" s="150" t="s">
        <v>156</v>
      </c>
      <c r="H180" s="150" t="s">
        <v>156</v>
      </c>
      <c r="I180" s="150" t="s">
        <v>156</v>
      </c>
      <c r="J180" s="150" t="s">
        <v>156</v>
      </c>
      <c r="K180" s="1" t="s">
        <v>222</v>
      </c>
      <c r="L180" s="212" t="s">
        <v>236</v>
      </c>
      <c r="M180" s="212" t="s">
        <v>236</v>
      </c>
      <c r="N180" s="170" t="s">
        <v>30</v>
      </c>
    </row>
    <row r="181" spans="2:14">
      <c r="B181" s="21" t="s">
        <v>474</v>
      </c>
      <c r="C181" s="150" t="s">
        <v>156</v>
      </c>
      <c r="D181" s="150" t="s">
        <v>156</v>
      </c>
      <c r="E181" s="150" t="s">
        <v>156</v>
      </c>
      <c r="F181" s="150" t="s">
        <v>156</v>
      </c>
      <c r="G181" s="150" t="s">
        <v>156</v>
      </c>
      <c r="H181" s="150" t="s">
        <v>156</v>
      </c>
      <c r="I181" s="150" t="s">
        <v>156</v>
      </c>
      <c r="J181" s="150" t="s">
        <v>156</v>
      </c>
      <c r="K181" s="1" t="s">
        <v>222</v>
      </c>
      <c r="L181" s="212" t="s">
        <v>236</v>
      </c>
      <c r="M181" s="212" t="s">
        <v>247</v>
      </c>
      <c r="N181" s="170" t="s">
        <v>205</v>
      </c>
    </row>
    <row r="182" spans="2:14">
      <c r="B182" s="21" t="s">
        <v>474</v>
      </c>
      <c r="C182" s="150" t="s">
        <v>156</v>
      </c>
      <c r="D182" s="150" t="s">
        <v>156</v>
      </c>
      <c r="E182" s="150" t="s">
        <v>156</v>
      </c>
      <c r="F182" s="150" t="s">
        <v>156</v>
      </c>
      <c r="G182" s="150" t="s">
        <v>156</v>
      </c>
      <c r="H182" s="150" t="s">
        <v>156</v>
      </c>
      <c r="I182" s="150" t="s">
        <v>156</v>
      </c>
      <c r="J182" s="150" t="s">
        <v>156</v>
      </c>
      <c r="K182" s="1" t="s">
        <v>222</v>
      </c>
      <c r="L182" s="212" t="s">
        <v>236</v>
      </c>
      <c r="M182" s="212" t="s">
        <v>248</v>
      </c>
      <c r="N182" s="170" t="s">
        <v>205</v>
      </c>
    </row>
    <row r="183" spans="2:14">
      <c r="B183" s="21" t="s">
        <v>474</v>
      </c>
      <c r="C183" s="150" t="s">
        <v>156</v>
      </c>
      <c r="D183" s="150" t="s">
        <v>156</v>
      </c>
      <c r="E183" s="150" t="s">
        <v>156</v>
      </c>
      <c r="F183" s="150" t="s">
        <v>156</v>
      </c>
      <c r="G183" s="150" t="s">
        <v>156</v>
      </c>
      <c r="H183" s="150" t="s">
        <v>156</v>
      </c>
      <c r="I183" s="150" t="s">
        <v>156</v>
      </c>
      <c r="J183" s="150" t="s">
        <v>156</v>
      </c>
      <c r="K183" s="1" t="s">
        <v>222</v>
      </c>
      <c r="L183" s="212" t="s">
        <v>236</v>
      </c>
      <c r="M183" s="212" t="s">
        <v>249</v>
      </c>
      <c r="N183" s="170" t="s">
        <v>205</v>
      </c>
    </row>
    <row r="184" spans="2:14">
      <c r="B184" s="21" t="s">
        <v>474</v>
      </c>
      <c r="C184" s="150" t="s">
        <v>156</v>
      </c>
      <c r="D184" s="150" t="s">
        <v>156</v>
      </c>
      <c r="E184" s="150" t="s">
        <v>156</v>
      </c>
      <c r="F184" s="150" t="s">
        <v>156</v>
      </c>
      <c r="G184" s="150" t="s">
        <v>156</v>
      </c>
      <c r="H184" s="150" t="s">
        <v>156</v>
      </c>
      <c r="I184" s="150" t="s">
        <v>156</v>
      </c>
      <c r="J184" s="150" t="s">
        <v>156</v>
      </c>
      <c r="K184" s="1" t="s">
        <v>222</v>
      </c>
      <c r="L184" s="212" t="s">
        <v>236</v>
      </c>
      <c r="M184" s="212" t="s">
        <v>250</v>
      </c>
      <c r="N184" s="170" t="s">
        <v>205</v>
      </c>
    </row>
    <row r="185" spans="2:14">
      <c r="B185" s="21" t="s">
        <v>474</v>
      </c>
      <c r="C185" s="150" t="s">
        <v>156</v>
      </c>
      <c r="D185" s="150" t="s">
        <v>156</v>
      </c>
      <c r="E185" s="150" t="s">
        <v>156</v>
      </c>
      <c r="F185" s="150" t="s">
        <v>156</v>
      </c>
      <c r="G185" s="150" t="s">
        <v>156</v>
      </c>
      <c r="H185" s="150" t="s">
        <v>156</v>
      </c>
      <c r="I185" s="150" t="s">
        <v>156</v>
      </c>
      <c r="J185" s="150" t="s">
        <v>156</v>
      </c>
      <c r="K185" s="1" t="s">
        <v>222</v>
      </c>
      <c r="L185" s="212" t="s">
        <v>236</v>
      </c>
      <c r="M185" s="212" t="s">
        <v>251</v>
      </c>
      <c r="N185" s="170" t="s">
        <v>205</v>
      </c>
    </row>
    <row r="186" spans="2:14">
      <c r="B186" s="21" t="s">
        <v>374</v>
      </c>
      <c r="C186" s="150" t="s">
        <v>156</v>
      </c>
      <c r="D186" s="150" t="s">
        <v>156</v>
      </c>
      <c r="E186" s="150" t="s">
        <v>156</v>
      </c>
      <c r="F186" s="150" t="s">
        <v>156</v>
      </c>
      <c r="G186" s="150" t="s">
        <v>156</v>
      </c>
      <c r="H186" s="150" t="s">
        <v>156</v>
      </c>
      <c r="I186" s="150" t="s">
        <v>156</v>
      </c>
      <c r="J186" s="150" t="s">
        <v>156</v>
      </c>
      <c r="K186" s="1" t="s">
        <v>222</v>
      </c>
      <c r="L186" s="212" t="s">
        <v>247</v>
      </c>
      <c r="M186" s="212" t="s">
        <v>223</v>
      </c>
      <c r="N186" s="170" t="s">
        <v>30</v>
      </c>
    </row>
    <row r="187" spans="2:14">
      <c r="B187" s="21" t="s">
        <v>375</v>
      </c>
      <c r="C187" s="150" t="s">
        <v>156</v>
      </c>
      <c r="D187" s="150" t="s">
        <v>156</v>
      </c>
      <c r="E187" s="150" t="s">
        <v>156</v>
      </c>
      <c r="F187" s="150" t="s">
        <v>156</v>
      </c>
      <c r="G187" s="150" t="s">
        <v>156</v>
      </c>
      <c r="H187" s="150" t="s">
        <v>156</v>
      </c>
      <c r="I187" s="150" t="s">
        <v>156</v>
      </c>
      <c r="J187" s="150" t="s">
        <v>156</v>
      </c>
      <c r="K187" s="1" t="s">
        <v>222</v>
      </c>
      <c r="L187" s="212" t="s">
        <v>247</v>
      </c>
      <c r="M187" s="212" t="s">
        <v>253</v>
      </c>
      <c r="N187" s="170" t="s">
        <v>30</v>
      </c>
    </row>
    <row r="188" spans="2:14">
      <c r="B188" s="21" t="s">
        <v>376</v>
      </c>
      <c r="C188" s="150" t="s">
        <v>156</v>
      </c>
      <c r="D188" s="150" t="s">
        <v>156</v>
      </c>
      <c r="E188" s="150" t="s">
        <v>156</v>
      </c>
      <c r="F188" s="150" t="s">
        <v>156</v>
      </c>
      <c r="G188" s="150" t="s">
        <v>156</v>
      </c>
      <c r="H188" s="150" t="s">
        <v>156</v>
      </c>
      <c r="I188" s="150" t="s">
        <v>156</v>
      </c>
      <c r="J188" s="150" t="s">
        <v>156</v>
      </c>
      <c r="K188" s="1" t="s">
        <v>222</v>
      </c>
      <c r="L188" s="212" t="s">
        <v>247</v>
      </c>
      <c r="M188" s="212" t="s">
        <v>225</v>
      </c>
      <c r="N188" s="170" t="s">
        <v>30</v>
      </c>
    </row>
    <row r="189" spans="2:14">
      <c r="B189" s="21" t="s">
        <v>377</v>
      </c>
      <c r="C189" s="150" t="s">
        <v>156</v>
      </c>
      <c r="D189" s="150" t="s">
        <v>156</v>
      </c>
      <c r="E189" s="150" t="s">
        <v>156</v>
      </c>
      <c r="F189" s="150" t="s">
        <v>156</v>
      </c>
      <c r="G189" s="150" t="s">
        <v>156</v>
      </c>
      <c r="H189" s="150" t="s">
        <v>156</v>
      </c>
      <c r="I189" s="150" t="s">
        <v>156</v>
      </c>
      <c r="J189" s="150" t="s">
        <v>156</v>
      </c>
      <c r="K189" s="1" t="s">
        <v>222</v>
      </c>
      <c r="L189" s="212" t="s">
        <v>247</v>
      </c>
      <c r="M189" s="212" t="s">
        <v>227</v>
      </c>
      <c r="N189" s="170" t="s">
        <v>30</v>
      </c>
    </row>
    <row r="190" spans="2:14">
      <c r="B190" s="21" t="s">
        <v>378</v>
      </c>
      <c r="C190" s="150" t="s">
        <v>156</v>
      </c>
      <c r="D190" s="150" t="s">
        <v>156</v>
      </c>
      <c r="E190" s="150" t="s">
        <v>156</v>
      </c>
      <c r="F190" s="150" t="s">
        <v>156</v>
      </c>
      <c r="G190" s="150" t="s">
        <v>156</v>
      </c>
      <c r="H190" s="150" t="s">
        <v>156</v>
      </c>
      <c r="I190" s="150" t="s">
        <v>156</v>
      </c>
      <c r="J190" s="150" t="s">
        <v>156</v>
      </c>
      <c r="K190" s="1" t="s">
        <v>222</v>
      </c>
      <c r="L190" s="212" t="s">
        <v>247</v>
      </c>
      <c r="M190" s="212" t="s">
        <v>238</v>
      </c>
      <c r="N190" s="170" t="s">
        <v>30</v>
      </c>
    </row>
    <row r="191" spans="2:14">
      <c r="B191" s="21" t="s">
        <v>379</v>
      </c>
      <c r="C191" s="150" t="s">
        <v>156</v>
      </c>
      <c r="D191" s="150" t="s">
        <v>156</v>
      </c>
      <c r="E191" s="150" t="s">
        <v>156</v>
      </c>
      <c r="F191" s="150" t="s">
        <v>156</v>
      </c>
      <c r="G191" s="150" t="s">
        <v>156</v>
      </c>
      <c r="H191" s="150" t="s">
        <v>156</v>
      </c>
      <c r="I191" s="150" t="s">
        <v>156</v>
      </c>
      <c r="J191" s="150" t="s">
        <v>156</v>
      </c>
      <c r="K191" s="1" t="s">
        <v>222</v>
      </c>
      <c r="L191" s="212" t="s">
        <v>247</v>
      </c>
      <c r="M191" s="212" t="s">
        <v>230</v>
      </c>
      <c r="N191" s="170" t="s">
        <v>30</v>
      </c>
    </row>
    <row r="192" spans="2:14">
      <c r="B192" s="21" t="s">
        <v>380</v>
      </c>
      <c r="C192" s="150" t="s">
        <v>156</v>
      </c>
      <c r="D192" s="150" t="s">
        <v>156</v>
      </c>
      <c r="E192" s="150" t="s">
        <v>156</v>
      </c>
      <c r="F192" s="150" t="s">
        <v>156</v>
      </c>
      <c r="G192" s="150" t="s">
        <v>156</v>
      </c>
      <c r="H192" s="150" t="s">
        <v>156</v>
      </c>
      <c r="I192" s="150" t="s">
        <v>156</v>
      </c>
      <c r="J192" s="150" t="s">
        <v>156</v>
      </c>
      <c r="K192" s="1" t="s">
        <v>222</v>
      </c>
      <c r="L192" s="212" t="s">
        <v>247</v>
      </c>
      <c r="M192" s="212" t="s">
        <v>232</v>
      </c>
      <c r="N192" s="170" t="s">
        <v>30</v>
      </c>
    </row>
    <row r="193" spans="2:14">
      <c r="B193" s="21" t="s">
        <v>381</v>
      </c>
      <c r="C193" s="150" t="s">
        <v>156</v>
      </c>
      <c r="D193" s="150" t="s">
        <v>156</v>
      </c>
      <c r="E193" s="150" t="s">
        <v>156</v>
      </c>
      <c r="F193" s="150" t="s">
        <v>156</v>
      </c>
      <c r="G193" s="150" t="s">
        <v>156</v>
      </c>
      <c r="H193" s="150" t="s">
        <v>156</v>
      </c>
      <c r="I193" s="150" t="s">
        <v>156</v>
      </c>
      <c r="J193" s="150" t="s">
        <v>156</v>
      </c>
      <c r="K193" s="1" t="s">
        <v>222</v>
      </c>
      <c r="L193" s="212" t="s">
        <v>247</v>
      </c>
      <c r="M193" s="212" t="s">
        <v>233</v>
      </c>
      <c r="N193" s="170" t="s">
        <v>30</v>
      </c>
    </row>
    <row r="194" spans="2:14">
      <c r="B194" s="21" t="s">
        <v>382</v>
      </c>
      <c r="C194" s="150" t="s">
        <v>156</v>
      </c>
      <c r="D194" s="150" t="s">
        <v>156</v>
      </c>
      <c r="E194" s="150" t="s">
        <v>156</v>
      </c>
      <c r="F194" s="150" t="s">
        <v>156</v>
      </c>
      <c r="G194" s="150" t="s">
        <v>156</v>
      </c>
      <c r="H194" s="150" t="s">
        <v>156</v>
      </c>
      <c r="I194" s="150" t="s">
        <v>156</v>
      </c>
      <c r="J194" s="150" t="s">
        <v>156</v>
      </c>
      <c r="K194" s="1" t="s">
        <v>222</v>
      </c>
      <c r="L194" s="212" t="s">
        <v>247</v>
      </c>
      <c r="M194" s="212" t="s">
        <v>234</v>
      </c>
      <c r="N194" s="170" t="s">
        <v>30</v>
      </c>
    </row>
    <row r="195" spans="2:14">
      <c r="B195" s="21" t="s">
        <v>383</v>
      </c>
      <c r="C195" s="150" t="s">
        <v>156</v>
      </c>
      <c r="D195" s="150" t="s">
        <v>156</v>
      </c>
      <c r="E195" s="150" t="s">
        <v>156</v>
      </c>
      <c r="F195" s="150" t="s">
        <v>156</v>
      </c>
      <c r="G195" s="150" t="s">
        <v>156</v>
      </c>
      <c r="H195" s="150" t="s">
        <v>156</v>
      </c>
      <c r="I195" s="150" t="s">
        <v>156</v>
      </c>
      <c r="J195" s="150" t="s">
        <v>156</v>
      </c>
      <c r="K195" s="1" t="s">
        <v>222</v>
      </c>
      <c r="L195" s="212" t="s">
        <v>247</v>
      </c>
      <c r="M195" s="212" t="s">
        <v>235</v>
      </c>
      <c r="N195" s="170" t="s">
        <v>30</v>
      </c>
    </row>
    <row r="196" spans="2:14">
      <c r="B196" s="21" t="s">
        <v>384</v>
      </c>
      <c r="C196" s="150" t="s">
        <v>156</v>
      </c>
      <c r="D196" s="150" t="s">
        <v>156</v>
      </c>
      <c r="E196" s="150" t="s">
        <v>156</v>
      </c>
      <c r="F196" s="150" t="s">
        <v>156</v>
      </c>
      <c r="G196" s="150" t="s">
        <v>156</v>
      </c>
      <c r="H196" s="150" t="s">
        <v>156</v>
      </c>
      <c r="I196" s="150" t="s">
        <v>156</v>
      </c>
      <c r="J196" s="150" t="s">
        <v>156</v>
      </c>
      <c r="K196" s="1" t="s">
        <v>222</v>
      </c>
      <c r="L196" s="212" t="s">
        <v>247</v>
      </c>
      <c r="M196" s="212" t="s">
        <v>236</v>
      </c>
      <c r="N196" s="170" t="s">
        <v>30</v>
      </c>
    </row>
    <row r="197" spans="2:14">
      <c r="B197" s="21" t="s">
        <v>375</v>
      </c>
      <c r="C197" s="150" t="s">
        <v>156</v>
      </c>
      <c r="D197" s="150" t="s">
        <v>156</v>
      </c>
      <c r="E197" s="150" t="s">
        <v>156</v>
      </c>
      <c r="F197" s="150" t="s">
        <v>156</v>
      </c>
      <c r="G197" s="150" t="s">
        <v>156</v>
      </c>
      <c r="H197" s="150" t="s">
        <v>156</v>
      </c>
      <c r="I197" s="150" t="s">
        <v>156</v>
      </c>
      <c r="J197" s="150" t="s">
        <v>156</v>
      </c>
      <c r="K197" s="1" t="s">
        <v>222</v>
      </c>
      <c r="L197" s="212" t="s">
        <v>247</v>
      </c>
      <c r="M197" s="212" t="s">
        <v>247</v>
      </c>
      <c r="N197" s="170" t="s">
        <v>30</v>
      </c>
    </row>
    <row r="198" spans="2:14">
      <c r="B198" s="21" t="s">
        <v>375</v>
      </c>
      <c r="C198" s="150" t="s">
        <v>156</v>
      </c>
      <c r="D198" s="150" t="s">
        <v>156</v>
      </c>
      <c r="E198" s="150" t="s">
        <v>156</v>
      </c>
      <c r="F198" s="150" t="s">
        <v>156</v>
      </c>
      <c r="G198" s="150" t="s">
        <v>156</v>
      </c>
      <c r="H198" s="150" t="s">
        <v>156</v>
      </c>
      <c r="I198" s="150" t="s">
        <v>156</v>
      </c>
      <c r="J198" s="150" t="s">
        <v>156</v>
      </c>
      <c r="K198" s="1" t="s">
        <v>222</v>
      </c>
      <c r="L198" s="212" t="s">
        <v>247</v>
      </c>
      <c r="M198" s="212" t="s">
        <v>248</v>
      </c>
      <c r="N198" s="170" t="s">
        <v>30</v>
      </c>
    </row>
    <row r="199" spans="2:14">
      <c r="B199" s="21" t="s">
        <v>375</v>
      </c>
      <c r="C199" s="150" t="s">
        <v>156</v>
      </c>
      <c r="D199" s="150" t="s">
        <v>156</v>
      </c>
      <c r="E199" s="150" t="s">
        <v>156</v>
      </c>
      <c r="F199" s="150" t="s">
        <v>156</v>
      </c>
      <c r="G199" s="150" t="s">
        <v>156</v>
      </c>
      <c r="H199" s="150" t="s">
        <v>156</v>
      </c>
      <c r="I199" s="150" t="s">
        <v>156</v>
      </c>
      <c r="J199" s="150" t="s">
        <v>156</v>
      </c>
      <c r="K199" s="1" t="s">
        <v>222</v>
      </c>
      <c r="L199" s="212" t="s">
        <v>247</v>
      </c>
      <c r="M199" s="212" t="s">
        <v>249</v>
      </c>
      <c r="N199" s="170" t="s">
        <v>30</v>
      </c>
    </row>
    <row r="200" spans="2:14">
      <c r="B200" s="21" t="s">
        <v>375</v>
      </c>
      <c r="C200" s="150" t="s">
        <v>156</v>
      </c>
      <c r="D200" s="150" t="s">
        <v>156</v>
      </c>
      <c r="E200" s="150" t="s">
        <v>156</v>
      </c>
      <c r="F200" s="150" t="s">
        <v>156</v>
      </c>
      <c r="G200" s="150" t="s">
        <v>156</v>
      </c>
      <c r="H200" s="150" t="s">
        <v>156</v>
      </c>
      <c r="I200" s="150" t="s">
        <v>156</v>
      </c>
      <c r="J200" s="150" t="s">
        <v>156</v>
      </c>
      <c r="K200" s="1" t="s">
        <v>222</v>
      </c>
      <c r="L200" s="212" t="s">
        <v>247</v>
      </c>
      <c r="M200" s="212" t="s">
        <v>250</v>
      </c>
      <c r="N200" s="170" t="s">
        <v>30</v>
      </c>
    </row>
    <row r="201" spans="2:14">
      <c r="B201" s="21" t="s">
        <v>375</v>
      </c>
      <c r="C201" s="150" t="s">
        <v>156</v>
      </c>
      <c r="D201" s="150" t="s">
        <v>156</v>
      </c>
      <c r="E201" s="150" t="s">
        <v>156</v>
      </c>
      <c r="F201" s="150" t="s">
        <v>156</v>
      </c>
      <c r="G201" s="150" t="s">
        <v>156</v>
      </c>
      <c r="H201" s="150" t="s">
        <v>156</v>
      </c>
      <c r="I201" s="150" t="s">
        <v>156</v>
      </c>
      <c r="J201" s="150" t="s">
        <v>156</v>
      </c>
      <c r="K201" s="1" t="s">
        <v>222</v>
      </c>
      <c r="L201" s="212" t="s">
        <v>247</v>
      </c>
      <c r="M201" s="212" t="s">
        <v>251</v>
      </c>
      <c r="N201" s="170" t="s">
        <v>30</v>
      </c>
    </row>
    <row r="202" spans="2:14">
      <c r="B202" s="21" t="s">
        <v>374</v>
      </c>
      <c r="C202" s="150" t="s">
        <v>156</v>
      </c>
      <c r="D202" s="150" t="s">
        <v>156</v>
      </c>
      <c r="E202" s="150" t="s">
        <v>156</v>
      </c>
      <c r="F202" s="150" t="s">
        <v>156</v>
      </c>
      <c r="G202" s="150" t="s">
        <v>156</v>
      </c>
      <c r="H202" s="150" t="s">
        <v>156</v>
      </c>
      <c r="I202" s="150" t="s">
        <v>156</v>
      </c>
      <c r="J202" s="150" t="s">
        <v>156</v>
      </c>
      <c r="K202" s="1" t="s">
        <v>222</v>
      </c>
      <c r="L202" s="212" t="s">
        <v>248</v>
      </c>
      <c r="M202" s="212" t="s">
        <v>223</v>
      </c>
      <c r="N202" s="170" t="s">
        <v>30</v>
      </c>
    </row>
    <row r="203" spans="2:14">
      <c r="B203" s="21" t="s">
        <v>375</v>
      </c>
      <c r="C203" s="150" t="s">
        <v>156</v>
      </c>
      <c r="D203" s="150" t="s">
        <v>156</v>
      </c>
      <c r="E203" s="150" t="s">
        <v>156</v>
      </c>
      <c r="F203" s="150" t="s">
        <v>156</v>
      </c>
      <c r="G203" s="150" t="s">
        <v>156</v>
      </c>
      <c r="H203" s="150" t="s">
        <v>156</v>
      </c>
      <c r="I203" s="150" t="s">
        <v>156</v>
      </c>
      <c r="J203" s="150" t="s">
        <v>156</v>
      </c>
      <c r="K203" s="1" t="s">
        <v>222</v>
      </c>
      <c r="L203" s="212" t="s">
        <v>248</v>
      </c>
      <c r="M203" s="212" t="s">
        <v>253</v>
      </c>
      <c r="N203" s="170" t="s">
        <v>30</v>
      </c>
    </row>
    <row r="204" spans="2:14">
      <c r="B204" s="21" t="s">
        <v>376</v>
      </c>
      <c r="C204" s="150" t="s">
        <v>156</v>
      </c>
      <c r="D204" s="150" t="s">
        <v>156</v>
      </c>
      <c r="E204" s="150" t="s">
        <v>156</v>
      </c>
      <c r="F204" s="150" t="s">
        <v>156</v>
      </c>
      <c r="G204" s="150" t="s">
        <v>156</v>
      </c>
      <c r="H204" s="150" t="s">
        <v>156</v>
      </c>
      <c r="I204" s="150" t="s">
        <v>156</v>
      </c>
      <c r="J204" s="150" t="s">
        <v>156</v>
      </c>
      <c r="K204" s="1" t="s">
        <v>222</v>
      </c>
      <c r="L204" s="212" t="s">
        <v>248</v>
      </c>
      <c r="M204" s="212" t="s">
        <v>225</v>
      </c>
      <c r="N204" s="170" t="s">
        <v>30</v>
      </c>
    </row>
    <row r="205" spans="2:14">
      <c r="B205" s="21" t="s">
        <v>377</v>
      </c>
      <c r="C205" s="150" t="s">
        <v>156</v>
      </c>
      <c r="D205" s="150" t="s">
        <v>156</v>
      </c>
      <c r="E205" s="150" t="s">
        <v>156</v>
      </c>
      <c r="F205" s="150" t="s">
        <v>156</v>
      </c>
      <c r="G205" s="150" t="s">
        <v>156</v>
      </c>
      <c r="H205" s="150" t="s">
        <v>156</v>
      </c>
      <c r="I205" s="150" t="s">
        <v>156</v>
      </c>
      <c r="J205" s="150" t="s">
        <v>156</v>
      </c>
      <c r="K205" s="1" t="s">
        <v>222</v>
      </c>
      <c r="L205" s="212" t="s">
        <v>248</v>
      </c>
      <c r="M205" s="212" t="s">
        <v>227</v>
      </c>
      <c r="N205" s="170" t="s">
        <v>30</v>
      </c>
    </row>
    <row r="206" spans="2:14">
      <c r="B206" s="21" t="s">
        <v>378</v>
      </c>
      <c r="C206" s="150" t="s">
        <v>156</v>
      </c>
      <c r="D206" s="150" t="s">
        <v>156</v>
      </c>
      <c r="E206" s="150" t="s">
        <v>156</v>
      </c>
      <c r="F206" s="150" t="s">
        <v>156</v>
      </c>
      <c r="G206" s="150" t="s">
        <v>156</v>
      </c>
      <c r="H206" s="150" t="s">
        <v>156</v>
      </c>
      <c r="I206" s="150" t="s">
        <v>156</v>
      </c>
      <c r="J206" s="150" t="s">
        <v>156</v>
      </c>
      <c r="K206" s="1" t="s">
        <v>222</v>
      </c>
      <c r="L206" s="212" t="s">
        <v>248</v>
      </c>
      <c r="M206" s="212" t="s">
        <v>238</v>
      </c>
      <c r="N206" s="170" t="s">
        <v>30</v>
      </c>
    </row>
    <row r="207" spans="2:14">
      <c r="B207" s="21" t="s">
        <v>379</v>
      </c>
      <c r="C207" s="150" t="s">
        <v>156</v>
      </c>
      <c r="D207" s="150" t="s">
        <v>156</v>
      </c>
      <c r="E207" s="150" t="s">
        <v>156</v>
      </c>
      <c r="F207" s="150" t="s">
        <v>156</v>
      </c>
      <c r="G207" s="150" t="s">
        <v>156</v>
      </c>
      <c r="H207" s="150" t="s">
        <v>156</v>
      </c>
      <c r="I207" s="150" t="s">
        <v>156</v>
      </c>
      <c r="J207" s="150" t="s">
        <v>156</v>
      </c>
      <c r="K207" s="1" t="s">
        <v>222</v>
      </c>
      <c r="L207" s="212" t="s">
        <v>248</v>
      </c>
      <c r="M207" s="212" t="s">
        <v>230</v>
      </c>
      <c r="N207" s="170" t="s">
        <v>30</v>
      </c>
    </row>
    <row r="208" spans="2:14">
      <c r="B208" s="21" t="s">
        <v>380</v>
      </c>
      <c r="C208" s="150" t="s">
        <v>156</v>
      </c>
      <c r="D208" s="150" t="s">
        <v>156</v>
      </c>
      <c r="E208" s="150" t="s">
        <v>156</v>
      </c>
      <c r="F208" s="150" t="s">
        <v>156</v>
      </c>
      <c r="G208" s="150" t="s">
        <v>156</v>
      </c>
      <c r="H208" s="150" t="s">
        <v>156</v>
      </c>
      <c r="I208" s="150" t="s">
        <v>156</v>
      </c>
      <c r="J208" s="150" t="s">
        <v>156</v>
      </c>
      <c r="K208" s="1" t="s">
        <v>222</v>
      </c>
      <c r="L208" s="212" t="s">
        <v>248</v>
      </c>
      <c r="M208" s="212" t="s">
        <v>232</v>
      </c>
      <c r="N208" s="170" t="s">
        <v>30</v>
      </c>
    </row>
    <row r="209" spans="2:14">
      <c r="B209" s="21" t="s">
        <v>381</v>
      </c>
      <c r="C209" s="150" t="s">
        <v>156</v>
      </c>
      <c r="D209" s="150" t="s">
        <v>156</v>
      </c>
      <c r="E209" s="150" t="s">
        <v>156</v>
      </c>
      <c r="F209" s="150" t="s">
        <v>156</v>
      </c>
      <c r="G209" s="150" t="s">
        <v>156</v>
      </c>
      <c r="H209" s="150" t="s">
        <v>156</v>
      </c>
      <c r="I209" s="150" t="s">
        <v>156</v>
      </c>
      <c r="J209" s="150" t="s">
        <v>156</v>
      </c>
      <c r="K209" s="1" t="s">
        <v>222</v>
      </c>
      <c r="L209" s="212" t="s">
        <v>248</v>
      </c>
      <c r="M209" s="212" t="s">
        <v>233</v>
      </c>
      <c r="N209" s="170" t="s">
        <v>30</v>
      </c>
    </row>
    <row r="210" spans="2:14">
      <c r="B210" s="21" t="s">
        <v>382</v>
      </c>
      <c r="C210" s="150" t="s">
        <v>156</v>
      </c>
      <c r="D210" s="150" t="s">
        <v>156</v>
      </c>
      <c r="E210" s="150" t="s">
        <v>156</v>
      </c>
      <c r="F210" s="150" t="s">
        <v>156</v>
      </c>
      <c r="G210" s="150" t="s">
        <v>156</v>
      </c>
      <c r="H210" s="150" t="s">
        <v>156</v>
      </c>
      <c r="I210" s="150" t="s">
        <v>156</v>
      </c>
      <c r="J210" s="150" t="s">
        <v>156</v>
      </c>
      <c r="K210" s="1" t="s">
        <v>222</v>
      </c>
      <c r="L210" s="212" t="s">
        <v>248</v>
      </c>
      <c r="M210" s="212" t="s">
        <v>234</v>
      </c>
      <c r="N210" s="170" t="s">
        <v>30</v>
      </c>
    </row>
    <row r="211" spans="2:14">
      <c r="B211" s="21" t="s">
        <v>383</v>
      </c>
      <c r="C211" s="150" t="s">
        <v>156</v>
      </c>
      <c r="D211" s="150" t="s">
        <v>156</v>
      </c>
      <c r="E211" s="150" t="s">
        <v>156</v>
      </c>
      <c r="F211" s="150" t="s">
        <v>156</v>
      </c>
      <c r="G211" s="150" t="s">
        <v>156</v>
      </c>
      <c r="H211" s="150" t="s">
        <v>156</v>
      </c>
      <c r="I211" s="150" t="s">
        <v>156</v>
      </c>
      <c r="J211" s="150" t="s">
        <v>156</v>
      </c>
      <c r="K211" s="1" t="s">
        <v>222</v>
      </c>
      <c r="L211" s="212" t="s">
        <v>248</v>
      </c>
      <c r="M211" s="212" t="s">
        <v>235</v>
      </c>
      <c r="N211" s="170" t="s">
        <v>30</v>
      </c>
    </row>
    <row r="212" spans="2:14">
      <c r="B212" s="21" t="s">
        <v>384</v>
      </c>
      <c r="C212" s="150" t="s">
        <v>156</v>
      </c>
      <c r="D212" s="150" t="s">
        <v>156</v>
      </c>
      <c r="E212" s="150" t="s">
        <v>156</v>
      </c>
      <c r="F212" s="150" t="s">
        <v>156</v>
      </c>
      <c r="G212" s="150" t="s">
        <v>156</v>
      </c>
      <c r="H212" s="150" t="s">
        <v>156</v>
      </c>
      <c r="I212" s="150" t="s">
        <v>156</v>
      </c>
      <c r="J212" s="150" t="s">
        <v>156</v>
      </c>
      <c r="K212" s="1" t="s">
        <v>222</v>
      </c>
      <c r="L212" s="212" t="s">
        <v>248</v>
      </c>
      <c r="M212" s="212" t="s">
        <v>236</v>
      </c>
      <c r="N212" s="170" t="s">
        <v>30</v>
      </c>
    </row>
    <row r="213" spans="2:14">
      <c r="B213" s="21" t="s">
        <v>375</v>
      </c>
      <c r="C213" s="150" t="s">
        <v>156</v>
      </c>
      <c r="D213" s="150" t="s">
        <v>156</v>
      </c>
      <c r="E213" s="150" t="s">
        <v>156</v>
      </c>
      <c r="F213" s="150" t="s">
        <v>156</v>
      </c>
      <c r="G213" s="150" t="s">
        <v>156</v>
      </c>
      <c r="H213" s="150" t="s">
        <v>156</v>
      </c>
      <c r="I213" s="150" t="s">
        <v>156</v>
      </c>
      <c r="J213" s="150" t="s">
        <v>156</v>
      </c>
      <c r="K213" s="1" t="s">
        <v>222</v>
      </c>
      <c r="L213" s="212" t="s">
        <v>248</v>
      </c>
      <c r="M213" s="212" t="s">
        <v>247</v>
      </c>
      <c r="N213" s="170" t="s">
        <v>30</v>
      </c>
    </row>
    <row r="214" spans="2:14">
      <c r="B214" s="21" t="s">
        <v>375</v>
      </c>
      <c r="C214" s="150" t="s">
        <v>156</v>
      </c>
      <c r="D214" s="150" t="s">
        <v>156</v>
      </c>
      <c r="E214" s="150" t="s">
        <v>156</v>
      </c>
      <c r="F214" s="150" t="s">
        <v>156</v>
      </c>
      <c r="G214" s="150" t="s">
        <v>156</v>
      </c>
      <c r="H214" s="150" t="s">
        <v>156</v>
      </c>
      <c r="I214" s="150" t="s">
        <v>156</v>
      </c>
      <c r="J214" s="150" t="s">
        <v>156</v>
      </c>
      <c r="K214" s="1" t="s">
        <v>222</v>
      </c>
      <c r="L214" s="212" t="s">
        <v>248</v>
      </c>
      <c r="M214" s="212" t="s">
        <v>248</v>
      </c>
      <c r="N214" s="170" t="s">
        <v>30</v>
      </c>
    </row>
    <row r="215" spans="2:14">
      <c r="B215" s="21" t="s">
        <v>375</v>
      </c>
      <c r="C215" s="150" t="s">
        <v>156</v>
      </c>
      <c r="D215" s="150" t="s">
        <v>156</v>
      </c>
      <c r="E215" s="150" t="s">
        <v>156</v>
      </c>
      <c r="F215" s="150" t="s">
        <v>156</v>
      </c>
      <c r="G215" s="150" t="s">
        <v>156</v>
      </c>
      <c r="H215" s="150" t="s">
        <v>156</v>
      </c>
      <c r="I215" s="150" t="s">
        <v>156</v>
      </c>
      <c r="J215" s="150" t="s">
        <v>156</v>
      </c>
      <c r="K215" s="1" t="s">
        <v>222</v>
      </c>
      <c r="L215" s="212" t="s">
        <v>248</v>
      </c>
      <c r="M215" s="212" t="s">
        <v>249</v>
      </c>
      <c r="N215" s="170" t="s">
        <v>30</v>
      </c>
    </row>
    <row r="216" spans="2:14">
      <c r="B216" s="21" t="s">
        <v>375</v>
      </c>
      <c r="C216" s="150" t="s">
        <v>156</v>
      </c>
      <c r="D216" s="150" t="s">
        <v>156</v>
      </c>
      <c r="E216" s="150" t="s">
        <v>156</v>
      </c>
      <c r="F216" s="150" t="s">
        <v>156</v>
      </c>
      <c r="G216" s="150" t="s">
        <v>156</v>
      </c>
      <c r="H216" s="150" t="s">
        <v>156</v>
      </c>
      <c r="I216" s="150" t="s">
        <v>156</v>
      </c>
      <c r="J216" s="150" t="s">
        <v>156</v>
      </c>
      <c r="K216" s="1" t="s">
        <v>222</v>
      </c>
      <c r="L216" s="212" t="s">
        <v>248</v>
      </c>
      <c r="M216" s="212" t="s">
        <v>250</v>
      </c>
      <c r="N216" s="170" t="s">
        <v>30</v>
      </c>
    </row>
    <row r="217" spans="2:14">
      <c r="B217" s="21" t="s">
        <v>375</v>
      </c>
      <c r="C217" s="150" t="s">
        <v>156</v>
      </c>
      <c r="D217" s="150" t="s">
        <v>156</v>
      </c>
      <c r="E217" s="150" t="s">
        <v>156</v>
      </c>
      <c r="F217" s="150" t="s">
        <v>156</v>
      </c>
      <c r="G217" s="150" t="s">
        <v>156</v>
      </c>
      <c r="H217" s="150" t="s">
        <v>156</v>
      </c>
      <c r="I217" s="150" t="s">
        <v>156</v>
      </c>
      <c r="J217" s="150" t="s">
        <v>156</v>
      </c>
      <c r="K217" s="1" t="s">
        <v>222</v>
      </c>
      <c r="L217" s="212" t="s">
        <v>248</v>
      </c>
      <c r="M217" s="212" t="s">
        <v>251</v>
      </c>
      <c r="N217" s="170" t="s">
        <v>30</v>
      </c>
    </row>
    <row r="218" spans="2:14">
      <c r="B218" s="21" t="s">
        <v>374</v>
      </c>
      <c r="C218" s="150" t="s">
        <v>156</v>
      </c>
      <c r="D218" s="150" t="s">
        <v>156</v>
      </c>
      <c r="E218" s="150" t="s">
        <v>156</v>
      </c>
      <c r="F218" s="150" t="s">
        <v>156</v>
      </c>
      <c r="G218" s="150" t="s">
        <v>156</v>
      </c>
      <c r="H218" s="150" t="s">
        <v>156</v>
      </c>
      <c r="I218" s="150" t="s">
        <v>156</v>
      </c>
      <c r="J218" s="150" t="s">
        <v>156</v>
      </c>
      <c r="K218" s="1" t="s">
        <v>222</v>
      </c>
      <c r="L218" s="212" t="s">
        <v>249</v>
      </c>
      <c r="M218" s="212" t="s">
        <v>223</v>
      </c>
      <c r="N218" s="170" t="s">
        <v>30</v>
      </c>
    </row>
    <row r="219" spans="2:14">
      <c r="B219" s="21" t="s">
        <v>375</v>
      </c>
      <c r="C219" s="150" t="s">
        <v>156</v>
      </c>
      <c r="D219" s="150" t="s">
        <v>156</v>
      </c>
      <c r="E219" s="150" t="s">
        <v>156</v>
      </c>
      <c r="F219" s="150" t="s">
        <v>156</v>
      </c>
      <c r="G219" s="150" t="s">
        <v>156</v>
      </c>
      <c r="H219" s="150" t="s">
        <v>156</v>
      </c>
      <c r="I219" s="150" t="s">
        <v>156</v>
      </c>
      <c r="J219" s="150" t="s">
        <v>156</v>
      </c>
      <c r="K219" s="1" t="s">
        <v>222</v>
      </c>
      <c r="L219" s="212" t="s">
        <v>249</v>
      </c>
      <c r="M219" s="212" t="s">
        <v>253</v>
      </c>
      <c r="N219" s="170" t="s">
        <v>30</v>
      </c>
    </row>
    <row r="220" spans="2:14">
      <c r="B220" s="21" t="s">
        <v>376</v>
      </c>
      <c r="C220" s="150" t="s">
        <v>156</v>
      </c>
      <c r="D220" s="150" t="s">
        <v>156</v>
      </c>
      <c r="E220" s="150" t="s">
        <v>156</v>
      </c>
      <c r="F220" s="150" t="s">
        <v>156</v>
      </c>
      <c r="G220" s="150" t="s">
        <v>156</v>
      </c>
      <c r="H220" s="150" t="s">
        <v>156</v>
      </c>
      <c r="I220" s="150" t="s">
        <v>156</v>
      </c>
      <c r="J220" s="150" t="s">
        <v>156</v>
      </c>
      <c r="K220" s="1" t="s">
        <v>222</v>
      </c>
      <c r="L220" s="212" t="s">
        <v>249</v>
      </c>
      <c r="M220" s="212" t="s">
        <v>225</v>
      </c>
      <c r="N220" s="170" t="s">
        <v>30</v>
      </c>
    </row>
    <row r="221" spans="2:14">
      <c r="B221" s="21" t="s">
        <v>377</v>
      </c>
      <c r="C221" s="150" t="s">
        <v>156</v>
      </c>
      <c r="D221" s="150" t="s">
        <v>156</v>
      </c>
      <c r="E221" s="150" t="s">
        <v>156</v>
      </c>
      <c r="F221" s="150" t="s">
        <v>156</v>
      </c>
      <c r="G221" s="150" t="s">
        <v>156</v>
      </c>
      <c r="H221" s="150" t="s">
        <v>156</v>
      </c>
      <c r="I221" s="150" t="s">
        <v>156</v>
      </c>
      <c r="J221" s="150" t="s">
        <v>156</v>
      </c>
      <c r="K221" s="1" t="s">
        <v>222</v>
      </c>
      <c r="L221" s="212" t="s">
        <v>249</v>
      </c>
      <c r="M221" s="212" t="s">
        <v>227</v>
      </c>
      <c r="N221" s="170" t="s">
        <v>30</v>
      </c>
    </row>
    <row r="222" spans="2:14">
      <c r="B222" s="21" t="s">
        <v>378</v>
      </c>
      <c r="C222" s="150" t="s">
        <v>156</v>
      </c>
      <c r="D222" s="150" t="s">
        <v>156</v>
      </c>
      <c r="E222" s="150" t="s">
        <v>156</v>
      </c>
      <c r="F222" s="150" t="s">
        <v>156</v>
      </c>
      <c r="G222" s="150" t="s">
        <v>156</v>
      </c>
      <c r="H222" s="150" t="s">
        <v>156</v>
      </c>
      <c r="I222" s="150" t="s">
        <v>156</v>
      </c>
      <c r="J222" s="150" t="s">
        <v>156</v>
      </c>
      <c r="K222" s="1" t="s">
        <v>222</v>
      </c>
      <c r="L222" s="212" t="s">
        <v>249</v>
      </c>
      <c r="M222" s="212" t="s">
        <v>238</v>
      </c>
      <c r="N222" s="170" t="s">
        <v>30</v>
      </c>
    </row>
    <row r="223" spans="2:14">
      <c r="B223" s="21" t="s">
        <v>379</v>
      </c>
      <c r="C223" s="150" t="s">
        <v>156</v>
      </c>
      <c r="D223" s="150" t="s">
        <v>156</v>
      </c>
      <c r="E223" s="150" t="s">
        <v>156</v>
      </c>
      <c r="F223" s="150" t="s">
        <v>156</v>
      </c>
      <c r="G223" s="150" t="s">
        <v>156</v>
      </c>
      <c r="H223" s="150" t="s">
        <v>156</v>
      </c>
      <c r="I223" s="150" t="s">
        <v>156</v>
      </c>
      <c r="J223" s="150" t="s">
        <v>156</v>
      </c>
      <c r="K223" s="1" t="s">
        <v>222</v>
      </c>
      <c r="L223" s="212" t="s">
        <v>249</v>
      </c>
      <c r="M223" s="212" t="s">
        <v>230</v>
      </c>
      <c r="N223" s="170" t="s">
        <v>30</v>
      </c>
    </row>
    <row r="224" spans="2:14">
      <c r="B224" s="21" t="s">
        <v>380</v>
      </c>
      <c r="C224" s="150" t="s">
        <v>156</v>
      </c>
      <c r="D224" s="150" t="s">
        <v>156</v>
      </c>
      <c r="E224" s="150" t="s">
        <v>156</v>
      </c>
      <c r="F224" s="150" t="s">
        <v>156</v>
      </c>
      <c r="G224" s="150" t="s">
        <v>156</v>
      </c>
      <c r="H224" s="150" t="s">
        <v>156</v>
      </c>
      <c r="I224" s="150" t="s">
        <v>156</v>
      </c>
      <c r="J224" s="150" t="s">
        <v>156</v>
      </c>
      <c r="K224" s="1" t="s">
        <v>222</v>
      </c>
      <c r="L224" s="212" t="s">
        <v>249</v>
      </c>
      <c r="M224" s="212" t="s">
        <v>232</v>
      </c>
      <c r="N224" s="170" t="s">
        <v>30</v>
      </c>
    </row>
    <row r="225" spans="2:14">
      <c r="B225" s="21" t="s">
        <v>381</v>
      </c>
      <c r="C225" s="150" t="s">
        <v>156</v>
      </c>
      <c r="D225" s="150" t="s">
        <v>156</v>
      </c>
      <c r="E225" s="150" t="s">
        <v>156</v>
      </c>
      <c r="F225" s="150" t="s">
        <v>156</v>
      </c>
      <c r="G225" s="150" t="s">
        <v>156</v>
      </c>
      <c r="H225" s="150" t="s">
        <v>156</v>
      </c>
      <c r="I225" s="150" t="s">
        <v>156</v>
      </c>
      <c r="J225" s="150" t="s">
        <v>156</v>
      </c>
      <c r="K225" s="1" t="s">
        <v>222</v>
      </c>
      <c r="L225" s="212" t="s">
        <v>249</v>
      </c>
      <c r="M225" s="212" t="s">
        <v>233</v>
      </c>
      <c r="N225" s="170" t="s">
        <v>30</v>
      </c>
    </row>
    <row r="226" spans="2:14">
      <c r="B226" s="21" t="s">
        <v>382</v>
      </c>
      <c r="C226" s="150" t="s">
        <v>156</v>
      </c>
      <c r="D226" s="150" t="s">
        <v>156</v>
      </c>
      <c r="E226" s="150" t="s">
        <v>156</v>
      </c>
      <c r="F226" s="150" t="s">
        <v>156</v>
      </c>
      <c r="G226" s="150" t="s">
        <v>156</v>
      </c>
      <c r="H226" s="150" t="s">
        <v>156</v>
      </c>
      <c r="I226" s="150" t="s">
        <v>156</v>
      </c>
      <c r="J226" s="150" t="s">
        <v>156</v>
      </c>
      <c r="K226" s="1" t="s">
        <v>222</v>
      </c>
      <c r="L226" s="212" t="s">
        <v>249</v>
      </c>
      <c r="M226" s="212" t="s">
        <v>234</v>
      </c>
      <c r="N226" s="170" t="s">
        <v>30</v>
      </c>
    </row>
    <row r="227" spans="2:14">
      <c r="B227" s="21" t="s">
        <v>383</v>
      </c>
      <c r="C227" s="150" t="s">
        <v>156</v>
      </c>
      <c r="D227" s="150" t="s">
        <v>156</v>
      </c>
      <c r="E227" s="150" t="s">
        <v>156</v>
      </c>
      <c r="F227" s="150" t="s">
        <v>156</v>
      </c>
      <c r="G227" s="150" t="s">
        <v>156</v>
      </c>
      <c r="H227" s="150" t="s">
        <v>156</v>
      </c>
      <c r="I227" s="150" t="s">
        <v>156</v>
      </c>
      <c r="J227" s="150" t="s">
        <v>156</v>
      </c>
      <c r="K227" s="1" t="s">
        <v>222</v>
      </c>
      <c r="L227" s="212" t="s">
        <v>249</v>
      </c>
      <c r="M227" s="212" t="s">
        <v>235</v>
      </c>
      <c r="N227" s="170" t="s">
        <v>30</v>
      </c>
    </row>
    <row r="228" spans="2:14">
      <c r="B228" s="21" t="s">
        <v>384</v>
      </c>
      <c r="C228" s="150" t="s">
        <v>156</v>
      </c>
      <c r="D228" s="150" t="s">
        <v>156</v>
      </c>
      <c r="E228" s="150" t="s">
        <v>156</v>
      </c>
      <c r="F228" s="150" t="s">
        <v>156</v>
      </c>
      <c r="G228" s="150" t="s">
        <v>156</v>
      </c>
      <c r="H228" s="150" t="s">
        <v>156</v>
      </c>
      <c r="I228" s="150" t="s">
        <v>156</v>
      </c>
      <c r="J228" s="150" t="s">
        <v>156</v>
      </c>
      <c r="K228" s="1" t="s">
        <v>222</v>
      </c>
      <c r="L228" s="212" t="s">
        <v>249</v>
      </c>
      <c r="M228" s="212" t="s">
        <v>236</v>
      </c>
      <c r="N228" s="170" t="s">
        <v>30</v>
      </c>
    </row>
    <row r="229" spans="2:14">
      <c r="B229" s="21" t="s">
        <v>375</v>
      </c>
      <c r="C229" s="150" t="s">
        <v>156</v>
      </c>
      <c r="D229" s="150" t="s">
        <v>156</v>
      </c>
      <c r="E229" s="150" t="s">
        <v>156</v>
      </c>
      <c r="F229" s="150" t="s">
        <v>156</v>
      </c>
      <c r="G229" s="150" t="s">
        <v>156</v>
      </c>
      <c r="H229" s="150" t="s">
        <v>156</v>
      </c>
      <c r="I229" s="150" t="s">
        <v>156</v>
      </c>
      <c r="J229" s="150" t="s">
        <v>156</v>
      </c>
      <c r="K229" s="1" t="s">
        <v>222</v>
      </c>
      <c r="L229" s="212" t="s">
        <v>249</v>
      </c>
      <c r="M229" s="212" t="s">
        <v>247</v>
      </c>
      <c r="N229" s="170" t="s">
        <v>30</v>
      </c>
    </row>
    <row r="230" spans="2:14">
      <c r="B230" s="21" t="s">
        <v>375</v>
      </c>
      <c r="C230" s="150" t="s">
        <v>156</v>
      </c>
      <c r="D230" s="150" t="s">
        <v>156</v>
      </c>
      <c r="E230" s="150" t="s">
        <v>156</v>
      </c>
      <c r="F230" s="150" t="s">
        <v>156</v>
      </c>
      <c r="G230" s="150" t="s">
        <v>156</v>
      </c>
      <c r="H230" s="150" t="s">
        <v>156</v>
      </c>
      <c r="I230" s="150" t="s">
        <v>156</v>
      </c>
      <c r="J230" s="150" t="s">
        <v>156</v>
      </c>
      <c r="K230" s="1" t="s">
        <v>222</v>
      </c>
      <c r="L230" s="212" t="s">
        <v>249</v>
      </c>
      <c r="M230" s="212" t="s">
        <v>248</v>
      </c>
      <c r="N230" s="170" t="s">
        <v>30</v>
      </c>
    </row>
    <row r="231" spans="2:14">
      <c r="B231" s="21" t="s">
        <v>375</v>
      </c>
      <c r="C231" s="150" t="s">
        <v>156</v>
      </c>
      <c r="D231" s="150" t="s">
        <v>156</v>
      </c>
      <c r="E231" s="150" t="s">
        <v>156</v>
      </c>
      <c r="F231" s="150" t="s">
        <v>156</v>
      </c>
      <c r="G231" s="150" t="s">
        <v>156</v>
      </c>
      <c r="H231" s="150" t="s">
        <v>156</v>
      </c>
      <c r="I231" s="150" t="s">
        <v>156</v>
      </c>
      <c r="J231" s="150" t="s">
        <v>156</v>
      </c>
      <c r="K231" s="1" t="s">
        <v>222</v>
      </c>
      <c r="L231" s="212" t="s">
        <v>249</v>
      </c>
      <c r="M231" s="212" t="s">
        <v>249</v>
      </c>
      <c r="N231" s="170" t="s">
        <v>30</v>
      </c>
    </row>
    <row r="232" spans="2:14">
      <c r="B232" s="21" t="s">
        <v>375</v>
      </c>
      <c r="C232" s="150" t="s">
        <v>156</v>
      </c>
      <c r="D232" s="150" t="s">
        <v>156</v>
      </c>
      <c r="E232" s="150" t="s">
        <v>156</v>
      </c>
      <c r="F232" s="150" t="s">
        <v>156</v>
      </c>
      <c r="G232" s="150" t="s">
        <v>156</v>
      </c>
      <c r="H232" s="150" t="s">
        <v>156</v>
      </c>
      <c r="I232" s="150" t="s">
        <v>156</v>
      </c>
      <c r="J232" s="150" t="s">
        <v>156</v>
      </c>
      <c r="K232" s="1" t="s">
        <v>222</v>
      </c>
      <c r="L232" s="212" t="s">
        <v>249</v>
      </c>
      <c r="M232" s="212" t="s">
        <v>250</v>
      </c>
      <c r="N232" s="170" t="s">
        <v>30</v>
      </c>
    </row>
    <row r="233" spans="2:14">
      <c r="B233" s="21" t="s">
        <v>375</v>
      </c>
      <c r="C233" s="150" t="s">
        <v>156</v>
      </c>
      <c r="D233" s="150" t="s">
        <v>156</v>
      </c>
      <c r="E233" s="150" t="s">
        <v>156</v>
      </c>
      <c r="F233" s="150" t="s">
        <v>156</v>
      </c>
      <c r="G233" s="150" t="s">
        <v>156</v>
      </c>
      <c r="H233" s="150" t="s">
        <v>156</v>
      </c>
      <c r="I233" s="150" t="s">
        <v>156</v>
      </c>
      <c r="J233" s="150" t="s">
        <v>156</v>
      </c>
      <c r="K233" s="1" t="s">
        <v>222</v>
      </c>
      <c r="L233" s="212" t="s">
        <v>249</v>
      </c>
      <c r="M233" s="212" t="s">
        <v>251</v>
      </c>
      <c r="N233" s="170" t="s">
        <v>30</v>
      </c>
    </row>
    <row r="234" spans="2:14">
      <c r="B234" s="21" t="s">
        <v>374</v>
      </c>
      <c r="C234" s="150" t="s">
        <v>156</v>
      </c>
      <c r="D234" s="150" t="s">
        <v>156</v>
      </c>
      <c r="E234" s="150" t="s">
        <v>156</v>
      </c>
      <c r="F234" s="150" t="s">
        <v>156</v>
      </c>
      <c r="G234" s="150" t="s">
        <v>156</v>
      </c>
      <c r="H234" s="150" t="s">
        <v>156</v>
      </c>
      <c r="I234" s="150" t="s">
        <v>156</v>
      </c>
      <c r="J234" s="150" t="s">
        <v>156</v>
      </c>
      <c r="K234" s="1" t="s">
        <v>222</v>
      </c>
      <c r="L234" s="212" t="s">
        <v>250</v>
      </c>
      <c r="M234" s="212" t="s">
        <v>223</v>
      </c>
      <c r="N234" s="170" t="s">
        <v>30</v>
      </c>
    </row>
    <row r="235" spans="2:14">
      <c r="B235" s="21" t="s">
        <v>375</v>
      </c>
      <c r="C235" s="150" t="s">
        <v>156</v>
      </c>
      <c r="D235" s="150" t="s">
        <v>156</v>
      </c>
      <c r="E235" s="150" t="s">
        <v>156</v>
      </c>
      <c r="F235" s="150" t="s">
        <v>156</v>
      </c>
      <c r="G235" s="150" t="s">
        <v>156</v>
      </c>
      <c r="H235" s="150" t="s">
        <v>156</v>
      </c>
      <c r="I235" s="150" t="s">
        <v>156</v>
      </c>
      <c r="J235" s="150" t="s">
        <v>156</v>
      </c>
      <c r="K235" s="1" t="s">
        <v>222</v>
      </c>
      <c r="L235" s="212" t="s">
        <v>250</v>
      </c>
      <c r="M235" s="212" t="s">
        <v>253</v>
      </c>
      <c r="N235" s="170" t="s">
        <v>30</v>
      </c>
    </row>
    <row r="236" spans="2:14">
      <c r="B236" s="21" t="s">
        <v>376</v>
      </c>
      <c r="C236" s="150" t="s">
        <v>156</v>
      </c>
      <c r="D236" s="150" t="s">
        <v>156</v>
      </c>
      <c r="E236" s="150" t="s">
        <v>156</v>
      </c>
      <c r="F236" s="150" t="s">
        <v>156</v>
      </c>
      <c r="G236" s="150" t="s">
        <v>156</v>
      </c>
      <c r="H236" s="150" t="s">
        <v>156</v>
      </c>
      <c r="I236" s="150" t="s">
        <v>156</v>
      </c>
      <c r="J236" s="150" t="s">
        <v>156</v>
      </c>
      <c r="K236" s="1" t="s">
        <v>222</v>
      </c>
      <c r="L236" s="212" t="s">
        <v>250</v>
      </c>
      <c r="M236" s="212" t="s">
        <v>225</v>
      </c>
      <c r="N236" s="170" t="s">
        <v>30</v>
      </c>
    </row>
    <row r="237" spans="2:14">
      <c r="B237" s="21" t="s">
        <v>377</v>
      </c>
      <c r="C237" s="150" t="s">
        <v>156</v>
      </c>
      <c r="D237" s="150" t="s">
        <v>156</v>
      </c>
      <c r="E237" s="150" t="s">
        <v>156</v>
      </c>
      <c r="F237" s="150" t="s">
        <v>156</v>
      </c>
      <c r="G237" s="150" t="s">
        <v>156</v>
      </c>
      <c r="H237" s="150" t="s">
        <v>156</v>
      </c>
      <c r="I237" s="150" t="s">
        <v>156</v>
      </c>
      <c r="J237" s="150" t="s">
        <v>156</v>
      </c>
      <c r="K237" s="1" t="s">
        <v>222</v>
      </c>
      <c r="L237" s="212" t="s">
        <v>250</v>
      </c>
      <c r="M237" s="212" t="s">
        <v>227</v>
      </c>
      <c r="N237" s="170" t="s">
        <v>30</v>
      </c>
    </row>
    <row r="238" spans="2:14">
      <c r="B238" s="21" t="s">
        <v>378</v>
      </c>
      <c r="C238" s="150" t="s">
        <v>156</v>
      </c>
      <c r="D238" s="150" t="s">
        <v>156</v>
      </c>
      <c r="E238" s="150" t="s">
        <v>156</v>
      </c>
      <c r="F238" s="150" t="s">
        <v>156</v>
      </c>
      <c r="G238" s="150" t="s">
        <v>156</v>
      </c>
      <c r="H238" s="150" t="s">
        <v>156</v>
      </c>
      <c r="I238" s="150" t="s">
        <v>156</v>
      </c>
      <c r="J238" s="150" t="s">
        <v>156</v>
      </c>
      <c r="K238" s="1" t="s">
        <v>222</v>
      </c>
      <c r="L238" s="212" t="s">
        <v>250</v>
      </c>
      <c r="M238" s="212" t="s">
        <v>238</v>
      </c>
      <c r="N238" s="170" t="s">
        <v>30</v>
      </c>
    </row>
    <row r="239" spans="2:14">
      <c r="B239" s="21" t="s">
        <v>379</v>
      </c>
      <c r="C239" s="150" t="s">
        <v>156</v>
      </c>
      <c r="D239" s="150" t="s">
        <v>156</v>
      </c>
      <c r="E239" s="150" t="s">
        <v>156</v>
      </c>
      <c r="F239" s="150" t="s">
        <v>156</v>
      </c>
      <c r="G239" s="150" t="s">
        <v>156</v>
      </c>
      <c r="H239" s="150" t="s">
        <v>156</v>
      </c>
      <c r="I239" s="150" t="s">
        <v>156</v>
      </c>
      <c r="J239" s="150" t="s">
        <v>156</v>
      </c>
      <c r="K239" s="1" t="s">
        <v>222</v>
      </c>
      <c r="L239" s="212" t="s">
        <v>250</v>
      </c>
      <c r="M239" s="212" t="s">
        <v>230</v>
      </c>
      <c r="N239" s="170" t="s">
        <v>30</v>
      </c>
    </row>
    <row r="240" spans="2:14">
      <c r="B240" s="21" t="s">
        <v>380</v>
      </c>
      <c r="C240" s="150" t="s">
        <v>156</v>
      </c>
      <c r="D240" s="150" t="s">
        <v>156</v>
      </c>
      <c r="E240" s="150" t="s">
        <v>156</v>
      </c>
      <c r="F240" s="150" t="s">
        <v>156</v>
      </c>
      <c r="G240" s="150" t="s">
        <v>156</v>
      </c>
      <c r="H240" s="150" t="s">
        <v>156</v>
      </c>
      <c r="I240" s="150" t="s">
        <v>156</v>
      </c>
      <c r="J240" s="150" t="s">
        <v>156</v>
      </c>
      <c r="K240" s="1" t="s">
        <v>222</v>
      </c>
      <c r="L240" s="212" t="s">
        <v>250</v>
      </c>
      <c r="M240" s="212" t="s">
        <v>232</v>
      </c>
      <c r="N240" s="170" t="s">
        <v>30</v>
      </c>
    </row>
    <row r="241" spans="2:14">
      <c r="B241" s="21" t="s">
        <v>381</v>
      </c>
      <c r="C241" s="150" t="s">
        <v>156</v>
      </c>
      <c r="D241" s="150" t="s">
        <v>156</v>
      </c>
      <c r="E241" s="150" t="s">
        <v>156</v>
      </c>
      <c r="F241" s="150" t="s">
        <v>156</v>
      </c>
      <c r="G241" s="150" t="s">
        <v>156</v>
      </c>
      <c r="H241" s="150" t="s">
        <v>156</v>
      </c>
      <c r="I241" s="150" t="s">
        <v>156</v>
      </c>
      <c r="J241" s="150" t="s">
        <v>156</v>
      </c>
      <c r="K241" s="1" t="s">
        <v>222</v>
      </c>
      <c r="L241" s="212" t="s">
        <v>250</v>
      </c>
      <c r="M241" s="212" t="s">
        <v>233</v>
      </c>
      <c r="N241" s="170" t="s">
        <v>30</v>
      </c>
    </row>
    <row r="242" spans="2:14">
      <c r="B242" s="21" t="s">
        <v>382</v>
      </c>
      <c r="C242" s="150" t="s">
        <v>156</v>
      </c>
      <c r="D242" s="150" t="s">
        <v>156</v>
      </c>
      <c r="E242" s="150" t="s">
        <v>156</v>
      </c>
      <c r="F242" s="150" t="s">
        <v>156</v>
      </c>
      <c r="G242" s="150" t="s">
        <v>156</v>
      </c>
      <c r="H242" s="150" t="s">
        <v>156</v>
      </c>
      <c r="I242" s="150" t="s">
        <v>156</v>
      </c>
      <c r="J242" s="150" t="s">
        <v>156</v>
      </c>
      <c r="K242" s="1" t="s">
        <v>222</v>
      </c>
      <c r="L242" s="212" t="s">
        <v>250</v>
      </c>
      <c r="M242" s="212" t="s">
        <v>234</v>
      </c>
      <c r="N242" s="170" t="s">
        <v>30</v>
      </c>
    </row>
    <row r="243" spans="2:14">
      <c r="B243" s="21" t="s">
        <v>383</v>
      </c>
      <c r="C243" s="150" t="s">
        <v>156</v>
      </c>
      <c r="D243" s="150" t="s">
        <v>156</v>
      </c>
      <c r="E243" s="150" t="s">
        <v>156</v>
      </c>
      <c r="F243" s="150" t="s">
        <v>156</v>
      </c>
      <c r="G243" s="150" t="s">
        <v>156</v>
      </c>
      <c r="H243" s="150" t="s">
        <v>156</v>
      </c>
      <c r="I243" s="150" t="s">
        <v>156</v>
      </c>
      <c r="J243" s="150" t="s">
        <v>156</v>
      </c>
      <c r="K243" s="1" t="s">
        <v>222</v>
      </c>
      <c r="L243" s="212" t="s">
        <v>250</v>
      </c>
      <c r="M243" s="212" t="s">
        <v>235</v>
      </c>
      <c r="N243" s="170" t="s">
        <v>30</v>
      </c>
    </row>
    <row r="244" spans="2:14">
      <c r="B244" s="21" t="s">
        <v>384</v>
      </c>
      <c r="C244" s="150" t="s">
        <v>156</v>
      </c>
      <c r="D244" s="150" t="s">
        <v>156</v>
      </c>
      <c r="E244" s="150" t="s">
        <v>156</v>
      </c>
      <c r="F244" s="150" t="s">
        <v>156</v>
      </c>
      <c r="G244" s="150" t="s">
        <v>156</v>
      </c>
      <c r="H244" s="150" t="s">
        <v>156</v>
      </c>
      <c r="I244" s="150" t="s">
        <v>156</v>
      </c>
      <c r="J244" s="150" t="s">
        <v>156</v>
      </c>
      <c r="K244" s="1" t="s">
        <v>222</v>
      </c>
      <c r="L244" s="212" t="s">
        <v>250</v>
      </c>
      <c r="M244" s="212" t="s">
        <v>236</v>
      </c>
      <c r="N244" s="170" t="s">
        <v>30</v>
      </c>
    </row>
    <row r="245" spans="2:14">
      <c r="B245" s="21" t="s">
        <v>375</v>
      </c>
      <c r="C245" s="150" t="s">
        <v>156</v>
      </c>
      <c r="D245" s="150" t="s">
        <v>156</v>
      </c>
      <c r="E245" s="150" t="s">
        <v>156</v>
      </c>
      <c r="F245" s="150" t="s">
        <v>156</v>
      </c>
      <c r="G245" s="150" t="s">
        <v>156</v>
      </c>
      <c r="H245" s="150" t="s">
        <v>156</v>
      </c>
      <c r="I245" s="150" t="s">
        <v>156</v>
      </c>
      <c r="J245" s="150" t="s">
        <v>156</v>
      </c>
      <c r="K245" s="1" t="s">
        <v>222</v>
      </c>
      <c r="L245" s="212" t="s">
        <v>250</v>
      </c>
      <c r="M245" s="212" t="s">
        <v>247</v>
      </c>
      <c r="N245" s="170" t="s">
        <v>30</v>
      </c>
    </row>
    <row r="246" spans="2:14">
      <c r="B246" s="21" t="s">
        <v>375</v>
      </c>
      <c r="C246" s="150" t="s">
        <v>156</v>
      </c>
      <c r="D246" s="150" t="s">
        <v>156</v>
      </c>
      <c r="E246" s="150" t="s">
        <v>156</v>
      </c>
      <c r="F246" s="150" t="s">
        <v>156</v>
      </c>
      <c r="G246" s="150" t="s">
        <v>156</v>
      </c>
      <c r="H246" s="150" t="s">
        <v>156</v>
      </c>
      <c r="I246" s="150" t="s">
        <v>156</v>
      </c>
      <c r="J246" s="150" t="s">
        <v>156</v>
      </c>
      <c r="K246" s="1" t="s">
        <v>222</v>
      </c>
      <c r="L246" s="212" t="s">
        <v>250</v>
      </c>
      <c r="M246" s="212" t="s">
        <v>248</v>
      </c>
      <c r="N246" s="170" t="s">
        <v>30</v>
      </c>
    </row>
    <row r="247" spans="2:14">
      <c r="B247" s="21" t="s">
        <v>375</v>
      </c>
      <c r="C247" s="150" t="s">
        <v>156</v>
      </c>
      <c r="D247" s="150" t="s">
        <v>156</v>
      </c>
      <c r="E247" s="150" t="s">
        <v>156</v>
      </c>
      <c r="F247" s="150" t="s">
        <v>156</v>
      </c>
      <c r="G247" s="150" t="s">
        <v>156</v>
      </c>
      <c r="H247" s="150" t="s">
        <v>156</v>
      </c>
      <c r="I247" s="150" t="s">
        <v>156</v>
      </c>
      <c r="J247" s="150" t="s">
        <v>156</v>
      </c>
      <c r="K247" s="1" t="s">
        <v>222</v>
      </c>
      <c r="L247" s="212" t="s">
        <v>250</v>
      </c>
      <c r="M247" s="212" t="s">
        <v>249</v>
      </c>
      <c r="N247" s="170" t="s">
        <v>30</v>
      </c>
    </row>
    <row r="248" spans="2:14">
      <c r="B248" s="21" t="s">
        <v>375</v>
      </c>
      <c r="C248" s="150" t="s">
        <v>156</v>
      </c>
      <c r="D248" s="150" t="s">
        <v>156</v>
      </c>
      <c r="E248" s="150" t="s">
        <v>156</v>
      </c>
      <c r="F248" s="150" t="s">
        <v>156</v>
      </c>
      <c r="G248" s="150" t="s">
        <v>156</v>
      </c>
      <c r="H248" s="150" t="s">
        <v>156</v>
      </c>
      <c r="I248" s="150" t="s">
        <v>156</v>
      </c>
      <c r="J248" s="150" t="s">
        <v>156</v>
      </c>
      <c r="K248" s="1" t="s">
        <v>222</v>
      </c>
      <c r="L248" s="212" t="s">
        <v>250</v>
      </c>
      <c r="M248" s="212" t="s">
        <v>250</v>
      </c>
      <c r="N248" s="170" t="s">
        <v>30</v>
      </c>
    </row>
    <row r="249" spans="2:14">
      <c r="B249" s="21" t="s">
        <v>375</v>
      </c>
      <c r="C249" s="150" t="s">
        <v>156</v>
      </c>
      <c r="D249" s="150" t="s">
        <v>156</v>
      </c>
      <c r="E249" s="150" t="s">
        <v>156</v>
      </c>
      <c r="F249" s="150" t="s">
        <v>156</v>
      </c>
      <c r="G249" s="150" t="s">
        <v>156</v>
      </c>
      <c r="H249" s="150" t="s">
        <v>156</v>
      </c>
      <c r="I249" s="150" t="s">
        <v>156</v>
      </c>
      <c r="J249" s="150" t="s">
        <v>156</v>
      </c>
      <c r="K249" s="1" t="s">
        <v>222</v>
      </c>
      <c r="L249" s="212" t="s">
        <v>250</v>
      </c>
      <c r="M249" s="212" t="s">
        <v>251</v>
      </c>
      <c r="N249" s="170" t="s">
        <v>30</v>
      </c>
    </row>
    <row r="250" spans="2:14">
      <c r="B250" s="21" t="s">
        <v>374</v>
      </c>
      <c r="C250" s="150" t="s">
        <v>156</v>
      </c>
      <c r="D250" s="150" t="s">
        <v>156</v>
      </c>
      <c r="E250" s="150" t="s">
        <v>156</v>
      </c>
      <c r="F250" s="150" t="s">
        <v>156</v>
      </c>
      <c r="G250" s="150" t="s">
        <v>156</v>
      </c>
      <c r="H250" s="150" t="s">
        <v>156</v>
      </c>
      <c r="I250" s="150" t="s">
        <v>156</v>
      </c>
      <c r="J250" s="150" t="s">
        <v>156</v>
      </c>
      <c r="K250" s="1" t="s">
        <v>222</v>
      </c>
      <c r="L250" s="212" t="s">
        <v>251</v>
      </c>
      <c r="M250" s="212" t="s">
        <v>223</v>
      </c>
      <c r="N250" s="170" t="s">
        <v>30</v>
      </c>
    </row>
    <row r="251" spans="2:14">
      <c r="B251" s="21" t="s">
        <v>375</v>
      </c>
      <c r="C251" s="150" t="s">
        <v>156</v>
      </c>
      <c r="D251" s="150" t="s">
        <v>156</v>
      </c>
      <c r="E251" s="150" t="s">
        <v>156</v>
      </c>
      <c r="F251" s="150" t="s">
        <v>156</v>
      </c>
      <c r="G251" s="150" t="s">
        <v>156</v>
      </c>
      <c r="H251" s="150" t="s">
        <v>156</v>
      </c>
      <c r="I251" s="150" t="s">
        <v>156</v>
      </c>
      <c r="J251" s="150" t="s">
        <v>156</v>
      </c>
      <c r="K251" s="1" t="s">
        <v>222</v>
      </c>
      <c r="L251" s="212" t="s">
        <v>251</v>
      </c>
      <c r="M251" s="212" t="s">
        <v>253</v>
      </c>
      <c r="N251" s="170" t="s">
        <v>30</v>
      </c>
    </row>
    <row r="252" spans="2:14">
      <c r="B252" s="21" t="s">
        <v>376</v>
      </c>
      <c r="C252" s="150" t="s">
        <v>156</v>
      </c>
      <c r="D252" s="150" t="s">
        <v>156</v>
      </c>
      <c r="E252" s="150" t="s">
        <v>156</v>
      </c>
      <c r="F252" s="150" t="s">
        <v>156</v>
      </c>
      <c r="G252" s="150" t="s">
        <v>156</v>
      </c>
      <c r="H252" s="150" t="s">
        <v>156</v>
      </c>
      <c r="I252" s="150" t="s">
        <v>156</v>
      </c>
      <c r="J252" s="150" t="s">
        <v>156</v>
      </c>
      <c r="K252" s="1" t="s">
        <v>222</v>
      </c>
      <c r="L252" s="212" t="s">
        <v>251</v>
      </c>
      <c r="M252" s="212" t="s">
        <v>225</v>
      </c>
      <c r="N252" s="170" t="s">
        <v>30</v>
      </c>
    </row>
    <row r="253" spans="2:14">
      <c r="B253" s="21" t="s">
        <v>377</v>
      </c>
      <c r="C253" s="150" t="s">
        <v>156</v>
      </c>
      <c r="D253" s="150" t="s">
        <v>156</v>
      </c>
      <c r="E253" s="150" t="s">
        <v>156</v>
      </c>
      <c r="F253" s="150" t="s">
        <v>156</v>
      </c>
      <c r="G253" s="150" t="s">
        <v>156</v>
      </c>
      <c r="H253" s="150" t="s">
        <v>156</v>
      </c>
      <c r="I253" s="150" t="s">
        <v>156</v>
      </c>
      <c r="J253" s="150" t="s">
        <v>156</v>
      </c>
      <c r="K253" s="1" t="s">
        <v>222</v>
      </c>
      <c r="L253" s="212" t="s">
        <v>251</v>
      </c>
      <c r="M253" s="212" t="s">
        <v>227</v>
      </c>
      <c r="N253" s="170" t="s">
        <v>30</v>
      </c>
    </row>
    <row r="254" spans="2:14">
      <c r="B254" s="21" t="s">
        <v>378</v>
      </c>
      <c r="C254" s="150" t="s">
        <v>156</v>
      </c>
      <c r="D254" s="150" t="s">
        <v>156</v>
      </c>
      <c r="E254" s="150" t="s">
        <v>156</v>
      </c>
      <c r="F254" s="150" t="s">
        <v>156</v>
      </c>
      <c r="G254" s="150" t="s">
        <v>156</v>
      </c>
      <c r="H254" s="150" t="s">
        <v>156</v>
      </c>
      <c r="I254" s="150" t="s">
        <v>156</v>
      </c>
      <c r="J254" s="150" t="s">
        <v>156</v>
      </c>
      <c r="K254" s="1" t="s">
        <v>222</v>
      </c>
      <c r="L254" s="212" t="s">
        <v>251</v>
      </c>
      <c r="M254" s="212" t="s">
        <v>238</v>
      </c>
      <c r="N254" s="170" t="s">
        <v>30</v>
      </c>
    </row>
    <row r="255" spans="2:14">
      <c r="B255" s="21" t="s">
        <v>379</v>
      </c>
      <c r="C255" s="150" t="s">
        <v>156</v>
      </c>
      <c r="D255" s="150" t="s">
        <v>156</v>
      </c>
      <c r="E255" s="150" t="s">
        <v>156</v>
      </c>
      <c r="F255" s="150" t="s">
        <v>156</v>
      </c>
      <c r="G255" s="150" t="s">
        <v>156</v>
      </c>
      <c r="H255" s="150" t="s">
        <v>156</v>
      </c>
      <c r="I255" s="150" t="s">
        <v>156</v>
      </c>
      <c r="J255" s="150" t="s">
        <v>156</v>
      </c>
      <c r="K255" s="1" t="s">
        <v>222</v>
      </c>
      <c r="L255" s="212" t="s">
        <v>251</v>
      </c>
      <c r="M255" s="212" t="s">
        <v>230</v>
      </c>
      <c r="N255" s="170" t="s">
        <v>30</v>
      </c>
    </row>
    <row r="256" spans="2:14">
      <c r="B256" s="21" t="s">
        <v>380</v>
      </c>
      <c r="C256" s="150" t="s">
        <v>156</v>
      </c>
      <c r="D256" s="150" t="s">
        <v>156</v>
      </c>
      <c r="E256" s="150" t="s">
        <v>156</v>
      </c>
      <c r="F256" s="150" t="s">
        <v>156</v>
      </c>
      <c r="G256" s="150" t="s">
        <v>156</v>
      </c>
      <c r="H256" s="150" t="s">
        <v>156</v>
      </c>
      <c r="I256" s="150" t="s">
        <v>156</v>
      </c>
      <c r="J256" s="150" t="s">
        <v>156</v>
      </c>
      <c r="K256" s="1" t="s">
        <v>222</v>
      </c>
      <c r="L256" s="212" t="s">
        <v>251</v>
      </c>
      <c r="M256" s="212" t="s">
        <v>232</v>
      </c>
      <c r="N256" s="170" t="s">
        <v>30</v>
      </c>
    </row>
    <row r="257" spans="2:14">
      <c r="B257" s="21" t="s">
        <v>381</v>
      </c>
      <c r="C257" s="150" t="s">
        <v>156</v>
      </c>
      <c r="D257" s="150" t="s">
        <v>156</v>
      </c>
      <c r="E257" s="150" t="s">
        <v>156</v>
      </c>
      <c r="F257" s="150" t="s">
        <v>156</v>
      </c>
      <c r="G257" s="150" t="s">
        <v>156</v>
      </c>
      <c r="H257" s="150" t="s">
        <v>156</v>
      </c>
      <c r="I257" s="150" t="s">
        <v>156</v>
      </c>
      <c r="J257" s="150" t="s">
        <v>156</v>
      </c>
      <c r="K257" s="1" t="s">
        <v>222</v>
      </c>
      <c r="L257" s="212" t="s">
        <v>251</v>
      </c>
      <c r="M257" s="212" t="s">
        <v>233</v>
      </c>
      <c r="N257" s="170" t="s">
        <v>30</v>
      </c>
    </row>
    <row r="258" spans="2:14">
      <c r="B258" s="21" t="s">
        <v>382</v>
      </c>
      <c r="C258" s="150" t="s">
        <v>156</v>
      </c>
      <c r="D258" s="150" t="s">
        <v>156</v>
      </c>
      <c r="E258" s="150" t="s">
        <v>156</v>
      </c>
      <c r="F258" s="150" t="s">
        <v>156</v>
      </c>
      <c r="G258" s="150" t="s">
        <v>156</v>
      </c>
      <c r="H258" s="150" t="s">
        <v>156</v>
      </c>
      <c r="I258" s="150" t="s">
        <v>156</v>
      </c>
      <c r="J258" s="150" t="s">
        <v>156</v>
      </c>
      <c r="K258" s="1" t="s">
        <v>222</v>
      </c>
      <c r="L258" s="212" t="s">
        <v>251</v>
      </c>
      <c r="M258" s="212" t="s">
        <v>234</v>
      </c>
      <c r="N258" s="170" t="s">
        <v>30</v>
      </c>
    </row>
    <row r="259" spans="2:14">
      <c r="B259" s="21" t="s">
        <v>383</v>
      </c>
      <c r="C259" s="150" t="s">
        <v>156</v>
      </c>
      <c r="D259" s="150" t="s">
        <v>156</v>
      </c>
      <c r="E259" s="150" t="s">
        <v>156</v>
      </c>
      <c r="F259" s="150" t="s">
        <v>156</v>
      </c>
      <c r="G259" s="150" t="s">
        <v>156</v>
      </c>
      <c r="H259" s="150" t="s">
        <v>156</v>
      </c>
      <c r="I259" s="150" t="s">
        <v>156</v>
      </c>
      <c r="J259" s="150" t="s">
        <v>156</v>
      </c>
      <c r="K259" s="1" t="s">
        <v>222</v>
      </c>
      <c r="L259" s="212" t="s">
        <v>251</v>
      </c>
      <c r="M259" s="212" t="s">
        <v>235</v>
      </c>
      <c r="N259" s="170" t="s">
        <v>30</v>
      </c>
    </row>
    <row r="260" spans="2:14">
      <c r="B260" s="21" t="s">
        <v>384</v>
      </c>
      <c r="C260" s="150" t="s">
        <v>156</v>
      </c>
      <c r="D260" s="150" t="s">
        <v>156</v>
      </c>
      <c r="E260" s="150" t="s">
        <v>156</v>
      </c>
      <c r="F260" s="150" t="s">
        <v>156</v>
      </c>
      <c r="G260" s="150" t="s">
        <v>156</v>
      </c>
      <c r="H260" s="150" t="s">
        <v>156</v>
      </c>
      <c r="I260" s="150" t="s">
        <v>156</v>
      </c>
      <c r="J260" s="150" t="s">
        <v>156</v>
      </c>
      <c r="K260" s="1" t="s">
        <v>222</v>
      </c>
      <c r="L260" s="212" t="s">
        <v>251</v>
      </c>
      <c r="M260" s="212" t="s">
        <v>236</v>
      </c>
      <c r="N260" s="170" t="s">
        <v>30</v>
      </c>
    </row>
    <row r="261" spans="2:14">
      <c r="B261" s="21" t="s">
        <v>375</v>
      </c>
      <c r="C261" s="150" t="s">
        <v>156</v>
      </c>
      <c r="D261" s="150" t="s">
        <v>156</v>
      </c>
      <c r="E261" s="150" t="s">
        <v>156</v>
      </c>
      <c r="F261" s="150" t="s">
        <v>156</v>
      </c>
      <c r="G261" s="150" t="s">
        <v>156</v>
      </c>
      <c r="H261" s="150" t="s">
        <v>156</v>
      </c>
      <c r="I261" s="150" t="s">
        <v>156</v>
      </c>
      <c r="J261" s="150" t="s">
        <v>156</v>
      </c>
      <c r="K261" s="1" t="s">
        <v>222</v>
      </c>
      <c r="L261" s="212" t="s">
        <v>251</v>
      </c>
      <c r="M261" s="212" t="s">
        <v>247</v>
      </c>
      <c r="N261" s="170" t="s">
        <v>30</v>
      </c>
    </row>
    <row r="262" spans="2:14">
      <c r="B262" s="21" t="s">
        <v>375</v>
      </c>
      <c r="C262" s="150" t="s">
        <v>156</v>
      </c>
      <c r="D262" s="150" t="s">
        <v>156</v>
      </c>
      <c r="E262" s="150" t="s">
        <v>156</v>
      </c>
      <c r="F262" s="150" t="s">
        <v>156</v>
      </c>
      <c r="G262" s="150" t="s">
        <v>156</v>
      </c>
      <c r="H262" s="150" t="s">
        <v>156</v>
      </c>
      <c r="I262" s="150" t="s">
        <v>156</v>
      </c>
      <c r="J262" s="150" t="s">
        <v>156</v>
      </c>
      <c r="K262" s="1" t="s">
        <v>222</v>
      </c>
      <c r="L262" s="212" t="s">
        <v>251</v>
      </c>
      <c r="M262" s="212" t="s">
        <v>248</v>
      </c>
      <c r="N262" s="170" t="s">
        <v>30</v>
      </c>
    </row>
    <row r="263" spans="2:14">
      <c r="B263" s="21" t="s">
        <v>375</v>
      </c>
      <c r="C263" s="150" t="s">
        <v>156</v>
      </c>
      <c r="D263" s="150" t="s">
        <v>156</v>
      </c>
      <c r="E263" s="150" t="s">
        <v>156</v>
      </c>
      <c r="F263" s="150" t="s">
        <v>156</v>
      </c>
      <c r="G263" s="150" t="s">
        <v>156</v>
      </c>
      <c r="H263" s="150" t="s">
        <v>156</v>
      </c>
      <c r="I263" s="150" t="s">
        <v>156</v>
      </c>
      <c r="J263" s="150" t="s">
        <v>156</v>
      </c>
      <c r="K263" s="1" t="s">
        <v>222</v>
      </c>
      <c r="L263" s="212" t="s">
        <v>251</v>
      </c>
      <c r="M263" s="212" t="s">
        <v>249</v>
      </c>
      <c r="N263" s="170" t="s">
        <v>30</v>
      </c>
    </row>
    <row r="264" spans="2:14">
      <c r="B264" s="21" t="s">
        <v>375</v>
      </c>
      <c r="C264" s="150" t="s">
        <v>156</v>
      </c>
      <c r="D264" s="150" t="s">
        <v>156</v>
      </c>
      <c r="E264" s="150" t="s">
        <v>156</v>
      </c>
      <c r="F264" s="150" t="s">
        <v>156</v>
      </c>
      <c r="G264" s="150" t="s">
        <v>156</v>
      </c>
      <c r="H264" s="150" t="s">
        <v>156</v>
      </c>
      <c r="I264" s="150" t="s">
        <v>156</v>
      </c>
      <c r="J264" s="150" t="s">
        <v>156</v>
      </c>
      <c r="K264" s="1" t="s">
        <v>222</v>
      </c>
      <c r="L264" s="212" t="s">
        <v>251</v>
      </c>
      <c r="M264" s="212" t="s">
        <v>250</v>
      </c>
      <c r="N264" s="170" t="s">
        <v>30</v>
      </c>
    </row>
    <row r="265" spans="2:14">
      <c r="B265" s="21" t="s">
        <v>375</v>
      </c>
      <c r="C265" s="150" t="s">
        <v>156</v>
      </c>
      <c r="D265" s="150" t="s">
        <v>156</v>
      </c>
      <c r="E265" s="150" t="s">
        <v>156</v>
      </c>
      <c r="F265" s="150" t="s">
        <v>156</v>
      </c>
      <c r="G265" s="150" t="s">
        <v>156</v>
      </c>
      <c r="H265" s="150" t="s">
        <v>156</v>
      </c>
      <c r="I265" s="150" t="s">
        <v>156</v>
      </c>
      <c r="J265" s="150" t="s">
        <v>156</v>
      </c>
      <c r="K265" s="1" t="s">
        <v>222</v>
      </c>
      <c r="L265" s="212" t="s">
        <v>251</v>
      </c>
      <c r="M265" s="212" t="s">
        <v>251</v>
      </c>
      <c r="N265" s="170" t="s">
        <v>30</v>
      </c>
    </row>
    <row r="266" spans="2:14">
      <c r="B266" s="21" t="s">
        <v>484</v>
      </c>
      <c r="C266" s="150" t="s">
        <v>156</v>
      </c>
      <c r="D266" s="150" t="s">
        <v>156</v>
      </c>
      <c r="E266" s="150" t="s">
        <v>156</v>
      </c>
      <c r="F266" s="150" t="s">
        <v>156</v>
      </c>
      <c r="G266" s="150" t="s">
        <v>156</v>
      </c>
      <c r="H266" s="150" t="s">
        <v>156</v>
      </c>
      <c r="I266" s="150" t="s">
        <v>156</v>
      </c>
      <c r="J266" s="150" t="s">
        <v>156</v>
      </c>
      <c r="K266" s="1" t="s">
        <v>237</v>
      </c>
      <c r="L266" s="212" t="s">
        <v>224</v>
      </c>
      <c r="M266" s="212" t="s">
        <v>224</v>
      </c>
      <c r="N266" s="170" t="s">
        <v>30</v>
      </c>
    </row>
    <row r="267" spans="2:14">
      <c r="B267" s="21" t="s">
        <v>485</v>
      </c>
      <c r="C267" s="150" t="s">
        <v>156</v>
      </c>
      <c r="D267" s="150" t="s">
        <v>156</v>
      </c>
      <c r="E267" s="150" t="s">
        <v>156</v>
      </c>
      <c r="F267" s="150" t="s">
        <v>156</v>
      </c>
      <c r="G267" s="150" t="s">
        <v>156</v>
      </c>
      <c r="H267" s="150" t="s">
        <v>156</v>
      </c>
      <c r="I267" s="150" t="s">
        <v>156</v>
      </c>
      <c r="J267" s="150" t="s">
        <v>156</v>
      </c>
      <c r="K267" s="1" t="s">
        <v>254</v>
      </c>
      <c r="L267" s="212" t="s">
        <v>224</v>
      </c>
      <c r="M267" s="212" t="s">
        <v>224</v>
      </c>
      <c r="N267" s="170" t="s">
        <v>30</v>
      </c>
    </row>
    <row r="268" spans="2:14">
      <c r="B268" s="21" t="s">
        <v>486</v>
      </c>
      <c r="C268" s="150" t="s">
        <v>156</v>
      </c>
      <c r="D268" s="150" t="s">
        <v>156</v>
      </c>
      <c r="E268" s="150" t="s">
        <v>156</v>
      </c>
      <c r="F268" s="150" t="s">
        <v>156</v>
      </c>
      <c r="G268" s="150" t="s">
        <v>156</v>
      </c>
      <c r="H268" s="150" t="s">
        <v>156</v>
      </c>
      <c r="I268" s="150" t="s">
        <v>156</v>
      </c>
      <c r="J268" s="150" t="s">
        <v>156</v>
      </c>
      <c r="K268" s="1" t="s">
        <v>255</v>
      </c>
      <c r="L268" s="212" t="s">
        <v>224</v>
      </c>
      <c r="M268" s="212" t="s">
        <v>224</v>
      </c>
      <c r="N268" s="170" t="s">
        <v>30</v>
      </c>
    </row>
    <row r="269" spans="2:14" ht="14.25" thickBot="1">
      <c r="B269" s="197" t="s">
        <v>239</v>
      </c>
      <c r="C269" s="151" t="s">
        <v>156</v>
      </c>
      <c r="D269" s="151" t="s">
        <v>156</v>
      </c>
      <c r="E269" s="151" t="s">
        <v>156</v>
      </c>
      <c r="F269" s="151" t="s">
        <v>156</v>
      </c>
      <c r="G269" s="151" t="s">
        <v>156</v>
      </c>
      <c r="H269" s="151" t="s">
        <v>156</v>
      </c>
      <c r="I269" s="151" t="s">
        <v>156</v>
      </c>
      <c r="J269" s="151" t="s">
        <v>156</v>
      </c>
      <c r="K269" s="4" t="s">
        <v>255</v>
      </c>
      <c r="L269" s="213" t="s">
        <v>224</v>
      </c>
      <c r="M269" s="213" t="s">
        <v>224</v>
      </c>
      <c r="N269" s="214" t="s">
        <v>30</v>
      </c>
    </row>
  </sheetData>
  <mergeCells count="3">
    <mergeCell ref="C3:J3"/>
    <mergeCell ref="C5:J5"/>
    <mergeCell ref="C7:J7"/>
  </mergeCells>
  <phoneticPr fontId="2"/>
  <dataValidations count="1">
    <dataValidation type="list" allowBlank="1" showInputMessage="1" showErrorMessage="1" sqref="C3"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3" t="s">
        <v>83</v>
      </c>
      <c r="C2" s="74">
        <f>MAX(B4:B28)</f>
        <v>19</v>
      </c>
      <c r="D2" s="74"/>
    </row>
    <row r="3" spans="2:4" ht="14.25" thickBot="1">
      <c r="B3" s="67" t="s">
        <v>83</v>
      </c>
      <c r="C3" s="75" t="s">
        <v>87</v>
      </c>
      <c r="D3" s="68" t="s">
        <v>84</v>
      </c>
    </row>
    <row r="4" spans="2:4" ht="14.25" thickTop="1">
      <c r="B4" s="12">
        <v>0</v>
      </c>
      <c r="C4" s="76" t="s">
        <v>88</v>
      </c>
      <c r="D4" s="14" t="s">
        <v>20</v>
      </c>
    </row>
    <row r="5" spans="2:4" ht="40.5">
      <c r="B5" s="2">
        <v>1</v>
      </c>
      <c r="C5" s="77" t="s">
        <v>88</v>
      </c>
      <c r="D5" s="79" t="s">
        <v>89</v>
      </c>
    </row>
    <row r="6" spans="2:4" ht="27">
      <c r="B6" s="2">
        <v>2</v>
      </c>
      <c r="C6" s="77" t="s">
        <v>90</v>
      </c>
      <c r="D6" s="79" t="s">
        <v>91</v>
      </c>
    </row>
    <row r="7" spans="2:4" ht="54">
      <c r="B7" s="2">
        <v>3</v>
      </c>
      <c r="C7" s="77" t="s">
        <v>88</v>
      </c>
      <c r="D7" s="79" t="s">
        <v>94</v>
      </c>
    </row>
    <row r="8" spans="2:4" ht="81">
      <c r="B8" s="2">
        <v>4</v>
      </c>
      <c r="C8" s="77" t="s">
        <v>102</v>
      </c>
      <c r="D8" s="79" t="s">
        <v>108</v>
      </c>
    </row>
    <row r="9" spans="2:4" ht="41.25" customHeight="1">
      <c r="B9" s="2">
        <v>5</v>
      </c>
      <c r="C9" s="77" t="s">
        <v>103</v>
      </c>
      <c r="D9" s="79" t="s">
        <v>104</v>
      </c>
    </row>
    <row r="10" spans="2:4" ht="27">
      <c r="B10" s="2">
        <v>6</v>
      </c>
      <c r="C10" s="77" t="s">
        <v>88</v>
      </c>
      <c r="D10" s="79" t="s">
        <v>107</v>
      </c>
    </row>
    <row r="11" spans="2:4" ht="27">
      <c r="B11" s="2">
        <v>7</v>
      </c>
      <c r="C11" s="77" t="s">
        <v>102</v>
      </c>
      <c r="D11" s="79" t="s">
        <v>106</v>
      </c>
    </row>
    <row r="12" spans="2:4" ht="27">
      <c r="B12" s="2">
        <v>8</v>
      </c>
      <c r="C12" s="77" t="s">
        <v>88</v>
      </c>
      <c r="D12" s="79" t="s">
        <v>109</v>
      </c>
    </row>
    <row r="13" spans="2:4" ht="27">
      <c r="B13" s="2">
        <v>9</v>
      </c>
      <c r="C13" s="77" t="s">
        <v>88</v>
      </c>
      <c r="D13" s="79" t="s">
        <v>110</v>
      </c>
    </row>
    <row r="14" spans="2:4" ht="27">
      <c r="B14" s="2">
        <v>10</v>
      </c>
      <c r="C14" s="77" t="s">
        <v>111</v>
      </c>
      <c r="D14" s="79" t="s">
        <v>112</v>
      </c>
    </row>
    <row r="15" spans="2:4" ht="135">
      <c r="B15" s="2">
        <v>11</v>
      </c>
      <c r="C15" s="77" t="s">
        <v>88</v>
      </c>
      <c r="D15" s="79" t="s">
        <v>124</v>
      </c>
    </row>
    <row r="16" spans="2:4" ht="191.25" customHeight="1">
      <c r="B16" s="2">
        <v>12</v>
      </c>
      <c r="C16" s="77" t="s">
        <v>152</v>
      </c>
      <c r="D16" s="79" t="s">
        <v>160</v>
      </c>
    </row>
    <row r="17" spans="2:4" ht="27">
      <c r="B17" s="2">
        <v>13</v>
      </c>
      <c r="C17" s="77" t="s">
        <v>90</v>
      </c>
      <c r="D17" s="79" t="s">
        <v>163</v>
      </c>
    </row>
    <row r="18" spans="2:4" ht="67.5">
      <c r="B18" s="2">
        <v>14</v>
      </c>
      <c r="C18" s="77" t="s">
        <v>90</v>
      </c>
      <c r="D18" s="79" t="s">
        <v>165</v>
      </c>
    </row>
    <row r="19" spans="2:4" ht="40.5">
      <c r="B19" s="2">
        <v>15</v>
      </c>
      <c r="C19" s="77" t="s">
        <v>103</v>
      </c>
      <c r="D19" s="79" t="s">
        <v>169</v>
      </c>
    </row>
    <row r="20" spans="2:4" ht="64.5" customHeight="1">
      <c r="B20" s="2">
        <v>16</v>
      </c>
      <c r="C20" s="77" t="s">
        <v>103</v>
      </c>
      <c r="D20" s="79" t="s">
        <v>173</v>
      </c>
    </row>
    <row r="21" spans="2:4" ht="66.75" customHeight="1">
      <c r="B21" s="2">
        <v>17</v>
      </c>
      <c r="C21" s="77" t="s">
        <v>102</v>
      </c>
      <c r="D21" s="79" t="s">
        <v>188</v>
      </c>
    </row>
    <row r="22" spans="2:4" ht="27">
      <c r="B22" s="2">
        <v>18</v>
      </c>
      <c r="C22" s="77" t="s">
        <v>494</v>
      </c>
      <c r="D22" s="79" t="s">
        <v>495</v>
      </c>
    </row>
    <row r="23" spans="2:4" ht="27">
      <c r="B23" s="2">
        <v>19</v>
      </c>
      <c r="C23" s="77" t="s">
        <v>494</v>
      </c>
      <c r="D23" s="79" t="s">
        <v>496</v>
      </c>
    </row>
    <row r="24" spans="2:4">
      <c r="B24" s="2"/>
      <c r="C24" s="77"/>
      <c r="D24" s="79"/>
    </row>
    <row r="25" spans="2:4">
      <c r="B25" s="2"/>
      <c r="C25" s="77"/>
      <c r="D25" s="64"/>
    </row>
    <row r="26" spans="2:4">
      <c r="B26" s="2"/>
      <c r="C26" s="77"/>
      <c r="D26" s="64"/>
    </row>
    <row r="27" spans="2:4" ht="14.25" thickBot="1">
      <c r="B27" s="3"/>
      <c r="C27" s="7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C_BRKBZ</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2025-05-30T00:26:59Z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3cccf7d5-b588-4add-b7af-5e010f701496</vt:lpwstr>
  </property>
  <property fmtid="{D5CDD505-2E9C-101B-9397-08002B2CF9AE}" pid="8" name="MSIP_Label_7ed1414a-99f2-46f9-bbe5-740af8d1b502_ContentBits">
    <vt:lpwstr>1</vt:lpwstr>
  </property>
</Properties>
</file>