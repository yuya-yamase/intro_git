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8_{52CE04C0-3B9B-4CF9-9936-9B40A644C31D}" xr6:coauthVersionLast="47" xr6:coauthVersionMax="47" xr10:uidLastSave="{00000000-0000-0000-0000-000000000000}"/>
  <bookViews>
    <workbookView xWindow="-57720" yWindow="-2250" windowWidth="29040" windowHeight="15720"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S_ADBZR_BSM" sheetId="19" r:id="rId7"/>
    <sheet name="Reference" sheetId="18"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4" i="1" l="1"/>
  <c r="B13" i="1" l="1"/>
  <c r="T13" i="20"/>
  <c r="AJ199" i="19" l="1"/>
  <c r="AQ199" i="19" s="1"/>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Q198" i="19" s="1"/>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Q197" i="19" s="1"/>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AO197" i="19" s="1"/>
  <c r="D197" i="19"/>
  <c r="AJ196" i="19"/>
  <c r="AQ196" i="19" s="1"/>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Q195" i="19" s="1"/>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Q194" i="19" s="1"/>
  <c r="AS64" i="19" s="1"/>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Q192"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Q191" i="19" s="1"/>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Q190" i="19" s="1"/>
  <c r="AI190" i="19"/>
  <c r="AH190" i="19"/>
  <c r="AG190" i="19"/>
  <c r="AF190" i="19"/>
  <c r="AE190" i="19"/>
  <c r="AD190" i="19"/>
  <c r="AC190" i="19"/>
  <c r="AB190" i="19"/>
  <c r="AL190" i="19" s="1"/>
  <c r="AA190" i="19"/>
  <c r="Z190" i="19"/>
  <c r="Y190" i="19"/>
  <c r="X190" i="19"/>
  <c r="W190" i="19"/>
  <c r="V190" i="19"/>
  <c r="U190" i="19"/>
  <c r="T190" i="19"/>
  <c r="AM190" i="19" s="1"/>
  <c r="S190" i="19"/>
  <c r="R190" i="19"/>
  <c r="Q190" i="19"/>
  <c r="P190" i="19"/>
  <c r="O190" i="19"/>
  <c r="N190" i="19"/>
  <c r="M190" i="19"/>
  <c r="L190" i="19"/>
  <c r="AN190" i="19" s="1"/>
  <c r="K190" i="19"/>
  <c r="J190" i="19"/>
  <c r="I190" i="19"/>
  <c r="H190" i="19"/>
  <c r="G190" i="19"/>
  <c r="F190" i="19"/>
  <c r="E190" i="19"/>
  <c r="D190" i="19"/>
  <c r="AO190" i="19" s="1"/>
  <c r="AJ189" i="19"/>
  <c r="AQ189" i="19" s="1"/>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O189" i="19" s="1"/>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AN188" i="19" s="1"/>
  <c r="N188" i="19"/>
  <c r="M188" i="19"/>
  <c r="L188" i="19"/>
  <c r="K188" i="19"/>
  <c r="J188" i="19"/>
  <c r="I188" i="19"/>
  <c r="H188" i="19"/>
  <c r="G188" i="19"/>
  <c r="F188" i="19"/>
  <c r="E188" i="19"/>
  <c r="D188" i="19"/>
  <c r="AQ187"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Q185" i="19" s="1"/>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J184" i="19"/>
  <c r="AQ184" i="19" s="1"/>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Q183" i="19" s="1"/>
  <c r="AS53" i="19" s="1"/>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Q182"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Q181" i="19" s="1"/>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Q180" i="19" s="1"/>
  <c r="AI180" i="19"/>
  <c r="AH180" i="19"/>
  <c r="AG180" i="19"/>
  <c r="AF180" i="19"/>
  <c r="AE180" i="19"/>
  <c r="AD180" i="19"/>
  <c r="AC180" i="19"/>
  <c r="AL180" i="19" s="1"/>
  <c r="AB180" i="19"/>
  <c r="AA180" i="19"/>
  <c r="Z180" i="19"/>
  <c r="Y180" i="19"/>
  <c r="X180" i="19"/>
  <c r="W180" i="19"/>
  <c r="V180" i="19"/>
  <c r="U180" i="19"/>
  <c r="T180" i="19"/>
  <c r="S180" i="19"/>
  <c r="R180" i="19"/>
  <c r="Q180" i="19"/>
  <c r="P180" i="19"/>
  <c r="O180" i="19"/>
  <c r="N180" i="19"/>
  <c r="M180" i="19"/>
  <c r="AN180" i="19" s="1"/>
  <c r="L180" i="19"/>
  <c r="K180" i="19"/>
  <c r="J180" i="19"/>
  <c r="I180" i="19"/>
  <c r="H180" i="19"/>
  <c r="G180" i="19"/>
  <c r="F180" i="19"/>
  <c r="E180" i="19"/>
  <c r="D180" i="19"/>
  <c r="AJ179" i="19"/>
  <c r="AQ179" i="19" s="1"/>
  <c r="AI179" i="19"/>
  <c r="AH179" i="19"/>
  <c r="AG179" i="19"/>
  <c r="AF179" i="19"/>
  <c r="AE179" i="19"/>
  <c r="AD179" i="19"/>
  <c r="AC179" i="19"/>
  <c r="AB179" i="19"/>
  <c r="AA179" i="19"/>
  <c r="Z179" i="19"/>
  <c r="Y179" i="19"/>
  <c r="X179" i="19"/>
  <c r="W179" i="19"/>
  <c r="V179" i="19"/>
  <c r="U179" i="19"/>
  <c r="T179" i="19"/>
  <c r="AM179" i="19" s="1"/>
  <c r="S179" i="19"/>
  <c r="R179" i="19"/>
  <c r="Q179" i="19"/>
  <c r="P179" i="19"/>
  <c r="O179" i="19"/>
  <c r="N179" i="19"/>
  <c r="M179" i="19"/>
  <c r="L179" i="19"/>
  <c r="K179" i="19"/>
  <c r="J179" i="19"/>
  <c r="I179" i="19"/>
  <c r="H179" i="19"/>
  <c r="G179" i="19"/>
  <c r="F179" i="19"/>
  <c r="E179" i="19"/>
  <c r="D179" i="19"/>
  <c r="AQ178"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S48" i="19" s="1"/>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Q176"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Q175" i="19" s="1"/>
  <c r="AS45" i="19" s="1"/>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Q174"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Q173" i="19" s="1"/>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AN172" i="19" s="1"/>
  <c r="K172" i="19"/>
  <c r="J172" i="19"/>
  <c r="I172" i="19"/>
  <c r="H172" i="19"/>
  <c r="G172" i="19"/>
  <c r="F172" i="19"/>
  <c r="E172" i="19"/>
  <c r="D172" i="19"/>
  <c r="AO172" i="19" s="1"/>
  <c r="AJ171" i="19"/>
  <c r="AQ171" i="19" s="1"/>
  <c r="AS41" i="19" s="1"/>
  <c r="AI171" i="19"/>
  <c r="AH171" i="19"/>
  <c r="AG171" i="19"/>
  <c r="AF171" i="19"/>
  <c r="AE171" i="19"/>
  <c r="AD171" i="19"/>
  <c r="AC171" i="19"/>
  <c r="AB171" i="19"/>
  <c r="AA171" i="19"/>
  <c r="Z171" i="19"/>
  <c r="Y171" i="19"/>
  <c r="X171" i="19"/>
  <c r="W171" i="19"/>
  <c r="V171" i="19"/>
  <c r="U171" i="19"/>
  <c r="T171" i="19"/>
  <c r="AM171" i="19" s="1"/>
  <c r="S171" i="19"/>
  <c r="R171" i="19"/>
  <c r="Q171" i="19"/>
  <c r="P171" i="19"/>
  <c r="O171" i="19"/>
  <c r="N171" i="19"/>
  <c r="M171" i="19"/>
  <c r="L171" i="19"/>
  <c r="K171" i="19"/>
  <c r="J171" i="19"/>
  <c r="I171" i="19"/>
  <c r="H171" i="19"/>
  <c r="G171" i="19"/>
  <c r="F171" i="19"/>
  <c r="E171" i="19"/>
  <c r="D171" i="19"/>
  <c r="AQ170"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Q169" i="19" s="1"/>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AJ168" i="19"/>
  <c r="AQ168" i="19" s="1"/>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AJ167" i="19"/>
  <c r="AQ167" i="19" s="1"/>
  <c r="AI167" i="19"/>
  <c r="AH167" i="19"/>
  <c r="AG167" i="19"/>
  <c r="AF167" i="19"/>
  <c r="AE167" i="19"/>
  <c r="AD167" i="19"/>
  <c r="AC167" i="19"/>
  <c r="AB167" i="19"/>
  <c r="AA167" i="19"/>
  <c r="Z167" i="19"/>
  <c r="Y167" i="19"/>
  <c r="X167" i="19"/>
  <c r="W167" i="19"/>
  <c r="V167" i="19"/>
  <c r="AM167" i="19" s="1"/>
  <c r="U167" i="19"/>
  <c r="T167" i="19"/>
  <c r="S167" i="19"/>
  <c r="R167" i="19"/>
  <c r="Q167" i="19"/>
  <c r="P167" i="19"/>
  <c r="O167" i="19"/>
  <c r="N167" i="19"/>
  <c r="M167" i="19"/>
  <c r="L167" i="19"/>
  <c r="K167" i="19"/>
  <c r="J167" i="19"/>
  <c r="I167" i="19"/>
  <c r="H167" i="19"/>
  <c r="G167" i="19"/>
  <c r="F167" i="19"/>
  <c r="E167" i="19"/>
  <c r="D167" i="19"/>
  <c r="AJ166" i="19"/>
  <c r="AQ166" i="19" s="1"/>
  <c r="AS36" i="19" s="1"/>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Q165" i="19" s="1"/>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Q164" i="19" s="1"/>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Q163" i="19"/>
  <c r="AS34" i="19" s="1"/>
  <c r="AJ163" i="19"/>
  <c r="AI163" i="19"/>
  <c r="AH163" i="19"/>
  <c r="AG163" i="19"/>
  <c r="AF163" i="19"/>
  <c r="AE163" i="19"/>
  <c r="AD163" i="19"/>
  <c r="AC163" i="19"/>
  <c r="AB163" i="19"/>
  <c r="AA163" i="19"/>
  <c r="Z163" i="19"/>
  <c r="Y163" i="19"/>
  <c r="X163" i="19"/>
  <c r="W163" i="19"/>
  <c r="V163" i="19"/>
  <c r="U163" i="19"/>
  <c r="AM163" i="19" s="1"/>
  <c r="T163" i="19"/>
  <c r="S163" i="19"/>
  <c r="R163" i="19"/>
  <c r="Q163" i="19"/>
  <c r="P163" i="19"/>
  <c r="O163" i="19"/>
  <c r="N163" i="19"/>
  <c r="M163" i="19"/>
  <c r="L163" i="19"/>
  <c r="K163" i="19"/>
  <c r="J163" i="19"/>
  <c r="I163" i="19"/>
  <c r="H163" i="19"/>
  <c r="G163" i="19"/>
  <c r="F163" i="19"/>
  <c r="E163" i="19"/>
  <c r="D163" i="19"/>
  <c r="AJ162" i="19"/>
  <c r="AQ162" i="19" s="1"/>
  <c r="AS32" i="19" s="1"/>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Q16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Q159" i="19"/>
  <c r="AS29" i="19" s="1"/>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Q158" i="19" s="1"/>
  <c r="AS28" i="19" s="1"/>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Q157" i="19" s="1"/>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AO157" i="19" s="1"/>
  <c r="D157" i="19"/>
  <c r="AJ156" i="19"/>
  <c r="AQ15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Q155" i="19" s="1"/>
  <c r="AI155" i="19"/>
  <c r="AH155" i="19"/>
  <c r="AG155" i="19"/>
  <c r="AF155" i="19"/>
  <c r="AE155" i="19"/>
  <c r="AD155" i="19"/>
  <c r="AC155" i="19"/>
  <c r="AB155" i="19"/>
  <c r="AL155" i="19" s="1"/>
  <c r="AA155" i="19"/>
  <c r="Z155" i="19"/>
  <c r="Y155" i="19"/>
  <c r="X155" i="19"/>
  <c r="W155" i="19"/>
  <c r="V155" i="19"/>
  <c r="U155" i="19"/>
  <c r="T155" i="19"/>
  <c r="S155" i="19"/>
  <c r="R155" i="19"/>
  <c r="Q155" i="19"/>
  <c r="P155" i="19"/>
  <c r="O155" i="19"/>
  <c r="N155" i="19"/>
  <c r="M155" i="19"/>
  <c r="L155" i="19"/>
  <c r="AN155" i="19" s="1"/>
  <c r="K155" i="19"/>
  <c r="J155" i="19"/>
  <c r="I155" i="19"/>
  <c r="H155" i="19"/>
  <c r="G155" i="19"/>
  <c r="F155" i="19"/>
  <c r="E155" i="19"/>
  <c r="D155" i="19"/>
  <c r="AO155" i="19" s="1"/>
  <c r="AJ154" i="19"/>
  <c r="AQ154" i="19" s="1"/>
  <c r="AS24" i="19" s="1"/>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Q152"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Q151" i="19" s="1"/>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Q150" i="19"/>
  <c r="AS20" i="19" s="1"/>
  <c r="AJ150" i="19"/>
  <c r="AI150" i="19"/>
  <c r="AH150" i="19"/>
  <c r="AG150" i="19"/>
  <c r="AF150" i="19"/>
  <c r="AE150" i="19"/>
  <c r="AD150" i="19"/>
  <c r="AC150" i="19"/>
  <c r="AL150" i="19" s="1"/>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Q149" i="19" s="1"/>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Q148" i="19" s="1"/>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AN148" i="19" s="1"/>
  <c r="K148" i="19"/>
  <c r="J148" i="19"/>
  <c r="I148" i="19"/>
  <c r="H148" i="19"/>
  <c r="G148" i="19"/>
  <c r="F148" i="19"/>
  <c r="E148" i="19"/>
  <c r="D148" i="19"/>
  <c r="AJ147" i="19"/>
  <c r="AQ147" i="19" s="1"/>
  <c r="AI147" i="19"/>
  <c r="AH147" i="19"/>
  <c r="AG147" i="19"/>
  <c r="AF147" i="19"/>
  <c r="AE147" i="19"/>
  <c r="AD147" i="19"/>
  <c r="AC147" i="19"/>
  <c r="AB147" i="19"/>
  <c r="AA147" i="19"/>
  <c r="Z147" i="19"/>
  <c r="Y147" i="19"/>
  <c r="X147" i="19"/>
  <c r="W147" i="19"/>
  <c r="V147" i="19"/>
  <c r="U147" i="19"/>
  <c r="T147" i="19"/>
  <c r="AM147" i="19" s="1"/>
  <c r="S147" i="19"/>
  <c r="R147" i="19"/>
  <c r="Q147" i="19"/>
  <c r="P147" i="19"/>
  <c r="O147" i="19"/>
  <c r="N147" i="19"/>
  <c r="M147" i="19"/>
  <c r="L147" i="19"/>
  <c r="K147" i="19"/>
  <c r="J147" i="19"/>
  <c r="I147" i="19"/>
  <c r="H147" i="19"/>
  <c r="G147" i="19"/>
  <c r="F147" i="19"/>
  <c r="E147" i="19"/>
  <c r="D147" i="19"/>
  <c r="AJ146" i="19"/>
  <c r="AQ146" i="19" s="1"/>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Q145" i="19" s="1"/>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Q144" i="19" s="1"/>
  <c r="AS15" i="19" s="1"/>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AN140" i="19" s="1"/>
  <c r="K140" i="19"/>
  <c r="J140" i="19"/>
  <c r="I140" i="19"/>
  <c r="H140" i="19"/>
  <c r="G140" i="19"/>
  <c r="F140" i="19"/>
  <c r="E140" i="19"/>
  <c r="D140" i="19"/>
  <c r="AO140" i="19" s="1"/>
  <c r="AJ139" i="19"/>
  <c r="AI139" i="19"/>
  <c r="AH139" i="19"/>
  <c r="AG139" i="19"/>
  <c r="AF139" i="19"/>
  <c r="AE139" i="19"/>
  <c r="AD139" i="19"/>
  <c r="AC139" i="19"/>
  <c r="AB139" i="19"/>
  <c r="AA139" i="19"/>
  <c r="Z139" i="19"/>
  <c r="Y139" i="19"/>
  <c r="X139" i="19"/>
  <c r="W139" i="19"/>
  <c r="V139" i="19"/>
  <c r="U139" i="19"/>
  <c r="T139" i="19"/>
  <c r="AM139" i="19" s="1"/>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Q134" i="19" s="1"/>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Q133" i="19"/>
  <c r="AJ133" i="19"/>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Q132" i="19" s="1"/>
  <c r="AR67" i="19" s="1"/>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G132" i="19"/>
  <c r="F132" i="19"/>
  <c r="E132" i="19"/>
  <c r="D132" i="19"/>
  <c r="AJ131" i="19"/>
  <c r="AQ131" i="19" s="1"/>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AO131" i="19" s="1"/>
  <c r="G131" i="19"/>
  <c r="F131" i="19"/>
  <c r="E131" i="19"/>
  <c r="D131" i="19"/>
  <c r="AJ130" i="19"/>
  <c r="AQ130" i="19" s="1"/>
  <c r="AI130" i="19"/>
  <c r="AH130" i="19"/>
  <c r="AG130" i="19"/>
  <c r="AF130" i="19"/>
  <c r="AE130" i="19"/>
  <c r="AD130" i="19"/>
  <c r="AC130" i="19"/>
  <c r="AB130" i="19"/>
  <c r="AA130" i="19"/>
  <c r="Z130" i="19"/>
  <c r="Y130" i="19"/>
  <c r="X130" i="19"/>
  <c r="W130" i="19"/>
  <c r="V130" i="19"/>
  <c r="U130" i="19"/>
  <c r="T130" i="19"/>
  <c r="S130" i="19"/>
  <c r="R130" i="19"/>
  <c r="Q130" i="19"/>
  <c r="P130" i="19"/>
  <c r="O130" i="19"/>
  <c r="N130" i="19"/>
  <c r="M130" i="19"/>
  <c r="L130" i="19"/>
  <c r="AN130" i="19" s="1"/>
  <c r="K130" i="19"/>
  <c r="J130" i="19"/>
  <c r="I130" i="19"/>
  <c r="H130" i="19"/>
  <c r="G130" i="19"/>
  <c r="F130" i="19"/>
  <c r="E130" i="19"/>
  <c r="D130" i="19"/>
  <c r="AJ129" i="19"/>
  <c r="AQ129" i="19" s="1"/>
  <c r="AR65" i="19" s="1"/>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Q128" i="19"/>
  <c r="AR64" i="19" s="1"/>
  <c r="AJ128" i="19"/>
  <c r="AI128" i="19"/>
  <c r="AH128" i="19"/>
  <c r="AG128" i="19"/>
  <c r="AF128" i="19"/>
  <c r="AE128" i="19"/>
  <c r="AD128" i="19"/>
  <c r="AC128" i="19"/>
  <c r="AL128" i="19" s="1"/>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AO128" i="19" s="1"/>
  <c r="D128" i="19"/>
  <c r="AJ127" i="19"/>
  <c r="AQ127"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AJ126" i="19"/>
  <c r="AQ126" i="19" s="1"/>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Q125"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Q124" i="19" s="1"/>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Q123"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O123" i="19" s="1"/>
  <c r="AJ122" i="19"/>
  <c r="AQ122" i="19" s="1"/>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AN122" i="19" s="1"/>
  <c r="K122" i="19"/>
  <c r="J122" i="19"/>
  <c r="I122" i="19"/>
  <c r="H122" i="19"/>
  <c r="G122" i="19"/>
  <c r="F122" i="19"/>
  <c r="E122" i="19"/>
  <c r="D122" i="19"/>
  <c r="AJ121" i="19"/>
  <c r="AQ121" i="19" s="1"/>
  <c r="AI121" i="19"/>
  <c r="AH121" i="19"/>
  <c r="AG121" i="19"/>
  <c r="AF121" i="19"/>
  <c r="AE121" i="19"/>
  <c r="AD121" i="19"/>
  <c r="AC121" i="19"/>
  <c r="AB121" i="19"/>
  <c r="AA121" i="19"/>
  <c r="Z121" i="19"/>
  <c r="Y121" i="19"/>
  <c r="X121" i="19"/>
  <c r="W121" i="19"/>
  <c r="V121" i="19"/>
  <c r="U121" i="19"/>
  <c r="AM121" i="19" s="1"/>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Q119" i="19" s="1"/>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AJ118" i="19"/>
  <c r="AQ118" i="19" s="1"/>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Q117" i="19"/>
  <c r="AJ117" i="19"/>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J116" i="19"/>
  <c r="AQ116" i="19" s="1"/>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Q115" i="19" s="1"/>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AJ114" i="19"/>
  <c r="AQ114" i="19" s="1"/>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Q113" i="19" s="1"/>
  <c r="AI113" i="19"/>
  <c r="AH113" i="19"/>
  <c r="AG113" i="19"/>
  <c r="AF113" i="19"/>
  <c r="AE113" i="19"/>
  <c r="AD113" i="19"/>
  <c r="AC113" i="19"/>
  <c r="AB113" i="19"/>
  <c r="AA113" i="19"/>
  <c r="Z113" i="19"/>
  <c r="Y113" i="19"/>
  <c r="X113" i="19"/>
  <c r="W113" i="19"/>
  <c r="V113" i="19"/>
  <c r="U113" i="19"/>
  <c r="T113" i="19"/>
  <c r="AM113" i="19" s="1"/>
  <c r="S113" i="19"/>
  <c r="R113" i="19"/>
  <c r="Q113" i="19"/>
  <c r="P113" i="19"/>
  <c r="O113" i="19"/>
  <c r="N113" i="19"/>
  <c r="M113" i="19"/>
  <c r="L113" i="19"/>
  <c r="K113" i="19"/>
  <c r="J113" i="19"/>
  <c r="I113" i="19"/>
  <c r="H113" i="19"/>
  <c r="G113" i="19"/>
  <c r="F113" i="19"/>
  <c r="E113" i="19"/>
  <c r="D113" i="19"/>
  <c r="AQ112"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Q111"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AQ110" i="19"/>
  <c r="AR46" i="19" s="1"/>
  <c r="AJ110" i="19"/>
  <c r="AI110" i="19"/>
  <c r="AH110" i="19"/>
  <c r="AG110" i="19"/>
  <c r="AF110" i="19"/>
  <c r="AE110" i="19"/>
  <c r="AD110" i="19"/>
  <c r="AC110" i="19"/>
  <c r="AL110" i="19" s="1"/>
  <c r="AB110" i="19"/>
  <c r="AA110" i="19"/>
  <c r="Z110" i="19"/>
  <c r="Y110" i="19"/>
  <c r="X110" i="19"/>
  <c r="W110" i="19"/>
  <c r="V110" i="19"/>
  <c r="U110" i="19"/>
  <c r="T110" i="19"/>
  <c r="S110" i="19"/>
  <c r="R110" i="19"/>
  <c r="Q110" i="19"/>
  <c r="P110" i="19"/>
  <c r="O110" i="19"/>
  <c r="N110" i="19"/>
  <c r="M110" i="19"/>
  <c r="AN110" i="19" s="1"/>
  <c r="L110" i="19"/>
  <c r="K110" i="19"/>
  <c r="J110" i="19"/>
  <c r="I110" i="19"/>
  <c r="H110" i="19"/>
  <c r="G110" i="19"/>
  <c r="F110" i="19"/>
  <c r="E110" i="19"/>
  <c r="D110" i="19"/>
  <c r="AJ109" i="19"/>
  <c r="AQ109" i="19" s="1"/>
  <c r="AR45" i="19" s="1"/>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Q108"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Q107"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Q106" i="19" s="1"/>
  <c r="AR42" i="19" s="1"/>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AN106" i="19" s="1"/>
  <c r="K106" i="19"/>
  <c r="J106" i="19"/>
  <c r="I106" i="19"/>
  <c r="H106" i="19"/>
  <c r="G106" i="19"/>
  <c r="F106" i="19"/>
  <c r="E106" i="19"/>
  <c r="D106" i="19"/>
  <c r="AO106" i="19" s="1"/>
  <c r="AJ105" i="19"/>
  <c r="AQ105" i="19" s="1"/>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Q104" i="19" s="1"/>
  <c r="AR40" i="19" s="1"/>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Q103" i="19" s="1"/>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Q102"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Q101" i="19" s="1"/>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Q100" i="19"/>
  <c r="AR35" i="19" s="1"/>
  <c r="AJ100" i="19"/>
  <c r="AI100" i="19"/>
  <c r="AH100" i="19"/>
  <c r="AG100" i="19"/>
  <c r="AF100" i="19"/>
  <c r="AE100" i="19"/>
  <c r="AD100" i="19"/>
  <c r="AC100" i="19"/>
  <c r="AL100" i="19" s="1"/>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Q99" i="19" s="1"/>
  <c r="AI99" i="19"/>
  <c r="AH99" i="19"/>
  <c r="AG99" i="19"/>
  <c r="AF99" i="19"/>
  <c r="AE99" i="19"/>
  <c r="AD99" i="19"/>
  <c r="AC99" i="19"/>
  <c r="AB99" i="19"/>
  <c r="AA99" i="19"/>
  <c r="Z99" i="19"/>
  <c r="Y99" i="19"/>
  <c r="X99" i="19"/>
  <c r="W99" i="19"/>
  <c r="V99" i="19"/>
  <c r="AM99" i="19" s="1"/>
  <c r="U99" i="19"/>
  <c r="T99" i="19"/>
  <c r="S99" i="19"/>
  <c r="R99" i="19"/>
  <c r="Q99" i="19"/>
  <c r="P99" i="19"/>
  <c r="O99" i="19"/>
  <c r="N99" i="19"/>
  <c r="M99" i="19"/>
  <c r="L99" i="19"/>
  <c r="K99" i="19"/>
  <c r="J99" i="19"/>
  <c r="I99" i="19"/>
  <c r="H99" i="19"/>
  <c r="G99" i="19"/>
  <c r="F99" i="19"/>
  <c r="AO99" i="19" s="1"/>
  <c r="E99" i="19"/>
  <c r="D99" i="19"/>
  <c r="AJ98" i="19"/>
  <c r="AQ98" i="19" s="1"/>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AJ97" i="19"/>
  <c r="AQ97" i="19" s="1"/>
  <c r="AR33" i="19" s="1"/>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Q95"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AN95" i="19" s="1"/>
  <c r="K95" i="19"/>
  <c r="J95" i="19"/>
  <c r="I95" i="19"/>
  <c r="H95" i="19"/>
  <c r="G95" i="19"/>
  <c r="F95" i="19"/>
  <c r="E95" i="19"/>
  <c r="D95" i="19"/>
  <c r="AJ94" i="19"/>
  <c r="AQ94" i="19" s="1"/>
  <c r="AR29" i="19" s="1"/>
  <c r="AI94" i="19"/>
  <c r="AH94" i="19"/>
  <c r="AG94" i="19"/>
  <c r="AF94" i="19"/>
  <c r="AE94" i="19"/>
  <c r="AD94" i="19"/>
  <c r="AC94" i="19"/>
  <c r="AB94" i="19"/>
  <c r="AA94" i="19"/>
  <c r="Z94" i="19"/>
  <c r="Y94" i="19"/>
  <c r="X94" i="19"/>
  <c r="W94" i="19"/>
  <c r="V94" i="19"/>
  <c r="U94" i="19"/>
  <c r="T94" i="19"/>
  <c r="AM94" i="19" s="1"/>
  <c r="S94" i="19"/>
  <c r="R94" i="19"/>
  <c r="Q94" i="19"/>
  <c r="P94" i="19"/>
  <c r="O94" i="19"/>
  <c r="N94" i="19"/>
  <c r="M94" i="19"/>
  <c r="L94" i="19"/>
  <c r="K94" i="19"/>
  <c r="J94" i="19"/>
  <c r="I94" i="19"/>
  <c r="H94" i="19"/>
  <c r="G94" i="19"/>
  <c r="F94" i="19"/>
  <c r="E94" i="19"/>
  <c r="D94" i="19"/>
  <c r="AQ93"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Q92" i="19" s="1"/>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Q91" i="19" s="1"/>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J90" i="19"/>
  <c r="AQ90" i="19" s="1"/>
  <c r="AR25" i="19" s="1"/>
  <c r="AI90" i="19"/>
  <c r="AH90" i="19"/>
  <c r="AG90" i="19"/>
  <c r="AF90" i="19"/>
  <c r="AE90" i="19"/>
  <c r="AD90" i="19"/>
  <c r="AC90" i="19"/>
  <c r="AB90" i="19"/>
  <c r="AA90" i="19"/>
  <c r="Z90" i="19"/>
  <c r="Y90" i="19"/>
  <c r="X90" i="19"/>
  <c r="W90" i="19"/>
  <c r="V90" i="19"/>
  <c r="U90" i="19"/>
  <c r="T90" i="19"/>
  <c r="S90" i="19"/>
  <c r="R90" i="19"/>
  <c r="Q90" i="19"/>
  <c r="P90" i="19"/>
  <c r="O90" i="19"/>
  <c r="N90" i="19"/>
  <c r="M90" i="19"/>
  <c r="L90" i="19"/>
  <c r="AN90" i="19" s="1"/>
  <c r="K90" i="19"/>
  <c r="J90" i="19"/>
  <c r="I90" i="19"/>
  <c r="H90" i="19"/>
  <c r="G90" i="19"/>
  <c r="F90" i="19"/>
  <c r="E90" i="19"/>
  <c r="D90" i="19"/>
  <c r="AQ89" i="19"/>
  <c r="AR24" i="19" s="1"/>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J88" i="19"/>
  <c r="AQ88" i="19" s="1"/>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C88" i="19"/>
  <c r="AJ87" i="19"/>
  <c r="AQ87" i="19" s="1"/>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Q86" i="19" s="1"/>
  <c r="AR21" i="19" s="1"/>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Q85"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Q84" i="19" s="1"/>
  <c r="AR19" i="19" s="1"/>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Q83" i="19" s="1"/>
  <c r="AI83" i="19"/>
  <c r="AH83" i="19"/>
  <c r="AG83" i="19"/>
  <c r="AF83" i="19"/>
  <c r="AE83" i="19"/>
  <c r="AD83" i="19"/>
  <c r="AC83" i="19"/>
  <c r="AB83" i="19"/>
  <c r="AL83" i="19" s="1"/>
  <c r="AA83" i="19"/>
  <c r="Z83" i="19"/>
  <c r="Y83" i="19"/>
  <c r="X83" i="19"/>
  <c r="W83" i="19"/>
  <c r="V83" i="19"/>
  <c r="U83" i="19"/>
  <c r="T83" i="19"/>
  <c r="AM83" i="19" s="1"/>
  <c r="S83" i="19"/>
  <c r="R83" i="19"/>
  <c r="Q83" i="19"/>
  <c r="P83" i="19"/>
  <c r="O83" i="19"/>
  <c r="N83" i="19"/>
  <c r="M83" i="19"/>
  <c r="L83" i="19"/>
  <c r="AN83" i="19" s="1"/>
  <c r="K83" i="19"/>
  <c r="J83" i="19"/>
  <c r="I83" i="19"/>
  <c r="H83" i="19"/>
  <c r="G83" i="19"/>
  <c r="F83" i="19"/>
  <c r="E83" i="19"/>
  <c r="D83" i="19"/>
  <c r="AO83" i="19" s="1"/>
  <c r="AJ82" i="19"/>
  <c r="AQ82" i="19" s="1"/>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Q81" i="19" s="1"/>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AO81" i="19" s="1"/>
  <c r="G81" i="19"/>
  <c r="F81" i="19"/>
  <c r="E81" i="19"/>
  <c r="D81" i="19"/>
  <c r="AJ80" i="19"/>
  <c r="AQ80" i="19" s="1"/>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AJ79" i="19"/>
  <c r="AQ79" i="19" s="1"/>
  <c r="AI79" i="19"/>
  <c r="AH79" i="19"/>
  <c r="AG79" i="19"/>
  <c r="AF79" i="19"/>
  <c r="AE79" i="19"/>
  <c r="AD79" i="19"/>
  <c r="AC79" i="19"/>
  <c r="AB79" i="19"/>
  <c r="AA79" i="19"/>
  <c r="Z79" i="19"/>
  <c r="Y79" i="19"/>
  <c r="X79" i="19"/>
  <c r="W79" i="19"/>
  <c r="V79" i="19"/>
  <c r="AM79" i="19" s="1"/>
  <c r="U79" i="19"/>
  <c r="T79" i="19"/>
  <c r="S79" i="19"/>
  <c r="R79" i="19"/>
  <c r="Q79" i="19"/>
  <c r="P79" i="19"/>
  <c r="O79" i="19"/>
  <c r="N79" i="19"/>
  <c r="M79" i="19"/>
  <c r="L79" i="19"/>
  <c r="K79" i="19"/>
  <c r="J79" i="19"/>
  <c r="I79" i="19"/>
  <c r="H79" i="19"/>
  <c r="G79" i="19"/>
  <c r="F79" i="19"/>
  <c r="AO79" i="19" s="1"/>
  <c r="E79" i="19"/>
  <c r="D79" i="19"/>
  <c r="AJ78" i="19"/>
  <c r="AI78" i="19"/>
  <c r="AH78" i="19"/>
  <c r="AG78" i="19"/>
  <c r="AF78" i="19"/>
  <c r="AE78" i="19"/>
  <c r="AL78" i="19" s="1"/>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A74" i="19"/>
  <c r="Z74" i="19"/>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D73" i="19"/>
  <c r="AJ72" i="19"/>
  <c r="AI72" i="19"/>
  <c r="AH72" i="19"/>
  <c r="AG72" i="19"/>
  <c r="AF72" i="19"/>
  <c r="AE72" i="19"/>
  <c r="AD72" i="19"/>
  <c r="AC72" i="19"/>
  <c r="AB72" i="19"/>
  <c r="AA72" i="19"/>
  <c r="Z72" i="19"/>
  <c r="Y72" i="19"/>
  <c r="X72" i="19"/>
  <c r="W72" i="19"/>
  <c r="V72" i="19"/>
  <c r="U72" i="19"/>
  <c r="T72" i="19"/>
  <c r="S72" i="19"/>
  <c r="R72" i="19"/>
  <c r="Q72" i="19"/>
  <c r="P72" i="19"/>
  <c r="O72" i="19"/>
  <c r="AN72" i="19" s="1"/>
  <c r="N72" i="19"/>
  <c r="M72" i="19"/>
  <c r="L72" i="19"/>
  <c r="K72" i="19"/>
  <c r="J72" i="19"/>
  <c r="I72" i="19"/>
  <c r="H72" i="19"/>
  <c r="G72" i="19"/>
  <c r="F72" i="19"/>
  <c r="E72" i="19"/>
  <c r="D72" i="19"/>
  <c r="AJ71" i="19"/>
  <c r="AI71" i="19"/>
  <c r="AH71" i="19"/>
  <c r="AG71" i="19"/>
  <c r="AF71" i="19"/>
  <c r="AE71" i="19"/>
  <c r="AD71" i="19"/>
  <c r="AC71" i="19"/>
  <c r="AB71" i="19"/>
  <c r="AA71" i="19"/>
  <c r="Z71" i="19"/>
  <c r="Y71" i="19"/>
  <c r="X71" i="19"/>
  <c r="AM71" i="19" s="1"/>
  <c r="W71" i="19"/>
  <c r="V71" i="19"/>
  <c r="U71" i="19"/>
  <c r="T71" i="19"/>
  <c r="S71" i="19"/>
  <c r="R71" i="19"/>
  <c r="Q71" i="19"/>
  <c r="P71" i="19"/>
  <c r="O71" i="19"/>
  <c r="N71" i="19"/>
  <c r="M71" i="19"/>
  <c r="L71" i="19"/>
  <c r="K71" i="19"/>
  <c r="J71" i="19"/>
  <c r="I71" i="19"/>
  <c r="H71" i="19"/>
  <c r="G71" i="19"/>
  <c r="F71" i="19"/>
  <c r="E71" i="19"/>
  <c r="D71" i="19"/>
  <c r="AT70" i="19"/>
  <c r="AS70" i="19"/>
  <c r="AT69" i="19"/>
  <c r="C69" i="19"/>
  <c r="C199" i="19" s="1"/>
  <c r="AT68" i="19"/>
  <c r="C68" i="19"/>
  <c r="AT67" i="19"/>
  <c r="AS67" i="19"/>
  <c r="C67" i="19"/>
  <c r="AT66" i="19"/>
  <c r="AR66" i="19"/>
  <c r="C66" i="19"/>
  <c r="AT65" i="19"/>
  <c r="C65" i="19"/>
  <c r="AT64" i="19"/>
  <c r="C64" i="19"/>
  <c r="AT63" i="19"/>
  <c r="AS63" i="19"/>
  <c r="C63" i="19"/>
  <c r="AT62" i="19"/>
  <c r="AS62" i="19"/>
  <c r="C62" i="19"/>
  <c r="C127" i="19" s="1"/>
  <c r="AT61" i="19"/>
  <c r="C61" i="19"/>
  <c r="C191" i="19" s="1"/>
  <c r="AT60" i="19"/>
  <c r="C60" i="19"/>
  <c r="AT59" i="19"/>
  <c r="AS59" i="19"/>
  <c r="C59" i="19"/>
  <c r="AT58" i="19"/>
  <c r="AS58" i="19"/>
  <c r="AR58" i="19"/>
  <c r="C58" i="19"/>
  <c r="AT57" i="19"/>
  <c r="AR57" i="19"/>
  <c r="C57" i="19"/>
  <c r="AT56" i="19"/>
  <c r="C56" i="19"/>
  <c r="AT55" i="19"/>
  <c r="C55" i="19"/>
  <c r="AT54" i="19"/>
  <c r="C54" i="19"/>
  <c r="C119" i="19" s="1"/>
  <c r="AT53" i="19"/>
  <c r="C53" i="19"/>
  <c r="C183" i="19" s="1"/>
  <c r="AT52" i="19"/>
  <c r="AS52" i="19"/>
  <c r="C52" i="19"/>
  <c r="AT51" i="19"/>
  <c r="AS51" i="19"/>
  <c r="C51" i="19"/>
  <c r="AT50" i="19"/>
  <c r="C50" i="19"/>
  <c r="AT49" i="19"/>
  <c r="AR49" i="19"/>
  <c r="C49" i="19"/>
  <c r="AT48" i="19"/>
  <c r="AR48" i="19"/>
  <c r="C48" i="19"/>
  <c r="AT47" i="19"/>
  <c r="AR47" i="19"/>
  <c r="C47" i="19"/>
  <c r="AT46" i="19"/>
  <c r="C46" i="19"/>
  <c r="C111" i="19" s="1"/>
  <c r="AT45" i="19"/>
  <c r="C45" i="19"/>
  <c r="C175" i="19" s="1"/>
  <c r="AT44" i="19"/>
  <c r="AS44" i="19"/>
  <c r="C44" i="19"/>
  <c r="AT43" i="19"/>
  <c r="C43" i="19"/>
  <c r="AT42" i="19"/>
  <c r="C42" i="19"/>
  <c r="AT41" i="19"/>
  <c r="C41" i="19"/>
  <c r="AT40" i="19"/>
  <c r="AS40" i="19"/>
  <c r="C40" i="19"/>
  <c r="AT39" i="19"/>
  <c r="C39" i="19"/>
  <c r="C169" i="19" s="1"/>
  <c r="AT38" i="19"/>
  <c r="C38" i="19"/>
  <c r="C103" i="19" s="1"/>
  <c r="AT37" i="19"/>
  <c r="C37" i="19"/>
  <c r="C167" i="19" s="1"/>
  <c r="AT36" i="19"/>
  <c r="C36" i="19"/>
  <c r="AT35" i="19"/>
  <c r="AS35" i="19"/>
  <c r="C35" i="19"/>
  <c r="AT34" i="19"/>
  <c r="AR34" i="19"/>
  <c r="C34" i="19"/>
  <c r="AT33" i="19"/>
  <c r="C33" i="19"/>
  <c r="C163" i="19" s="1"/>
  <c r="AT32" i="19"/>
  <c r="C32" i="19"/>
  <c r="C162" i="19" s="1"/>
  <c r="AT31" i="19"/>
  <c r="C31" i="19"/>
  <c r="C161" i="19" s="1"/>
  <c r="AT30" i="19"/>
  <c r="C30" i="19"/>
  <c r="C95" i="19" s="1"/>
  <c r="AT29" i="19"/>
  <c r="C29" i="19"/>
  <c r="AT28" i="19"/>
  <c r="C28" i="19"/>
  <c r="AT27" i="19"/>
  <c r="AS27" i="19"/>
  <c r="C27" i="19"/>
  <c r="C157" i="19" s="1"/>
  <c r="AT26" i="19"/>
  <c r="C26" i="19"/>
  <c r="AT25" i="19"/>
  <c r="C25" i="19"/>
  <c r="AT24" i="19"/>
  <c r="C24" i="19"/>
  <c r="C154" i="19" s="1"/>
  <c r="AT23" i="19"/>
  <c r="AS23" i="19"/>
  <c r="C23" i="19"/>
  <c r="C153" i="19" s="1"/>
  <c r="AT22" i="19"/>
  <c r="C22" i="19"/>
  <c r="C152" i="19" s="1"/>
  <c r="AT21" i="19"/>
  <c r="C21" i="19"/>
  <c r="AT20" i="19"/>
  <c r="C20" i="19"/>
  <c r="AT19" i="19"/>
  <c r="AS19" i="19"/>
  <c r="C19" i="19"/>
  <c r="C149" i="19" s="1"/>
  <c r="AT18" i="19"/>
  <c r="AS18" i="19"/>
  <c r="C18" i="19"/>
  <c r="AT17" i="19"/>
  <c r="C17" i="19"/>
  <c r="C147" i="19" s="1"/>
  <c r="AT16" i="19"/>
  <c r="C16" i="19"/>
  <c r="C146" i="19" s="1"/>
  <c r="AT15" i="19"/>
  <c r="C15" i="19"/>
  <c r="AT14" i="19"/>
  <c r="C14" i="19"/>
  <c r="AW13" i="19"/>
  <c r="C13" i="19"/>
  <c r="C12" i="19"/>
  <c r="C142" i="19" s="1"/>
  <c r="C11" i="19"/>
  <c r="C141" i="19" s="1"/>
  <c r="C10" i="19"/>
  <c r="AL9" i="19"/>
  <c r="AT9" i="19" s="1"/>
  <c r="C9" i="19"/>
  <c r="C139" i="19" s="1"/>
  <c r="AL8" i="19"/>
  <c r="C8" i="19"/>
  <c r="C7" i="19"/>
  <c r="AW6" i="19"/>
  <c r="B6" i="19" s="1"/>
  <c r="AT6" i="19"/>
  <c r="AL6" i="19"/>
  <c r="C6" i="19"/>
  <c r="C136" i="19" s="1"/>
  <c r="B3" i="19"/>
  <c r="AW7" i="19" s="1"/>
  <c r="AR15" i="19" l="1"/>
  <c r="AS37" i="19"/>
  <c r="AS49" i="19"/>
  <c r="AS50" i="19"/>
  <c r="AR16" i="19"/>
  <c r="AR61" i="19"/>
  <c r="AR62" i="19"/>
  <c r="AS25" i="19"/>
  <c r="AS26" i="19"/>
  <c r="AR55" i="19"/>
  <c r="AR56" i="19"/>
  <c r="AR68" i="19"/>
  <c r="AU10" i="19"/>
  <c r="AU11" i="19"/>
  <c r="AS39" i="19"/>
  <c r="AS38" i="19"/>
  <c r="AR30" i="19"/>
  <c r="AR31" i="19"/>
  <c r="AR70" i="19"/>
  <c r="AR69" i="19"/>
  <c r="AS65" i="19"/>
  <c r="AS66" i="19"/>
  <c r="AS21" i="19"/>
  <c r="AS22" i="19"/>
  <c r="AS46" i="19"/>
  <c r="AR53" i="19"/>
  <c r="AR54" i="19"/>
  <c r="AS31" i="19"/>
  <c r="AS30" i="19"/>
  <c r="AS56" i="19"/>
  <c r="AS57" i="19"/>
  <c r="AR51" i="19"/>
  <c r="AR52" i="19"/>
  <c r="AS61" i="19"/>
  <c r="AS60" i="19"/>
  <c r="AR28" i="19"/>
  <c r="AR27" i="19"/>
  <c r="AS16" i="19"/>
  <c r="AS17" i="19"/>
  <c r="AS42" i="19"/>
  <c r="AS54" i="19"/>
  <c r="AS55" i="19"/>
  <c r="AS69" i="19"/>
  <c r="AS68" i="19"/>
  <c r="AR26" i="19"/>
  <c r="AN103" i="19"/>
  <c r="AN124" i="19"/>
  <c r="AL124" i="19"/>
  <c r="AN129" i="19"/>
  <c r="AL129" i="19"/>
  <c r="AM140" i="19"/>
  <c r="AL146" i="19"/>
  <c r="AM159" i="19"/>
  <c r="AM172" i="19"/>
  <c r="AO177" i="19"/>
  <c r="AM177" i="19"/>
  <c r="AL177" i="19"/>
  <c r="AN181" i="19"/>
  <c r="AN184" i="19"/>
  <c r="AM186" i="19"/>
  <c r="AS43" i="19"/>
  <c r="C76" i="19"/>
  <c r="AO84" i="19"/>
  <c r="AN84" i="19"/>
  <c r="AM84" i="19"/>
  <c r="AL84" i="19"/>
  <c r="AL92" i="19"/>
  <c r="C96" i="19"/>
  <c r="AO101" i="19"/>
  <c r="AN101" i="19"/>
  <c r="AM101" i="19"/>
  <c r="AL101" i="19"/>
  <c r="AO111" i="19"/>
  <c r="AN111" i="19"/>
  <c r="AM111" i="19"/>
  <c r="AL111" i="19"/>
  <c r="AN114" i="19"/>
  <c r="AO130" i="19"/>
  <c r="AN141" i="19"/>
  <c r="AM141" i="19"/>
  <c r="AQ141" i="19" s="1"/>
  <c r="AS11" i="19" s="1"/>
  <c r="AL141" i="19"/>
  <c r="AO147" i="19"/>
  <c r="AN147" i="19"/>
  <c r="AL147" i="19"/>
  <c r="AO149" i="19"/>
  <c r="AM155" i="19"/>
  <c r="AO156" i="19"/>
  <c r="AO164" i="19"/>
  <c r="AO169" i="19"/>
  <c r="AN169" i="19"/>
  <c r="AM169" i="19"/>
  <c r="AL169" i="19"/>
  <c r="AN176" i="19"/>
  <c r="AN178" i="19"/>
  <c r="AM178" i="19"/>
  <c r="AO182" i="19"/>
  <c r="AN182" i="19"/>
  <c r="AM182" i="19"/>
  <c r="AO186" i="19"/>
  <c r="AL186" i="19"/>
  <c r="AM195" i="19"/>
  <c r="AR18" i="19"/>
  <c r="AR22" i="19"/>
  <c r="AN92" i="19"/>
  <c r="AL106" i="19"/>
  <c r="AL120" i="19"/>
  <c r="AO129" i="19"/>
  <c r="AL140" i="19"/>
  <c r="AQ140" i="19" s="1"/>
  <c r="AS10" i="19" s="1"/>
  <c r="AL172" i="19"/>
  <c r="AN177" i="19"/>
  <c r="AM181" i="19"/>
  <c r="AL181" i="19"/>
  <c r="AN186" i="19"/>
  <c r="AS33" i="19"/>
  <c r="C71" i="19"/>
  <c r="C81" i="19"/>
  <c r="AM85" i="19"/>
  <c r="AO87" i="19"/>
  <c r="AN91" i="19"/>
  <c r="AM92" i="19"/>
  <c r="AO95" i="19"/>
  <c r="AM95" i="19"/>
  <c r="AN108" i="19"/>
  <c r="AN125" i="19"/>
  <c r="AL125" i="19"/>
  <c r="AM129" i="19"/>
  <c r="AM130" i="19"/>
  <c r="AL130" i="19"/>
  <c r="AO142" i="19"/>
  <c r="AN142" i="19"/>
  <c r="AM142" i="19"/>
  <c r="AQ142" i="19" s="1"/>
  <c r="AS12" i="19" s="1"/>
  <c r="AN157" i="19"/>
  <c r="AM157" i="19"/>
  <c r="AL157" i="19"/>
  <c r="AO174" i="19"/>
  <c r="AN174" i="19"/>
  <c r="AM174" i="19"/>
  <c r="AO178" i="19"/>
  <c r="AL178" i="19"/>
  <c r="AL182" i="19"/>
  <c r="AO187" i="19"/>
  <c r="AN187" i="19"/>
  <c r="AL187" i="19"/>
  <c r="AN197" i="19"/>
  <c r="AM197" i="19"/>
  <c r="AL197" i="19"/>
  <c r="AS47" i="19"/>
  <c r="AO76" i="19"/>
  <c r="AQ76" i="19" s="1"/>
  <c r="AR11" i="19" s="1"/>
  <c r="AL76" i="19"/>
  <c r="AN81" i="19"/>
  <c r="AM81" i="19"/>
  <c r="AL85" i="19"/>
  <c r="AR20" i="19"/>
  <c r="AO89" i="19"/>
  <c r="AM89" i="19"/>
  <c r="AL89" i="19"/>
  <c r="AO93" i="19"/>
  <c r="AN93" i="19"/>
  <c r="AM93" i="19"/>
  <c r="AL93" i="19"/>
  <c r="AO97" i="19"/>
  <c r="AR37" i="19"/>
  <c r="AL108" i="19"/>
  <c r="AL112" i="19"/>
  <c r="AO115" i="19"/>
  <c r="AO122" i="19"/>
  <c r="AO125" i="19"/>
  <c r="AM125" i="19"/>
  <c r="AN134" i="19"/>
  <c r="AO137" i="19"/>
  <c r="AN137" i="19"/>
  <c r="AM137" i="19"/>
  <c r="AQ137" i="19" s="1"/>
  <c r="AS7" i="19" s="1"/>
  <c r="AL137" i="19"/>
  <c r="AL142" i="19"/>
  <c r="AO148" i="19"/>
  <c r="AL152" i="19"/>
  <c r="AO161" i="19"/>
  <c r="AN161" i="19"/>
  <c r="AM161" i="19"/>
  <c r="AL161" i="19"/>
  <c r="AO170" i="19"/>
  <c r="AL170" i="19"/>
  <c r="AO179" i="19"/>
  <c r="AN179" i="19"/>
  <c r="AL179" i="19"/>
  <c r="AN76" i="19"/>
  <c r="AR63" i="19"/>
  <c r="C82" i="19"/>
  <c r="AL97" i="19"/>
  <c r="AN102" i="19"/>
  <c r="AO117" i="19"/>
  <c r="AM117" i="19"/>
  <c r="AM122" i="19"/>
  <c r="AL122" i="19"/>
  <c r="AL126" i="19"/>
  <c r="AO132" i="19"/>
  <c r="AM132" i="19"/>
  <c r="AO136" i="19"/>
  <c r="AM136" i="19"/>
  <c r="AO138" i="19"/>
  <c r="AN138" i="19"/>
  <c r="AM138" i="19"/>
  <c r="AM148" i="19"/>
  <c r="AL148" i="19"/>
  <c r="AO153" i="19"/>
  <c r="AN153" i="19"/>
  <c r="AM153" i="19"/>
  <c r="AL153" i="19"/>
  <c r="AN156" i="19"/>
  <c r="AO158" i="19"/>
  <c r="AN158" i="19"/>
  <c r="AM158" i="19"/>
  <c r="AN164" i="19"/>
  <c r="AO181" i="19"/>
  <c r="AM187" i="19"/>
  <c r="AO188" i="19"/>
  <c r="AM188" i="19"/>
  <c r="AO192" i="19"/>
  <c r="AN192" i="19"/>
  <c r="AM192" i="19"/>
  <c r="AO193" i="19"/>
  <c r="AN193" i="19"/>
  <c r="AM193" i="19"/>
  <c r="AL193" i="19"/>
  <c r="AN196" i="19"/>
  <c r="AO198" i="19"/>
  <c r="AN198" i="19"/>
  <c r="AM198" i="19"/>
  <c r="AL198" i="19"/>
  <c r="AR23" i="19"/>
  <c r="AO71" i="19"/>
  <c r="AM73" i="19"/>
  <c r="AM77" i="19"/>
  <c r="AN78" i="19"/>
  <c r="AN85" i="19"/>
  <c r="AL90" i="19"/>
  <c r="AL94" i="19"/>
  <c r="AO96" i="19"/>
  <c r="AM97" i="19"/>
  <c r="AN98" i="19"/>
  <c r="AM98" i="19"/>
  <c r="AL98" i="19"/>
  <c r="AM102" i="19"/>
  <c r="AO104" i="19"/>
  <c r="AN104" i="19"/>
  <c r="AM104" i="19"/>
  <c r="AL104" i="19"/>
  <c r="AM107" i="19"/>
  <c r="AN123" i="19"/>
  <c r="AM123" i="19"/>
  <c r="AL123" i="19"/>
  <c r="AO127" i="19"/>
  <c r="AN127" i="19"/>
  <c r="AM127" i="19"/>
  <c r="AL127" i="19"/>
  <c r="AN136" i="19"/>
  <c r="AQ136" i="19" s="1"/>
  <c r="AS6" i="19" s="1"/>
  <c r="AL138" i="19"/>
  <c r="AO139" i="19"/>
  <c r="AN139" i="19"/>
  <c r="AQ139" i="19" s="1"/>
  <c r="AS9" i="19" s="1"/>
  <c r="AL139" i="19"/>
  <c r="AO141" i="19"/>
  <c r="AN149" i="19"/>
  <c r="AM149" i="19"/>
  <c r="AL149" i="19"/>
  <c r="AN152" i="19"/>
  <c r="AN154" i="19"/>
  <c r="AM154" i="19"/>
  <c r="AL158" i="19"/>
  <c r="AO162" i="19"/>
  <c r="AL162" i="19"/>
  <c r="AO173" i="19"/>
  <c r="AN189" i="19"/>
  <c r="AM189" i="19"/>
  <c r="AL189" i="19"/>
  <c r="AN194" i="19"/>
  <c r="AM194" i="19"/>
  <c r="AO92" i="19"/>
  <c r="AM76" i="19"/>
  <c r="AN73" i="19"/>
  <c r="AR32" i="19"/>
  <c r="AO73" i="19"/>
  <c r="C74" i="19"/>
  <c r="AO86" i="19"/>
  <c r="AM86" i="19"/>
  <c r="C87" i="19"/>
  <c r="AO94" i="19"/>
  <c r="AN94" i="19"/>
  <c r="AO109" i="19"/>
  <c r="AM109" i="19"/>
  <c r="AO114" i="19"/>
  <c r="AR50" i="19"/>
  <c r="AO119" i="19"/>
  <c r="AN119" i="19"/>
  <c r="AM119" i="19"/>
  <c r="AL119" i="19"/>
  <c r="AO144" i="19"/>
  <c r="AM144" i="19"/>
  <c r="AO145" i="19"/>
  <c r="AN145" i="19"/>
  <c r="AM145" i="19"/>
  <c r="AL145" i="19"/>
  <c r="AO150" i="19"/>
  <c r="AN150" i="19"/>
  <c r="AM150" i="19"/>
  <c r="AO154" i="19"/>
  <c r="AL154" i="19"/>
  <c r="AO163" i="19"/>
  <c r="AN163" i="19"/>
  <c r="AL163" i="19"/>
  <c r="AO165" i="19"/>
  <c r="AO180" i="19"/>
  <c r="AM180" i="19"/>
  <c r="AO184" i="19"/>
  <c r="AL184" i="19"/>
  <c r="AO194" i="19"/>
  <c r="AL194" i="19"/>
  <c r="C138" i="19"/>
  <c r="C73" i="19"/>
  <c r="AO74" i="19"/>
  <c r="AT8" i="19"/>
  <c r="C171" i="19"/>
  <c r="C106" i="19"/>
  <c r="C181" i="19"/>
  <c r="C116" i="19"/>
  <c r="AO88" i="19"/>
  <c r="C156" i="19"/>
  <c r="C91" i="19"/>
  <c r="AR39" i="19"/>
  <c r="AR41" i="19"/>
  <c r="C179" i="19"/>
  <c r="C114" i="19"/>
  <c r="AO72" i="19"/>
  <c r="AM72" i="19"/>
  <c r="AL72" i="19"/>
  <c r="AM74" i="19"/>
  <c r="AO75" i="19"/>
  <c r="AN75" i="19"/>
  <c r="AM75" i="19"/>
  <c r="AL75" i="19"/>
  <c r="AN86" i="19"/>
  <c r="AL86" i="19"/>
  <c r="AL88" i="19"/>
  <c r="C89" i="19"/>
  <c r="AO91" i="19"/>
  <c r="AM91" i="19"/>
  <c r="AL91" i="19"/>
  <c r="AN96" i="19"/>
  <c r="AL96" i="19"/>
  <c r="AL99" i="19"/>
  <c r="AL102" i="19"/>
  <c r="AO107" i="19"/>
  <c r="AR59" i="19"/>
  <c r="AR60" i="19"/>
  <c r="C144" i="19"/>
  <c r="C79" i="19"/>
  <c r="AN79" i="19"/>
  <c r="C137" i="19"/>
  <c r="C72" i="19"/>
  <c r="C151" i="19"/>
  <c r="C86" i="19"/>
  <c r="C164" i="19"/>
  <c r="C99" i="19"/>
  <c r="C187" i="19"/>
  <c r="C122" i="19"/>
  <c r="C189" i="19"/>
  <c r="C124" i="19"/>
  <c r="AL79" i="19"/>
  <c r="C92" i="19"/>
  <c r="C97" i="19"/>
  <c r="AO100" i="19"/>
  <c r="AN100" i="19"/>
  <c r="AO103" i="19"/>
  <c r="AR43" i="19"/>
  <c r="AR44" i="19"/>
  <c r="C155" i="19"/>
  <c r="C90" i="19"/>
  <c r="C159" i="19"/>
  <c r="C94" i="19"/>
  <c r="AR38" i="19"/>
  <c r="C180" i="19"/>
  <c r="C115" i="19"/>
  <c r="AL73" i="19"/>
  <c r="AO77" i="19"/>
  <c r="AN77" i="19"/>
  <c r="AL77" i="19"/>
  <c r="AO82" i="19"/>
  <c r="AN82" i="19"/>
  <c r="AL82" i="19"/>
  <c r="AO85" i="19"/>
  <c r="AN87" i="19"/>
  <c r="AM87" i="19"/>
  <c r="AN88" i="19"/>
  <c r="AM90" i="19"/>
  <c r="C98" i="19"/>
  <c r="AM100" i="19"/>
  <c r="C172" i="19"/>
  <c r="C107" i="19"/>
  <c r="C195" i="19"/>
  <c r="C130" i="19"/>
  <c r="C143" i="19"/>
  <c r="C78" i="19"/>
  <c r="AN71" i="19"/>
  <c r="AL81" i="19"/>
  <c r="AR17" i="19"/>
  <c r="C170" i="19"/>
  <c r="C105" i="19"/>
  <c r="C197" i="19"/>
  <c r="C132" i="19"/>
  <c r="AQ73" i="19"/>
  <c r="AR8" i="19" s="1"/>
  <c r="C140" i="19"/>
  <c r="C75" i="19"/>
  <c r="C145" i="19"/>
  <c r="C80" i="19"/>
  <c r="C165" i="19"/>
  <c r="C100" i="19"/>
  <c r="AM82" i="19"/>
  <c r="AR36" i="19"/>
  <c r="AM105" i="19"/>
  <c r="C148" i="19"/>
  <c r="C83" i="19"/>
  <c r="C173" i="19"/>
  <c r="C108" i="19"/>
  <c r="C188" i="19"/>
  <c r="C123" i="19"/>
  <c r="AL71" i="19"/>
  <c r="AN74" i="19"/>
  <c r="AL74" i="19"/>
  <c r="AM78" i="19"/>
  <c r="C196" i="19"/>
  <c r="C131" i="19"/>
  <c r="AO78" i="19"/>
  <c r="C84" i="19"/>
  <c r="AN99" i="19"/>
  <c r="AN89" i="19"/>
  <c r="AO98" i="19"/>
  <c r="AO102" i="19"/>
  <c r="AM106" i="19"/>
  <c r="AO110" i="19"/>
  <c r="AM110" i="19"/>
  <c r="AN117" i="19"/>
  <c r="AL117" i="19"/>
  <c r="AO121" i="19"/>
  <c r="AN121" i="19"/>
  <c r="AL121" i="19"/>
  <c r="AN132" i="19"/>
  <c r="AL132" i="19"/>
  <c r="AL136" i="19"/>
  <c r="AN144" i="19"/>
  <c r="AO146" i="19"/>
  <c r="AN146" i="19"/>
  <c r="AM146" i="19"/>
  <c r="AO152" i="19"/>
  <c r="AM152" i="19"/>
  <c r="AM156" i="19"/>
  <c r="AL156" i="19"/>
  <c r="AO167" i="19"/>
  <c r="AN167" i="19"/>
  <c r="AL167" i="19"/>
  <c r="AO171" i="19"/>
  <c r="AN171" i="19"/>
  <c r="AL171" i="19"/>
  <c r="AL174" i="19"/>
  <c r="AM184" i="19"/>
  <c r="AL188" i="19"/>
  <c r="AL192" i="19"/>
  <c r="AO196" i="19"/>
  <c r="AM196" i="19"/>
  <c r="AL196" i="19"/>
  <c r="C118" i="19"/>
  <c r="AQ138" i="19"/>
  <c r="AS8" i="19" s="1"/>
  <c r="AO160" i="19"/>
  <c r="AL160" i="19"/>
  <c r="C168" i="19"/>
  <c r="C178" i="19"/>
  <c r="C113" i="19"/>
  <c r="C186" i="19"/>
  <c r="C121" i="19"/>
  <c r="C194" i="19"/>
  <c r="C129" i="19"/>
  <c r="AM88" i="19"/>
  <c r="AN97" i="19"/>
  <c r="AM114" i="19"/>
  <c r="AL114" i="19"/>
  <c r="C126" i="19"/>
  <c r="AN133" i="19"/>
  <c r="AL133" i="19"/>
  <c r="AM160" i="19"/>
  <c r="AM164" i="19"/>
  <c r="AL164" i="19"/>
  <c r="AO175" i="19"/>
  <c r="AN175" i="19"/>
  <c r="AL175" i="19"/>
  <c r="AM103" i="19"/>
  <c r="AL103" i="19"/>
  <c r="AO105" i="19"/>
  <c r="AN105" i="19"/>
  <c r="AL105" i="19"/>
  <c r="AN107" i="19"/>
  <c r="AL107" i="19"/>
  <c r="AN109" i="19"/>
  <c r="AL109" i="19"/>
  <c r="AO112" i="19"/>
  <c r="AN112" i="19"/>
  <c r="AM112" i="19"/>
  <c r="AN115" i="19"/>
  <c r="AM115" i="19"/>
  <c r="AL115" i="19"/>
  <c r="AL118" i="19"/>
  <c r="AO133" i="19"/>
  <c r="AM133" i="19"/>
  <c r="C134" i="19"/>
  <c r="AN143" i="19"/>
  <c r="AN160" i="19"/>
  <c r="AN162" i="19"/>
  <c r="AM162" i="19"/>
  <c r="AN165" i="19"/>
  <c r="AM165" i="19"/>
  <c r="AL165" i="19"/>
  <c r="AL168" i="19"/>
  <c r="AM175" i="19"/>
  <c r="C176" i="19"/>
  <c r="AN183" i="19"/>
  <c r="AM96" i="19"/>
  <c r="AM118" i="19"/>
  <c r="AO143" i="19"/>
  <c r="AL143" i="19"/>
  <c r="AO151" i="19"/>
  <c r="AN151" i="19"/>
  <c r="AL151" i="19"/>
  <c r="AO168" i="19"/>
  <c r="AN168" i="19"/>
  <c r="AM168" i="19"/>
  <c r="AO183" i="19"/>
  <c r="AL183" i="19"/>
  <c r="AL87" i="19"/>
  <c r="AO118" i="19"/>
  <c r="C177" i="19"/>
  <c r="C112" i="19"/>
  <c r="C185" i="19"/>
  <c r="C120" i="19"/>
  <c r="C193" i="19"/>
  <c r="C128" i="19"/>
  <c r="C102" i="19"/>
  <c r="C110" i="19"/>
  <c r="AO116" i="19"/>
  <c r="AM116" i="19"/>
  <c r="AN118" i="19"/>
  <c r="AO120" i="19"/>
  <c r="AN120" i="19"/>
  <c r="AM120" i="19"/>
  <c r="AO126" i="19"/>
  <c r="AM126" i="19"/>
  <c r="AN131" i="19"/>
  <c r="AM131" i="19"/>
  <c r="AL131" i="19"/>
  <c r="AL134" i="19"/>
  <c r="AM143" i="19"/>
  <c r="AM151" i="19"/>
  <c r="AO166" i="19"/>
  <c r="AN166" i="19"/>
  <c r="AM166" i="19"/>
  <c r="AN170" i="19"/>
  <c r="AM170" i="19"/>
  <c r="AN173" i="19"/>
  <c r="AM173" i="19"/>
  <c r="AL173" i="19"/>
  <c r="AL176" i="19"/>
  <c r="AM183" i="19"/>
  <c r="C184" i="19"/>
  <c r="AO195" i="19"/>
  <c r="AN195" i="19"/>
  <c r="AL195" i="19"/>
  <c r="C150" i="19"/>
  <c r="C85" i="19"/>
  <c r="C158" i="19"/>
  <c r="C93" i="19"/>
  <c r="C166" i="19"/>
  <c r="C101" i="19"/>
  <c r="C174" i="19"/>
  <c r="C109" i="19"/>
  <c r="C182" i="19"/>
  <c r="C117" i="19"/>
  <c r="C190" i="19"/>
  <c r="C125" i="19"/>
  <c r="C198" i="19"/>
  <c r="C133" i="19"/>
  <c r="C77" i="19"/>
  <c r="AO90" i="19"/>
  <c r="AL95" i="19"/>
  <c r="C104" i="19"/>
  <c r="AO108" i="19"/>
  <c r="AM108" i="19"/>
  <c r="AO113" i="19"/>
  <c r="AN113" i="19"/>
  <c r="AL113" i="19"/>
  <c r="AN116" i="19"/>
  <c r="AL116" i="19"/>
  <c r="AO124" i="19"/>
  <c r="AM124" i="19"/>
  <c r="AN126" i="19"/>
  <c r="AN128" i="19"/>
  <c r="AM128" i="19"/>
  <c r="AO134" i="19"/>
  <c r="AM134" i="19"/>
  <c r="AL144" i="19"/>
  <c r="AO159" i="19"/>
  <c r="AN159" i="19"/>
  <c r="AL159" i="19"/>
  <c r="AL166" i="19"/>
  <c r="AO176" i="19"/>
  <c r="AM176" i="19"/>
  <c r="AO191" i="19"/>
  <c r="AN191" i="19"/>
  <c r="AM191" i="19"/>
  <c r="AL191" i="19"/>
  <c r="C192" i="19"/>
  <c r="AO199" i="19"/>
  <c r="AN199" i="19"/>
  <c r="AM199" i="19"/>
  <c r="AL199" i="19"/>
  <c r="AQ75" i="19" l="1"/>
  <c r="AR10" i="19" s="1"/>
  <c r="AQ77" i="19"/>
  <c r="AR12" i="19" s="1"/>
  <c r="AQ71" i="19"/>
  <c r="AR6" i="19" s="1"/>
  <c r="AQ78" i="19"/>
  <c r="AR13" i="19" s="1"/>
  <c r="AQ143" i="19"/>
  <c r="B136" i="19"/>
  <c r="B71" i="19"/>
  <c r="AQ74" i="19"/>
  <c r="AR9" i="19" s="1"/>
  <c r="AQ72" i="19"/>
  <c r="AR7" i="19" s="1"/>
  <c r="AR14" i="19" l="1"/>
  <c r="AS13" i="19"/>
  <c r="AS14" i="19"/>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9" l="1"/>
  <c r="AW8" i="19" s="1"/>
  <c r="AL12" i="19"/>
  <c r="AT12" i="19" s="1"/>
  <c r="AL10" i="19"/>
  <c r="AT10" i="19" s="1"/>
  <c r="AL13" i="19"/>
  <c r="AT13" i="19" s="1"/>
  <c r="AL11" i="19"/>
  <c r="AT11" i="1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0" i="19" l="1"/>
  <c r="AU14" i="19" s="1"/>
  <c r="AL21" i="19"/>
  <c r="AL27" i="19"/>
  <c r="AL35" i="19"/>
  <c r="AL67" i="19"/>
  <c r="AL54" i="19"/>
  <c r="AL15" i="19"/>
  <c r="AL45" i="19"/>
  <c r="AL20" i="19"/>
  <c r="AL17" i="19"/>
  <c r="AL29" i="19"/>
  <c r="AL48" i="19"/>
  <c r="AL31" i="19"/>
  <c r="AL68" i="19"/>
  <c r="AL57" i="19"/>
  <c r="AL14" i="19"/>
  <c r="AL23" i="19"/>
  <c r="AL22" i="19"/>
  <c r="AL19" i="19"/>
  <c r="AL69" i="19"/>
  <c r="AL41" i="19"/>
  <c r="AL26" i="19"/>
  <c r="AL63" i="19"/>
  <c r="AL42" i="19"/>
  <c r="AL16" i="19"/>
  <c r="AL40" i="19"/>
  <c r="AL24" i="19"/>
  <c r="AL44" i="19"/>
  <c r="AL49" i="19"/>
  <c r="AL34" i="19"/>
  <c r="AW16" i="19"/>
  <c r="AU15" i="19" s="1"/>
  <c r="AL37" i="19"/>
  <c r="AL28" i="19"/>
  <c r="AL32" i="19"/>
  <c r="AL46" i="19"/>
  <c r="AL36" i="19"/>
  <c r="AL65" i="19"/>
  <c r="AL56" i="19"/>
  <c r="AL50" i="19"/>
  <c r="AL39" i="19"/>
  <c r="AW9" i="19"/>
  <c r="AL43" i="19"/>
  <c r="AL30" i="19"/>
  <c r="AL61" i="19"/>
  <c r="AL52" i="19"/>
  <c r="AL60" i="19"/>
  <c r="AL25" i="19"/>
  <c r="AL51" i="19"/>
  <c r="AL64" i="19"/>
  <c r="AL58" i="19"/>
  <c r="AL47" i="19"/>
  <c r="AW11" i="19"/>
  <c r="AU13" i="19" s="1"/>
  <c r="AL62" i="19"/>
  <c r="AL53" i="19"/>
  <c r="AL38" i="19"/>
  <c r="AL7" i="19"/>
  <c r="AT7" i="19" s="1"/>
  <c r="AL33" i="19"/>
  <c r="AL59" i="19"/>
  <c r="AL18" i="19"/>
  <c r="AL66" i="19"/>
  <c r="AL55" i="19"/>
  <c r="AW12" i="19"/>
  <c r="AU5" i="19" s="1"/>
  <c r="L14" i="4"/>
  <c r="AV5" i="19" l="1"/>
  <c r="AR5" i="19"/>
  <c r="AS5" i="19"/>
  <c r="AT5" i="19"/>
  <c r="B15"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19" s="1"/>
  <c r="AU7" i="19" s="1"/>
  <c r="AW15" i="19" l="1"/>
  <c r="AU8" i="1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8"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1" authorId="1" shapeId="0" xr:uid="{00000000-0006-0000-0700-00000A000000}">
      <text>
        <r>
          <rPr>
            <b/>
            <sz val="9"/>
            <color indexed="81"/>
            <rFont val="MS P ゴシック"/>
            <family val="3"/>
            <charset val="128"/>
          </rPr>
          <t xml:space="preserve">リモート送信条件成立：IG ON 且つ PTS ONが15[s]以上
</t>
        </r>
      </text>
    </comment>
    <comment ref="E71" authorId="1" shapeId="0" xr:uid="{00000000-0006-0000-0700-00000B000000}">
      <text>
        <r>
          <rPr>
            <b/>
            <sz val="9"/>
            <color indexed="81"/>
            <rFont val="MS P ゴシック"/>
            <family val="3"/>
            <charset val="128"/>
          </rPr>
          <t xml:space="preserve">IG ON 且つ ST OFF
</t>
        </r>
      </text>
    </comment>
    <comment ref="F71" authorId="1" shapeId="0" xr:uid="{00000000-0006-0000-0700-00000C000000}">
      <text>
        <r>
          <rPr>
            <b/>
            <sz val="9"/>
            <color indexed="81"/>
            <rFont val="MS P ゴシック"/>
            <family val="3"/>
            <charset val="128"/>
          </rPr>
          <t>IG ON</t>
        </r>
      </text>
    </comment>
    <comment ref="G71" authorId="1" shapeId="0" xr:uid="{00000000-0006-0000-0700-00000D000000}">
      <text>
        <r>
          <rPr>
            <b/>
            <sz val="9"/>
            <color indexed="81"/>
            <rFont val="MS P ゴシック"/>
            <family val="3"/>
            <charset val="128"/>
          </rPr>
          <t xml:space="preserve">IG OFF 且つ IG OFF後25[m]未満
</t>
        </r>
      </text>
    </comment>
    <comment ref="H71" authorId="1" shapeId="0" xr:uid="{00000000-0006-0000-0700-00000E000000}">
      <text>
        <r>
          <rPr>
            <b/>
            <sz val="9"/>
            <color indexed="81"/>
            <rFont val="MS P ゴシック"/>
            <family val="3"/>
            <charset val="128"/>
          </rPr>
          <t xml:space="preserve">IG OFF
</t>
        </r>
      </text>
    </comment>
    <comment ref="I71" authorId="1" shapeId="0" xr:uid="{00000000-0006-0000-0700-00000F000000}">
      <text>
        <r>
          <rPr>
            <b/>
            <sz val="9"/>
            <color indexed="81"/>
            <rFont val="MS P ゴシック"/>
            <family val="3"/>
            <charset val="128"/>
          </rPr>
          <t xml:space="preserve">IG ON 又は IG OFF後25[m]未満
</t>
        </r>
      </text>
    </comment>
    <comment ref="J71"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<sst xmlns="http://schemas.openxmlformats.org/spreadsheetml/2006/main" count="2598" uniqueCount="284">
  <si>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</si>
  <si>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</si>
  <si>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</si>
  <si>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</si>
  <si>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</si>
  <si>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</si>
  <si>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</si>
  <si>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</si>
  <si>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</si>
  <si>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</si>
  <si>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</si>
  <si>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</si>
  <si>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</si>
  <si>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</si>
  <si>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</si>
  <si>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</si>
  <si>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</si>
  <si>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</si>
  <si>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</si>
  <si>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</si>
  <si>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</si>
  <si>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</si>
  <si>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</si>
  <si>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</si>
  <si>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</si>
  <si>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</si>
  <si>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</si>
  <si>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</si>
  <si>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</si>
  <si>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</si>
  <si>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</si>
  <si>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</si>
  <si>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</si>
  <si>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</si>
  <si>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</si>
  <si>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</si>
  <si>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</si>
  <si>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</si>
  <si>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</si>
  <si>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</si>
  <si>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</si>
  <si>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</si>
  <si>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</si>
  <si>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</si>
  <si>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</si>
  <si>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</si>
  <si>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</si>
  <si>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</si>
  <si>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</si>
  <si>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</si>
  <si>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</si>
  <si>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</si>
  <si>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</si>
  <si>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</si>
  <si>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</si>
  <si>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</si>
  <si>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</si>
  <si>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</si>
  <si>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</si>
  <si>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</si>
  <si>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</si>
  <si>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</si>
  <si>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</si>
  <si>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</si>
  <si>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</si>
  <si>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</si>
  <si>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</si>
  <si>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</si>
  <si>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 xml:space="preserve">    {</t>
    <phoneticPr fontId="3"/>
  </si>
  <si>
    <t xml:space="preserve">    }</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</si>
  <si>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</si>
  <si>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</si>
  <si>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</si>
  <si>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</si>
  <si>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</si>
  <si>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</si>
  <si>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</si>
  <si>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</si>
  <si>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</si>
  <si>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</si>
  <si>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</si>
  <si>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</si>
  <si>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</si>
  <si>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</si>
  <si>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</si>
  <si>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</si>
  <si>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</si>
  <si>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</si>
  <si>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</si>
  <si>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</si>
  <si>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</si>
  <si>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</si>
  <si>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</si>
  <si>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</si>
  <si>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</si>
  <si>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</si>
  <si>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</si>
  <si>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</si>
  <si>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</si>
  <si>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</si>
  <si>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</si>
  <si>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</si>
  <si>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</si>
  <si>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</si>
  <si>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</si>
  <si>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</si>
  <si>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</si>
  <si>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</si>
  <si>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</si>
  <si>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[CH_Design]
・StatusでUNKNOWNを指定できるようにダミー行を追加</t>
    <rPh sb="28" eb="30">
      <t>シテイ</t>
    </rPh>
    <rPh sb="39" eb="40">
      <t>ギョウ</t>
    </rPh>
    <rPh sb="41" eb="43">
      <t>ツイカ</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</si>
  <si>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</si>
  <si>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</si>
  <si>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</si>
  <si>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</si>
  <si>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</si>
  <si>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</si>
  <si>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</si>
  <si>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</si>
  <si>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</si>
  <si>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</si>
  <si>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</si>
  <si>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</si>
  <si>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</si>
  <si>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</si>
  <si>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</si>
  <si>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</si>
  <si>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</si>
  <si>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</si>
  <si>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</si>
  <si>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</si>
  <si>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</si>
  <si>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</si>
  <si>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</si>
  <si>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</si>
  <si>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</si>
  <si>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</si>
  <si>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</si>
  <si>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</si>
  <si>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</si>
  <si>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</si>
  <si>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</si>
  <si>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</si>
  <si>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</si>
  <si>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</si>
  <si>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</si>
  <si>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</si>
  <si>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</si>
  <si>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</si>
  <si>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</si>
  <si>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</si>
  <si>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</si>
  <si>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</si>
  <si>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</si>
  <si>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</si>
  <si>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鈴木大</t>
    <rPh sb="0" eb="2">
      <t>スズキ</t>
    </rPh>
    <rPh sb="2" eb="3">
      <t>ダイ</t>
    </rPh>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</si>
  <si>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</si>
  <si>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t>
  </si>
  <si>
    <t>PD</t>
    <phoneticPr fontId="3"/>
  </si>
  <si>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</si>
  <si>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</si>
  <si>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</si>
  <si>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</si>
  <si>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</si>
  <si>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</si>
  <si>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</si>
  <si>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</si>
  <si>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</si>
  <si>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</si>
  <si>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</si>
  <si>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</si>
  <si>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</si>
  <si>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</si>
  <si>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</si>
  <si>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</si>
  <si>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</si>
  <si>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</si>
  <si>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</si>
  <si>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</si>
  <si>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</si>
  <si>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</si>
  <si>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</si>
  <si>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</si>
  <si>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</si>
  <si>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</si>
  <si>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</si>
  <si>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</si>
  <si>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</si>
  <si>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</si>
  <si>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</si>
  <si>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</si>
  <si>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https://aip01.dndev.net/bitbucket/scm/aip_tp/tmcapp_ict1_alert.git</t>
    <phoneticPr fontId="3"/>
  </si>
  <si>
    <t>NULL</t>
  </si>
  <si>
    <t>Index</t>
  </si>
  <si>
    <t>00b</t>
  </si>
  <si>
    <t>-</t>
    <phoneticPr fontId="3"/>
  </si>
  <si>
    <t>BSR1S01_STS</t>
    <phoneticPr fontId="3"/>
  </si>
  <si>
    <t>入力</t>
    <phoneticPr fontId="3"/>
  </si>
  <si>
    <t>ALERT_VOM_IGN_ON</t>
    <phoneticPr fontId="3"/>
  </si>
  <si>
    <t>BSR1S01</t>
    <phoneticPr fontId="3"/>
  </si>
  <si>
    <t>RWT_EN</t>
    <phoneticPr fontId="3"/>
  </si>
  <si>
    <t>VCS_ON</t>
    <phoneticPr fontId="3"/>
  </si>
  <si>
    <t>IGN_ON</t>
    <phoneticPr fontId="3"/>
  </si>
  <si>
    <t>IGN_OFF_WT</t>
    <phoneticPr fontId="3"/>
  </si>
  <si>
    <t>IGN_OFF</t>
    <phoneticPr fontId="3"/>
  </si>
  <si>
    <t>BAT_WT</t>
    <phoneticPr fontId="3"/>
  </si>
  <si>
    <t>BAT_AO</t>
    <phoneticPr fontId="3"/>
  </si>
  <si>
    <t>0b/
1b</t>
    <phoneticPr fontId="3"/>
  </si>
  <si>
    <t>通常(00b)/
未受信(01b)/
通信途絶(10b)/
未受信通信途絶(11b)</t>
    <rPh sb="0" eb="2">
      <t>ツウジョウ</t>
    </rPh>
    <rPh sb="33" eb="35">
      <t>ツウシン</t>
    </rPh>
    <rPh sb="35" eb="37">
      <t>トゼツ</t>
    </rPh>
    <phoneticPr fontId="3"/>
  </si>
  <si>
    <t>0b</t>
    <phoneticPr fontId="3"/>
  </si>
  <si>
    <t>00b</t>
    <phoneticPr fontId="3"/>
  </si>
  <si>
    <t>1b</t>
    <phoneticPr fontId="3"/>
  </si>
  <si>
    <t>IG-ON + 未受信 + *</t>
    <rPh sb="8" eb="9">
      <t>ミ</t>
    </rPh>
    <rPh sb="9" eb="11">
      <t>ジュシン</t>
    </rPh>
    <phoneticPr fontId="3"/>
  </si>
  <si>
    <t>01b</t>
    <phoneticPr fontId="3"/>
  </si>
  <si>
    <t>*b</t>
    <phoneticPr fontId="3"/>
  </si>
  <si>
    <t>IG-ON + 通信途絶 + *</t>
    <rPh sb="8" eb="10">
      <t>ツウシン</t>
    </rPh>
    <rPh sb="10" eb="12">
      <t>トゼツ</t>
    </rPh>
    <phoneticPr fontId="3"/>
  </si>
  <si>
    <t>10b</t>
    <phoneticPr fontId="3"/>
  </si>
  <si>
    <t>IG-ON + 未受信通信途絶 + *</t>
    <rPh sb="8" eb="9">
      <t>ミ</t>
    </rPh>
    <rPh sb="9" eb="11">
      <t>ジュシン</t>
    </rPh>
    <rPh sb="11" eb="13">
      <t>ツウシン</t>
    </rPh>
    <rPh sb="13" eb="15">
      <t>トゼツ</t>
    </rPh>
    <phoneticPr fontId="3"/>
  </si>
  <si>
    <t>11b</t>
    <phoneticPr fontId="3"/>
  </si>
  <si>
    <t>**b</t>
  </si>
  <si>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</si>
  <si>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</si>
  <si>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[TT][BC]
・SearchTable/IndexTableを自動選択できるように数式を追加(B3セル)</t>
    <rPh sb="33" eb="35">
      <t>ジドウ</t>
    </rPh>
    <rPh sb="35" eb="37">
      <t>センタク</t>
    </rPh>
    <rPh sb="43" eb="45">
      <t>スウシキ</t>
    </rPh>
    <rPh sb="46" eb="48">
      <t>ツイカ</t>
    </rPh>
    <phoneticPr fontId="3"/>
  </si>
  <si>
    <t>1.0.0</t>
  </si>
  <si>
    <t>5.5.0</t>
  </si>
  <si>
    <t>大藤</t>
    <rPh sb="0" eb="2">
      <t>オオフジ</t>
    </rPh>
    <phoneticPr fontId="3"/>
  </si>
  <si>
    <t>BC判定</t>
    <rPh sb="2" eb="4">
      <t>ハンテイ</t>
    </rPh>
    <phoneticPr fontId="3"/>
  </si>
  <si>
    <t>TT</t>
    <phoneticPr fontId="3"/>
  </si>
  <si>
    <t>BC</t>
    <phoneticPr fontId="3"/>
  </si>
  <si>
    <t>断続/
-</t>
    <phoneticPr fontId="3"/>
  </si>
  <si>
    <t>BSD_BUZ_SIG</t>
    <phoneticPr fontId="3"/>
  </si>
  <si>
    <t>断続</t>
    <phoneticPr fontId="3"/>
  </si>
  <si>
    <t>ー</t>
    <phoneticPr fontId="3"/>
  </si>
  <si>
    <t>WARNING</t>
  </si>
  <si>
    <t>WARNING</t>
    <phoneticPr fontId="3"/>
  </si>
  <si>
    <t>UNKNOWN/
WARNING</t>
    <phoneticPr fontId="3"/>
  </si>
  <si>
    <t>WARNING</t>
    <phoneticPr fontId="3"/>
  </si>
  <si>
    <t>BSDウォーニングブザーOFF(0b)/
BSDウォーニングブザーON(1b)</t>
    <phoneticPr fontId="3"/>
  </si>
  <si>
    <t>IG-ON + 通常 + BSDウォーニングブザーOFF</t>
    <rPh sb="8" eb="10">
      <t>ツウジョウ</t>
    </rPh>
    <phoneticPr fontId="3"/>
  </si>
  <si>
    <t>IG-ON + 通常 + BSDウォーニングブザーON</t>
    <rPh sb="8" eb="10">
      <t>ツウジョウ</t>
    </rPh>
    <phoneticPr fontId="3"/>
  </si>
  <si>
    <t>新規作成(流用元:alert_S_BSM-CSTD-1-03-A-C0.xlsx ※840B CV)
050D CV対応
[Matrix]シート
・対象仕様書、ロケーション変更
・ALERT_CH_S_BSMからALERT_CH_S_BSM_TTに変更
・BCのCHを追加
[CH_Design]シート
・ALERT_CH_S_BSMからALERT_CH_S_BSM_TTに変更
・ALERT_CH_S_BSM_BCを追加
[BC]シート
・新規追加
[Reference]シート
・TT判定真理値表のCH名変更
・BC判定真理値表追加
・BC追加のキャプチ追加</t>
    <rPh sb="0" eb="2">
      <t>シンキ</t>
    </rPh>
    <rPh sb="2" eb="4">
      <t>サクセイ</t>
    </rPh>
    <rPh sb="5" eb="7">
      <t>リュウヨウ</t>
    </rPh>
    <rPh sb="7" eb="8">
      <t>モト</t>
    </rPh>
    <rPh sb="59" eb="61">
      <t>タイオウ</t>
    </rPh>
    <rPh sb="75" eb="77">
      <t>タイショウ</t>
    </rPh>
    <rPh sb="77" eb="80">
      <t>シヨウショ</t>
    </rPh>
    <rPh sb="87" eb="89">
      <t>ヘンコウ</t>
    </rPh>
    <rPh sb="135" eb="137">
      <t>ツイカ</t>
    </rPh>
    <rPh sb="188" eb="190">
      <t>ヘンコウ</t>
    </rPh>
    <rPh sb="210" eb="212">
      <t>ツイカ</t>
    </rPh>
    <rPh sb="222" eb="224">
      <t>シンキ</t>
    </rPh>
    <rPh sb="224" eb="226">
      <t>ツイカ</t>
    </rPh>
    <rPh sb="245" eb="247">
      <t>ハンテイ</t>
    </rPh>
    <rPh sb="247" eb="251">
      <t>シンリチヒョウ</t>
    </rPh>
    <rPh sb="254" eb="255">
      <t>メイ</t>
    </rPh>
    <rPh sb="255" eb="257">
      <t>ヘンコウ</t>
    </rPh>
    <rPh sb="261" eb="263">
      <t>ハンテイ</t>
    </rPh>
    <rPh sb="263" eb="267">
      <t>シンリチヒョウ</t>
    </rPh>
    <rPh sb="267" eb="269">
      <t>ツイカ</t>
    </rPh>
    <rPh sb="273" eb="275">
      <t>ツイカ</t>
    </rPh>
    <rPh sb="280" eb="282">
      <t>ツイカ</t>
    </rPh>
    <phoneticPr fontId="3"/>
  </si>
  <si>
    <t>1.1.0</t>
    <phoneticPr fontId="3"/>
  </si>
  <si>
    <t>050D 1A対応
[Matrix]シート
・対象仕様書、ロケーション変更
[CH_Design]シート
・ブザーの鳴らし切り制御についてコメント追記
[Reference]シート
・キャプチャ張り替え</t>
    <rPh sb="7" eb="9">
      <t>タイオウ</t>
    </rPh>
    <rPh sb="58" eb="59">
      <t>ナ</t>
    </rPh>
    <rPh sb="61" eb="62">
      <t>キ</t>
    </rPh>
    <rPh sb="63" eb="65">
      <t>セイギョ</t>
    </rPh>
    <rPh sb="73" eb="75">
      <t>ツイキ</t>
    </rPh>
    <rPh sb="97" eb="98">
      <t>ハ</t>
    </rPh>
    <rPh sb="99" eb="100">
      <t>カ</t>
    </rPh>
    <phoneticPr fontId="3"/>
  </si>
  <si>
    <t>森</t>
    <rPh sb="0" eb="1">
      <t>モリ</t>
    </rPh>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</si>
  <si>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</si>
  <si>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</si>
  <si>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phoneticPr fontId="3"/>
  </si>
  <si>
    <t>1.2.0</t>
    <phoneticPr fontId="3"/>
  </si>
  <si>
    <t>面企画#2 1A対応(流用元:alert_S_BSM-CSTD-2-03-A-C0.xlsx ※050D 1A)
[Matrix]シート
・対象仕様書、ロケーション変更
[CH_Design]シート
・機能有無判定：BSD_TTRのコメント修正
[Reference]シート
・キャプチャ張り替え</t>
    <rPh sb="0" eb="3">
      <t>メンキカク</t>
    </rPh>
    <rPh sb="8" eb="10">
      <t>タイオウ</t>
    </rPh>
    <rPh sb="101" eb="107">
      <t>キノウウムハンテイ</t>
    </rPh>
    <rPh sb="120" eb="122">
      <t>シュウセイ</t>
    </rPh>
    <phoneticPr fontId="3"/>
  </si>
  <si>
    <t>鈴木大助</t>
    <rPh sb="0" eb="2">
      <t>スズキ</t>
    </rPh>
    <rPh sb="2" eb="4">
      <t>ダイスケ</t>
    </rPh>
    <phoneticPr fontId="3"/>
  </si>
  <si>
    <t>鈴木大助</t>
    <rPh sb="0" eb="4">
      <t>スズキダイスケ</t>
    </rPh>
    <phoneticPr fontId="3"/>
  </si>
  <si>
    <t>廣部浩一</t>
    <rPh sb="0" eb="4">
      <t>ヒロベコウイチ</t>
    </rPh>
    <phoneticPr fontId="3"/>
  </si>
  <si>
    <t>1.3.0</t>
    <phoneticPr fontId="3"/>
  </si>
  <si>
    <t>KSE深町日響</t>
    <rPh sb="3" eb="7">
      <t>フカマチヒヒビキ</t>
    </rPh>
    <phoneticPr fontId="3"/>
  </si>
  <si>
    <t>19PFv3対応(流用元:alert_S_BSM-CSTD-2-04-A-C0.xlsx ※330D)
[Matrix]シート
・対象仕様書、ロケーション変更
・TTのCHを削除
[CH_Design]シート
・TTのCHを削除
[Reference]シート
・キャプチャ張り替え</t>
    <rPh sb="112" eb="114">
      <t>サクジョ</t>
    </rPh>
    <phoneticPr fontId="3"/>
  </si>
  <si>
    <t>承認</t>
    <rPh sb="0" eb="2">
      <t>ショウニン</t>
    </rPh>
    <phoneticPr fontId="3"/>
  </si>
  <si>
    <t>検討</t>
    <rPh sb="0" eb="2">
      <t>ケントウ</t>
    </rPh>
    <phoneticPr fontId="3"/>
  </si>
  <si>
    <t>作成</t>
    <rPh sb="0" eb="2">
      <t>サクセイ</t>
    </rPh>
    <phoneticPr fontId="3"/>
  </si>
  <si>
    <t>&lt;DN確認印&gt;</t>
    <rPh sb="3" eb="6">
      <t>カクニンイン</t>
    </rPh>
    <rPh sb="6" eb="7">
      <t>ケンイン</t>
    </rPh>
    <phoneticPr fontId="3"/>
  </si>
  <si>
    <t>&lt;DN検討印&gt;</t>
    <rPh sb="3" eb="5">
      <t>ケントウ</t>
    </rPh>
    <rPh sb="5" eb="6">
      <t>イン</t>
    </rPh>
    <phoneticPr fontId="3"/>
  </si>
  <si>
    <t>&lt;OS作成印&gt;</t>
    <rPh sb="3" eb="5">
      <t>サクセイ</t>
    </rPh>
    <rPh sb="5" eb="6">
      <t>イン</t>
    </rPh>
    <phoneticPr fontId="3"/>
  </si>
  <si>
    <t>&lt;DT確認印&gt;</t>
    <rPh sb="3" eb="6">
      <t>カクニンイン</t>
    </rPh>
    <rPh sb="6" eb="7">
      <t>ケンイン</t>
    </rPh>
    <phoneticPr fontId="3"/>
  </si>
  <si>
    <t>&lt;DT検討印&gt;</t>
    <rPh sb="3" eb="5">
      <t>ケントウ</t>
    </rPh>
    <rPh sb="5" eb="6">
      <t>イン</t>
    </rPh>
    <phoneticPr fontId="3"/>
  </si>
  <si>
    <t>&lt;DT作成印&gt;</t>
    <rPh sb="3" eb="5">
      <t>サクセイ</t>
    </rPh>
    <rPh sb="5" eb="6">
      <t>イン</t>
    </rPh>
    <phoneticPr fontId="3"/>
  </si>
  <si>
    <t>&lt;OS確認印&gt;</t>
    <rPh sb="3" eb="6">
      <t>カクニンイン</t>
    </rPh>
    <rPh sb="6" eb="7">
      <t>ケンイン</t>
    </rPh>
    <phoneticPr fontId="3"/>
  </si>
  <si>
    <t>&lt;OS検討印&gt;</t>
    <rPh sb="3" eb="5">
      <t>ケントウ</t>
    </rPh>
    <rPh sb="5" eb="6">
      <t>イン</t>
    </rPh>
    <phoneticPr fontId="3"/>
  </si>
  <si>
    <t xml:space="preserve"> </t>
    <phoneticPr fontId="3"/>
  </si>
  <si>
    <t>承認欄 [DT]</t>
    <phoneticPr fontId="3"/>
  </si>
  <si>
    <t>1.4.0</t>
    <phoneticPr fontId="3"/>
  </si>
  <si>
    <t>19PFv3対応(流用元:alert_S_BSM-CSTD-3-00-A-C0.xlsx)
・BSDWのRW送信を対応</t>
    <phoneticPr fontId="3"/>
  </si>
  <si>
    <t>DTPH Patrick</t>
  </si>
  <si>
    <t>KSE八木春樹</t>
    <rPh sb="3" eb="7">
      <t>ヤギハルキ</t>
    </rPh>
    <phoneticPr fontId="2"/>
  </si>
  <si>
    <t>1.5.0</t>
    <phoneticPr fontId="3"/>
  </si>
  <si>
    <t xml:space="preserve">BEV シス検#2(流用元：alert_S_BSM-CSTD-3-01-A-C0.c)
[Matrix]シート
CH削除
[CH_Design]シート
CH削除
[RWRN]シート
CH削除に伴い、シート削除
[Reference]シート
CH削除に伴い、真理値表の修正
</t>
    <rPh sb="6" eb="7">
      <t>ケン</t>
    </rPh>
    <rPh sb="52" eb="54">
      <t>ツイカ</t>
    </rPh>
    <rPh sb="58" eb="60">
      <t>サクジョ</t>
    </rPh>
    <rPh sb="103" eb="105">
      <t>サクジョ</t>
    </rPh>
    <rPh sb="115" eb="119">
      <t>シンリチヒョウ</t>
    </rPh>
    <rPh sb="119" eb="121">
      <t>ツイカ</t>
    </rPh>
    <rPh sb="124" eb="126">
      <t>サクジョ</t>
    </rPh>
    <rPh sb="127" eb="128">
      <t>トモナ</t>
    </rPh>
    <phoneticPr fontId="3"/>
  </si>
  <si>
    <t>(株)デンソー</t>
    <rPh sb="0" eb="3">
      <t>カブ</t>
    </rPh>
    <phoneticPr fontId="27"/>
  </si>
  <si>
    <t>デンソーテクノ(株)</t>
    <rPh sb="7" eb="10">
      <t>カブ</t>
    </rPh>
    <phoneticPr fontId="3"/>
  </si>
  <si>
    <t>DENSO TECHNO PHIL. INC</t>
    <phoneticPr fontId="3"/>
  </si>
  <si>
    <t>BEV_MCU_シス検ADAS向け (流用元：alert_S_BSM-CSTD-3-01-A-C0.xlsx)
機能名の変更対応：S_BSM → S_ADBZR_BSM
影響シート:
Matrixシート
CH_Designシート
S_ADBZR_BSMシート
Referenceシート</t>
    <rPh sb="56" eb="59">
      <t>キノウメイ</t>
    </rPh>
    <rPh sb="60" eb="62">
      <t>ヘンコウ</t>
    </rPh>
    <rPh sb="62" eb="64">
      <t>タイオウ</t>
    </rPh>
    <rPh sb="86" eb="88">
      <t>エイキョウ</t>
    </rPh>
    <phoneticPr fontId="3"/>
  </si>
  <si>
    <t>5.6.0</t>
    <phoneticPr fontId="3"/>
  </si>
  <si>
    <t>DTPH Dj</t>
    <phoneticPr fontId="3"/>
  </si>
  <si>
    <t>S_ADBZR-CSTD-0-BZR01-REQ09-</t>
    <phoneticPr fontId="3"/>
  </si>
  <si>
    <t>ALERT_CH_S_ADBZR_BSM</t>
    <phoneticPr fontId="3"/>
  </si>
  <si>
    <t>https://svn.geniie.net/bevs3/bevs3cdc/仕様書/MET/#1/tags/00.Product/v1.19/制御仕様/</t>
    <phoneticPr fontId="3"/>
  </si>
  <si>
    <t>MET-S_ADBZR-CSTD-0-06-A-C0.xlsx</t>
    <phoneticPr fontId="3"/>
  </si>
  <si>
    <t>1.5.1</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</si>
</sst>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2">
    <font>
      <sz val="11"/>
      <color theme="1"/>
      <name val="ＭＳ Ｐゴシック"/>
      <family val="2"/>
      <charset val="128"/>
      <scheme val="minor"/>
    </font>
    <font>
      <sz val="11"/>
      <color theme="1"/>
      <name val="ＭＳ Ｐゴシック"/>
      <family val="2"/>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
      <sz val="11"/>
      <color theme="1"/>
      <name val="Meiryo UI"/>
      <family val="2"/>
      <charset val="128"/>
    </font>
    <font>
      <u/>
      <sz val="11"/>
      <color indexed="12"/>
      <name val="ＭＳ Ｐゴシック"/>
      <family val="3"/>
      <charset val="128"/>
    </font>
    <font>
      <u/>
      <sz val="8.25"/>
      <color indexed="12"/>
      <name val="ＭＳ Ｐ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7">
    <xf numFmtId="0" fontId="0" fillId="0" borderId="0">
      <alignment vertical="center"/>
    </xf>
    <xf numFmtId="0" fontId="4" fillId="0" borderId="0" applyNumberFormat="0" applyFill="0" applyBorder="0" applyAlignment="0" applyProtection="0">
      <alignment vertical="center"/>
    </xf>
    <xf numFmtId="0" fontId="22" fillId="0" borderId="0">
      <alignment vertical="center"/>
    </xf>
    <xf numFmtId="0" fontId="1" fillId="0" borderId="0"/>
    <xf numFmtId="0" fontId="22" fillId="0" borderId="0">
      <alignment vertical="center"/>
    </xf>
    <xf numFmtId="0" fontId="22" fillId="0" borderId="0">
      <alignment vertical="center"/>
    </xf>
    <xf numFmtId="0" fontId="29" fillId="0" borderId="0">
      <alignment vertical="center"/>
    </xf>
    <xf numFmtId="0" fontId="22" fillId="0" borderId="0">
      <alignment vertical="center"/>
    </xf>
    <xf numFmtId="0" fontId="29" fillId="0" borderId="0">
      <alignment vertical="center"/>
    </xf>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29" fillId="0" borderId="0">
      <alignment vertical="center"/>
    </xf>
    <xf numFmtId="0" fontId="29" fillId="0" borderId="0">
      <alignment vertical="center"/>
    </xf>
    <xf numFmtId="0" fontId="22" fillId="0" borderId="0">
      <alignment vertical="center"/>
    </xf>
    <xf numFmtId="0" fontId="29" fillId="0" borderId="0">
      <alignment vertical="center"/>
    </xf>
    <xf numFmtId="0" fontId="22" fillId="0" borderId="0">
      <alignment vertical="center"/>
    </xf>
    <xf numFmtId="0" fontId="1" fillId="0" borderId="0"/>
    <xf numFmtId="0" fontId="22" fillId="0" borderId="0">
      <alignment vertical="center"/>
    </xf>
    <xf numFmtId="0" fontId="22" fillId="0" borderId="0">
      <alignment vertical="center"/>
    </xf>
    <xf numFmtId="0" fontId="29" fillId="0" borderId="0">
      <alignment vertical="center"/>
    </xf>
    <xf numFmtId="0" fontId="22" fillId="0" borderId="0">
      <alignment vertical="center"/>
    </xf>
    <xf numFmtId="0" fontId="29" fillId="0" borderId="0">
      <alignment vertical="center"/>
    </xf>
    <xf numFmtId="0" fontId="29" fillId="0" borderId="0">
      <alignment vertical="center"/>
    </xf>
    <xf numFmtId="0" fontId="29" fillId="0" borderId="0">
      <alignment vertical="center"/>
    </xf>
    <xf numFmtId="0" fontId="22" fillId="0" borderId="0">
      <alignment vertical="center"/>
    </xf>
    <xf numFmtId="0" fontId="22" fillId="0" borderId="0">
      <alignment vertical="center"/>
    </xf>
  </cellStyleXfs>
  <cellXfs count="317">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2" fillId="19" borderId="44" xfId="0" applyFont="1" applyFill="1" applyBorder="1" applyAlignment="1">
      <alignment vertical="center"/>
    </xf>
    <xf numFmtId="0" fontId="2" fillId="19" borderId="50" xfId="0" applyFont="1" applyFill="1" applyBorder="1" applyAlignment="1">
      <alignment vertical="center"/>
    </xf>
    <xf numFmtId="0" fontId="2" fillId="19" borderId="45" xfId="0" applyFont="1" applyFill="1" applyBorder="1" applyAlignment="1">
      <alignment vertical="center"/>
    </xf>
    <xf numFmtId="0" fontId="0" fillId="17" borderId="51"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2" xfId="0" quotePrefix="1" applyBorder="1">
      <alignment vertical="center"/>
    </xf>
    <xf numFmtId="0" fontId="0" fillId="0" borderId="34" xfId="0" applyBorder="1">
      <alignment vertical="center"/>
    </xf>
    <xf numFmtId="0" fontId="2" fillId="16" borderId="22" xfId="0" applyFont="1" applyFill="1" applyBorder="1">
      <alignment vertical="center"/>
    </xf>
    <xf numFmtId="0" fontId="15" fillId="12" borderId="42"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6"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6"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57" xfId="0" applyFont="1" applyFill="1" applyBorder="1">
      <alignment vertical="center"/>
    </xf>
    <xf numFmtId="0" fontId="6" fillId="19" borderId="37" xfId="0" applyFont="1" applyFill="1" applyBorder="1">
      <alignment vertical="center"/>
    </xf>
    <xf numFmtId="0" fontId="6" fillId="19" borderId="39" xfId="0" applyFont="1" applyFill="1" applyBorder="1">
      <alignment vertical="center"/>
    </xf>
    <xf numFmtId="0" fontId="6"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6"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7"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2" fillId="19" borderId="64"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6"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1" fillId="0" borderId="0" xfId="0" applyFont="1">
      <alignment vertical="center"/>
    </xf>
    <xf numFmtId="0" fontId="11" fillId="0" borderId="0" xfId="0" applyFont="1" applyBorder="1">
      <alignment vertical="center"/>
    </xf>
    <xf numFmtId="0" fontId="0" fillId="0" borderId="69"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4"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76" xfId="0" applyBorder="1" applyAlignment="1">
      <alignment vertical="center" wrapText="1"/>
    </xf>
    <xf numFmtId="0" fontId="0" fillId="0" borderId="28" xfId="0"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0" fillId="12" borderId="18" xfId="0" applyFill="1" applyBorder="1" applyAlignment="1">
      <alignment vertical="center"/>
    </xf>
    <xf numFmtId="0" fontId="0" fillId="0" borderId="49" xfId="0" applyBorder="1" applyAlignment="1">
      <alignment vertical="center"/>
    </xf>
    <xf numFmtId="0" fontId="0" fillId="0" borderId="27" xfId="0" applyBorder="1">
      <alignment vertical="center"/>
    </xf>
    <xf numFmtId="0" fontId="0" fillId="15" borderId="15" xfId="0" applyFill="1" applyBorder="1" applyAlignment="1">
      <alignment horizontal="center" vertical="center"/>
    </xf>
    <xf numFmtId="0" fontId="0" fillId="0" borderId="27" xfId="0"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22" borderId="2" xfId="0" applyFill="1" applyBorder="1" applyAlignment="1" applyProtection="1">
      <alignment horizontal="center" vertical="center" textRotation="90"/>
    </xf>
    <xf numFmtId="0" fontId="0" fillId="0" borderId="30" xfId="0" applyBorder="1">
      <alignment vertical="center"/>
    </xf>
    <xf numFmtId="0" fontId="0" fillId="15" borderId="2" xfId="0" applyFill="1" applyBorder="1">
      <alignment vertical="center"/>
    </xf>
    <xf numFmtId="0" fontId="0" fillId="0" borderId="27" xfId="0" quotePrefix="1" applyBorder="1">
      <alignment vertical="center"/>
    </xf>
    <xf numFmtId="0" fontId="0" fillId="14" borderId="30" xfId="0" applyFill="1" applyBorder="1">
      <alignment vertical="center"/>
    </xf>
    <xf numFmtId="0" fontId="0" fillId="20" borderId="2" xfId="0" applyFill="1" applyBorder="1">
      <alignment vertical="center"/>
    </xf>
    <xf numFmtId="0" fontId="0" fillId="0" borderId="31" xfId="0" applyBorder="1" applyAlignment="1">
      <alignment vertical="center" wrapText="1"/>
    </xf>
    <xf numFmtId="0" fontId="0" fillId="15" borderId="16" xfId="0" applyFill="1" applyBorder="1" applyAlignment="1">
      <alignment vertical="center" wrapText="1"/>
    </xf>
    <xf numFmtId="0" fontId="0" fillId="15" borderId="16" xfId="0" applyFill="1" applyBorder="1">
      <alignment vertical="center"/>
    </xf>
    <xf numFmtId="0" fontId="0" fillId="0" borderId="25" xfId="0" applyBorder="1" applyAlignment="1">
      <alignment horizontal="center" vertical="center"/>
    </xf>
    <xf numFmtId="0" fontId="0" fillId="15" borderId="14" xfId="0" applyFill="1" applyBorder="1" applyAlignment="1">
      <alignment horizontal="center" vertical="center"/>
    </xf>
    <xf numFmtId="0" fontId="0" fillId="0" borderId="30" xfId="0" applyBorder="1" applyAlignment="1">
      <alignment horizontal="center" vertical="center"/>
    </xf>
    <xf numFmtId="0" fontId="0" fillId="15" borderId="2" xfId="0" applyFill="1"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7" fillId="0" borderId="0" xfId="0" applyFont="1" applyFill="1" applyBorder="1" applyAlignment="1">
      <alignment vertical="center"/>
    </xf>
    <xf numFmtId="0" fontId="0" fillId="0" borderId="0" xfId="0" applyFill="1" applyBorder="1" applyAlignment="1">
      <alignment vertical="center"/>
    </xf>
    <xf numFmtId="0" fontId="15" fillId="0" borderId="0" xfId="0" applyFont="1" applyFill="1" applyBorder="1" applyAlignment="1">
      <alignment vertical="center"/>
    </xf>
    <xf numFmtId="0" fontId="16" fillId="0" borderId="0" xfId="0" applyFont="1" applyFill="1" applyBorder="1" applyAlignment="1">
      <alignment horizontal="center" vertical="center"/>
    </xf>
    <xf numFmtId="0" fontId="0" fillId="0" borderId="0" xfId="0" applyFill="1" applyBorder="1" applyAlignment="1">
      <alignment horizontal="left" vertical="center"/>
    </xf>
    <xf numFmtId="0" fontId="0" fillId="0" borderId="0" xfId="0" quotePrefix="1" applyFill="1" applyBorder="1" applyAlignment="1">
      <alignment vertical="center"/>
    </xf>
    <xf numFmtId="0" fontId="17" fillId="7" borderId="61" xfId="0" applyFont="1" applyFill="1" applyBorder="1" applyAlignment="1">
      <alignment vertical="center"/>
    </xf>
    <xf numFmtId="0" fontId="0" fillId="0" borderId="2" xfId="0" applyBorder="1">
      <alignment vertical="center"/>
    </xf>
    <xf numFmtId="0" fontId="0" fillId="0" borderId="6" xfId="0" applyBorder="1">
      <alignment vertical="center"/>
    </xf>
    <xf numFmtId="0" fontId="0" fillId="0" borderId="13" xfId="0" applyBorder="1">
      <alignment vertical="center"/>
    </xf>
    <xf numFmtId="0" fontId="0" fillId="0" borderId="14" xfId="0" applyBorder="1">
      <alignment vertical="center"/>
    </xf>
    <xf numFmtId="14" fontId="0" fillId="0" borderId="14" xfId="0" applyNumberFormat="1" applyBorder="1">
      <alignment vertical="center"/>
    </xf>
    <xf numFmtId="0" fontId="0" fillId="0" borderId="2" xfId="0" applyBorder="1" applyAlignment="1">
      <alignment vertical="center" wrapText="1"/>
    </xf>
    <xf numFmtId="0" fontId="2" fillId="19" borderId="65" xfId="0" applyFont="1" applyFill="1" applyBorder="1">
      <alignment vertical="center"/>
    </xf>
    <xf numFmtId="0" fontId="2" fillId="19" borderId="11" xfId="0" applyFont="1" applyFill="1" applyBorder="1">
      <alignment vertical="center"/>
    </xf>
    <xf numFmtId="0" fontId="21" fillId="0" borderId="0" xfId="0" applyFont="1">
      <alignment vertical="center"/>
    </xf>
    <xf numFmtId="0" fontId="0" fillId="0" borderId="14" xfId="0" applyBorder="1" applyAlignment="1">
      <alignment vertical="center" wrapText="1"/>
    </xf>
    <xf numFmtId="14" fontId="0" fillId="0" borderId="2" xfId="0" applyNumberFormat="1" applyBorder="1">
      <alignment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8" fillId="0" borderId="0" xfId="2" applyFont="1" applyAlignment="1">
      <alignment horizontal="center" vertical="center"/>
    </xf>
    <xf numFmtId="0" fontId="23" fillId="0" borderId="63" xfId="2" applyFont="1" applyBorder="1">
      <alignment vertical="center"/>
    </xf>
    <xf numFmtId="0" fontId="23" fillId="0" borderId="65" xfId="2" applyFont="1" applyBorder="1">
      <alignment vertical="center"/>
    </xf>
    <xf numFmtId="0" fontId="23" fillId="0" borderId="64" xfId="2" applyFont="1" applyBorder="1">
      <alignment vertical="center"/>
    </xf>
    <xf numFmtId="0" fontId="23" fillId="0" borderId="77" xfId="2" applyFont="1" applyBorder="1">
      <alignment vertical="center"/>
    </xf>
    <xf numFmtId="0" fontId="23" fillId="0" borderId="78" xfId="2" applyFont="1" applyBorder="1">
      <alignment vertical="center"/>
    </xf>
    <xf numFmtId="0" fontId="23" fillId="0" borderId="78" xfId="2" applyFont="1" applyBorder="1" applyAlignment="1">
      <alignment horizontal="center" vertical="center"/>
    </xf>
    <xf numFmtId="0" fontId="23" fillId="0" borderId="77" xfId="2" applyFont="1" applyBorder="1" applyAlignment="1">
      <alignment horizontal="center" vertical="center"/>
    </xf>
    <xf numFmtId="0" fontId="23" fillId="0" borderId="28" xfId="2" applyFont="1" applyBorder="1">
      <alignment vertical="center"/>
    </xf>
    <xf numFmtId="0" fontId="23" fillId="0" borderId="11" xfId="2" applyFont="1" applyBorder="1">
      <alignment vertical="center"/>
    </xf>
    <xf numFmtId="0" fontId="23" fillId="0" borderId="25" xfId="2" applyFont="1" applyBorder="1">
      <alignment vertical="center"/>
    </xf>
    <xf numFmtId="176" fontId="0" fillId="0" borderId="2" xfId="0" applyNumberFormat="1" applyBorder="1">
      <alignment vertical="center"/>
    </xf>
    <xf numFmtId="0" fontId="0" fillId="0" borderId="79" xfId="0" applyBorder="1">
      <alignment vertical="center"/>
    </xf>
    <xf numFmtId="0" fontId="0" fillId="0" borderId="61" xfId="0" applyBorder="1" applyAlignment="1">
      <alignment vertical="center" wrapText="1"/>
    </xf>
    <xf numFmtId="0" fontId="0" fillId="0" borderId="62" xfId="0" applyBorder="1">
      <alignment vertical="center"/>
    </xf>
    <xf numFmtId="14" fontId="0" fillId="0" borderId="62" xfId="0" applyNumberFormat="1" applyBorder="1">
      <alignment vertical="center"/>
    </xf>
    <xf numFmtId="0" fontId="0" fillId="0" borderId="61" xfId="0" applyBorder="1">
      <alignment vertical="center"/>
    </xf>
    <xf numFmtId="14" fontId="0" fillId="0" borderId="61" xfId="0" applyNumberFormat="1" applyBorder="1">
      <alignment vertical="center"/>
    </xf>
    <xf numFmtId="176" fontId="0" fillId="0" borderId="61" xfId="0" applyNumberFormat="1" applyBorder="1">
      <alignment vertical="center"/>
    </xf>
    <xf numFmtId="14" fontId="0" fillId="0" borderId="80" xfId="0" applyNumberFormat="1" applyBorder="1">
      <alignment vertical="center"/>
    </xf>
    <xf numFmtId="0" fontId="0" fillId="0" borderId="2" xfId="0" applyBorder="1" applyAlignment="1">
      <alignment vertical="top" wrapText="1"/>
    </xf>
    <xf numFmtId="0" fontId="12" fillId="0" borderId="8" xfId="0" applyFont="1" applyBorder="1">
      <alignment vertical="center"/>
    </xf>
    <xf numFmtId="0" fontId="19" fillId="0" borderId="9" xfId="0" applyFont="1" applyBorder="1" applyAlignment="1">
      <alignment vertical="center" wrapText="1"/>
    </xf>
    <xf numFmtId="0" fontId="19" fillId="0" borderId="9" xfId="0" applyFont="1" applyBorder="1">
      <alignment vertical="center"/>
    </xf>
    <xf numFmtId="0" fontId="12" fillId="0" borderId="32" xfId="0" applyFont="1" applyBorder="1" applyAlignment="1">
      <alignment vertical="center" wrapText="1"/>
    </xf>
    <xf numFmtId="0" fontId="0" fillId="4" borderId="17" xfId="0" applyFill="1" applyBorder="1">
      <alignment vertical="center"/>
    </xf>
    <xf numFmtId="0" fontId="0" fillId="0" borderId="2" xfId="0" applyBorder="1" applyAlignment="1">
      <alignment horizontal="center"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0" fillId="18" borderId="27" xfId="0" applyFill="1" applyBorder="1" applyAlignment="1">
      <alignment horizontal="lef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0" xfId="2" applyFont="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19" borderId="3" xfId="0" applyFont="1" applyFill="1" applyBorder="1" applyAlignment="1">
      <alignment horizontal="left" vertical="center"/>
    </xf>
    <xf numFmtId="0" fontId="2" fillId="19" borderId="54" xfId="0" applyFont="1" applyFill="1" applyBorder="1" applyAlignment="1">
      <alignment horizontal="left" vertical="center"/>
    </xf>
    <xf numFmtId="0" fontId="6" fillId="19" borderId="6" xfId="0" applyFont="1" applyFill="1" applyBorder="1" applyAlignment="1">
      <alignment horizontal="left" vertical="center"/>
    </xf>
    <xf numFmtId="0" fontId="6" fillId="19" borderId="55" xfId="0" applyFont="1" applyFill="1" applyBorder="1" applyAlignment="1">
      <alignment horizontal="left" vertical="center"/>
    </xf>
    <xf numFmtId="0" fontId="6" fillId="19" borderId="8" xfId="0" applyFont="1" applyFill="1" applyBorder="1" applyAlignment="1">
      <alignment horizontal="left" vertical="center"/>
    </xf>
    <xf numFmtId="0" fontId="6"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7" xfId="1" applyFill="1" applyBorder="1" applyAlignment="1" applyProtection="1">
      <alignment horizontal="left" vertical="center" wrapText="1"/>
    </xf>
    <xf numFmtId="0" fontId="4" fillId="12" borderId="12" xfId="1" applyFill="1" applyBorder="1" applyAlignment="1" applyProtection="1">
      <alignment horizontal="left" vertical="center"/>
    </xf>
    <xf numFmtId="0" fontId="4"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0" fillId="22" borderId="12" xfId="0" applyFill="1" applyBorder="1" applyAlignment="1" applyProtection="1">
      <alignment horizontal="center" vertical="center" textRotation="90"/>
    </xf>
    <xf numFmtId="0" fontId="0" fillId="0" borderId="12" xfId="0" applyBorder="1" applyAlignment="1">
      <alignment horizontal="center" vertical="center" textRotation="90"/>
    </xf>
    <xf numFmtId="0" fontId="2" fillId="19" borderId="63" xfId="0" applyFont="1" applyFill="1" applyBorder="1">
      <alignment vertical="center"/>
    </xf>
    <xf numFmtId="0" fontId="2" fillId="19" borderId="65" xfId="0" applyFont="1" applyFill="1" applyBorder="1">
      <alignment vertical="center"/>
    </xf>
    <xf numFmtId="0" fontId="2" fillId="19" borderId="28" xfId="0" applyFont="1" applyFill="1" applyBorder="1">
      <alignment vertical="center"/>
    </xf>
    <xf numFmtId="0" fontId="2" fillId="19" borderId="11" xfId="0" applyFont="1" applyFill="1" applyBorder="1">
      <alignment vertical="center"/>
    </xf>
    <xf numFmtId="176" fontId="19" fillId="0" borderId="10" xfId="0" applyNumberFormat="1" applyFont="1" applyBorder="1">
      <alignment vertical="center"/>
    </xf>
  </cellXfs>
  <cellStyles count="27">
    <cellStyle name="Normal 2" xfId="3" xr:uid="{E6753914-4A76-4F69-B90A-F44398B12137}"/>
    <cellStyle name="ハイパーリンク" xfId="1" builtinId="8"/>
    <cellStyle name="ハイパーリンク 2" xfId="9" xr:uid="{7113F21C-3E8C-4142-964C-1A92CF429487}"/>
    <cellStyle name="ハイパーリンク 2 2" xfId="10" xr:uid="{855A1385-3606-46D8-9242-F5CE567051C3}"/>
    <cellStyle name="ハイパーリンク 3" xfId="11" xr:uid="{D8EB5405-486F-4EC4-896E-BDC519616EF6}"/>
    <cellStyle name="標準" xfId="0" builtinId="0"/>
    <cellStyle name="標準 10" xfId="5" xr:uid="{3DEE3042-F764-44CC-AE67-6936EB43EF2A}"/>
    <cellStyle name="標準 10 2" xfId="19" xr:uid="{E6DEAC6F-01EB-4D8A-AF5B-900F00D67187}"/>
    <cellStyle name="標準 10 22" xfId="4" xr:uid="{1C95C492-60D0-4DD1-9055-6112C6BA56DC}"/>
    <cellStyle name="標準 10 22 2" xfId="7" xr:uid="{FE75319B-3000-4947-AF09-06533CAE9AAB}"/>
    <cellStyle name="標準 10 22 2 2" xfId="21" xr:uid="{80F3C0DE-C33A-4A33-B2CC-AC9B16F47957}"/>
    <cellStyle name="標準 10 22 3" xfId="16" xr:uid="{C4229BCB-40C0-4220-A03C-9C21B1DB7579}"/>
    <cellStyle name="標準 10 22 3 2" xfId="26" xr:uid="{B32A4CB9-6313-4749-ABC2-9E79049C2C2F}"/>
    <cellStyle name="標準 10 22 4" xfId="18" xr:uid="{FFABB0BD-FDF6-4447-8B2E-375139754220}"/>
    <cellStyle name="標準 10 31" xfId="14" xr:uid="{314D9C48-EB79-4B62-BE39-AE4AD80DA237}"/>
    <cellStyle name="標準 10 31 2" xfId="25" xr:uid="{30350FE4-807A-4B08-9684-4679DC5B034B}"/>
    <cellStyle name="標準 2" xfId="6" xr:uid="{C6B9C148-86AB-4C3D-8B59-FEDB8AECC148}"/>
    <cellStyle name="標準 2 2" xfId="17" xr:uid="{9989E14F-0145-494B-818E-DF3414F29564}"/>
    <cellStyle name="標準 2 3" xfId="20" xr:uid="{2F0D2F5D-6582-461C-8287-40D65C022904}"/>
    <cellStyle name="標準 3" xfId="12" xr:uid="{457AEC08-87F4-4BE5-9F6C-D88D4A8BB36C}"/>
    <cellStyle name="標準 3 2" xfId="23" xr:uid="{87DF1A5F-91ED-4E80-99C0-BE91F817942F}"/>
    <cellStyle name="標準 3 3 4 3" xfId="2" xr:uid="{AFBAE0FA-5640-465E-83B5-C8C9DBDF7454}"/>
    <cellStyle name="標準 4" xfId="8" xr:uid="{D9D013E5-8744-467D-B49C-5363988316C7}"/>
    <cellStyle name="標準 4 2" xfId="22" xr:uid="{AB309330-DD6C-415C-893C-969193ACBFB4}"/>
    <cellStyle name="標準 5" xfId="13" xr:uid="{B850F0AD-6166-4F8C-BC1A-1FC4B367DA99}"/>
    <cellStyle name="標準 5 2" xfId="24" xr:uid="{789DBD14-1F24-4B27-A672-C473ACFB9EAF}"/>
    <cellStyle name="標準 6" xfId="15" xr:uid="{E5F87D49-4D1A-46B9-ADC6-2E8F4C6CFB86}"/>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B0A5E0F-9198-4E42-8C99-8E0745B4AA59}"/>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76C8E0D0-B882-4B70-8DF2-67378596C944}"/>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53CE335C-1A23-4864-8323-2BD5443591C1}"/>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ABE844DF-3B18-4D92-AB1F-449BE3E285F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11206</xdr:rowOff>
    </xdr:from>
    <xdr:to>
      <xdr:col>39</xdr:col>
      <xdr:colOff>0</xdr:colOff>
      <xdr:row>48</xdr:row>
      <xdr:rowOff>11206</xdr:rowOff>
    </xdr:to>
    <xdr:cxnSp macro="">
      <xdr:nvCxnSpPr>
        <xdr:cNvPr id="6" name="直線コネクタ 5">
          <a:extLst>
            <a:ext uri="{FF2B5EF4-FFF2-40B4-BE49-F238E27FC236}">
              <a16:creationId xmlns:a16="http://schemas.microsoft.com/office/drawing/2014/main" id="{42234E18-FDFA-44D6-956B-54A339771710}"/>
            </a:ext>
          </a:extLst>
        </xdr:cNvPr>
        <xdr:cNvCxnSpPr/>
      </xdr:nvCxnSpPr>
      <xdr:spPr>
        <a:xfrm flipH="1">
          <a:off x="5505450" y="6973981"/>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33131</xdr:colOff>
      <xdr:row>51</xdr:row>
      <xdr:rowOff>57978</xdr:rowOff>
    </xdr:from>
    <xdr:to>
      <xdr:col>36</xdr:col>
      <xdr:colOff>136994</xdr:colOff>
      <xdr:row>54</xdr:row>
      <xdr:rowOff>0</xdr:rowOff>
    </xdr:to>
    <xdr:pic>
      <xdr:nvPicPr>
        <xdr:cNvPr id="7" name="図 6">
          <a:extLst>
            <a:ext uri="{FF2B5EF4-FFF2-40B4-BE49-F238E27FC236}">
              <a16:creationId xmlns:a16="http://schemas.microsoft.com/office/drawing/2014/main" id="{40174FE1-444E-04B3-B7E7-FD00829C6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5305" y="8506239"/>
          <a:ext cx="438977" cy="438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71893</xdr:colOff>
          <xdr:row>53</xdr:row>
          <xdr:rowOff>58310</xdr:rowOff>
        </xdr:from>
        <xdr:to>
          <xdr:col>38</xdr:col>
          <xdr:colOff>134427</xdr:colOff>
          <xdr:row>56</xdr:row>
          <xdr:rowOff>18848</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A2AB1E32-E18A-8E5F-C34A-808612B01B16}"/>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twoCellAnchor>
    <xdr:from>
      <xdr:col>44</xdr:col>
      <xdr:colOff>1748117</xdr:colOff>
      <xdr:row>2</xdr:row>
      <xdr:rowOff>1636059</xdr:rowOff>
    </xdr:from>
    <xdr:to>
      <xdr:col>45</xdr:col>
      <xdr:colOff>1535206</xdr:colOff>
      <xdr:row>2</xdr:row>
      <xdr:rowOff>2241177</xdr:rowOff>
    </xdr:to>
    <xdr:sp macro="" textlink="">
      <xdr:nvSpPr>
        <xdr:cNvPr id="3" name="吹き出し: 四角形 2">
          <a:extLst>
            <a:ext uri="{FF2B5EF4-FFF2-40B4-BE49-F238E27FC236}">
              <a16:creationId xmlns:a16="http://schemas.microsoft.com/office/drawing/2014/main" id="{1AEDE7C9-2460-A48D-C806-53F944959586}"/>
            </a:ext>
          </a:extLst>
        </xdr:cNvPr>
        <xdr:cNvSpPr/>
      </xdr:nvSpPr>
      <xdr:spPr>
        <a:xfrm>
          <a:off x="17100176" y="1972235"/>
          <a:ext cx="2924736" cy="605118"/>
        </a:xfrm>
        <a:prstGeom prst="wedge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100"/>
            <a:t>TT</a:t>
          </a:r>
          <a:r>
            <a:rPr kumimoji="1" lang="ja-JP" altLang="en-US" sz="1100"/>
            <a:t>削除により</a:t>
          </a:r>
          <a:r>
            <a:rPr kumimoji="1" lang="en-US" altLang="ja-JP" sz="1100"/>
            <a:t>1CH</a:t>
          </a:r>
          <a:r>
            <a:rPr kumimoji="1" lang="ja-JP" altLang="en-US" sz="1100"/>
            <a:t>になるが、ベースのシート名をそのまま使用する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56</xdr:col>
      <xdr:colOff>495300</xdr:colOff>
      <xdr:row>70</xdr:row>
      <xdr:rowOff>457200</xdr:rowOff>
    </xdr:from>
    <xdr:to>
      <xdr:col>110</xdr:col>
      <xdr:colOff>161925</xdr:colOff>
      <xdr:row>82</xdr:row>
      <xdr:rowOff>57150</xdr:rowOff>
    </xdr:to>
    <xdr:pic>
      <xdr:nvPicPr>
        <xdr:cNvPr id="5" name="図 4">
          <a:extLst>
            <a:ext uri="{FF2B5EF4-FFF2-40B4-BE49-F238E27FC236}">
              <a16:creationId xmlns:a16="http://schemas.microsoft.com/office/drawing/2014/main" id="{B0EFAC5F-4C1F-943C-8F7E-72574CF34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00" y="15621000"/>
          <a:ext cx="32585025" cy="2381250"/>
        </a:xfrm>
        <a:prstGeom prst="rect">
          <a:avLst/>
        </a:prstGeom>
        <a:solidFill>
          <a:schemeClr val="bg1"/>
        </a:solidFill>
      </xdr:spPr>
    </xdr:pic>
    <xdr:clientData/>
  </xdr:twoCellAnchor>
  <xdr:twoCellAnchor editAs="oneCell">
    <xdr:from>
      <xdr:col>22</xdr:col>
      <xdr:colOff>0</xdr:colOff>
      <xdr:row>77</xdr:row>
      <xdr:rowOff>0</xdr:rowOff>
    </xdr:from>
    <xdr:to>
      <xdr:col>54</xdr:col>
      <xdr:colOff>103910</xdr:colOff>
      <xdr:row>82</xdr:row>
      <xdr:rowOff>196258</xdr:rowOff>
    </xdr:to>
    <xdr:pic>
      <xdr:nvPicPr>
        <xdr:cNvPr id="4" name="図 3">
          <a:extLst>
            <a:ext uri="{FF2B5EF4-FFF2-40B4-BE49-F238E27FC236}">
              <a16:creationId xmlns:a16="http://schemas.microsoft.com/office/drawing/2014/main" id="{2D5E203A-C97C-B0A9-0D5B-48002EC232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604182" y="15707591"/>
          <a:ext cx="19500273" cy="1062167"/>
        </a:xfrm>
        <a:prstGeom prst="rect">
          <a:avLst/>
        </a:prstGeom>
        <a:solidFill>
          <a:schemeClr val="bg1"/>
        </a:solidFill>
      </xdr:spPr>
    </xdr:pic>
    <xdr:clientData/>
  </xdr:twoCellAnchor>
  <xdr:twoCellAnchor editAs="oneCell">
    <xdr:from>
      <xdr:col>22</xdr:col>
      <xdr:colOff>0</xdr:colOff>
      <xdr:row>59</xdr:row>
      <xdr:rowOff>0</xdr:rowOff>
    </xdr:from>
    <xdr:to>
      <xdr:col>54</xdr:col>
      <xdr:colOff>166687</xdr:colOff>
      <xdr:row>74</xdr:row>
      <xdr:rowOff>101539</xdr:rowOff>
    </xdr:to>
    <xdr:pic>
      <xdr:nvPicPr>
        <xdr:cNvPr id="3" name="図 2">
          <a:extLst>
            <a:ext uri="{FF2B5EF4-FFF2-40B4-BE49-F238E27FC236}">
              <a16:creationId xmlns:a16="http://schemas.microsoft.com/office/drawing/2014/main" id="{C3C75740-B4FD-B966-2435-EC13F4BF353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764375" y="9882188"/>
          <a:ext cx="19978687" cy="5006914"/>
        </a:xfrm>
        <a:prstGeom prst="rect">
          <a:avLst/>
        </a:prstGeom>
        <a:solidFill>
          <a:schemeClr val="bg1"/>
        </a:solidFill>
      </xdr:spPr>
    </xdr:pic>
    <xdr:clientData/>
  </xdr:twoCellAnchor>
  <xdr:twoCellAnchor>
    <xdr:from>
      <xdr:col>33</xdr:col>
      <xdr:colOff>481148</xdr:colOff>
      <xdr:row>62</xdr:row>
      <xdr:rowOff>55869</xdr:rowOff>
    </xdr:from>
    <xdr:to>
      <xdr:col>36</xdr:col>
      <xdr:colOff>261811</xdr:colOff>
      <xdr:row>65</xdr:row>
      <xdr:rowOff>59748</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26919827" y="11023226"/>
          <a:ext cx="1617627" cy="561772"/>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7</xdr:col>
      <xdr:colOff>250357</xdr:colOff>
      <xdr:row>55</xdr:row>
      <xdr:rowOff>64034</xdr:rowOff>
    </xdr:from>
    <xdr:to>
      <xdr:col>11</xdr:col>
      <xdr:colOff>1099779</xdr:colOff>
      <xdr:row>57</xdr:row>
      <xdr:rowOff>106057</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7085945" y="13690387"/>
          <a:ext cx="3449187" cy="378199"/>
        </a:xfrm>
        <a:prstGeom prst="borderCallout1">
          <a:avLst>
            <a:gd name="adj1" fmla="val 38295"/>
            <a:gd name="adj2" fmla="val -1002"/>
            <a:gd name="adj3" fmla="val 394767"/>
            <a:gd name="adj4" fmla="val -213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2405262</xdr:colOff>
      <xdr:row>82</xdr:row>
      <xdr:rowOff>410807</xdr:rowOff>
    </xdr:from>
    <xdr:to>
      <xdr:col>3</xdr:col>
      <xdr:colOff>173082</xdr:colOff>
      <xdr:row>85</xdr:row>
      <xdr:rowOff>120559</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3017583" y="17297271"/>
          <a:ext cx="2380642" cy="920788"/>
        </a:xfrm>
        <a:prstGeom prst="borderCallout1">
          <a:avLst>
            <a:gd name="adj1" fmla="val -2951"/>
            <a:gd name="adj2" fmla="val 90964"/>
            <a:gd name="adj3" fmla="val -151240"/>
            <a:gd name="adj4" fmla="val 118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224588</xdr:colOff>
      <xdr:row>64</xdr:row>
      <xdr:rowOff>52655</xdr:rowOff>
    </xdr:from>
    <xdr:to>
      <xdr:col>45</xdr:col>
      <xdr:colOff>277031</xdr:colOff>
      <xdr:row>66</xdr:row>
      <xdr:rowOff>110906</xdr:rowOff>
    </xdr:to>
    <xdr:sp macro="" textlink="">
      <xdr:nvSpPr>
        <xdr:cNvPr id="80" name="線吹き出し 1 (枠付き) 79">
          <a:extLst>
            <a:ext uri="{FF2B5EF4-FFF2-40B4-BE49-F238E27FC236}">
              <a16:creationId xmlns:a16="http://schemas.microsoft.com/office/drawing/2014/main" id="{00000000-0008-0000-0700-000050000000}"/>
            </a:ext>
          </a:extLst>
        </xdr:cNvPr>
        <xdr:cNvSpPr/>
      </xdr:nvSpPr>
      <xdr:spPr>
        <a:xfrm>
          <a:off x="32557633" y="11153610"/>
          <a:ext cx="1264716" cy="421932"/>
        </a:xfrm>
        <a:prstGeom prst="borderCallout1">
          <a:avLst>
            <a:gd name="adj1" fmla="val 101817"/>
            <a:gd name="adj2" fmla="val 54490"/>
            <a:gd name="adj3" fmla="val 240360"/>
            <a:gd name="adj4" fmla="val -2633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278936</xdr:colOff>
      <xdr:row>65</xdr:row>
      <xdr:rowOff>83686</xdr:rowOff>
    </xdr:from>
    <xdr:to>
      <xdr:col>86</xdr:col>
      <xdr:colOff>533400</xdr:colOff>
      <xdr:row>76</xdr:row>
      <xdr:rowOff>0</xdr:rowOff>
    </xdr:to>
    <xdr:cxnSp macro="">
      <xdr:nvCxnSpPr>
        <xdr:cNvPr id="8" name="直線コネクタ 7">
          <a:extLst>
            <a:ext uri="{FF2B5EF4-FFF2-40B4-BE49-F238E27FC236}">
              <a16:creationId xmlns:a16="http://schemas.microsoft.com/office/drawing/2014/main" id="{00000000-0008-0000-0700-000008000000}"/>
            </a:ext>
          </a:extLst>
        </xdr:cNvPr>
        <xdr:cNvCxnSpPr>
          <a:cxnSpLocks/>
          <a:stCxn id="80" idx="0"/>
        </xdr:cNvCxnSpPr>
      </xdr:nvCxnSpPr>
      <xdr:spPr>
        <a:xfrm>
          <a:off x="34035536" y="12466186"/>
          <a:ext cx="25248064" cy="4335914"/>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210503</xdr:colOff>
      <xdr:row>2</xdr:row>
      <xdr:rowOff>160973</xdr:rowOff>
    </xdr:from>
    <xdr:to>
      <xdr:col>21</xdr:col>
      <xdr:colOff>410528</xdr:colOff>
      <xdr:row>7</xdr:row>
      <xdr:rowOff>42862</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16879253" y="494348"/>
          <a:ext cx="2676525" cy="715327"/>
        </a:xfrm>
        <a:prstGeom prst="borderCallout1">
          <a:avLst>
            <a:gd name="adj1" fmla="val 101817"/>
            <a:gd name="adj2" fmla="val 54490"/>
            <a:gd name="adj3" fmla="val 96343"/>
            <a:gd name="adj4" fmla="val 5436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BEV3 </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シス剣</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ADAS</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からの変更を赤文字にて記載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358589</xdr:colOff>
      <xdr:row>56</xdr:row>
      <xdr:rowOff>123265</xdr:rowOff>
    </xdr:from>
    <xdr:to>
      <xdr:col>18</xdr:col>
      <xdr:colOff>470646</xdr:colOff>
      <xdr:row>59</xdr:row>
      <xdr:rowOff>35986</xdr:rowOff>
    </xdr:to>
    <xdr:sp macro="" textlink="">
      <xdr:nvSpPr>
        <xdr:cNvPr id="91" name="線吹き出し 1 (枠付き) 90">
          <a:extLst>
            <a:ext uri="{FF2B5EF4-FFF2-40B4-BE49-F238E27FC236}">
              <a16:creationId xmlns:a16="http://schemas.microsoft.com/office/drawing/2014/main" id="{00000000-0008-0000-0700-00005B000000}"/>
            </a:ext>
          </a:extLst>
        </xdr:cNvPr>
        <xdr:cNvSpPr/>
      </xdr:nvSpPr>
      <xdr:spPr>
        <a:xfrm>
          <a:off x="17839765" y="13917706"/>
          <a:ext cx="1804146" cy="416986"/>
        </a:xfrm>
        <a:prstGeom prst="borderCallout1">
          <a:avLst>
            <a:gd name="adj1" fmla="val 102442"/>
            <a:gd name="adj2" fmla="val 69756"/>
            <a:gd name="adj3" fmla="val 239117"/>
            <a:gd name="adj4" fmla="val 402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新規追加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107</xdr:col>
      <xdr:colOff>1906</xdr:colOff>
      <xdr:row>68</xdr:row>
      <xdr:rowOff>57694</xdr:rowOff>
    </xdr:from>
    <xdr:to>
      <xdr:col>112</xdr:col>
      <xdr:colOff>593000</xdr:colOff>
      <xdr:row>69</xdr:row>
      <xdr:rowOff>1082856</xdr:rowOff>
    </xdr:to>
    <xdr:sp macro="" textlink="">
      <xdr:nvSpPr>
        <xdr:cNvPr id="93" name="線吹き出し 1 (枠付き) 92">
          <a:extLst>
            <a:ext uri="{FF2B5EF4-FFF2-40B4-BE49-F238E27FC236}">
              <a16:creationId xmlns:a16="http://schemas.microsoft.com/office/drawing/2014/main" id="{00000000-0008-0000-0700-00005D000000}"/>
            </a:ext>
          </a:extLst>
        </xdr:cNvPr>
        <xdr:cNvSpPr/>
      </xdr:nvSpPr>
      <xdr:spPr>
        <a:xfrm>
          <a:off x="71752370" y="12276908"/>
          <a:ext cx="3652701" cy="1365341"/>
        </a:xfrm>
        <a:prstGeom prst="borderCallout1">
          <a:avLst>
            <a:gd name="adj1" fmla="val 50193"/>
            <a:gd name="adj2" fmla="val -3597"/>
            <a:gd name="adj3" fmla="val 218220"/>
            <a:gd name="adj4" fmla="val -11528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ブザーの鳴らし切り制御は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Wchime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責務であり、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では実装対象外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2</xdr:row>
      <xdr:rowOff>0</xdr:rowOff>
    </xdr:from>
    <xdr:to>
      <xdr:col>47</xdr:col>
      <xdr:colOff>321</xdr:colOff>
      <xdr:row>51</xdr:row>
      <xdr:rowOff>133349</xdr:rowOff>
    </xdr:to>
    <xdr:pic>
      <xdr:nvPicPr>
        <xdr:cNvPr id="2" name="図 1">
          <a:extLst>
            <a:ext uri="{FF2B5EF4-FFF2-40B4-BE49-F238E27FC236}">
              <a16:creationId xmlns:a16="http://schemas.microsoft.com/office/drawing/2014/main" id="{79F44BA0-ADF9-4253-0330-E0870388787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764375" y="333375"/>
          <a:ext cx="15476541" cy="8358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41</xdr:col>
      <xdr:colOff>178017</xdr:colOff>
      <xdr:row>16</xdr:row>
      <xdr:rowOff>51137</xdr:rowOff>
    </xdr:from>
    <xdr:to>
      <xdr:col>45</xdr:col>
      <xdr:colOff>287543</xdr:colOff>
      <xdr:row>22</xdr:row>
      <xdr:rowOff>46729</xdr:rowOff>
    </xdr:to>
    <xdr:sp macro="" textlink="">
      <xdr:nvSpPr>
        <xdr:cNvPr id="124" name="線吹き出し 1 (枠付き) 123">
          <a:extLst>
            <a:ext uri="{FF2B5EF4-FFF2-40B4-BE49-F238E27FC236}">
              <a16:creationId xmlns:a16="http://schemas.microsoft.com/office/drawing/2014/main" id="{00000000-0008-0000-0700-00007C000000}"/>
            </a:ext>
          </a:extLst>
        </xdr:cNvPr>
        <xdr:cNvSpPr/>
      </xdr:nvSpPr>
      <xdr:spPr>
        <a:xfrm>
          <a:off x="31251929" y="2740549"/>
          <a:ext cx="2529996" cy="1004121"/>
        </a:xfrm>
        <a:prstGeom prst="borderCallout1">
          <a:avLst>
            <a:gd name="adj1" fmla="val 44189"/>
            <a:gd name="adj2" fmla="val -323"/>
            <a:gd name="adj3" fmla="val 264313"/>
            <a:gd name="adj4" fmla="val -995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でリモートワーニングが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に未適用になった。</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87</xdr:col>
      <xdr:colOff>0</xdr:colOff>
      <xdr:row>73</xdr:row>
      <xdr:rowOff>0</xdr:rowOff>
    </xdr:from>
    <xdr:to>
      <xdr:col>109</xdr:col>
      <xdr:colOff>533400</xdr:colOff>
      <xdr:row>82</xdr:row>
      <xdr:rowOff>76200</xdr:rowOff>
    </xdr:to>
    <xdr:sp macro="" textlink="">
      <xdr:nvSpPr>
        <xdr:cNvPr id="7" name="正方形/長方形 6">
          <a:extLst>
            <a:ext uri="{FF2B5EF4-FFF2-40B4-BE49-F238E27FC236}">
              <a16:creationId xmlns:a16="http://schemas.microsoft.com/office/drawing/2014/main" id="{EDA909FE-797B-7660-8CF5-EC76D9B252A2}"/>
            </a:ext>
          </a:extLst>
        </xdr:cNvPr>
        <xdr:cNvSpPr/>
      </xdr:nvSpPr>
      <xdr:spPr>
        <a:xfrm>
          <a:off x="59359800" y="16230600"/>
          <a:ext cx="13944600" cy="17907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27663-A0BE-41EC-927A-65ED8B22A520}">
  <sheetPr>
    <tabColor theme="5"/>
  </sheetPr>
  <dimension ref="C1:AM57"/>
  <sheetViews>
    <sheetView showGridLines="0" tabSelected="1" view="pageBreakPreview" topLeftCell="A22" zoomScale="115" zoomScaleNormal="100" zoomScaleSheetLayoutView="115" workbookViewId="0">
      <selection activeCell="BG36" sqref="BG36"/>
    </sheetView>
  </sheetViews>
  <sheetFormatPr defaultColWidth="8.109375" defaultRowHeight="15"/>
  <cols>
    <col min="1" max="52" width="2.109375" style="223" customWidth="1"/>
    <col min="53" max="16384" width="8.109375" style="223"/>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24"/>
    </row>
    <row r="11" spans="6:20" ht="13.2" customHeight="1"/>
    <row r="12" spans="6:20" ht="13.2" customHeight="1"/>
    <row r="13" spans="6:20" ht="13.2" customHeight="1">
      <c r="T13" s="225" t="str">
        <f ca="1">MID(CELL("filename",A1),FIND("[",CELL("filename",A1))+1,FIND("]",CELL("filename",A1))-FIND("[",CELL("filename",A1))-1)</f>
        <v>alert_S_ADBZR_BSM-CSTD-0-06-A-C0.xlsx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26"/>
      <c r="V32" s="226"/>
    </row>
    <row r="33" spans="3:39" ht="13.2" customHeight="1">
      <c r="M33" s="227"/>
      <c r="N33" s="227"/>
      <c r="O33" s="227"/>
      <c r="P33" s="227"/>
      <c r="Q33" s="227"/>
      <c r="AF33" s="227"/>
      <c r="AG33" s="227"/>
      <c r="AH33" s="227"/>
      <c r="AI33" s="227"/>
      <c r="AJ33" s="227"/>
    </row>
    <row r="34" spans="3:39" ht="13.2" customHeight="1">
      <c r="Y34" s="226" t="s">
        <v>273</v>
      </c>
    </row>
    <row r="35" spans="3:39" ht="13.2" customHeight="1">
      <c r="Y35" s="262" t="s">
        <v>254</v>
      </c>
      <c r="Z35" s="263"/>
      <c r="AA35" s="263"/>
      <c r="AB35" s="263"/>
      <c r="AC35" s="264"/>
      <c r="AD35" s="262" t="s">
        <v>255</v>
      </c>
      <c r="AE35" s="263"/>
      <c r="AF35" s="263"/>
      <c r="AG35" s="263"/>
      <c r="AH35" s="264"/>
      <c r="AI35" s="262" t="s">
        <v>256</v>
      </c>
      <c r="AJ35" s="263"/>
      <c r="AK35" s="263"/>
      <c r="AL35" s="263"/>
      <c r="AM35" s="264"/>
    </row>
    <row r="36" spans="3:39" ht="13.2" customHeight="1">
      <c r="D36" s="227"/>
      <c r="E36" s="228"/>
      <c r="F36" s="227"/>
      <c r="G36" s="227"/>
      <c r="I36" s="227"/>
      <c r="J36" s="228"/>
      <c r="K36" s="227"/>
      <c r="L36" s="227"/>
      <c r="M36" s="227"/>
      <c r="N36" s="227"/>
      <c r="O36" s="228"/>
      <c r="P36" s="227"/>
      <c r="Q36" s="227"/>
      <c r="W36" s="227"/>
      <c r="X36" s="228"/>
      <c r="Y36" s="229"/>
      <c r="Z36" s="230"/>
      <c r="AA36" s="230"/>
      <c r="AB36" s="230"/>
      <c r="AC36" s="231"/>
      <c r="AD36" s="229"/>
      <c r="AE36" s="230"/>
      <c r="AF36" s="230"/>
      <c r="AG36" s="230"/>
      <c r="AH36" s="231"/>
      <c r="AI36" s="229"/>
      <c r="AJ36" s="230"/>
      <c r="AK36" s="230"/>
      <c r="AL36" s="230"/>
      <c r="AM36" s="231"/>
    </row>
    <row r="37" spans="3:39" ht="13.2" customHeight="1">
      <c r="Y37" s="232"/>
      <c r="AC37" s="233"/>
      <c r="AD37" s="232"/>
      <c r="AH37" s="233"/>
      <c r="AI37" s="232"/>
      <c r="AM37" s="233"/>
    </row>
    <row r="38" spans="3:39" ht="13.2" customHeight="1">
      <c r="Y38" s="232"/>
      <c r="Z38" s="227"/>
      <c r="AA38" s="228" t="s">
        <v>257</v>
      </c>
      <c r="AB38" s="227"/>
      <c r="AC38" s="234"/>
      <c r="AD38" s="232"/>
      <c r="AE38" s="227"/>
      <c r="AF38" s="228" t="s">
        <v>258</v>
      </c>
      <c r="AG38" s="227"/>
      <c r="AH38" s="234"/>
      <c r="AI38" s="235"/>
      <c r="AJ38" s="227"/>
      <c r="AK38" s="228" t="s">
        <v>259</v>
      </c>
      <c r="AL38" s="227"/>
      <c r="AM38" s="234"/>
    </row>
    <row r="39" spans="3:39" ht="13.2" customHeight="1">
      <c r="Y39" s="232"/>
      <c r="AC39" s="233"/>
      <c r="AD39" s="232"/>
      <c r="AH39" s="233"/>
      <c r="AI39" s="232"/>
      <c r="AM39" s="233"/>
    </row>
    <row r="40" spans="3:39" ht="13.2" customHeight="1">
      <c r="C40" s="226"/>
      <c r="V40" s="226"/>
      <c r="Y40" s="236"/>
      <c r="Z40" s="237"/>
      <c r="AA40" s="237"/>
      <c r="AB40" s="237"/>
      <c r="AC40" s="238"/>
      <c r="AD40" s="236"/>
      <c r="AE40" s="237"/>
      <c r="AF40" s="237"/>
      <c r="AG40" s="237"/>
      <c r="AH40" s="238"/>
      <c r="AI40" s="236"/>
      <c r="AJ40" s="237"/>
      <c r="AK40" s="237"/>
      <c r="AL40" s="237"/>
      <c r="AM40" s="238"/>
    </row>
    <row r="41" spans="3:39" ht="13.2" customHeight="1"/>
    <row r="42" spans="3:39" ht="13.2" customHeight="1">
      <c r="Y42" s="226" t="s">
        <v>274</v>
      </c>
    </row>
    <row r="43" spans="3:39" ht="13.2" customHeight="1">
      <c r="Y43" s="262" t="s">
        <v>254</v>
      </c>
      <c r="Z43" s="263"/>
      <c r="AA43" s="263"/>
      <c r="AB43" s="263"/>
      <c r="AC43" s="264"/>
      <c r="AD43" s="262" t="s">
        <v>255</v>
      </c>
      <c r="AE43" s="263"/>
      <c r="AF43" s="263"/>
      <c r="AG43" s="263"/>
      <c r="AH43" s="264"/>
      <c r="AI43" s="262" t="s">
        <v>256</v>
      </c>
      <c r="AJ43" s="263"/>
      <c r="AK43" s="263"/>
      <c r="AL43" s="263"/>
      <c r="AM43" s="264"/>
    </row>
    <row r="44" spans="3:39" ht="13.2" customHeight="1">
      <c r="D44" s="227"/>
      <c r="E44" s="228"/>
      <c r="F44" s="227"/>
      <c r="G44" s="227"/>
      <c r="H44" s="227"/>
      <c r="I44" s="227"/>
      <c r="J44" s="228"/>
      <c r="K44" s="227"/>
      <c r="L44" s="227"/>
      <c r="M44" s="227"/>
      <c r="N44" s="227"/>
      <c r="O44" s="228"/>
      <c r="P44" s="227"/>
      <c r="Q44" s="227"/>
      <c r="W44" s="227"/>
      <c r="X44" s="228"/>
      <c r="Y44" s="229"/>
      <c r="Z44" s="230"/>
      <c r="AA44" s="230"/>
      <c r="AB44" s="230"/>
      <c r="AC44" s="231"/>
      <c r="AD44" s="230"/>
      <c r="AE44" s="230"/>
      <c r="AF44" s="230"/>
      <c r="AG44" s="230"/>
      <c r="AH44" s="231"/>
      <c r="AI44" s="229"/>
      <c r="AJ44" s="230"/>
      <c r="AK44" s="230"/>
      <c r="AL44" s="230"/>
      <c r="AM44" s="231"/>
    </row>
    <row r="45" spans="3:39" ht="13.2" customHeight="1">
      <c r="Y45" s="232"/>
      <c r="AC45" s="233"/>
      <c r="AH45" s="233"/>
      <c r="AI45" s="232"/>
      <c r="AM45" s="233"/>
    </row>
    <row r="46" spans="3:39" ht="13.2" customHeight="1">
      <c r="Y46" s="232"/>
      <c r="Z46" s="227"/>
      <c r="AA46" s="228" t="s">
        <v>260</v>
      </c>
      <c r="AB46" s="227"/>
      <c r="AC46" s="234"/>
      <c r="AD46" s="227"/>
      <c r="AE46" s="227"/>
      <c r="AF46" s="228" t="s">
        <v>261</v>
      </c>
      <c r="AG46" s="227"/>
      <c r="AH46" s="234"/>
      <c r="AI46" s="235"/>
      <c r="AJ46" s="227"/>
      <c r="AK46" s="228" t="s">
        <v>262</v>
      </c>
      <c r="AL46" s="227"/>
      <c r="AM46" s="234"/>
    </row>
    <row r="47" spans="3:39" ht="13.2" customHeight="1">
      <c r="Y47" s="232"/>
      <c r="AC47" s="233"/>
      <c r="AH47" s="233"/>
      <c r="AI47" s="232"/>
      <c r="AM47" s="233"/>
    </row>
    <row r="48" spans="3:39" ht="13.2" customHeight="1">
      <c r="C48" s="226"/>
      <c r="V48" s="226"/>
      <c r="Y48" s="236"/>
      <c r="Z48" s="237"/>
      <c r="AA48" s="237"/>
      <c r="AB48" s="237"/>
      <c r="AC48" s="238"/>
      <c r="AD48" s="237"/>
      <c r="AE48" s="237"/>
      <c r="AF48" s="237"/>
      <c r="AG48" s="237"/>
      <c r="AH48" s="238"/>
      <c r="AI48" s="236"/>
      <c r="AJ48" s="237"/>
      <c r="AK48" s="237"/>
      <c r="AL48" s="237"/>
      <c r="AM48" s="238"/>
    </row>
    <row r="49" spans="4:39" ht="13.2" customHeight="1"/>
    <row r="50" spans="4:39" ht="13.2" customHeight="1">
      <c r="Y50" s="226" t="s">
        <v>275</v>
      </c>
    </row>
    <row r="51" spans="4:39" ht="13.2" customHeight="1">
      <c r="Y51" s="262" t="s">
        <v>254</v>
      </c>
      <c r="Z51" s="263"/>
      <c r="AA51" s="263"/>
      <c r="AB51" s="263"/>
      <c r="AC51" s="264"/>
      <c r="AD51" s="262" t="s">
        <v>255</v>
      </c>
      <c r="AE51" s="263"/>
      <c r="AF51" s="263"/>
      <c r="AG51" s="263"/>
      <c r="AH51" s="264"/>
      <c r="AI51" s="262" t="s">
        <v>256</v>
      </c>
      <c r="AJ51" s="263"/>
      <c r="AK51" s="263"/>
      <c r="AL51" s="263"/>
      <c r="AM51" s="264"/>
    </row>
    <row r="52" spans="4:39" ht="13.2" customHeight="1">
      <c r="D52" s="227"/>
      <c r="E52" s="228"/>
      <c r="F52" s="227"/>
      <c r="G52" s="227"/>
      <c r="H52" s="227"/>
      <c r="I52" s="227"/>
      <c r="J52" s="228"/>
      <c r="K52" s="227"/>
      <c r="L52" s="227"/>
      <c r="M52" s="227"/>
      <c r="N52" s="227"/>
      <c r="O52" s="228"/>
      <c r="P52" s="227"/>
      <c r="Q52" s="227"/>
      <c r="W52" s="227"/>
      <c r="X52" s="228"/>
      <c r="Y52" s="229"/>
      <c r="Z52" s="230"/>
      <c r="AA52" s="230"/>
      <c r="AB52" s="230"/>
      <c r="AC52" s="231"/>
      <c r="AD52" s="230"/>
      <c r="AE52" s="230"/>
      <c r="AF52" s="230"/>
      <c r="AG52" s="230"/>
      <c r="AH52" s="231"/>
      <c r="AI52" s="229"/>
      <c r="AJ52" s="230"/>
      <c r="AK52" s="230"/>
      <c r="AL52" s="230"/>
      <c r="AM52" s="231"/>
    </row>
    <row r="53" spans="4:39" ht="13.2" customHeight="1">
      <c r="Y53" s="232"/>
      <c r="AC53" s="233"/>
      <c r="AH53" s="233"/>
      <c r="AI53" s="232"/>
      <c r="AM53" s="233"/>
    </row>
    <row r="54" spans="4:39" ht="13.2" customHeight="1">
      <c r="Y54" s="232"/>
      <c r="Z54" s="227"/>
      <c r="AA54" s="228" t="s">
        <v>263</v>
      </c>
      <c r="AB54" s="227"/>
      <c r="AC54" s="234"/>
      <c r="AD54" s="227"/>
      <c r="AE54" s="227"/>
      <c r="AF54" s="228" t="s">
        <v>264</v>
      </c>
      <c r="AG54" s="227"/>
      <c r="AH54" s="234"/>
      <c r="AI54" s="235"/>
      <c r="AM54" s="234"/>
    </row>
    <row r="55" spans="4:39" ht="13.2" customHeight="1">
      <c r="Y55" s="232"/>
      <c r="AC55" s="233"/>
      <c r="AH55" s="233"/>
      <c r="AI55" s="232"/>
      <c r="AM55" s="233"/>
    </row>
    <row r="56" spans="4:39" ht="13.2" customHeight="1">
      <c r="Y56" s="236"/>
      <c r="Z56" s="237"/>
      <c r="AA56" s="237"/>
      <c r="AB56" s="237"/>
      <c r="AC56" s="238"/>
      <c r="AD56" s="237"/>
      <c r="AE56" s="237"/>
      <c r="AF56" s="237"/>
      <c r="AG56" s="237"/>
      <c r="AH56" s="238"/>
      <c r="AI56" s="236"/>
      <c r="AJ56" s="237"/>
      <c r="AK56" s="237"/>
      <c r="AL56" s="237"/>
      <c r="AM56" s="238"/>
    </row>
    <row r="57" spans="4:39" ht="13.2" customHeight="1">
      <c r="AK57" s="223" t="s">
        <v>265</v>
      </c>
    </row>
  </sheetData>
  <mergeCells count="9">
    <mergeCell ref="Y51:AC51"/>
    <mergeCell ref="AD51:AH51"/>
    <mergeCell ref="AI51:AM51"/>
    <mergeCell ref="Y35:AC35"/>
    <mergeCell ref="AD35:AH35"/>
    <mergeCell ref="AI35:AM35"/>
    <mergeCell ref="Y43:AC43"/>
    <mergeCell ref="AD43:AH43"/>
    <mergeCell ref="AI43:AM43"/>
  </mergeCells>
  <phoneticPr fontId="3"/>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1025" r:id="rId4">
          <objectPr defaultSize="0" autoPict="0" r:id="rId5">
            <anchor>
              <from>
                <xdr:col>35</xdr:col>
                <xdr:colOff>68580</xdr:colOff>
                <xdr:row>53</xdr:row>
                <xdr:rowOff>60960</xdr:rowOff>
              </from>
              <to>
                <xdr:col>38</xdr:col>
                <xdr:colOff>137160</xdr:colOff>
                <xdr:row>56</xdr:row>
                <xdr:rowOff>15240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topLeftCell="A13" zoomScale="130" zoomScaleNormal="130" workbookViewId="0">
      <selection activeCell="AA15" sqref="AA15"/>
    </sheetView>
  </sheetViews>
  <sheetFormatPr defaultRowHeight="13.2"/>
  <cols>
    <col min="1" max="1" width="4.44140625" customWidth="1"/>
    <col min="2" max="2" width="9" style="8" hidden="1" customWidth="1"/>
    <col min="4" max="4" width="69.44140625" customWidth="1"/>
    <col min="5" max="6" width="12.77734375" customWidth="1"/>
    <col min="7" max="18" width="13.109375" hidden="1" customWidth="1"/>
    <col min="19" max="22" width="0" hidden="1" customWidth="1"/>
    <col min="24" max="24" width="12.33203125" bestFit="1" customWidth="1"/>
  </cols>
  <sheetData>
    <row r="2" spans="2:24" ht="25.5" customHeight="1">
      <c r="C2" s="5"/>
      <c r="D2" s="5"/>
      <c r="E2" s="5"/>
      <c r="F2" s="5"/>
      <c r="H2" s="6" t="s">
        <v>13</v>
      </c>
      <c r="I2" s="265" t="s">
        <v>14</v>
      </c>
      <c r="J2" s="265"/>
      <c r="K2" s="265"/>
      <c r="L2" s="265"/>
      <c r="M2" s="265"/>
      <c r="N2" s="265"/>
      <c r="O2" s="265"/>
      <c r="P2" s="265"/>
      <c r="Q2" s="265"/>
      <c r="R2" s="265"/>
    </row>
    <row r="3" spans="2:24" ht="25.5" customHeight="1">
      <c r="C3" s="5"/>
      <c r="D3" s="9" t="str">
        <f ca="1">REPLACE(LEFT(CELL("filename",$B$1),FIND(".xls",CELL("filename",$B$1))-1),1,FIND("[",CELL("filename",$B$1)),)</f>
        <v>alert_S_ADBZR_BSM-CSTD-0-06-A-C0</v>
      </c>
      <c r="E3" s="5"/>
      <c r="F3" s="5"/>
      <c r="H3" s="7" t="s">
        <v>168</v>
      </c>
      <c r="I3" s="266" t="s">
        <v>190</v>
      </c>
      <c r="J3" s="267"/>
      <c r="K3" s="267"/>
      <c r="L3" s="267"/>
      <c r="M3" s="267"/>
      <c r="N3" s="267"/>
      <c r="O3" s="267"/>
      <c r="P3" s="267"/>
      <c r="Q3" s="267"/>
      <c r="R3" s="267"/>
    </row>
    <row r="4" spans="2:24" ht="25.5" customHeight="1">
      <c r="C4" s="5"/>
      <c r="D4" s="5"/>
      <c r="E4" s="20" t="str">
        <f>DGET(B8:C16,"Ver.",H4:H5)</f>
        <v>1.5.1</v>
      </c>
      <c r="F4" s="5"/>
      <c r="H4" s="8" t="s">
        <v>15</v>
      </c>
    </row>
    <row r="5" spans="2:24" ht="25.5" customHeight="1">
      <c r="C5" s="5"/>
      <c r="D5" s="5"/>
      <c r="E5" s="5"/>
      <c r="F5" s="5"/>
      <c r="H5" s="10">
        <f>MAX(B9:B16)</f>
        <v>7</v>
      </c>
    </row>
    <row r="6" spans="2:24" ht="13.8" thickBot="1"/>
    <row r="7" spans="2:24">
      <c r="C7" s="270" t="s">
        <v>0</v>
      </c>
      <c r="D7" s="271"/>
      <c r="E7" s="272" t="s">
        <v>2</v>
      </c>
      <c r="F7" s="272"/>
      <c r="G7" s="273" t="s">
        <v>5</v>
      </c>
      <c r="H7" s="273"/>
      <c r="I7" s="273"/>
      <c r="J7" s="273"/>
      <c r="K7" s="273"/>
      <c r="L7" s="273"/>
      <c r="M7" s="274" t="s">
        <v>12</v>
      </c>
      <c r="N7" s="274"/>
      <c r="O7" s="274"/>
      <c r="P7" s="274"/>
      <c r="Q7" s="274"/>
      <c r="R7" s="274"/>
      <c r="S7" s="268" t="s">
        <v>266</v>
      </c>
      <c r="T7" s="268"/>
      <c r="U7" s="268"/>
      <c r="V7" s="268"/>
      <c r="W7" s="268"/>
      <c r="X7" s="269"/>
    </row>
    <row r="8" spans="2:24" ht="27" thickBot="1">
      <c r="B8" s="8" t="s">
        <v>92</v>
      </c>
      <c r="C8" s="13" t="s">
        <v>16</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18" t="s">
        <v>11</v>
      </c>
      <c r="S8" s="14" t="s">
        <v>6</v>
      </c>
      <c r="T8" s="14" t="s">
        <v>7</v>
      </c>
      <c r="U8" s="14" t="s">
        <v>8</v>
      </c>
      <c r="V8" s="14" t="s">
        <v>9</v>
      </c>
      <c r="W8" s="14" t="s">
        <v>10</v>
      </c>
      <c r="X8" s="253" t="s">
        <v>11</v>
      </c>
    </row>
    <row r="9" spans="2:24" ht="255" customHeight="1" thickTop="1">
      <c r="B9" s="8">
        <f>IF(C9=0,0,ROW()-ROW($B$8))</f>
        <v>1</v>
      </c>
      <c r="C9" s="214" t="s">
        <v>222</v>
      </c>
      <c r="D9" s="221" t="s">
        <v>239</v>
      </c>
      <c r="E9" s="215" t="s">
        <v>31</v>
      </c>
      <c r="F9" s="215" t="s">
        <v>223</v>
      </c>
      <c r="G9" s="215" t="s">
        <v>31</v>
      </c>
      <c r="H9" s="215" t="s">
        <v>31</v>
      </c>
      <c r="I9" s="215" t="s">
        <v>31</v>
      </c>
      <c r="J9" s="215" t="s">
        <v>31</v>
      </c>
      <c r="K9" s="215" t="s">
        <v>31</v>
      </c>
      <c r="L9" s="215" t="s">
        <v>31</v>
      </c>
      <c r="M9" s="215" t="s">
        <v>250</v>
      </c>
      <c r="N9" s="216">
        <v>44364</v>
      </c>
      <c r="O9" s="215" t="s">
        <v>248</v>
      </c>
      <c r="P9" s="216">
        <v>44364</v>
      </c>
      <c r="Q9" s="215" t="s">
        <v>224</v>
      </c>
      <c r="R9" s="216">
        <v>44364</v>
      </c>
      <c r="S9" s="212" t="s">
        <v>31</v>
      </c>
      <c r="T9" s="212" t="s">
        <v>31</v>
      </c>
      <c r="U9" s="212" t="s">
        <v>31</v>
      </c>
      <c r="V9" s="212" t="s">
        <v>31</v>
      </c>
      <c r="W9" s="212" t="s">
        <v>31</v>
      </c>
      <c r="X9" s="65" t="s">
        <v>31</v>
      </c>
    </row>
    <row r="10" spans="2:24" ht="92.4">
      <c r="B10" s="8">
        <f t="shared" ref="B10:B15" si="0">IF(C10=0,0,ROW()-ROW($B$8))</f>
        <v>2</v>
      </c>
      <c r="C10" s="213" t="s">
        <v>240</v>
      </c>
      <c r="D10" s="217" t="s">
        <v>241</v>
      </c>
      <c r="E10" s="215" t="s">
        <v>31</v>
      </c>
      <c r="F10" s="215" t="s">
        <v>223</v>
      </c>
      <c r="G10" s="215" t="s">
        <v>31</v>
      </c>
      <c r="H10" s="215" t="s">
        <v>31</v>
      </c>
      <c r="I10" s="215" t="s">
        <v>31</v>
      </c>
      <c r="J10" s="215" t="s">
        <v>31</v>
      </c>
      <c r="K10" s="215" t="s">
        <v>31</v>
      </c>
      <c r="L10" s="215" t="s">
        <v>31</v>
      </c>
      <c r="M10" s="212" t="s">
        <v>250</v>
      </c>
      <c r="N10" s="222">
        <v>44607</v>
      </c>
      <c r="O10" s="212" t="s">
        <v>249</v>
      </c>
      <c r="P10" s="222">
        <v>44607</v>
      </c>
      <c r="Q10" s="212" t="s">
        <v>242</v>
      </c>
      <c r="R10" s="222">
        <v>44607</v>
      </c>
      <c r="S10" s="212" t="s">
        <v>31</v>
      </c>
      <c r="T10" s="212" t="s">
        <v>31</v>
      </c>
      <c r="U10" s="212" t="s">
        <v>31</v>
      </c>
      <c r="V10" s="212" t="s">
        <v>31</v>
      </c>
      <c r="W10" s="212" t="s">
        <v>31</v>
      </c>
      <c r="X10" s="65" t="s">
        <v>31</v>
      </c>
    </row>
    <row r="11" spans="2:24" ht="111" customHeight="1">
      <c r="B11" s="8">
        <f t="shared" si="0"/>
        <v>3</v>
      </c>
      <c r="C11" s="1" t="s">
        <v>246</v>
      </c>
      <c r="D11" s="217" t="s">
        <v>247</v>
      </c>
      <c r="E11" s="215" t="s">
        <v>31</v>
      </c>
      <c r="F11" s="215" t="s">
        <v>223</v>
      </c>
      <c r="G11" s="215" t="s">
        <v>31</v>
      </c>
      <c r="H11" s="215" t="s">
        <v>31</v>
      </c>
      <c r="I11" s="215" t="s">
        <v>31</v>
      </c>
      <c r="J11" s="215" t="s">
        <v>31</v>
      </c>
      <c r="K11" s="215" t="s">
        <v>31</v>
      </c>
      <c r="L11" s="215" t="s">
        <v>31</v>
      </c>
      <c r="M11" s="212" t="s">
        <v>250</v>
      </c>
      <c r="N11" s="222">
        <v>44743</v>
      </c>
      <c r="O11" s="212" t="s">
        <v>249</v>
      </c>
      <c r="P11" s="222">
        <v>44743</v>
      </c>
      <c r="Q11" s="212" t="s">
        <v>242</v>
      </c>
      <c r="R11" s="239">
        <v>44740</v>
      </c>
      <c r="S11" s="212" t="s">
        <v>31</v>
      </c>
      <c r="T11" s="212" t="s">
        <v>31</v>
      </c>
      <c r="U11" s="212" t="s">
        <v>31</v>
      </c>
      <c r="V11" s="212" t="s">
        <v>31</v>
      </c>
      <c r="W11" s="212" t="s">
        <v>31</v>
      </c>
      <c r="X11" s="65" t="s">
        <v>31</v>
      </c>
    </row>
    <row r="12" spans="2:24" ht="126.75" customHeight="1">
      <c r="B12" s="8">
        <f t="shared" si="0"/>
        <v>4</v>
      </c>
      <c r="C12" s="1" t="s">
        <v>251</v>
      </c>
      <c r="D12" s="217" t="s">
        <v>253</v>
      </c>
      <c r="E12" s="215" t="s">
        <v>31</v>
      </c>
      <c r="F12" s="215" t="s">
        <v>223</v>
      </c>
      <c r="G12" s="215" t="s">
        <v>31</v>
      </c>
      <c r="H12" s="215" t="s">
        <v>31</v>
      </c>
      <c r="I12" s="215" t="s">
        <v>31</v>
      </c>
      <c r="J12" s="215" t="s">
        <v>31</v>
      </c>
      <c r="K12" s="215" t="s">
        <v>252</v>
      </c>
      <c r="L12" s="216">
        <v>45232</v>
      </c>
      <c r="M12" s="212" t="s">
        <v>194</v>
      </c>
      <c r="N12" s="222" t="s">
        <v>194</v>
      </c>
      <c r="O12" s="212" t="s">
        <v>194</v>
      </c>
      <c r="P12" s="212" t="s">
        <v>194</v>
      </c>
      <c r="Q12" s="212" t="s">
        <v>194</v>
      </c>
      <c r="R12" s="239" t="s">
        <v>194</v>
      </c>
      <c r="S12" s="212" t="s">
        <v>31</v>
      </c>
      <c r="T12" s="212" t="s">
        <v>31</v>
      </c>
      <c r="U12" s="212" t="s">
        <v>31</v>
      </c>
      <c r="V12" s="212" t="s">
        <v>31</v>
      </c>
      <c r="W12" s="212" t="s">
        <v>31</v>
      </c>
      <c r="X12" s="65" t="s">
        <v>31</v>
      </c>
    </row>
    <row r="13" spans="2:24" ht="126.75" customHeight="1">
      <c r="B13" s="8">
        <f t="shared" si="0"/>
        <v>5</v>
      </c>
      <c r="C13" s="240" t="s">
        <v>267</v>
      </c>
      <c r="D13" s="241" t="s">
        <v>268</v>
      </c>
      <c r="E13" s="212" t="s">
        <v>31</v>
      </c>
      <c r="F13" s="212" t="s">
        <v>223</v>
      </c>
      <c r="G13" s="212" t="s">
        <v>31</v>
      </c>
      <c r="H13" s="212" t="s">
        <v>31</v>
      </c>
      <c r="I13" s="212" t="s">
        <v>31</v>
      </c>
      <c r="J13" s="212" t="s">
        <v>31</v>
      </c>
      <c r="K13" s="212" t="s">
        <v>31</v>
      </c>
      <c r="L13" s="222" t="s">
        <v>31</v>
      </c>
      <c r="M13" s="244" t="s">
        <v>31</v>
      </c>
      <c r="N13" s="245" t="s">
        <v>31</v>
      </c>
      <c r="O13" s="244" t="s">
        <v>31</v>
      </c>
      <c r="P13" s="244" t="s">
        <v>31</v>
      </c>
      <c r="Q13" s="244" t="s">
        <v>31</v>
      </c>
      <c r="R13" s="246" t="s">
        <v>31</v>
      </c>
      <c r="S13" s="244"/>
      <c r="T13" s="244"/>
      <c r="U13" s="244"/>
      <c r="V13" s="244"/>
      <c r="W13" s="241" t="s">
        <v>269</v>
      </c>
      <c r="X13" s="247">
        <v>45440</v>
      </c>
    </row>
    <row r="14" spans="2:24" ht="184.8">
      <c r="B14" s="8">
        <f t="shared" si="0"/>
        <v>6</v>
      </c>
      <c r="C14" s="240" t="s">
        <v>271</v>
      </c>
      <c r="D14" s="248" t="s">
        <v>272</v>
      </c>
      <c r="E14" s="242" t="s">
        <v>31</v>
      </c>
      <c r="F14" s="242" t="s">
        <v>223</v>
      </c>
      <c r="G14" s="242"/>
      <c r="H14" s="242"/>
      <c r="I14" s="242"/>
      <c r="J14" s="242"/>
      <c r="K14" s="242" t="s">
        <v>270</v>
      </c>
      <c r="L14" s="243">
        <v>45838</v>
      </c>
      <c r="M14" s="244" t="s">
        <v>31</v>
      </c>
      <c r="N14" s="245" t="s">
        <v>31</v>
      </c>
      <c r="O14" s="244" t="s">
        <v>31</v>
      </c>
      <c r="P14" s="244" t="s">
        <v>31</v>
      </c>
      <c r="Q14" s="244" t="s">
        <v>31</v>
      </c>
      <c r="R14" s="246" t="s">
        <v>31</v>
      </c>
      <c r="S14" s="244" t="s">
        <v>31</v>
      </c>
      <c r="T14" s="244" t="s">
        <v>31</v>
      </c>
      <c r="U14" s="244" t="s">
        <v>31</v>
      </c>
      <c r="V14" s="244" t="s">
        <v>31</v>
      </c>
      <c r="W14" s="241" t="s">
        <v>31</v>
      </c>
      <c r="X14" s="247" t="s">
        <v>31</v>
      </c>
    </row>
    <row r="15" spans="2:24" ht="106.2" thickBot="1">
      <c r="B15" s="8">
        <f t="shared" si="0"/>
        <v>7</v>
      </c>
      <c r="C15" s="249" t="s">
        <v>283</v>
      </c>
      <c r="D15" s="250" t="s">
        <v>276</v>
      </c>
      <c r="E15" s="251" t="s">
        <v>31</v>
      </c>
      <c r="F15" s="251" t="s">
        <v>277</v>
      </c>
      <c r="G15" s="3"/>
      <c r="H15" s="3"/>
      <c r="I15" s="3"/>
      <c r="J15" s="3"/>
      <c r="K15" s="3"/>
      <c r="L15" s="3"/>
      <c r="M15" s="3"/>
      <c r="N15" s="3"/>
      <c r="O15" s="3"/>
      <c r="P15" s="3"/>
      <c r="Q15" s="3"/>
      <c r="R15" s="3"/>
      <c r="S15" s="3"/>
      <c r="T15" s="3"/>
      <c r="U15" s="3"/>
      <c r="V15" s="3"/>
      <c r="W15" s="251" t="s">
        <v>278</v>
      </c>
      <c r="X15" s="316">
        <v>46006</v>
      </c>
    </row>
  </sheetData>
  <mergeCells count="7">
    <mergeCell ref="I2:R2"/>
    <mergeCell ref="I3:R3"/>
    <mergeCell ref="S7:X7"/>
    <mergeCell ref="C7:D7"/>
    <mergeCell ref="E7:F7"/>
    <mergeCell ref="G7:L7"/>
    <mergeCell ref="M7:R7"/>
  </mergeCells>
  <phoneticPr fontId="3"/>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36" t="s">
        <v>128</v>
      </c>
    </row>
    <row r="3" spans="2:5">
      <c r="C3" t="s">
        <v>138</v>
      </c>
    </row>
    <row r="6" spans="2:5" ht="13.8" thickBot="1">
      <c r="B6" s="136" t="s">
        <v>129</v>
      </c>
      <c r="C6" s="136"/>
    </row>
    <row r="7" spans="2:5" ht="13.8" thickBot="1">
      <c r="C7" s="66" t="s">
        <v>131</v>
      </c>
      <c r="D7" s="74"/>
      <c r="E7" s="67" t="s">
        <v>139</v>
      </c>
    </row>
    <row r="8" spans="2:5" ht="20.25" customHeight="1" thickTop="1">
      <c r="C8" s="140">
        <v>0</v>
      </c>
      <c r="D8" s="75" t="s">
        <v>140</v>
      </c>
      <c r="E8" s="139" t="s">
        <v>245</v>
      </c>
    </row>
    <row r="9" spans="2:5">
      <c r="C9" s="146"/>
      <c r="D9" s="148"/>
      <c r="E9" s="147"/>
    </row>
    <row r="10" spans="2:5" ht="13.8" thickBot="1">
      <c r="C10" s="144"/>
      <c r="D10" s="77"/>
      <c r="E10" s="4"/>
    </row>
    <row r="11" spans="2:5">
      <c r="C11" s="142"/>
    </row>
    <row r="12" spans="2:5" ht="13.8" thickBot="1">
      <c r="B12" s="137" t="s">
        <v>130</v>
      </c>
      <c r="C12" s="73"/>
      <c r="D12" s="73"/>
    </row>
    <row r="13" spans="2:5" ht="13.8" thickBot="1">
      <c r="B13" s="138"/>
      <c r="C13" s="143" t="s">
        <v>131</v>
      </c>
      <c r="D13" s="74" t="s">
        <v>132</v>
      </c>
      <c r="E13" s="67" t="s">
        <v>133</v>
      </c>
    </row>
    <row r="14" spans="2:5" ht="13.8" thickTop="1">
      <c r="C14" s="140">
        <v>0</v>
      </c>
      <c r="D14" s="75" t="s">
        <v>145</v>
      </c>
      <c r="E14" s="145" t="s">
        <v>146</v>
      </c>
    </row>
    <row r="15" spans="2:5">
      <c r="C15" s="141">
        <v>1</v>
      </c>
      <c r="D15" s="76" t="s">
        <v>23</v>
      </c>
      <c r="E15" s="65" t="s">
        <v>134</v>
      </c>
    </row>
    <row r="16" spans="2:5">
      <c r="C16" s="141">
        <v>2</v>
      </c>
      <c r="D16" s="76" t="s">
        <v>24</v>
      </c>
      <c r="E16" s="65" t="s">
        <v>135</v>
      </c>
    </row>
    <row r="17" spans="2:5">
      <c r="C17" s="141">
        <v>3</v>
      </c>
      <c r="D17" s="76" t="s">
        <v>25</v>
      </c>
      <c r="E17" s="65" t="s">
        <v>136</v>
      </c>
    </row>
    <row r="18" spans="2:5">
      <c r="C18" s="141">
        <v>4</v>
      </c>
      <c r="D18" s="76" t="s">
        <v>26</v>
      </c>
      <c r="E18" s="65" t="s">
        <v>137</v>
      </c>
    </row>
    <row r="19" spans="2:5">
      <c r="C19" s="141">
        <v>5</v>
      </c>
      <c r="D19" s="76" t="s">
        <v>147</v>
      </c>
      <c r="E19" s="65" t="s">
        <v>149</v>
      </c>
    </row>
    <row r="20" spans="2:5">
      <c r="C20" s="141">
        <v>6</v>
      </c>
      <c r="D20" s="76" t="s">
        <v>153</v>
      </c>
      <c r="E20" s="65" t="s">
        <v>163</v>
      </c>
    </row>
    <row r="21" spans="2:5" ht="13.8" thickBot="1">
      <c r="C21" s="144"/>
      <c r="D21" s="77"/>
      <c r="E21" s="4"/>
    </row>
    <row r="24" spans="2:5" ht="13.8" thickBot="1">
      <c r="B24" s="136" t="s">
        <v>141</v>
      </c>
    </row>
    <row r="25" spans="2:5" ht="13.8" thickBot="1">
      <c r="C25" s="143" t="s">
        <v>131</v>
      </c>
      <c r="D25" s="74" t="s">
        <v>132</v>
      </c>
      <c r="E25" s="67" t="s">
        <v>133</v>
      </c>
    </row>
    <row r="26" spans="2:5" ht="30.75" customHeight="1" thickTop="1">
      <c r="C26" s="140">
        <v>0</v>
      </c>
      <c r="D26" s="75" t="s">
        <v>142</v>
      </c>
      <c r="E26" s="145" t="s">
        <v>150</v>
      </c>
    </row>
    <row r="27" spans="2:5" ht="120" customHeight="1">
      <c r="C27" s="141">
        <v>1</v>
      </c>
      <c r="D27" s="76" t="s">
        <v>165</v>
      </c>
      <c r="E27" s="78" t="s">
        <v>167</v>
      </c>
    </row>
    <row r="28" spans="2:5" ht="81" customHeight="1">
      <c r="C28" s="141">
        <v>2</v>
      </c>
      <c r="D28" s="76" t="s">
        <v>162</v>
      </c>
      <c r="E28" s="78" t="s">
        <v>172</v>
      </c>
    </row>
    <row r="29" spans="2:5" ht="45" customHeight="1">
      <c r="C29" s="141">
        <v>3</v>
      </c>
      <c r="D29" s="76" t="s">
        <v>148</v>
      </c>
      <c r="E29" s="78" t="s">
        <v>151</v>
      </c>
    </row>
    <row r="30" spans="2:5" ht="16.5" customHeight="1">
      <c r="C30" s="141">
        <v>4</v>
      </c>
      <c r="D30" s="76" t="s">
        <v>143</v>
      </c>
      <c r="E30" s="65" t="s">
        <v>155</v>
      </c>
    </row>
    <row r="31" spans="2:5" ht="16.5" customHeight="1">
      <c r="C31" s="141">
        <v>5</v>
      </c>
      <c r="D31" s="76" t="s">
        <v>144</v>
      </c>
      <c r="E31" s="65" t="s">
        <v>152</v>
      </c>
    </row>
    <row r="32" spans="2:5">
      <c r="C32" s="141"/>
      <c r="D32" s="76"/>
      <c r="E32" s="65"/>
    </row>
    <row r="33" spans="2:5">
      <c r="C33" s="141"/>
      <c r="D33" s="76"/>
      <c r="E33" s="65"/>
    </row>
    <row r="34" spans="2:5" ht="13.8" thickBot="1">
      <c r="C34" s="144"/>
      <c r="D34" s="77"/>
      <c r="E34" s="4"/>
    </row>
    <row r="37" spans="2:5" ht="13.8" thickBot="1">
      <c r="B37" s="136" t="s">
        <v>159</v>
      </c>
    </row>
    <row r="38" spans="2:5">
      <c r="C38" s="275"/>
      <c r="D38" s="276"/>
      <c r="E38" s="100" t="s">
        <v>118</v>
      </c>
    </row>
    <row r="39" spans="2:5" ht="13.8" thickBot="1">
      <c r="C39" s="277"/>
      <c r="D39" s="278"/>
      <c r="E39" s="4" t="s">
        <v>119</v>
      </c>
    </row>
  </sheetData>
  <mergeCells count="2">
    <mergeCell ref="C38:D38"/>
    <mergeCell ref="C39:D39"/>
  </mergeCells>
  <phoneticPr fontId="3"/>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Q30" sqref="Q30"/>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79" t="s">
        <v>18</v>
      </c>
      <c r="C2" s="280"/>
      <c r="D2" s="285" t="s">
        <v>282</v>
      </c>
      <c r="E2" s="286"/>
      <c r="F2" s="286"/>
      <c r="G2" s="286"/>
      <c r="H2" s="287"/>
    </row>
    <row r="3" spans="2:14">
      <c r="B3" s="281" t="s">
        <v>116</v>
      </c>
      <c r="C3" s="282"/>
      <c r="D3" s="288" t="s">
        <v>281</v>
      </c>
      <c r="E3" s="289"/>
      <c r="F3" s="289"/>
      <c r="G3" s="289"/>
      <c r="H3" s="290"/>
    </row>
    <row r="4" spans="2:14" ht="13.8" thickBot="1">
      <c r="B4" s="283" t="s">
        <v>17</v>
      </c>
      <c r="C4" s="284"/>
      <c r="D4" s="291" t="str">
        <f ca="1">表紙!D3&amp;".c"</f>
        <v>alert_S_ADBZR_BSM-CSTD-0-06-A-C0.c</v>
      </c>
      <c r="E4" s="292"/>
      <c r="F4" s="292"/>
      <c r="G4" s="292"/>
      <c r="H4" s="293"/>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79" t="s">
        <v>36</v>
      </c>
      <c r="C6" s="280"/>
      <c r="D6" s="294" t="str">
        <f ca="1">MID(D4, LEN("alert_") + 1, FIND("-",D4,1) - LEN("alert_") - 1)</f>
        <v>S_ADBZR_BSM</v>
      </c>
      <c r="E6" s="295"/>
      <c r="F6" s="295"/>
      <c r="G6" s="295"/>
      <c r="H6" s="296"/>
    </row>
    <row r="7" spans="2:14">
      <c r="B7" s="281" t="s">
        <v>37</v>
      </c>
      <c r="C7" s="282"/>
      <c r="D7" s="297">
        <f>COUNTA($D$13:$D$37)</f>
        <v>1</v>
      </c>
      <c r="E7" s="298"/>
      <c r="F7" s="298"/>
      <c r="G7" s="298"/>
      <c r="H7" s="299"/>
    </row>
    <row r="8" spans="2:14">
      <c r="B8" s="281" t="s">
        <v>95</v>
      </c>
      <c r="C8" s="282"/>
      <c r="D8" s="297" t="str">
        <f ca="1">"st_gp_ALERT_"&amp;UPPER(D6)&amp;"_MTRX"</f>
        <v>st_gp_ALERT_S_ADBZR_BSM_MTRX</v>
      </c>
      <c r="E8" s="298"/>
      <c r="F8" s="298"/>
      <c r="G8" s="298"/>
      <c r="H8" s="299"/>
    </row>
    <row r="9" spans="2:14">
      <c r="B9" s="281" t="s">
        <v>38</v>
      </c>
      <c r="C9" s="282"/>
      <c r="D9" s="300" t="s">
        <v>191</v>
      </c>
      <c r="E9" s="301"/>
      <c r="F9" s="301"/>
      <c r="G9" s="301"/>
      <c r="H9" s="302"/>
    </row>
    <row r="10" spans="2:14" ht="13.8" thickBot="1">
      <c r="B10" s="283" t="s">
        <v>44</v>
      </c>
      <c r="C10" s="284"/>
      <c r="D10" s="303"/>
      <c r="E10" s="304"/>
      <c r="F10" s="304"/>
      <c r="G10" s="304"/>
      <c r="H10" s="305"/>
    </row>
    <row r="11" spans="2:14" ht="13.8" thickBot="1"/>
    <row r="12" spans="2:14" ht="13.8" thickBot="1">
      <c r="B12" s="127" t="s">
        <v>34</v>
      </c>
      <c r="C12" s="92" t="s">
        <v>43</v>
      </c>
      <c r="D12" s="93" t="s">
        <v>35</v>
      </c>
      <c r="E12" s="93" t="s">
        <v>39</v>
      </c>
      <c r="F12" s="93" t="s">
        <v>40</v>
      </c>
      <c r="G12" s="93" t="s">
        <v>41</v>
      </c>
      <c r="H12" s="94" t="s">
        <v>42</v>
      </c>
      <c r="I12" s="132" t="s">
        <v>51</v>
      </c>
      <c r="K12" s="36" t="s">
        <v>45</v>
      </c>
      <c r="L12" s="36" t="s">
        <v>38</v>
      </c>
      <c r="M12" t="s">
        <v>87</v>
      </c>
    </row>
    <row r="13" spans="2:14" ht="13.8" thickTop="1">
      <c r="B13" s="95">
        <v>1</v>
      </c>
      <c r="C13" s="188" t="s">
        <v>158</v>
      </c>
      <c r="D13" s="189" t="s">
        <v>48</v>
      </c>
      <c r="E13" s="189" t="s">
        <v>158</v>
      </c>
      <c r="F13" s="42" t="str">
        <f t="shared" ref="F13:F37" ca="1" si="0">IF($D13&lt;&gt;"","u4_s_Alert"&amp;UPPER(LEFT($D$6,1))&amp;LOWER(MID($D$6,2,100))&amp;IF($D$7=1,"",N13)&amp;"Srcchk","")</f>
        <v>u4_s_AlertS_adbzr_bsmSrcchk</v>
      </c>
      <c r="G13" s="42" t="str">
        <f t="shared" ref="G13:G37" si="1">IF($D13&lt;&gt;"",IF($E13="○","vd_s_Alert"&amp;UPPER(LEFT($D$6,1))&amp;LOWER(MID($D$6,2,100))&amp;IF($D$7=1,"",N13)&amp;"RwTx","NULL"),"")</f>
        <v>NULL</v>
      </c>
      <c r="H13" s="99" t="str">
        <f ca="1">IF($D13&lt;&gt;"","ALERT_CH_"&amp;UPPER($D$6)&amp;IF($D$7=1,"","_"&amp;UPPER($C13)),"")</f>
        <v>ALERT_CH_S_ADBZR_BSM</v>
      </c>
      <c r="I13" s="133" t="str">
        <f ca="1">IF($D13&lt;&gt;"","ALERT_REQ_"&amp;UPPER($D$6)&amp;IF($D$7=1,"","_"&amp;UPPER($C13)),"")</f>
        <v>ALERT_REQ_S_ADBZR_BSM</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5">
        <v>2</v>
      </c>
      <c r="C14" s="188"/>
      <c r="D14" s="189"/>
      <c r="E14" s="189"/>
      <c r="F14" s="37" t="str">
        <f t="shared" si="0"/>
        <v/>
      </c>
      <c r="G14" s="37" t="str">
        <f t="shared" si="1"/>
        <v/>
      </c>
      <c r="H14" s="58" t="str">
        <f t="shared" ref="H14:H37" si="4">IF($D14&lt;&gt;"","ALERT_CH_"&amp;UPPER($D$6)&amp;IF($D$7=1,"","_"&amp;UPPER($C14)),"")</f>
        <v/>
      </c>
      <c r="I14" s="134" t="str">
        <f t="shared" ref="I14:I37" si="5">IF($D14&lt;&gt;"","ALERT_REQ_"&amp;UPPER($D$6)&amp;IF($D$7=1,"","_"&amp;UPPER($C14)),"")</f>
        <v/>
      </c>
      <c r="K14" t="s">
        <v>47</v>
      </c>
      <c r="L14" t="str">
        <f ca="1">"vd_g_Alert"&amp;UPPER(LEFT(D6,1))&amp;LOWER(MID(D6,2,100))&amp;"Init"</f>
        <v>vd_g_AlertS_adbzr_bsmInit</v>
      </c>
      <c r="M14" t="e">
        <f t="shared" si="2"/>
        <v>#VALUE!</v>
      </c>
      <c r="N14" t="str">
        <f t="shared" si="3"/>
        <v/>
      </c>
    </row>
    <row r="15" spans="2:14">
      <c r="B15" s="85">
        <v>3</v>
      </c>
      <c r="C15" s="130"/>
      <c r="D15" s="131"/>
      <c r="E15" s="131"/>
      <c r="F15" s="37" t="str">
        <f t="shared" si="0"/>
        <v/>
      </c>
      <c r="G15" s="37" t="str">
        <f t="shared" si="1"/>
        <v/>
      </c>
      <c r="H15" s="58" t="str">
        <f t="shared" si="4"/>
        <v/>
      </c>
      <c r="I15" s="134" t="str">
        <f t="shared" si="5"/>
        <v/>
      </c>
      <c r="K15" t="s">
        <v>120</v>
      </c>
      <c r="M15" t="e">
        <f t="shared" si="2"/>
        <v>#VALUE!</v>
      </c>
      <c r="N15" t="str">
        <f t="shared" si="3"/>
        <v/>
      </c>
    </row>
    <row r="16" spans="2:14">
      <c r="B16" s="85">
        <v>4</v>
      </c>
      <c r="C16" s="130"/>
      <c r="D16" s="131"/>
      <c r="E16" s="131"/>
      <c r="F16" s="37" t="str">
        <f t="shared" si="0"/>
        <v/>
      </c>
      <c r="G16" s="37" t="str">
        <f t="shared" si="1"/>
        <v/>
      </c>
      <c r="H16" s="58" t="str">
        <f t="shared" si="4"/>
        <v/>
      </c>
      <c r="I16" s="134" t="str">
        <f t="shared" si="5"/>
        <v/>
      </c>
      <c r="K16" t="s">
        <v>121</v>
      </c>
      <c r="M16" t="e">
        <f t="shared" si="2"/>
        <v>#VALUE!</v>
      </c>
      <c r="N16" t="str">
        <f t="shared" si="3"/>
        <v/>
      </c>
    </row>
    <row r="17" spans="2:14">
      <c r="B17" s="85">
        <v>5</v>
      </c>
      <c r="C17" s="130"/>
      <c r="D17" s="131"/>
      <c r="E17" s="131"/>
      <c r="F17" s="37" t="str">
        <f t="shared" si="0"/>
        <v/>
      </c>
      <c r="G17" s="37" t="str">
        <f t="shared" si="1"/>
        <v/>
      </c>
      <c r="H17" s="58" t="str">
        <f t="shared" si="4"/>
        <v/>
      </c>
      <c r="I17" s="134" t="str">
        <f t="shared" si="5"/>
        <v/>
      </c>
      <c r="K17" t="s">
        <v>48</v>
      </c>
      <c r="M17" t="e">
        <f t="shared" si="2"/>
        <v>#VALUE!</v>
      </c>
      <c r="N17" t="str">
        <f t="shared" si="3"/>
        <v/>
      </c>
    </row>
    <row r="18" spans="2:14">
      <c r="B18" s="85">
        <v>6</v>
      </c>
      <c r="C18" s="130"/>
      <c r="D18" s="131"/>
      <c r="E18" s="131"/>
      <c r="F18" s="37" t="str">
        <f t="shared" si="0"/>
        <v/>
      </c>
      <c r="G18" s="37" t="str">
        <f t="shared" si="1"/>
        <v/>
      </c>
      <c r="H18" s="58" t="str">
        <f t="shared" si="4"/>
        <v/>
      </c>
      <c r="I18" s="134" t="str">
        <f t="shared" si="5"/>
        <v/>
      </c>
      <c r="K18" t="s">
        <v>49</v>
      </c>
      <c r="M18" t="e">
        <f t="shared" si="2"/>
        <v>#VALUE!</v>
      </c>
      <c r="N18" t="str">
        <f t="shared" si="3"/>
        <v/>
      </c>
    </row>
    <row r="19" spans="2:14">
      <c r="B19" s="85">
        <v>7</v>
      </c>
      <c r="C19" s="130"/>
      <c r="D19" s="131"/>
      <c r="E19" s="131"/>
      <c r="F19" s="37" t="str">
        <f t="shared" si="0"/>
        <v/>
      </c>
      <c r="G19" s="37" t="str">
        <f t="shared" si="1"/>
        <v/>
      </c>
      <c r="H19" s="58" t="str">
        <f t="shared" si="4"/>
        <v/>
      </c>
      <c r="I19" s="134" t="str">
        <f t="shared" si="5"/>
        <v/>
      </c>
      <c r="K19" t="s">
        <v>49</v>
      </c>
      <c r="M19" t="e">
        <f t="shared" si="2"/>
        <v>#VALUE!</v>
      </c>
      <c r="N19" t="str">
        <f t="shared" si="3"/>
        <v/>
      </c>
    </row>
    <row r="20" spans="2:14">
      <c r="B20" s="85">
        <v>8</v>
      </c>
      <c r="C20" s="130"/>
      <c r="D20" s="131"/>
      <c r="E20" s="131"/>
      <c r="F20" s="37" t="str">
        <f t="shared" si="0"/>
        <v/>
      </c>
      <c r="G20" s="37" t="str">
        <f t="shared" si="1"/>
        <v/>
      </c>
      <c r="H20" s="58" t="str">
        <f t="shared" si="4"/>
        <v/>
      </c>
      <c r="I20" s="134" t="str">
        <f t="shared" si="5"/>
        <v/>
      </c>
      <c r="K20" t="s">
        <v>49</v>
      </c>
      <c r="M20" t="e">
        <f t="shared" si="2"/>
        <v>#VALUE!</v>
      </c>
      <c r="N20" t="str">
        <f t="shared" si="3"/>
        <v/>
      </c>
    </row>
    <row r="21" spans="2:14">
      <c r="B21" s="85">
        <v>9</v>
      </c>
      <c r="C21" s="130"/>
      <c r="D21" s="131"/>
      <c r="E21" s="131"/>
      <c r="F21" s="37" t="str">
        <f t="shared" si="0"/>
        <v/>
      </c>
      <c r="G21" s="37" t="str">
        <f t="shared" si="1"/>
        <v/>
      </c>
      <c r="H21" s="58" t="str">
        <f t="shared" si="4"/>
        <v/>
      </c>
      <c r="I21" s="134" t="str">
        <f t="shared" si="5"/>
        <v/>
      </c>
      <c r="K21" t="s">
        <v>49</v>
      </c>
      <c r="M21" t="e">
        <f t="shared" si="2"/>
        <v>#VALUE!</v>
      </c>
      <c r="N21" t="str">
        <f t="shared" si="3"/>
        <v/>
      </c>
    </row>
    <row r="22" spans="2:14">
      <c r="B22" s="85">
        <v>10</v>
      </c>
      <c r="C22" s="130"/>
      <c r="D22" s="131"/>
      <c r="E22" s="131"/>
      <c r="F22" s="37" t="str">
        <f t="shared" si="0"/>
        <v/>
      </c>
      <c r="G22" s="37" t="str">
        <f t="shared" si="1"/>
        <v/>
      </c>
      <c r="H22" s="58" t="str">
        <f t="shared" si="4"/>
        <v/>
      </c>
      <c r="I22" s="134" t="str">
        <f t="shared" si="5"/>
        <v/>
      </c>
      <c r="K22" t="s">
        <v>49</v>
      </c>
      <c r="M22" t="e">
        <f t="shared" si="2"/>
        <v>#VALUE!</v>
      </c>
      <c r="N22" t="str">
        <f t="shared" si="3"/>
        <v/>
      </c>
    </row>
    <row r="23" spans="2:14">
      <c r="B23" s="85">
        <v>11</v>
      </c>
      <c r="C23" s="130"/>
      <c r="D23" s="131"/>
      <c r="E23" s="131"/>
      <c r="F23" s="37" t="str">
        <f t="shared" si="0"/>
        <v/>
      </c>
      <c r="G23" s="37" t="str">
        <f t="shared" si="1"/>
        <v/>
      </c>
      <c r="H23" s="58" t="str">
        <f t="shared" si="4"/>
        <v/>
      </c>
      <c r="I23" s="134" t="str">
        <f t="shared" si="5"/>
        <v/>
      </c>
      <c r="K23" t="s">
        <v>49</v>
      </c>
      <c r="M23" t="e">
        <f t="shared" si="2"/>
        <v>#VALUE!</v>
      </c>
      <c r="N23" t="str">
        <f t="shared" si="3"/>
        <v/>
      </c>
    </row>
    <row r="24" spans="2:14">
      <c r="B24" s="85">
        <v>12</v>
      </c>
      <c r="C24" s="130"/>
      <c r="D24" s="131"/>
      <c r="E24" s="131"/>
      <c r="F24" s="37" t="str">
        <f t="shared" si="0"/>
        <v/>
      </c>
      <c r="G24" s="37" t="str">
        <f t="shared" si="1"/>
        <v/>
      </c>
      <c r="H24" s="58" t="str">
        <f t="shared" si="4"/>
        <v/>
      </c>
      <c r="I24" s="134" t="str">
        <f t="shared" si="5"/>
        <v/>
      </c>
      <c r="K24" t="s">
        <v>49</v>
      </c>
      <c r="M24" t="e">
        <f t="shared" si="2"/>
        <v>#VALUE!</v>
      </c>
      <c r="N24" t="str">
        <f t="shared" si="3"/>
        <v/>
      </c>
    </row>
    <row r="25" spans="2:14">
      <c r="B25" s="85">
        <v>13</v>
      </c>
      <c r="C25" s="130"/>
      <c r="D25" s="131"/>
      <c r="E25" s="131"/>
      <c r="F25" s="37" t="str">
        <f t="shared" si="0"/>
        <v/>
      </c>
      <c r="G25" s="37" t="str">
        <f t="shared" si="1"/>
        <v/>
      </c>
      <c r="H25" s="58" t="str">
        <f t="shared" si="4"/>
        <v/>
      </c>
      <c r="I25" s="134" t="str">
        <f t="shared" si="5"/>
        <v/>
      </c>
      <c r="K25" t="s">
        <v>49</v>
      </c>
      <c r="M25" t="e">
        <f t="shared" si="2"/>
        <v>#VALUE!</v>
      </c>
      <c r="N25" t="str">
        <f t="shared" si="3"/>
        <v/>
      </c>
    </row>
    <row r="26" spans="2:14">
      <c r="B26" s="85">
        <v>14</v>
      </c>
      <c r="C26" s="130"/>
      <c r="D26" s="131"/>
      <c r="E26" s="131"/>
      <c r="F26" s="37" t="str">
        <f t="shared" si="0"/>
        <v/>
      </c>
      <c r="G26" s="37" t="str">
        <f t="shared" si="1"/>
        <v/>
      </c>
      <c r="H26" s="58" t="str">
        <f t="shared" si="4"/>
        <v/>
      </c>
      <c r="I26" s="134" t="str">
        <f t="shared" si="5"/>
        <v/>
      </c>
      <c r="K26" t="s">
        <v>49</v>
      </c>
      <c r="M26" t="e">
        <f t="shared" si="2"/>
        <v>#VALUE!</v>
      </c>
      <c r="N26" t="str">
        <f t="shared" si="3"/>
        <v/>
      </c>
    </row>
    <row r="27" spans="2:14">
      <c r="B27" s="85">
        <v>15</v>
      </c>
      <c r="C27" s="130"/>
      <c r="D27" s="131"/>
      <c r="E27" s="131"/>
      <c r="F27" s="37" t="str">
        <f t="shared" si="0"/>
        <v/>
      </c>
      <c r="G27" s="37" t="str">
        <f t="shared" si="1"/>
        <v/>
      </c>
      <c r="H27" s="58" t="str">
        <f t="shared" si="4"/>
        <v/>
      </c>
      <c r="I27" s="134" t="str">
        <f t="shared" si="5"/>
        <v/>
      </c>
      <c r="K27" t="s">
        <v>49</v>
      </c>
      <c r="M27" t="e">
        <f t="shared" si="2"/>
        <v>#VALUE!</v>
      </c>
      <c r="N27" t="str">
        <f t="shared" si="3"/>
        <v/>
      </c>
    </row>
    <row r="28" spans="2:14">
      <c r="B28" s="85">
        <v>16</v>
      </c>
      <c r="C28" s="130"/>
      <c r="D28" s="131"/>
      <c r="E28" s="131"/>
      <c r="F28" s="37" t="str">
        <f t="shared" si="0"/>
        <v/>
      </c>
      <c r="G28" s="37" t="str">
        <f t="shared" si="1"/>
        <v/>
      </c>
      <c r="H28" s="58" t="str">
        <f t="shared" si="4"/>
        <v/>
      </c>
      <c r="I28" s="134" t="str">
        <f t="shared" si="5"/>
        <v/>
      </c>
      <c r="K28" t="s">
        <v>49</v>
      </c>
      <c r="M28" t="e">
        <f t="shared" si="2"/>
        <v>#VALUE!</v>
      </c>
      <c r="N28" t="str">
        <f t="shared" si="3"/>
        <v/>
      </c>
    </row>
    <row r="29" spans="2:14">
      <c r="B29" s="85">
        <v>17</v>
      </c>
      <c r="C29" s="130"/>
      <c r="D29" s="131"/>
      <c r="E29" s="131"/>
      <c r="F29" s="37" t="str">
        <f t="shared" si="0"/>
        <v/>
      </c>
      <c r="G29" s="37" t="str">
        <f t="shared" si="1"/>
        <v/>
      </c>
      <c r="H29" s="58" t="str">
        <f t="shared" si="4"/>
        <v/>
      </c>
      <c r="I29" s="134" t="str">
        <f t="shared" si="5"/>
        <v/>
      </c>
      <c r="K29" t="s">
        <v>49</v>
      </c>
      <c r="M29" t="e">
        <f t="shared" si="2"/>
        <v>#VALUE!</v>
      </c>
      <c r="N29" t="str">
        <f t="shared" si="3"/>
        <v/>
      </c>
    </row>
    <row r="30" spans="2:14">
      <c r="B30" s="85">
        <v>18</v>
      </c>
      <c r="C30" s="130"/>
      <c r="D30" s="131"/>
      <c r="E30" s="131"/>
      <c r="F30" s="37" t="str">
        <f t="shared" si="0"/>
        <v/>
      </c>
      <c r="G30" s="37" t="str">
        <f t="shared" si="1"/>
        <v/>
      </c>
      <c r="H30" s="58" t="str">
        <f t="shared" si="4"/>
        <v/>
      </c>
      <c r="I30" s="134" t="str">
        <f t="shared" si="5"/>
        <v/>
      </c>
      <c r="K30" t="s">
        <v>49</v>
      </c>
      <c r="M30" t="e">
        <f t="shared" si="2"/>
        <v>#VALUE!</v>
      </c>
      <c r="N30" t="str">
        <f t="shared" si="3"/>
        <v/>
      </c>
    </row>
    <row r="31" spans="2:14">
      <c r="B31" s="85">
        <v>19</v>
      </c>
      <c r="C31" s="130"/>
      <c r="D31" s="131"/>
      <c r="E31" s="131"/>
      <c r="F31" s="37" t="str">
        <f t="shared" si="0"/>
        <v/>
      </c>
      <c r="G31" s="37" t="str">
        <f t="shared" si="1"/>
        <v/>
      </c>
      <c r="H31" s="58" t="str">
        <f t="shared" si="4"/>
        <v/>
      </c>
      <c r="I31" s="134" t="str">
        <f t="shared" si="5"/>
        <v/>
      </c>
      <c r="K31" t="s">
        <v>49</v>
      </c>
      <c r="M31" t="e">
        <f t="shared" si="2"/>
        <v>#VALUE!</v>
      </c>
      <c r="N31" t="str">
        <f t="shared" si="3"/>
        <v/>
      </c>
    </row>
    <row r="32" spans="2:14">
      <c r="B32" s="85">
        <v>20</v>
      </c>
      <c r="C32" s="130"/>
      <c r="D32" s="131"/>
      <c r="E32" s="131"/>
      <c r="F32" s="37" t="str">
        <f t="shared" si="0"/>
        <v/>
      </c>
      <c r="G32" s="37" t="str">
        <f t="shared" si="1"/>
        <v/>
      </c>
      <c r="H32" s="58" t="str">
        <f t="shared" si="4"/>
        <v/>
      </c>
      <c r="I32" s="134" t="str">
        <f t="shared" si="5"/>
        <v/>
      </c>
      <c r="K32" t="s">
        <v>49</v>
      </c>
      <c r="M32" t="e">
        <f t="shared" si="2"/>
        <v>#VALUE!</v>
      </c>
      <c r="N32" t="str">
        <f t="shared" si="3"/>
        <v/>
      </c>
    </row>
    <row r="33" spans="2:14">
      <c r="B33" s="85">
        <v>21</v>
      </c>
      <c r="C33" s="130"/>
      <c r="D33" s="131"/>
      <c r="E33" s="131"/>
      <c r="F33" s="37" t="str">
        <f t="shared" si="0"/>
        <v/>
      </c>
      <c r="G33" s="37" t="str">
        <f t="shared" si="1"/>
        <v/>
      </c>
      <c r="H33" s="58" t="str">
        <f t="shared" si="4"/>
        <v/>
      </c>
      <c r="I33" s="134" t="str">
        <f t="shared" si="5"/>
        <v/>
      </c>
      <c r="K33" t="s">
        <v>49</v>
      </c>
      <c r="M33" t="e">
        <f t="shared" si="2"/>
        <v>#VALUE!</v>
      </c>
      <c r="N33" t="str">
        <f t="shared" si="3"/>
        <v/>
      </c>
    </row>
    <row r="34" spans="2:14">
      <c r="B34" s="85">
        <v>22</v>
      </c>
      <c r="C34" s="130"/>
      <c r="D34" s="131"/>
      <c r="E34" s="131"/>
      <c r="F34" s="37" t="str">
        <f t="shared" si="0"/>
        <v/>
      </c>
      <c r="G34" s="37" t="str">
        <f t="shared" si="1"/>
        <v/>
      </c>
      <c r="H34" s="58" t="str">
        <f t="shared" si="4"/>
        <v/>
      </c>
      <c r="I34" s="134" t="str">
        <f t="shared" si="5"/>
        <v/>
      </c>
      <c r="K34" t="s">
        <v>49</v>
      </c>
      <c r="M34" t="e">
        <f t="shared" si="2"/>
        <v>#VALUE!</v>
      </c>
      <c r="N34" t="str">
        <f t="shared" si="3"/>
        <v/>
      </c>
    </row>
    <row r="35" spans="2:14">
      <c r="B35" s="85">
        <v>23</v>
      </c>
      <c r="C35" s="130"/>
      <c r="D35" s="131"/>
      <c r="E35" s="131"/>
      <c r="F35" s="37" t="str">
        <f t="shared" si="0"/>
        <v/>
      </c>
      <c r="G35" s="37" t="str">
        <f t="shared" si="1"/>
        <v/>
      </c>
      <c r="H35" s="58" t="str">
        <f t="shared" si="4"/>
        <v/>
      </c>
      <c r="I35" s="134" t="str">
        <f t="shared" si="5"/>
        <v/>
      </c>
      <c r="K35" t="s">
        <v>49</v>
      </c>
      <c r="M35" t="e">
        <f t="shared" si="2"/>
        <v>#VALUE!</v>
      </c>
      <c r="N35" t="str">
        <f t="shared" si="3"/>
        <v/>
      </c>
    </row>
    <row r="36" spans="2:14">
      <c r="B36" s="85">
        <v>24</v>
      </c>
      <c r="C36" s="130"/>
      <c r="D36" s="131"/>
      <c r="E36" s="131"/>
      <c r="F36" s="37" t="str">
        <f t="shared" si="0"/>
        <v/>
      </c>
      <c r="G36" s="37" t="str">
        <f t="shared" si="1"/>
        <v/>
      </c>
      <c r="H36" s="58" t="str">
        <f t="shared" si="4"/>
        <v/>
      </c>
      <c r="I36" s="134" t="str">
        <f t="shared" si="5"/>
        <v/>
      </c>
      <c r="K36" t="s">
        <v>49</v>
      </c>
      <c r="M36" t="e">
        <f t="shared" si="2"/>
        <v>#VALUE!</v>
      </c>
      <c r="N36" t="str">
        <f t="shared" si="3"/>
        <v/>
      </c>
    </row>
    <row r="37" spans="2:14" ht="13.8" thickBot="1">
      <c r="B37" s="86">
        <v>25</v>
      </c>
      <c r="C37" s="128"/>
      <c r="D37" s="129"/>
      <c r="E37" s="129"/>
      <c r="F37" s="45" t="str">
        <f t="shared" si="0"/>
        <v/>
      </c>
      <c r="G37" s="45" t="str">
        <f t="shared" si="1"/>
        <v/>
      </c>
      <c r="H37" s="59" t="str">
        <f t="shared" si="4"/>
        <v/>
      </c>
      <c r="I37" s="135"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3"/>
  <conditionalFormatting sqref="C13:C37">
    <cfRule type="expression" dxfId="6" priority="1">
      <formula>14&lt;LEN($D$6)+LEN($C13)</formula>
    </cfRule>
  </conditionalFormatting>
  <conditionalFormatting sqref="D5">
    <cfRule type="containsText" dxfId="5" priority="4" operator="containsText" text="NG">
      <formula>NOT(ISERROR(SEARCH("NG",D5)))</formula>
    </cfRule>
  </conditionalFormatting>
  <conditionalFormatting sqref="D6">
    <cfRule type="expression" dxfId="4" priority="6">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184</v>
      </c>
      <c r="O2" t="s">
        <v>186</v>
      </c>
    </row>
    <row r="3" spans="2:18" ht="13.8" thickBot="1">
      <c r="B3" s="127" t="s">
        <v>34</v>
      </c>
      <c r="C3" s="93" t="s">
        <v>174</v>
      </c>
      <c r="D3" s="93" t="s">
        <v>180</v>
      </c>
      <c r="E3" s="94" t="s">
        <v>181</v>
      </c>
      <c r="F3" s="170" t="s">
        <v>176</v>
      </c>
      <c r="G3" s="167" t="s">
        <v>189</v>
      </c>
      <c r="H3" s="36"/>
      <c r="I3" s="36"/>
      <c r="J3" s="36"/>
      <c r="K3" s="36"/>
      <c r="L3" s="36"/>
      <c r="M3" s="36"/>
      <c r="O3" s="127" t="s">
        <v>34</v>
      </c>
      <c r="P3" s="166" t="s">
        <v>170</v>
      </c>
      <c r="Q3" s="166" t="s">
        <v>183</v>
      </c>
      <c r="R3" s="167" t="s">
        <v>176</v>
      </c>
    </row>
    <row r="4" spans="2:18" ht="13.8" hidden="1" thickTop="1">
      <c r="B4" s="158">
        <v>0</v>
      </c>
      <c r="C4" s="159" t="s">
        <v>160</v>
      </c>
      <c r="D4" s="159"/>
      <c r="E4" s="160"/>
      <c r="F4" s="171"/>
      <c r="G4" s="172"/>
      <c r="H4" s="36"/>
      <c r="I4" s="36"/>
      <c r="J4" s="36"/>
      <c r="K4" s="36"/>
      <c r="L4" s="36"/>
      <c r="M4" s="36"/>
      <c r="O4" s="168">
        <v>0</v>
      </c>
      <c r="P4" s="165" t="s">
        <v>160</v>
      </c>
      <c r="Q4" s="165" t="s">
        <v>160</v>
      </c>
      <c r="R4" s="124"/>
    </row>
    <row r="5" spans="2:18" ht="13.8" thickTop="1">
      <c r="B5" s="161">
        <v>1</v>
      </c>
      <c r="C5" s="131"/>
      <c r="D5" s="21"/>
      <c r="E5" s="58" t="str">
        <f>IF($C5&lt;&gt;"","ALERT_" &amp; D5 &amp; "_ID_"&amp;UPPER(Matrix!$D$6) &amp; "_" &amp; $C5,"")</f>
        <v/>
      </c>
      <c r="F5" s="102"/>
      <c r="G5" s="58" t="str">
        <f>IF(E5&lt;&gt;"",LEN(E5),"")</f>
        <v/>
      </c>
      <c r="O5" s="161">
        <v>1</v>
      </c>
      <c r="P5" s="131"/>
      <c r="Q5" s="131"/>
      <c r="R5" s="103"/>
    </row>
    <row r="6" spans="2:18">
      <c r="B6" s="161">
        <v>2</v>
      </c>
      <c r="C6" s="131"/>
      <c r="D6" s="21"/>
      <c r="E6" s="58" t="str">
        <f>IF($C6&lt;&gt;"","ALERT_" &amp; D6 &amp; "_ID_"&amp;UPPER(Matrix!$D$6) &amp; "_" &amp; $C6,"")</f>
        <v/>
      </c>
      <c r="F6" s="102"/>
      <c r="G6" s="58" t="str">
        <f t="shared" ref="G6:G29" si="0">IF(E6&lt;&gt;"",LEN(E6),"")</f>
        <v/>
      </c>
      <c r="O6" s="161">
        <v>2</v>
      </c>
      <c r="P6" s="131"/>
      <c r="Q6" s="131"/>
      <c r="R6" s="103"/>
    </row>
    <row r="7" spans="2:18">
      <c r="B7" s="161">
        <v>3</v>
      </c>
      <c r="C7" s="131"/>
      <c r="D7" s="21"/>
      <c r="E7" s="58" t="str">
        <f>IF($C7&lt;&gt;"","ALERT_" &amp; D7 &amp; "_ID_"&amp;UPPER(Matrix!$D$6) &amp; "_" &amp; $C7,"")</f>
        <v/>
      </c>
      <c r="F7" s="102"/>
      <c r="G7" s="58" t="str">
        <f t="shared" si="0"/>
        <v/>
      </c>
      <c r="O7" s="161">
        <v>3</v>
      </c>
      <c r="P7" s="131"/>
      <c r="Q7" s="131"/>
      <c r="R7" s="103"/>
    </row>
    <row r="8" spans="2:18">
      <c r="B8" s="161">
        <v>4</v>
      </c>
      <c r="C8" s="131"/>
      <c r="D8" s="21"/>
      <c r="E8" s="58" t="str">
        <f>IF($C8&lt;&gt;"","ALERT_" &amp; D8 &amp; "_ID_"&amp;UPPER(Matrix!$D$6) &amp; "_" &amp; $C8,"")</f>
        <v/>
      </c>
      <c r="F8" s="102"/>
      <c r="G8" s="58" t="str">
        <f t="shared" si="0"/>
        <v/>
      </c>
      <c r="O8" s="161">
        <v>4</v>
      </c>
      <c r="P8" s="131"/>
      <c r="Q8" s="131"/>
      <c r="R8" s="103"/>
    </row>
    <row r="9" spans="2:18">
      <c r="B9" s="161">
        <v>5</v>
      </c>
      <c r="C9" s="131"/>
      <c r="D9" s="21"/>
      <c r="E9" s="58" t="str">
        <f>IF($C9&lt;&gt;"","ALERT_" &amp; D9 &amp; "_ID_"&amp;UPPER(Matrix!$D$6) &amp; "_" &amp; $C9,"")</f>
        <v/>
      </c>
      <c r="F9" s="102"/>
      <c r="G9" s="58" t="str">
        <f t="shared" si="0"/>
        <v/>
      </c>
      <c r="O9" s="161">
        <v>5</v>
      </c>
      <c r="P9" s="131"/>
      <c r="Q9" s="131"/>
      <c r="R9" s="103"/>
    </row>
    <row r="10" spans="2:18">
      <c r="B10" s="161">
        <v>6</v>
      </c>
      <c r="C10" s="131"/>
      <c r="D10" s="21"/>
      <c r="E10" s="58" t="str">
        <f>IF($C10&lt;&gt;"","ALERT_" &amp; D10 &amp; "_ID_"&amp;UPPER(Matrix!$D$6) &amp; "_" &amp; $C10,"")</f>
        <v/>
      </c>
      <c r="F10" s="102"/>
      <c r="G10" s="58" t="str">
        <f t="shared" si="0"/>
        <v/>
      </c>
      <c r="O10" s="161">
        <v>6</v>
      </c>
      <c r="P10" s="131"/>
      <c r="Q10" s="131"/>
      <c r="R10" s="103"/>
    </row>
    <row r="11" spans="2:18">
      <c r="B11" s="161">
        <v>7</v>
      </c>
      <c r="C11" s="131"/>
      <c r="D11" s="21"/>
      <c r="E11" s="58" t="str">
        <f>IF($C11&lt;&gt;"","ALERT_" &amp; D11 &amp; "_ID_"&amp;UPPER(Matrix!$D$6) &amp; "_" &amp; $C11,"")</f>
        <v/>
      </c>
      <c r="F11" s="102"/>
      <c r="G11" s="58" t="str">
        <f t="shared" si="0"/>
        <v/>
      </c>
      <c r="O11" s="161">
        <v>7</v>
      </c>
      <c r="P11" s="131"/>
      <c r="Q11" s="131"/>
      <c r="R11" s="103"/>
    </row>
    <row r="12" spans="2:18">
      <c r="B12" s="161">
        <v>8</v>
      </c>
      <c r="C12" s="131"/>
      <c r="D12" s="21"/>
      <c r="E12" s="58" t="str">
        <f>IF($C12&lt;&gt;"","ALERT_" &amp; D12 &amp; "_ID_"&amp;UPPER(Matrix!$D$6) &amp; "_" &amp; $C12,"")</f>
        <v/>
      </c>
      <c r="F12" s="102"/>
      <c r="G12" s="58" t="str">
        <f t="shared" si="0"/>
        <v/>
      </c>
      <c r="O12" s="161">
        <v>8</v>
      </c>
      <c r="P12" s="131"/>
      <c r="Q12" s="131"/>
      <c r="R12" s="103"/>
    </row>
    <row r="13" spans="2:18">
      <c r="B13" s="161">
        <v>9</v>
      </c>
      <c r="C13" s="131"/>
      <c r="D13" s="21"/>
      <c r="E13" s="58" t="str">
        <f>IF($C13&lt;&gt;"","ALERT_" &amp; D13 &amp; "_ID_"&amp;UPPER(Matrix!$D$6) &amp; "_" &amp; $C13,"")</f>
        <v/>
      </c>
      <c r="F13" s="102"/>
      <c r="G13" s="58" t="str">
        <f t="shared" si="0"/>
        <v/>
      </c>
      <c r="O13" s="161">
        <v>9</v>
      </c>
      <c r="P13" s="131"/>
      <c r="Q13" s="131"/>
      <c r="R13" s="103"/>
    </row>
    <row r="14" spans="2:18">
      <c r="B14" s="161">
        <v>10</v>
      </c>
      <c r="C14" s="131"/>
      <c r="D14" s="21"/>
      <c r="E14" s="58" t="str">
        <f>IF($C14&lt;&gt;"","ALERT_" &amp; D14 &amp; "_ID_"&amp;UPPER(Matrix!$D$6) &amp; "_" &amp; $C14,"")</f>
        <v/>
      </c>
      <c r="F14" s="102"/>
      <c r="G14" s="58" t="str">
        <f t="shared" si="0"/>
        <v/>
      </c>
      <c r="O14" s="161">
        <v>10</v>
      </c>
      <c r="P14" s="131"/>
      <c r="Q14" s="131"/>
      <c r="R14" s="103"/>
    </row>
    <row r="15" spans="2:18">
      <c r="B15" s="161">
        <v>11</v>
      </c>
      <c r="C15" s="131"/>
      <c r="D15" s="21"/>
      <c r="E15" s="58" t="str">
        <f>IF($C15&lt;&gt;"","ALERT_" &amp; D15 &amp; "_ID_"&amp;UPPER(Matrix!$D$6) &amp; "_" &amp; $C15,"")</f>
        <v/>
      </c>
      <c r="F15" s="102"/>
      <c r="G15" s="58" t="str">
        <f t="shared" si="0"/>
        <v/>
      </c>
      <c r="O15" s="161">
        <v>11</v>
      </c>
      <c r="P15" s="131"/>
      <c r="Q15" s="131"/>
      <c r="R15" s="103"/>
    </row>
    <row r="16" spans="2:18">
      <c r="B16" s="161">
        <v>12</v>
      </c>
      <c r="C16" s="131"/>
      <c r="D16" s="21"/>
      <c r="E16" s="58" t="str">
        <f>IF($C16&lt;&gt;"","ALERT_" &amp; D16 &amp; "_ID_"&amp;UPPER(Matrix!$D$6) &amp; "_" &amp; $C16,"")</f>
        <v/>
      </c>
      <c r="F16" s="102"/>
      <c r="G16" s="58" t="str">
        <f t="shared" si="0"/>
        <v/>
      </c>
      <c r="O16" s="161">
        <v>12</v>
      </c>
      <c r="P16" s="131"/>
      <c r="Q16" s="131"/>
      <c r="R16" s="103"/>
    </row>
    <row r="17" spans="2:18">
      <c r="B17" s="161">
        <v>13</v>
      </c>
      <c r="C17" s="131"/>
      <c r="D17" s="21"/>
      <c r="E17" s="58" t="str">
        <f>IF($C17&lt;&gt;"","ALERT_" &amp; D17 &amp; "_ID_"&amp;UPPER(Matrix!$D$6) &amp; "_" &amp; $C17,"")</f>
        <v/>
      </c>
      <c r="F17" s="102"/>
      <c r="G17" s="58" t="str">
        <f t="shared" si="0"/>
        <v/>
      </c>
      <c r="O17" s="161">
        <v>13</v>
      </c>
      <c r="P17" s="131"/>
      <c r="Q17" s="131"/>
      <c r="R17" s="103"/>
    </row>
    <row r="18" spans="2:18">
      <c r="B18" s="161">
        <v>14</v>
      </c>
      <c r="C18" s="131"/>
      <c r="D18" s="21"/>
      <c r="E18" s="58" t="str">
        <f>IF($C18&lt;&gt;"","ALERT_" &amp; D18 &amp; "_ID_"&amp;UPPER(Matrix!$D$6) &amp; "_" &amp; $C18,"")</f>
        <v/>
      </c>
      <c r="F18" s="102"/>
      <c r="G18" s="58" t="str">
        <f t="shared" si="0"/>
        <v/>
      </c>
      <c r="O18" s="161">
        <v>14</v>
      </c>
      <c r="P18" s="131"/>
      <c r="Q18" s="131"/>
      <c r="R18" s="103"/>
    </row>
    <row r="19" spans="2:18">
      <c r="B19" s="161">
        <v>15</v>
      </c>
      <c r="C19" s="131"/>
      <c r="D19" s="21"/>
      <c r="E19" s="58" t="str">
        <f>IF($C19&lt;&gt;"","ALERT_" &amp; D19 &amp; "_ID_"&amp;UPPER(Matrix!$D$6) &amp; "_" &amp; $C19,"")</f>
        <v/>
      </c>
      <c r="F19" s="102"/>
      <c r="G19" s="58" t="str">
        <f t="shared" si="0"/>
        <v/>
      </c>
      <c r="O19" s="161">
        <v>15</v>
      </c>
      <c r="P19" s="131"/>
      <c r="Q19" s="131"/>
      <c r="R19" s="103"/>
    </row>
    <row r="20" spans="2:18">
      <c r="B20" s="161">
        <v>16</v>
      </c>
      <c r="C20" s="131"/>
      <c r="D20" s="21"/>
      <c r="E20" s="58" t="str">
        <f>IF($C20&lt;&gt;"","ALERT_" &amp; D20 &amp; "_ID_"&amp;UPPER(Matrix!$D$6) &amp; "_" &amp; $C20,"")</f>
        <v/>
      </c>
      <c r="F20" s="102"/>
      <c r="G20" s="58" t="str">
        <f t="shared" si="0"/>
        <v/>
      </c>
      <c r="O20" s="161">
        <v>16</v>
      </c>
      <c r="P20" s="131"/>
      <c r="Q20" s="131"/>
      <c r="R20" s="103"/>
    </row>
    <row r="21" spans="2:18">
      <c r="B21" s="161">
        <v>17</v>
      </c>
      <c r="C21" s="131"/>
      <c r="D21" s="21"/>
      <c r="E21" s="58" t="str">
        <f>IF($C21&lt;&gt;"","ALERT_" &amp; D21 &amp; "_ID_"&amp;UPPER(Matrix!$D$6) &amp; "_" &amp; $C21,"")</f>
        <v/>
      </c>
      <c r="F21" s="102"/>
      <c r="G21" s="58" t="str">
        <f t="shared" si="0"/>
        <v/>
      </c>
      <c r="O21" s="161">
        <v>17</v>
      </c>
      <c r="P21" s="131"/>
      <c r="Q21" s="131"/>
      <c r="R21" s="103"/>
    </row>
    <row r="22" spans="2:18">
      <c r="B22" s="161">
        <v>18</v>
      </c>
      <c r="C22" s="131"/>
      <c r="D22" s="21"/>
      <c r="E22" s="58" t="str">
        <f>IF($C22&lt;&gt;"","ALERT_" &amp; D22 &amp; "_ID_"&amp;UPPER(Matrix!$D$6) &amp; "_" &amp; $C22,"")</f>
        <v/>
      </c>
      <c r="F22" s="102"/>
      <c r="G22" s="58" t="str">
        <f t="shared" si="0"/>
        <v/>
      </c>
      <c r="O22" s="161">
        <v>18</v>
      </c>
      <c r="P22" s="131"/>
      <c r="Q22" s="131"/>
      <c r="R22" s="103"/>
    </row>
    <row r="23" spans="2:18">
      <c r="B23" s="161">
        <v>19</v>
      </c>
      <c r="C23" s="131"/>
      <c r="D23" s="21"/>
      <c r="E23" s="58" t="str">
        <f>IF($C23&lt;&gt;"","ALERT_" &amp; D23 &amp; "_ID_"&amp;UPPER(Matrix!$D$6) &amp; "_" &amp; $C23,"")</f>
        <v/>
      </c>
      <c r="F23" s="102"/>
      <c r="G23" s="58" t="str">
        <f t="shared" si="0"/>
        <v/>
      </c>
      <c r="O23" s="161">
        <v>19</v>
      </c>
      <c r="P23" s="131"/>
      <c r="Q23" s="131"/>
      <c r="R23" s="103"/>
    </row>
    <row r="24" spans="2:18">
      <c r="B24" s="161">
        <v>20</v>
      </c>
      <c r="C24" s="131"/>
      <c r="D24" s="21"/>
      <c r="E24" s="58" t="str">
        <f>IF($C24&lt;&gt;"","ALERT_" &amp; D24 &amp; "_ID_"&amp;UPPER(Matrix!$D$6) &amp; "_" &amp; $C24,"")</f>
        <v/>
      </c>
      <c r="F24" s="102"/>
      <c r="G24" s="58" t="str">
        <f t="shared" si="0"/>
        <v/>
      </c>
      <c r="O24" s="161">
        <v>20</v>
      </c>
      <c r="P24" s="131"/>
      <c r="Q24" s="131"/>
      <c r="R24" s="103"/>
    </row>
    <row r="25" spans="2:18">
      <c r="B25" s="161">
        <v>21</v>
      </c>
      <c r="C25" s="131"/>
      <c r="D25" s="21"/>
      <c r="E25" s="58" t="str">
        <f>IF($C25&lt;&gt;"","ALERT_" &amp; D25 &amp; "_ID_"&amp;UPPER(Matrix!$D$6) &amp; "_" &amp; $C25,"")</f>
        <v/>
      </c>
      <c r="F25" s="102"/>
      <c r="G25" s="58" t="str">
        <f t="shared" si="0"/>
        <v/>
      </c>
      <c r="O25" s="161">
        <v>21</v>
      </c>
      <c r="P25" s="131"/>
      <c r="Q25" s="131"/>
      <c r="R25" s="103"/>
    </row>
    <row r="26" spans="2:18">
      <c r="B26" s="161">
        <v>22</v>
      </c>
      <c r="C26" s="131"/>
      <c r="D26" s="21"/>
      <c r="E26" s="58" t="str">
        <f>IF($C26&lt;&gt;"","ALERT_" &amp; D26 &amp; "_ID_"&amp;UPPER(Matrix!$D$6) &amp; "_" &amp; $C26,"")</f>
        <v/>
      </c>
      <c r="F26" s="102"/>
      <c r="G26" s="58" t="str">
        <f t="shared" si="0"/>
        <v/>
      </c>
      <c r="O26" s="161">
        <v>22</v>
      </c>
      <c r="P26" s="131"/>
      <c r="Q26" s="131"/>
      <c r="R26" s="103"/>
    </row>
    <row r="27" spans="2:18">
      <c r="B27" s="161">
        <v>23</v>
      </c>
      <c r="C27" s="131"/>
      <c r="D27" s="21"/>
      <c r="E27" s="58" t="str">
        <f>IF($C27&lt;&gt;"","ALERT_" &amp; D27 &amp; "_ID_"&amp;UPPER(Matrix!$D$6) &amp; "_" &amp; $C27,"")</f>
        <v/>
      </c>
      <c r="F27" s="102"/>
      <c r="G27" s="58" t="str">
        <f t="shared" si="0"/>
        <v/>
      </c>
      <c r="O27" s="161">
        <v>23</v>
      </c>
      <c r="P27" s="131"/>
      <c r="Q27" s="131"/>
      <c r="R27" s="103"/>
    </row>
    <row r="28" spans="2:18">
      <c r="B28" s="161">
        <v>24</v>
      </c>
      <c r="C28" s="131"/>
      <c r="D28" s="21"/>
      <c r="E28" s="58" t="str">
        <f>IF($C28&lt;&gt;"","ALERT_" &amp; D28 &amp; "_ID_"&amp;UPPER(Matrix!$D$6) &amp; "_" &amp; $C28,"")</f>
        <v/>
      </c>
      <c r="F28" s="102"/>
      <c r="G28" s="58" t="str">
        <f t="shared" si="0"/>
        <v/>
      </c>
      <c r="O28" s="161">
        <v>24</v>
      </c>
      <c r="P28" s="131"/>
      <c r="Q28" s="131"/>
      <c r="R28" s="103"/>
    </row>
    <row r="29" spans="2:18" ht="13.8" thickBot="1">
      <c r="B29" s="162">
        <v>25</v>
      </c>
      <c r="C29" s="129"/>
      <c r="D29" s="44"/>
      <c r="E29" s="59" t="str">
        <f>IF($C29&lt;&gt;"","ALERT_" &amp; D29 &amp; "_ID_"&amp;UPPER(Matrix!$D$6) &amp; "_" &amp; $C29,"")</f>
        <v/>
      </c>
      <c r="F29" s="104"/>
      <c r="G29" s="59" t="str">
        <f t="shared" si="0"/>
        <v/>
      </c>
      <c r="O29" s="162">
        <v>25</v>
      </c>
      <c r="P29" s="129"/>
      <c r="Q29" s="129"/>
      <c r="R29" s="105"/>
    </row>
    <row r="32" spans="2:18" ht="13.8" thickBot="1">
      <c r="B32" t="s">
        <v>185</v>
      </c>
      <c r="O32" t="s">
        <v>182</v>
      </c>
    </row>
    <row r="33" spans="2:18" ht="13.8" thickBot="1">
      <c r="B33" s="127" t="s">
        <v>34</v>
      </c>
      <c r="C33" s="93" t="s">
        <v>174</v>
      </c>
      <c r="D33" s="93" t="s">
        <v>179</v>
      </c>
      <c r="E33" s="94" t="s">
        <v>177</v>
      </c>
      <c r="F33" s="167" t="s">
        <v>178</v>
      </c>
      <c r="G33" s="167" t="s">
        <v>189</v>
      </c>
      <c r="O33" s="127" t="s">
        <v>34</v>
      </c>
      <c r="P33" s="166" t="s">
        <v>171</v>
      </c>
      <c r="Q33" s="166" t="s">
        <v>187</v>
      </c>
      <c r="R33" s="167" t="s">
        <v>175</v>
      </c>
    </row>
    <row r="34" spans="2:18" ht="13.8" hidden="1" thickTop="1">
      <c r="B34" s="158">
        <v>0</v>
      </c>
      <c r="C34" s="159" t="s">
        <v>160</v>
      </c>
      <c r="D34" s="159"/>
      <c r="E34" s="160"/>
      <c r="F34" s="169" t="s">
        <v>160</v>
      </c>
      <c r="G34" s="172"/>
      <c r="O34" s="168">
        <v>0</v>
      </c>
      <c r="P34" s="165" t="s">
        <v>160</v>
      </c>
      <c r="Q34" s="165" t="s">
        <v>160</v>
      </c>
      <c r="R34" s="169" t="s">
        <v>160</v>
      </c>
    </row>
    <row r="35" spans="2:18" ht="13.8" thickTop="1">
      <c r="B35" s="161">
        <v>1</v>
      </c>
      <c r="C35" s="131"/>
      <c r="D35" s="21"/>
      <c r="E35" s="58" t="str">
        <f>IF($C35&lt;&gt;"","ALERT_" &amp; UPPER(Matrix!$D$6) &amp; "_" &amp; $C35,"")</f>
        <v/>
      </c>
      <c r="F35" s="163"/>
      <c r="G35" s="58" t="str">
        <f>IF(E35&lt;&gt;"",LEN(E35),"")</f>
        <v/>
      </c>
      <c r="O35" s="161">
        <v>1</v>
      </c>
      <c r="P35" s="131"/>
      <c r="Q35" s="131"/>
      <c r="R35" s="163"/>
    </row>
    <row r="36" spans="2:18">
      <c r="B36" s="161">
        <v>2</v>
      </c>
      <c r="C36" s="131"/>
      <c r="D36" s="21"/>
      <c r="E36" s="58" t="str">
        <f>IF($C36&lt;&gt;"","ALERT_" &amp; UPPER(Matrix!$D$6) &amp; "_" &amp; $C36,"")</f>
        <v/>
      </c>
      <c r="F36" s="163"/>
      <c r="G36" s="58" t="str">
        <f>IF(E36&lt;&gt;"",LEN(E36),"")</f>
        <v/>
      </c>
      <c r="O36" s="161">
        <v>2</v>
      </c>
      <c r="P36" s="131"/>
      <c r="Q36" s="131"/>
      <c r="R36" s="163"/>
    </row>
    <row r="37" spans="2:18">
      <c r="B37" s="161">
        <v>3</v>
      </c>
      <c r="C37" s="131"/>
      <c r="D37" s="21"/>
      <c r="E37" s="58" t="str">
        <f>IF($C37&lt;&gt;"","ALERT_" &amp; UPPER(Matrix!$D$6) &amp; "_" &amp; $C37,"")</f>
        <v/>
      </c>
      <c r="F37" s="163"/>
      <c r="G37" s="58" t="str">
        <f>IF(E37&lt;&gt;"",LEN(E37),"")</f>
        <v/>
      </c>
      <c r="O37" s="161">
        <v>3</v>
      </c>
      <c r="P37" s="131"/>
      <c r="Q37" s="131"/>
      <c r="R37" s="163"/>
    </row>
    <row r="38" spans="2:18">
      <c r="B38" s="161">
        <v>4</v>
      </c>
      <c r="C38" s="131"/>
      <c r="D38" s="21"/>
      <c r="E38" s="58" t="str">
        <f>IF($C38&lt;&gt;"","ALERT_" &amp; UPPER(Matrix!$D$6) &amp; "_" &amp; $C38,"")</f>
        <v/>
      </c>
      <c r="F38" s="163"/>
      <c r="G38" s="58" t="str">
        <f t="shared" ref="G38:G59" si="1">IF(E38&lt;&gt;"",LEN(E38),"")</f>
        <v/>
      </c>
      <c r="O38" s="161">
        <v>4</v>
      </c>
      <c r="P38" s="131"/>
      <c r="Q38" s="131"/>
      <c r="R38" s="163"/>
    </row>
    <row r="39" spans="2:18">
      <c r="B39" s="161">
        <v>5</v>
      </c>
      <c r="C39" s="131"/>
      <c r="D39" s="21"/>
      <c r="E39" s="58" t="str">
        <f>IF($C39&lt;&gt;"","ALERT_" &amp; UPPER(Matrix!$D$6) &amp; "_" &amp; $C39,"")</f>
        <v/>
      </c>
      <c r="F39" s="163"/>
      <c r="G39" s="58" t="str">
        <f t="shared" si="1"/>
        <v/>
      </c>
      <c r="O39" s="161">
        <v>5</v>
      </c>
      <c r="P39" s="131"/>
      <c r="Q39" s="131"/>
      <c r="R39" s="163"/>
    </row>
    <row r="40" spans="2:18">
      <c r="B40" s="161">
        <v>6</v>
      </c>
      <c r="C40" s="131"/>
      <c r="D40" s="21"/>
      <c r="E40" s="58" t="str">
        <f>IF($C40&lt;&gt;"","ALERT_" &amp; UPPER(Matrix!$D$6) &amp; "_" &amp; $C40,"")</f>
        <v/>
      </c>
      <c r="F40" s="163"/>
      <c r="G40" s="58" t="str">
        <f t="shared" si="1"/>
        <v/>
      </c>
      <c r="O40" s="161">
        <v>6</v>
      </c>
      <c r="P40" s="131"/>
      <c r="Q40" s="131"/>
      <c r="R40" s="163"/>
    </row>
    <row r="41" spans="2:18">
      <c r="B41" s="161">
        <v>7</v>
      </c>
      <c r="C41" s="131"/>
      <c r="D41" s="21"/>
      <c r="E41" s="58" t="str">
        <f>IF($C41&lt;&gt;"","ALERT_" &amp; UPPER(Matrix!$D$6) &amp; "_" &amp; $C41,"")</f>
        <v/>
      </c>
      <c r="F41" s="163"/>
      <c r="G41" s="58" t="str">
        <f t="shared" si="1"/>
        <v/>
      </c>
      <c r="O41" s="161">
        <v>7</v>
      </c>
      <c r="P41" s="131"/>
      <c r="Q41" s="131"/>
      <c r="R41" s="163"/>
    </row>
    <row r="42" spans="2:18">
      <c r="B42" s="161">
        <v>8</v>
      </c>
      <c r="C42" s="131"/>
      <c r="D42" s="21"/>
      <c r="E42" s="58" t="str">
        <f>IF($C42&lt;&gt;"","ALERT_" &amp; UPPER(Matrix!$D$6) &amp; "_" &amp; $C42,"")</f>
        <v/>
      </c>
      <c r="F42" s="163"/>
      <c r="G42" s="58" t="str">
        <f t="shared" si="1"/>
        <v/>
      </c>
      <c r="O42" s="161">
        <v>8</v>
      </c>
      <c r="P42" s="131"/>
      <c r="Q42" s="131"/>
      <c r="R42" s="163"/>
    </row>
    <row r="43" spans="2:18">
      <c r="B43" s="161">
        <v>9</v>
      </c>
      <c r="C43" s="131"/>
      <c r="D43" s="21"/>
      <c r="E43" s="58" t="str">
        <f>IF($C43&lt;&gt;"","ALERT_" &amp; UPPER(Matrix!$D$6) &amp; "_" &amp; $C43,"")</f>
        <v/>
      </c>
      <c r="F43" s="163"/>
      <c r="G43" s="58" t="str">
        <f t="shared" si="1"/>
        <v/>
      </c>
      <c r="O43" s="161">
        <v>9</v>
      </c>
      <c r="P43" s="131"/>
      <c r="Q43" s="131"/>
      <c r="R43" s="163"/>
    </row>
    <row r="44" spans="2:18">
      <c r="B44" s="161">
        <v>10</v>
      </c>
      <c r="C44" s="131"/>
      <c r="D44" s="21"/>
      <c r="E44" s="58" t="str">
        <f>IF($C44&lt;&gt;"","ALERT_" &amp; UPPER(Matrix!$D$6) &amp; "_" &amp; $C44,"")</f>
        <v/>
      </c>
      <c r="F44" s="163"/>
      <c r="G44" s="58" t="str">
        <f t="shared" si="1"/>
        <v/>
      </c>
      <c r="O44" s="161">
        <v>10</v>
      </c>
      <c r="P44" s="131"/>
      <c r="Q44" s="131"/>
      <c r="R44" s="163"/>
    </row>
    <row r="45" spans="2:18">
      <c r="B45" s="161">
        <v>11</v>
      </c>
      <c r="C45" s="131"/>
      <c r="D45" s="21"/>
      <c r="E45" s="58" t="str">
        <f>IF($C45&lt;&gt;"","ALERT_" &amp; UPPER(Matrix!$D$6) &amp; "_" &amp; $C45,"")</f>
        <v/>
      </c>
      <c r="F45" s="163"/>
      <c r="G45" s="58" t="str">
        <f t="shared" si="1"/>
        <v/>
      </c>
      <c r="O45" s="161">
        <v>11</v>
      </c>
      <c r="P45" s="131"/>
      <c r="Q45" s="131"/>
      <c r="R45" s="163"/>
    </row>
    <row r="46" spans="2:18">
      <c r="B46" s="161">
        <v>12</v>
      </c>
      <c r="C46" s="131"/>
      <c r="D46" s="21"/>
      <c r="E46" s="58" t="str">
        <f>IF($C46&lt;&gt;"","ALERT_" &amp; UPPER(Matrix!$D$6) &amp; "_" &amp; $C46,"")</f>
        <v/>
      </c>
      <c r="F46" s="163"/>
      <c r="G46" s="58" t="str">
        <f t="shared" si="1"/>
        <v/>
      </c>
      <c r="O46" s="161">
        <v>12</v>
      </c>
      <c r="P46" s="131"/>
      <c r="Q46" s="131"/>
      <c r="R46" s="163"/>
    </row>
    <row r="47" spans="2:18">
      <c r="B47" s="161">
        <v>13</v>
      </c>
      <c r="C47" s="131"/>
      <c r="D47" s="21"/>
      <c r="E47" s="58" t="str">
        <f>IF($C47&lt;&gt;"","ALERT_" &amp; UPPER(Matrix!$D$6) &amp; "_" &amp; $C47,"")</f>
        <v/>
      </c>
      <c r="F47" s="163"/>
      <c r="G47" s="58" t="str">
        <f t="shared" si="1"/>
        <v/>
      </c>
      <c r="O47" s="161">
        <v>13</v>
      </c>
      <c r="P47" s="131"/>
      <c r="Q47" s="131"/>
      <c r="R47" s="163"/>
    </row>
    <row r="48" spans="2:18">
      <c r="B48" s="161">
        <v>14</v>
      </c>
      <c r="C48" s="131"/>
      <c r="D48" s="21"/>
      <c r="E48" s="58" t="str">
        <f>IF($C48&lt;&gt;"","ALERT_" &amp; UPPER(Matrix!$D$6) &amp; "_" &amp; $C48,"")</f>
        <v/>
      </c>
      <c r="F48" s="163"/>
      <c r="G48" s="58" t="str">
        <f t="shared" si="1"/>
        <v/>
      </c>
      <c r="O48" s="161">
        <v>14</v>
      </c>
      <c r="P48" s="131"/>
      <c r="Q48" s="131"/>
      <c r="R48" s="163"/>
    </row>
    <row r="49" spans="2:18">
      <c r="B49" s="161">
        <v>15</v>
      </c>
      <c r="C49" s="131"/>
      <c r="D49" s="21"/>
      <c r="E49" s="58" t="str">
        <f>IF($C49&lt;&gt;"","ALERT_" &amp; UPPER(Matrix!$D$6) &amp; "_" &amp; $C49,"")</f>
        <v/>
      </c>
      <c r="F49" s="163"/>
      <c r="G49" s="58" t="str">
        <f t="shared" si="1"/>
        <v/>
      </c>
      <c r="O49" s="161">
        <v>15</v>
      </c>
      <c r="P49" s="131"/>
      <c r="Q49" s="131"/>
      <c r="R49" s="163"/>
    </row>
    <row r="50" spans="2:18">
      <c r="B50" s="161">
        <v>16</v>
      </c>
      <c r="C50" s="131"/>
      <c r="D50" s="21"/>
      <c r="E50" s="58" t="str">
        <f>IF($C50&lt;&gt;"","ALERT_" &amp; UPPER(Matrix!$D$6) &amp; "_" &amp; $C50,"")</f>
        <v/>
      </c>
      <c r="F50" s="163"/>
      <c r="G50" s="58" t="str">
        <f t="shared" si="1"/>
        <v/>
      </c>
      <c r="O50" s="161">
        <v>16</v>
      </c>
      <c r="P50" s="131"/>
      <c r="Q50" s="131"/>
      <c r="R50" s="163"/>
    </row>
    <row r="51" spans="2:18">
      <c r="B51" s="161">
        <v>17</v>
      </c>
      <c r="C51" s="131"/>
      <c r="D51" s="21"/>
      <c r="E51" s="58" t="str">
        <f>IF($C51&lt;&gt;"","ALERT_" &amp; UPPER(Matrix!$D$6) &amp; "_" &amp; $C51,"")</f>
        <v/>
      </c>
      <c r="F51" s="163"/>
      <c r="G51" s="58" t="str">
        <f t="shared" si="1"/>
        <v/>
      </c>
      <c r="O51" s="161">
        <v>17</v>
      </c>
      <c r="P51" s="131"/>
      <c r="Q51" s="131"/>
      <c r="R51" s="163"/>
    </row>
    <row r="52" spans="2:18">
      <c r="B52" s="161">
        <v>18</v>
      </c>
      <c r="C52" s="131"/>
      <c r="D52" s="21"/>
      <c r="E52" s="58" t="str">
        <f>IF($C52&lt;&gt;"","ALERT_" &amp; UPPER(Matrix!$D$6) &amp; "_" &amp; $C52,"")</f>
        <v/>
      </c>
      <c r="F52" s="163"/>
      <c r="G52" s="58" t="str">
        <f t="shared" si="1"/>
        <v/>
      </c>
      <c r="O52" s="161">
        <v>18</v>
      </c>
      <c r="P52" s="131"/>
      <c r="Q52" s="131"/>
      <c r="R52" s="163"/>
    </row>
    <row r="53" spans="2:18">
      <c r="B53" s="161">
        <v>19</v>
      </c>
      <c r="C53" s="131"/>
      <c r="D53" s="21"/>
      <c r="E53" s="58" t="str">
        <f>IF($C53&lt;&gt;"","ALERT_" &amp; UPPER(Matrix!$D$6) &amp; "_" &amp; $C53,"")</f>
        <v/>
      </c>
      <c r="F53" s="163"/>
      <c r="G53" s="58" t="str">
        <f t="shared" si="1"/>
        <v/>
      </c>
      <c r="O53" s="161">
        <v>19</v>
      </c>
      <c r="P53" s="131"/>
      <c r="Q53" s="131"/>
      <c r="R53" s="163"/>
    </row>
    <row r="54" spans="2:18">
      <c r="B54" s="161">
        <v>20</v>
      </c>
      <c r="C54" s="131"/>
      <c r="D54" s="21"/>
      <c r="E54" s="58" t="str">
        <f>IF($C54&lt;&gt;"","ALERT_" &amp; UPPER(Matrix!$D$6) &amp; "_" &amp; $C54,"")</f>
        <v/>
      </c>
      <c r="F54" s="163"/>
      <c r="G54" s="58" t="str">
        <f t="shared" si="1"/>
        <v/>
      </c>
      <c r="O54" s="161">
        <v>20</v>
      </c>
      <c r="P54" s="131"/>
      <c r="Q54" s="131"/>
      <c r="R54" s="163"/>
    </row>
    <row r="55" spans="2:18">
      <c r="B55" s="161">
        <v>21</v>
      </c>
      <c r="C55" s="131"/>
      <c r="D55" s="21"/>
      <c r="E55" s="58" t="str">
        <f>IF($C55&lt;&gt;"","ALERT_" &amp; UPPER(Matrix!$D$6) &amp; "_" &amp; $C55,"")</f>
        <v/>
      </c>
      <c r="F55" s="163"/>
      <c r="G55" s="58" t="str">
        <f t="shared" si="1"/>
        <v/>
      </c>
      <c r="O55" s="161">
        <v>21</v>
      </c>
      <c r="P55" s="131"/>
      <c r="Q55" s="131"/>
      <c r="R55" s="163"/>
    </row>
    <row r="56" spans="2:18">
      <c r="B56" s="161">
        <v>22</v>
      </c>
      <c r="C56" s="131"/>
      <c r="D56" s="21"/>
      <c r="E56" s="58" t="str">
        <f>IF($C56&lt;&gt;"","ALERT_" &amp; UPPER(Matrix!$D$6) &amp; "_" &amp; $C56,"")</f>
        <v/>
      </c>
      <c r="F56" s="163"/>
      <c r="G56" s="58" t="str">
        <f t="shared" si="1"/>
        <v/>
      </c>
      <c r="O56" s="161">
        <v>22</v>
      </c>
      <c r="P56" s="131"/>
      <c r="Q56" s="131"/>
      <c r="R56" s="163"/>
    </row>
    <row r="57" spans="2:18">
      <c r="B57" s="161">
        <v>23</v>
      </c>
      <c r="C57" s="131"/>
      <c r="D57" s="21"/>
      <c r="E57" s="58" t="str">
        <f>IF($C57&lt;&gt;"","ALERT_" &amp; UPPER(Matrix!$D$6) &amp; "_" &amp; $C57,"")</f>
        <v/>
      </c>
      <c r="F57" s="163"/>
      <c r="G57" s="58" t="str">
        <f t="shared" si="1"/>
        <v/>
      </c>
      <c r="O57" s="161">
        <v>23</v>
      </c>
      <c r="P57" s="131"/>
      <c r="Q57" s="131"/>
      <c r="R57" s="163"/>
    </row>
    <row r="58" spans="2:18">
      <c r="B58" s="161">
        <v>24</v>
      </c>
      <c r="C58" s="131"/>
      <c r="D58" s="21"/>
      <c r="E58" s="58" t="str">
        <f>IF($C58&lt;&gt;"","ALERT_" &amp; UPPER(Matrix!$D$6) &amp; "_" &amp; $C58,"")</f>
        <v/>
      </c>
      <c r="F58" s="163"/>
      <c r="G58" s="58" t="str">
        <f t="shared" si="1"/>
        <v/>
      </c>
      <c r="O58" s="161">
        <v>24</v>
      </c>
      <c r="P58" s="131"/>
      <c r="Q58" s="131"/>
      <c r="R58" s="163"/>
    </row>
    <row r="59" spans="2:18" ht="13.8" thickBot="1">
      <c r="B59" s="162">
        <v>25</v>
      </c>
      <c r="C59" s="129"/>
      <c r="D59" s="44"/>
      <c r="E59" s="59" t="str">
        <f>IF($C59&lt;&gt;"","ALERT_" &amp; UPPER(Matrix!$D$6) &amp; "_" &amp; $C59,"")</f>
        <v/>
      </c>
      <c r="F59" s="164"/>
      <c r="G59" s="59" t="str">
        <f t="shared" si="1"/>
        <v/>
      </c>
      <c r="O59" s="162">
        <v>25</v>
      </c>
      <c r="P59" s="129"/>
      <c r="Q59" s="129"/>
      <c r="R59" s="164"/>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H17" sqref="H17:H18"/>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30.33203125" customWidth="1"/>
    <col min="9"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79" t="s">
        <v>104</v>
      </c>
    </row>
    <row r="2" spans="2:21" ht="13.8" thickBot="1">
      <c r="B2" s="87" t="s">
        <v>58</v>
      </c>
      <c r="C2" s="88" t="s">
        <v>122</v>
      </c>
      <c r="D2" s="89" t="s">
        <v>52</v>
      </c>
      <c r="E2" s="90" t="s">
        <v>53</v>
      </c>
      <c r="F2" s="91" t="s">
        <v>23</v>
      </c>
      <c r="G2" s="90" t="s">
        <v>54</v>
      </c>
      <c r="H2" s="91" t="s">
        <v>25</v>
      </c>
      <c r="I2" s="90" t="s">
        <v>55</v>
      </c>
      <c r="J2" s="91" t="s">
        <v>157</v>
      </c>
      <c r="K2" s="90" t="s">
        <v>56</v>
      </c>
      <c r="L2" s="91" t="s">
        <v>26</v>
      </c>
      <c r="M2" s="88" t="s">
        <v>57</v>
      </c>
      <c r="N2" s="91" t="s">
        <v>117</v>
      </c>
      <c r="O2" s="108" t="s">
        <v>83</v>
      </c>
    </row>
    <row r="3" spans="2:21" ht="14.4" hidden="1" thickTop="1" thickBot="1">
      <c r="B3" s="22"/>
      <c r="C3" s="41" t="s">
        <v>108</v>
      </c>
      <c r="D3" s="101"/>
      <c r="E3" s="11"/>
      <c r="F3" s="12"/>
      <c r="G3" s="11"/>
      <c r="H3" s="12"/>
      <c r="I3" s="11"/>
      <c r="J3" s="12"/>
      <c r="K3" s="11"/>
      <c r="L3" s="12"/>
      <c r="M3" s="42"/>
      <c r="N3" s="99"/>
      <c r="O3" s="109"/>
      <c r="U3" s="83" t="s">
        <v>98</v>
      </c>
    </row>
    <row r="4" spans="2:21" ht="13.8" thickTop="1">
      <c r="B4" s="98" t="s">
        <v>280</v>
      </c>
      <c r="C4" s="96" t="s">
        <v>233</v>
      </c>
      <c r="D4" s="107">
        <v>0</v>
      </c>
      <c r="E4" s="98" t="s">
        <v>160</v>
      </c>
      <c r="F4" s="173" t="s">
        <v>194</v>
      </c>
      <c r="G4" s="98" t="s">
        <v>160</v>
      </c>
      <c r="H4" s="173" t="s">
        <v>279</v>
      </c>
      <c r="I4" s="98" t="s">
        <v>160</v>
      </c>
      <c r="J4" s="173" t="s">
        <v>194</v>
      </c>
      <c r="K4" s="98" t="s">
        <v>126</v>
      </c>
      <c r="L4" s="173" t="s">
        <v>194</v>
      </c>
      <c r="M4" s="42">
        <f ca="1">LEN(N4)</f>
        <v>29</v>
      </c>
      <c r="N4" s="99" t="str">
        <f ca="1">VLOOKUP($B4,Matrix!$H$13:$I$37,2,FALSE)&amp;"_"&amp;C4</f>
        <v>ALERT_REQ_S_ADBZR_BSM_WARNING</v>
      </c>
      <c r="O4" s="109" t="str">
        <f t="shared" ref="O4:O35" ca="1" si="0">"#define "&amp;N4&amp;REPT(" ",48-M4)&amp;"("&amp;D4&amp;"U)"</f>
        <v>#define ALERT_REQ_S_ADBZR_BSM_WARNING                   (0U)</v>
      </c>
      <c r="U4" s="83" t="s">
        <v>98</v>
      </c>
    </row>
    <row r="5" spans="2:21">
      <c r="B5" s="98"/>
      <c r="C5" s="96"/>
      <c r="D5" s="107"/>
      <c r="E5" s="98"/>
      <c r="F5" s="173"/>
      <c r="G5" s="98"/>
      <c r="H5" s="173"/>
      <c r="I5" s="98"/>
      <c r="J5" s="173"/>
      <c r="K5" s="98"/>
      <c r="L5" s="173"/>
      <c r="M5" s="37" t="e">
        <f t="shared" ref="M5:M68" ca="1" si="1">LEN(N5)</f>
        <v>#N/A</v>
      </c>
      <c r="N5" s="99" t="e">
        <f ca="1">VLOOKUP($B5,Matrix!$H$13:$I$37,2,FALSE)&amp;"_"&amp;C5</f>
        <v>#N/A</v>
      </c>
      <c r="O5" s="110" t="e">
        <f t="shared" ca="1" si="0"/>
        <v>#N/A</v>
      </c>
      <c r="U5" s="81" t="s">
        <v>99</v>
      </c>
    </row>
    <row r="6" spans="2:21">
      <c r="B6" s="98"/>
      <c r="C6" s="96"/>
      <c r="D6" s="106"/>
      <c r="E6" s="98"/>
      <c r="F6" s="173"/>
      <c r="G6" s="98"/>
      <c r="H6" s="173"/>
      <c r="I6" s="98"/>
      <c r="J6" s="173"/>
      <c r="K6" s="98"/>
      <c r="L6" s="173"/>
      <c r="M6" s="37" t="e">
        <f t="shared" ca="1" si="1"/>
        <v>#N/A</v>
      </c>
      <c r="N6" s="99" t="e">
        <f ca="1">VLOOKUP($B6,Matrix!$H$13:$I$37,2,FALSE)&amp;"_"&amp;C6</f>
        <v>#N/A</v>
      </c>
      <c r="O6" s="110" t="e">
        <f t="shared" ca="1" si="0"/>
        <v>#N/A</v>
      </c>
      <c r="U6" s="25" t="s">
        <v>100</v>
      </c>
    </row>
    <row r="7" spans="2:21">
      <c r="B7" s="98"/>
      <c r="C7" s="97"/>
      <c r="D7" s="107"/>
      <c r="E7" s="98"/>
      <c r="F7" s="173"/>
      <c r="G7" s="98"/>
      <c r="H7" s="173"/>
      <c r="I7" s="98"/>
      <c r="J7" s="173"/>
      <c r="K7" s="98"/>
      <c r="L7" s="173"/>
      <c r="M7" s="37" t="e">
        <f t="shared" ca="1" si="1"/>
        <v>#N/A</v>
      </c>
      <c r="N7" s="99" t="e">
        <f ca="1">VLOOKUP($B7,Matrix!$H$13:$I$37,2,FALSE)&amp;"_"&amp;C7</f>
        <v>#N/A</v>
      </c>
      <c r="O7" s="110" t="e">
        <f t="shared" ca="1" si="0"/>
        <v>#N/A</v>
      </c>
      <c r="U7" s="25" t="s">
        <v>101</v>
      </c>
    </row>
    <row r="8" spans="2:21">
      <c r="B8" s="98"/>
      <c r="C8" s="97"/>
      <c r="D8" s="107"/>
      <c r="E8" s="98"/>
      <c r="F8" s="173"/>
      <c r="G8" s="98"/>
      <c r="H8" s="173"/>
      <c r="I8" s="98"/>
      <c r="J8" s="173"/>
      <c r="K8" s="98"/>
      <c r="L8" s="173"/>
      <c r="M8" s="37" t="e">
        <f t="shared" ca="1" si="1"/>
        <v>#N/A</v>
      </c>
      <c r="N8" s="99" t="e">
        <f ca="1">VLOOKUP($B8,Matrix!$H$13:$I$37,2,FALSE)&amp;"_"&amp;C8</f>
        <v>#N/A</v>
      </c>
      <c r="O8" s="110" t="e">
        <f t="shared" ca="1" si="0"/>
        <v>#N/A</v>
      </c>
      <c r="U8" s="25" t="s">
        <v>102</v>
      </c>
    </row>
    <row r="9" spans="2:21">
      <c r="B9" s="98"/>
      <c r="C9" s="97"/>
      <c r="D9" s="107"/>
      <c r="E9" s="98"/>
      <c r="F9" s="173"/>
      <c r="G9" s="98"/>
      <c r="H9" s="173"/>
      <c r="I9" s="98"/>
      <c r="J9" s="173"/>
      <c r="K9" s="98"/>
      <c r="L9" s="173"/>
      <c r="M9" s="37" t="e">
        <f t="shared" ca="1" si="1"/>
        <v>#N/A</v>
      </c>
      <c r="N9" s="99" t="e">
        <f ca="1">VLOOKUP($B9,Matrix!$H$13:$I$37,2,FALSE)&amp;"_"&amp;C9</f>
        <v>#N/A</v>
      </c>
      <c r="O9" s="110" t="e">
        <f t="shared" ca="1" si="0"/>
        <v>#N/A</v>
      </c>
      <c r="U9" s="25" t="s">
        <v>103</v>
      </c>
    </row>
    <row r="10" spans="2:21">
      <c r="B10" s="98"/>
      <c r="C10" s="97"/>
      <c r="D10" s="107"/>
      <c r="E10" s="98"/>
      <c r="F10" s="173"/>
      <c r="G10" s="98"/>
      <c r="H10" s="173"/>
      <c r="I10" s="98"/>
      <c r="J10" s="173"/>
      <c r="K10" s="98"/>
      <c r="L10" s="173"/>
      <c r="M10" s="37" t="e">
        <f t="shared" ca="1" si="1"/>
        <v>#N/A</v>
      </c>
      <c r="N10" s="99" t="e">
        <f ca="1">VLOOKUP($B10,Matrix!$H$13:$I$37,2,FALSE)&amp;"_"&amp;C10</f>
        <v>#N/A</v>
      </c>
      <c r="O10" s="110" t="e">
        <f t="shared" ca="1" si="0"/>
        <v>#N/A</v>
      </c>
      <c r="U10" s="25"/>
    </row>
    <row r="11" spans="2:21">
      <c r="B11" s="98"/>
      <c r="C11" s="97"/>
      <c r="D11" s="107"/>
      <c r="E11" s="98"/>
      <c r="F11" s="173"/>
      <c r="G11" s="98"/>
      <c r="H11" s="173"/>
      <c r="I11" s="98"/>
      <c r="J11" s="173"/>
      <c r="K11" s="98"/>
      <c r="L11" s="173"/>
      <c r="M11" s="37" t="e">
        <f t="shared" ca="1" si="1"/>
        <v>#N/A</v>
      </c>
      <c r="N11" s="99" t="e">
        <f ca="1">VLOOKUP($B11,Matrix!$H$13:$I$37,2,FALSE)&amp;"_"&amp;C11</f>
        <v>#N/A</v>
      </c>
      <c r="O11" s="110" t="e">
        <f t="shared" ca="1" si="0"/>
        <v>#N/A</v>
      </c>
      <c r="U11" s="25"/>
    </row>
    <row r="12" spans="2:21">
      <c r="B12" s="98"/>
      <c r="C12" s="97"/>
      <c r="D12" s="107"/>
      <c r="E12" s="98"/>
      <c r="F12" s="173"/>
      <c r="G12" s="98"/>
      <c r="H12" s="173"/>
      <c r="I12" s="98"/>
      <c r="J12" s="173"/>
      <c r="K12" s="98"/>
      <c r="L12" s="173"/>
      <c r="M12" s="37" t="e">
        <f t="shared" ca="1" si="1"/>
        <v>#N/A</v>
      </c>
      <c r="N12" s="99" t="e">
        <f ca="1">VLOOKUP($B12,Matrix!$H$13:$I$37,2,FALSE)&amp;"_"&amp;C12</f>
        <v>#N/A</v>
      </c>
      <c r="O12" s="110" t="e">
        <f t="shared" ca="1" si="0"/>
        <v>#N/A</v>
      </c>
      <c r="U12" s="25"/>
    </row>
    <row r="13" spans="2:21" ht="13.8" thickBot="1">
      <c r="B13" s="98"/>
      <c r="C13" s="97"/>
      <c r="D13" s="107"/>
      <c r="E13" s="98"/>
      <c r="F13" s="173"/>
      <c r="G13" s="98"/>
      <c r="H13" s="173"/>
      <c r="I13" s="98"/>
      <c r="J13" s="173"/>
      <c r="K13" s="98"/>
      <c r="L13" s="173"/>
      <c r="M13" s="37" t="e">
        <f t="shared" ca="1" si="1"/>
        <v>#N/A</v>
      </c>
      <c r="N13" s="99" t="e">
        <f ca="1">VLOOKUP($B13,Matrix!$H$13:$I$37,2,FALSE)&amp;"_"&amp;C13</f>
        <v>#N/A</v>
      </c>
      <c r="O13" s="110" t="e">
        <f t="shared" ca="1" si="0"/>
        <v>#N/A</v>
      </c>
      <c r="U13" s="82"/>
    </row>
    <row r="14" spans="2:21">
      <c r="B14" s="98"/>
      <c r="C14" s="97"/>
      <c r="D14" s="107"/>
      <c r="E14" s="98"/>
      <c r="F14" s="173"/>
      <c r="G14" s="98"/>
      <c r="H14" s="173"/>
      <c r="I14" s="98"/>
      <c r="J14" s="173"/>
      <c r="K14" s="98"/>
      <c r="L14" s="173"/>
      <c r="M14" s="37" t="e">
        <f t="shared" ca="1" si="1"/>
        <v>#N/A</v>
      </c>
      <c r="N14" s="99" t="e">
        <f ca="1">VLOOKUP($B14,Matrix!$H$13:$I$37,2,FALSE)&amp;"_"&amp;C14</f>
        <v>#N/A</v>
      </c>
      <c r="O14" s="110" t="e">
        <f t="shared" ca="1" si="0"/>
        <v>#N/A</v>
      </c>
    </row>
    <row r="15" spans="2:21">
      <c r="B15" s="22"/>
      <c r="C15" s="21"/>
      <c r="D15" s="102"/>
      <c r="E15" s="22"/>
      <c r="F15" s="103"/>
      <c r="G15" s="22"/>
      <c r="H15" s="103"/>
      <c r="I15" s="22"/>
      <c r="J15" s="103"/>
      <c r="K15" s="22"/>
      <c r="L15" s="103"/>
      <c r="M15" s="37" t="e">
        <f t="shared" ca="1" si="1"/>
        <v>#N/A</v>
      </c>
      <c r="N15" s="99" t="e">
        <f ca="1">VLOOKUP($B15,Matrix!$H$13:$I$37,2,FALSE)&amp;"_"&amp;C15</f>
        <v>#N/A</v>
      </c>
      <c r="O15" s="110" t="e">
        <f t="shared" ca="1" si="0"/>
        <v>#N/A</v>
      </c>
    </row>
    <row r="16" spans="2:21">
      <c r="B16" s="22"/>
      <c r="C16" s="21"/>
      <c r="D16" s="102"/>
      <c r="E16" s="22"/>
      <c r="F16" s="103"/>
      <c r="G16" s="22"/>
      <c r="H16" s="103"/>
      <c r="I16" s="22"/>
      <c r="J16" s="103"/>
      <c r="K16" s="22"/>
      <c r="L16" s="103"/>
      <c r="M16" s="37" t="e">
        <f t="shared" ca="1" si="1"/>
        <v>#N/A</v>
      </c>
      <c r="N16" s="99" t="e">
        <f ca="1">VLOOKUP($B16,Matrix!$H$13:$I$37,2,FALSE)&amp;"_"&amp;C16</f>
        <v>#N/A</v>
      </c>
      <c r="O16" s="110" t="e">
        <f t="shared" ca="1" si="0"/>
        <v>#N/A</v>
      </c>
    </row>
    <row r="17" spans="2:15">
      <c r="B17" s="22"/>
      <c r="C17" s="21"/>
      <c r="D17" s="102"/>
      <c r="E17" s="22"/>
      <c r="F17" s="103"/>
      <c r="G17" s="22"/>
      <c r="H17" s="103"/>
      <c r="I17" s="22"/>
      <c r="J17" s="103"/>
      <c r="K17" s="22"/>
      <c r="L17" s="103"/>
      <c r="M17" s="37" t="e">
        <f t="shared" ca="1" si="1"/>
        <v>#N/A</v>
      </c>
      <c r="N17" s="99" t="e">
        <f ca="1">VLOOKUP($B17,Matrix!$H$13:$I$37,2,FALSE)&amp;"_"&amp;C17</f>
        <v>#N/A</v>
      </c>
      <c r="O17" s="110" t="e">
        <f t="shared" ca="1" si="0"/>
        <v>#N/A</v>
      </c>
    </row>
    <row r="18" spans="2:15">
      <c r="B18" s="22"/>
      <c r="C18" s="21"/>
      <c r="D18" s="102"/>
      <c r="E18" s="22"/>
      <c r="F18" s="103"/>
      <c r="G18" s="22"/>
      <c r="H18" s="103"/>
      <c r="I18" s="22"/>
      <c r="J18" s="103"/>
      <c r="K18" s="22"/>
      <c r="L18" s="103"/>
      <c r="M18" s="37" t="e">
        <f t="shared" ca="1" si="1"/>
        <v>#N/A</v>
      </c>
      <c r="N18" s="99" t="e">
        <f ca="1">VLOOKUP($B18,Matrix!$H$13:$I$37,2,FALSE)&amp;"_"&amp;C18</f>
        <v>#N/A</v>
      </c>
      <c r="O18" s="110" t="e">
        <f t="shared" ca="1" si="0"/>
        <v>#N/A</v>
      </c>
    </row>
    <row r="19" spans="2:15">
      <c r="B19" s="22"/>
      <c r="C19" s="21"/>
      <c r="D19" s="102"/>
      <c r="E19" s="22"/>
      <c r="F19" s="103"/>
      <c r="G19" s="22"/>
      <c r="H19" s="103"/>
      <c r="I19" s="22"/>
      <c r="J19" s="103"/>
      <c r="K19" s="22"/>
      <c r="L19" s="103"/>
      <c r="M19" s="37" t="e">
        <f t="shared" ca="1" si="1"/>
        <v>#N/A</v>
      </c>
      <c r="N19" s="99" t="e">
        <f ca="1">VLOOKUP($B19,Matrix!$H$13:$I$37,2,FALSE)&amp;"_"&amp;C19</f>
        <v>#N/A</v>
      </c>
      <c r="O19" s="110" t="e">
        <f t="shared" ca="1" si="0"/>
        <v>#N/A</v>
      </c>
    </row>
    <row r="20" spans="2:15">
      <c r="B20" s="22"/>
      <c r="C20" s="21"/>
      <c r="D20" s="102"/>
      <c r="E20" s="22"/>
      <c r="F20" s="103"/>
      <c r="G20" s="22"/>
      <c r="H20" s="103"/>
      <c r="I20" s="22"/>
      <c r="J20" s="103"/>
      <c r="K20" s="22"/>
      <c r="L20" s="103"/>
      <c r="M20" s="37" t="e">
        <f t="shared" ca="1" si="1"/>
        <v>#N/A</v>
      </c>
      <c r="N20" s="99" t="e">
        <f ca="1">VLOOKUP($B20,Matrix!$H$13:$I$37,2,FALSE)&amp;"_"&amp;C20</f>
        <v>#N/A</v>
      </c>
      <c r="O20" s="110" t="e">
        <f t="shared" ca="1" si="0"/>
        <v>#N/A</v>
      </c>
    </row>
    <row r="21" spans="2:15">
      <c r="B21" s="22"/>
      <c r="C21" s="21"/>
      <c r="D21" s="102"/>
      <c r="E21" s="22"/>
      <c r="F21" s="103"/>
      <c r="G21" s="22"/>
      <c r="H21" s="103"/>
      <c r="I21" s="22"/>
      <c r="J21" s="103"/>
      <c r="K21" s="22"/>
      <c r="L21" s="103"/>
      <c r="M21" s="37" t="e">
        <f t="shared" ca="1" si="1"/>
        <v>#N/A</v>
      </c>
      <c r="N21" s="99" t="e">
        <f ca="1">VLOOKUP($B21,Matrix!$H$13:$I$37,2,FALSE)&amp;"_"&amp;C21</f>
        <v>#N/A</v>
      </c>
      <c r="O21" s="110" t="e">
        <f t="shared" ca="1" si="0"/>
        <v>#N/A</v>
      </c>
    </row>
    <row r="22" spans="2:15">
      <c r="B22" s="22"/>
      <c r="C22" s="21"/>
      <c r="D22" s="102"/>
      <c r="E22" s="22"/>
      <c r="F22" s="103"/>
      <c r="G22" s="22"/>
      <c r="H22" s="103"/>
      <c r="I22" s="22"/>
      <c r="J22" s="103"/>
      <c r="K22" s="22"/>
      <c r="L22" s="103"/>
      <c r="M22" s="37" t="e">
        <f t="shared" ca="1" si="1"/>
        <v>#N/A</v>
      </c>
      <c r="N22" s="99" t="e">
        <f ca="1">VLOOKUP($B22,Matrix!$H$13:$I$37,2,FALSE)&amp;"_"&amp;C22</f>
        <v>#N/A</v>
      </c>
      <c r="O22" s="110" t="e">
        <f t="shared" ca="1" si="0"/>
        <v>#N/A</v>
      </c>
    </row>
    <row r="23" spans="2:15">
      <c r="B23" s="22"/>
      <c r="C23" s="21"/>
      <c r="D23" s="102"/>
      <c r="E23" s="22"/>
      <c r="F23" s="103"/>
      <c r="G23" s="22"/>
      <c r="H23" s="103"/>
      <c r="I23" s="22"/>
      <c r="J23" s="103"/>
      <c r="K23" s="22"/>
      <c r="L23" s="103"/>
      <c r="M23" s="37" t="e">
        <f t="shared" ca="1" si="1"/>
        <v>#N/A</v>
      </c>
      <c r="N23" s="99" t="e">
        <f ca="1">VLOOKUP($B23,Matrix!$H$13:$I$37,2,FALSE)&amp;"_"&amp;C23</f>
        <v>#N/A</v>
      </c>
      <c r="O23" s="110" t="e">
        <f t="shared" ca="1" si="0"/>
        <v>#N/A</v>
      </c>
    </row>
    <row r="24" spans="2:15">
      <c r="B24" s="22"/>
      <c r="C24" s="21"/>
      <c r="D24" s="102"/>
      <c r="E24" s="22"/>
      <c r="F24" s="103"/>
      <c r="G24" s="22"/>
      <c r="H24" s="103"/>
      <c r="I24" s="22"/>
      <c r="J24" s="103"/>
      <c r="K24" s="22"/>
      <c r="L24" s="103"/>
      <c r="M24" s="37" t="e">
        <f t="shared" ca="1" si="1"/>
        <v>#N/A</v>
      </c>
      <c r="N24" s="99" t="e">
        <f ca="1">VLOOKUP($B24,Matrix!$H$13:$I$37,2,FALSE)&amp;"_"&amp;C24</f>
        <v>#N/A</v>
      </c>
      <c r="O24" s="110" t="e">
        <f t="shared" ca="1" si="0"/>
        <v>#N/A</v>
      </c>
    </row>
    <row r="25" spans="2:15">
      <c r="B25" s="22"/>
      <c r="C25" s="21"/>
      <c r="D25" s="102"/>
      <c r="E25" s="22"/>
      <c r="F25" s="103"/>
      <c r="G25" s="22"/>
      <c r="H25" s="103"/>
      <c r="I25" s="22"/>
      <c r="J25" s="103"/>
      <c r="K25" s="22"/>
      <c r="L25" s="103"/>
      <c r="M25" s="37" t="e">
        <f t="shared" ca="1" si="1"/>
        <v>#N/A</v>
      </c>
      <c r="N25" s="99" t="e">
        <f ca="1">VLOOKUP($B25,Matrix!$H$13:$I$37,2,FALSE)&amp;"_"&amp;C25</f>
        <v>#N/A</v>
      </c>
      <c r="O25" s="110" t="e">
        <f t="shared" ca="1" si="0"/>
        <v>#N/A</v>
      </c>
    </row>
    <row r="26" spans="2:15">
      <c r="B26" s="22"/>
      <c r="C26" s="21"/>
      <c r="D26" s="102"/>
      <c r="E26" s="22"/>
      <c r="F26" s="103"/>
      <c r="G26" s="22"/>
      <c r="H26" s="103"/>
      <c r="I26" s="22"/>
      <c r="J26" s="103"/>
      <c r="K26" s="22"/>
      <c r="L26" s="103"/>
      <c r="M26" s="37" t="e">
        <f t="shared" ca="1" si="1"/>
        <v>#N/A</v>
      </c>
      <c r="N26" s="99" t="e">
        <f ca="1">VLOOKUP($B26,Matrix!$H$13:$I$37,2,FALSE)&amp;"_"&amp;C26</f>
        <v>#N/A</v>
      </c>
      <c r="O26" s="110" t="e">
        <f t="shared" ca="1" si="0"/>
        <v>#N/A</v>
      </c>
    </row>
    <row r="27" spans="2:15">
      <c r="B27" s="22"/>
      <c r="C27" s="21"/>
      <c r="D27" s="102"/>
      <c r="E27" s="22"/>
      <c r="F27" s="103"/>
      <c r="G27" s="22"/>
      <c r="H27" s="103"/>
      <c r="I27" s="22"/>
      <c r="J27" s="103"/>
      <c r="K27" s="22"/>
      <c r="L27" s="103"/>
      <c r="M27" s="37" t="e">
        <f t="shared" ca="1" si="1"/>
        <v>#N/A</v>
      </c>
      <c r="N27" s="99" t="e">
        <f ca="1">VLOOKUP($B27,Matrix!$H$13:$I$37,2,FALSE)&amp;"_"&amp;C27</f>
        <v>#N/A</v>
      </c>
      <c r="O27" s="110" t="e">
        <f t="shared" ca="1" si="0"/>
        <v>#N/A</v>
      </c>
    </row>
    <row r="28" spans="2:15">
      <c r="B28" s="22"/>
      <c r="C28" s="21"/>
      <c r="D28" s="102"/>
      <c r="E28" s="22"/>
      <c r="F28" s="103"/>
      <c r="G28" s="22"/>
      <c r="H28" s="103"/>
      <c r="I28" s="22"/>
      <c r="J28" s="103"/>
      <c r="K28" s="22"/>
      <c r="L28" s="103"/>
      <c r="M28" s="37" t="e">
        <f t="shared" ca="1" si="1"/>
        <v>#N/A</v>
      </c>
      <c r="N28" s="99" t="e">
        <f ca="1">VLOOKUP($B28,Matrix!$H$13:$I$37,2,FALSE)&amp;"_"&amp;C28</f>
        <v>#N/A</v>
      </c>
      <c r="O28" s="110" t="e">
        <f t="shared" ca="1" si="0"/>
        <v>#N/A</v>
      </c>
    </row>
    <row r="29" spans="2:15">
      <c r="B29" s="22"/>
      <c r="C29" s="21"/>
      <c r="D29" s="102"/>
      <c r="E29" s="22"/>
      <c r="F29" s="103"/>
      <c r="G29" s="22"/>
      <c r="H29" s="103"/>
      <c r="I29" s="22"/>
      <c r="J29" s="103"/>
      <c r="K29" s="22"/>
      <c r="L29" s="103"/>
      <c r="M29" s="37" t="e">
        <f t="shared" ca="1" si="1"/>
        <v>#N/A</v>
      </c>
      <c r="N29" s="99" t="e">
        <f ca="1">VLOOKUP($B29,Matrix!$H$13:$I$37,2,FALSE)&amp;"_"&amp;C29</f>
        <v>#N/A</v>
      </c>
      <c r="O29" s="110" t="e">
        <f t="shared" ca="1" si="0"/>
        <v>#N/A</v>
      </c>
    </row>
    <row r="30" spans="2:15">
      <c r="B30" s="22"/>
      <c r="C30" s="21"/>
      <c r="D30" s="102"/>
      <c r="E30" s="22"/>
      <c r="F30" s="103"/>
      <c r="G30" s="22"/>
      <c r="H30" s="103"/>
      <c r="I30" s="22"/>
      <c r="J30" s="103"/>
      <c r="K30" s="22"/>
      <c r="L30" s="103"/>
      <c r="M30" s="37" t="e">
        <f t="shared" ca="1" si="1"/>
        <v>#N/A</v>
      </c>
      <c r="N30" s="99" t="e">
        <f ca="1">VLOOKUP($B30,Matrix!$H$13:$I$37,2,FALSE)&amp;"_"&amp;C30</f>
        <v>#N/A</v>
      </c>
      <c r="O30" s="110" t="e">
        <f t="shared" ca="1" si="0"/>
        <v>#N/A</v>
      </c>
    </row>
    <row r="31" spans="2:15">
      <c r="B31" s="22"/>
      <c r="C31" s="21"/>
      <c r="D31" s="102"/>
      <c r="E31" s="22"/>
      <c r="F31" s="103"/>
      <c r="G31" s="22"/>
      <c r="H31" s="103"/>
      <c r="I31" s="22"/>
      <c r="J31" s="103"/>
      <c r="K31" s="22"/>
      <c r="L31" s="103"/>
      <c r="M31" s="37" t="e">
        <f t="shared" ca="1" si="1"/>
        <v>#N/A</v>
      </c>
      <c r="N31" s="99" t="e">
        <f ca="1">VLOOKUP($B31,Matrix!$H$13:$I$37,2,FALSE)&amp;"_"&amp;C31</f>
        <v>#N/A</v>
      </c>
      <c r="O31" s="110" t="e">
        <f t="shared" ca="1" si="0"/>
        <v>#N/A</v>
      </c>
    </row>
    <row r="32" spans="2:15">
      <c r="B32" s="22"/>
      <c r="C32" s="21"/>
      <c r="D32" s="102"/>
      <c r="E32" s="22"/>
      <c r="F32" s="103"/>
      <c r="G32" s="22"/>
      <c r="H32" s="103"/>
      <c r="I32" s="22"/>
      <c r="J32" s="103"/>
      <c r="K32" s="22"/>
      <c r="L32" s="103"/>
      <c r="M32" s="37" t="e">
        <f t="shared" ca="1" si="1"/>
        <v>#N/A</v>
      </c>
      <c r="N32" s="99" t="e">
        <f ca="1">VLOOKUP($B32,Matrix!$H$13:$I$37,2,FALSE)&amp;"_"&amp;C32</f>
        <v>#N/A</v>
      </c>
      <c r="O32" s="110" t="e">
        <f t="shared" ca="1" si="0"/>
        <v>#N/A</v>
      </c>
    </row>
    <row r="33" spans="2:15">
      <c r="B33" s="22"/>
      <c r="C33" s="21"/>
      <c r="D33" s="102"/>
      <c r="E33" s="22"/>
      <c r="F33" s="103"/>
      <c r="G33" s="22"/>
      <c r="H33" s="103"/>
      <c r="I33" s="22"/>
      <c r="J33" s="103"/>
      <c r="K33" s="22"/>
      <c r="L33" s="103"/>
      <c r="M33" s="37" t="e">
        <f t="shared" ca="1" si="1"/>
        <v>#N/A</v>
      </c>
      <c r="N33" s="99" t="e">
        <f ca="1">VLOOKUP($B33,Matrix!$H$13:$I$37,2,FALSE)&amp;"_"&amp;C33</f>
        <v>#N/A</v>
      </c>
      <c r="O33" s="110" t="e">
        <f t="shared" ca="1" si="0"/>
        <v>#N/A</v>
      </c>
    </row>
    <row r="34" spans="2:15">
      <c r="B34" s="22"/>
      <c r="C34" s="21"/>
      <c r="D34" s="102"/>
      <c r="E34" s="22"/>
      <c r="F34" s="103"/>
      <c r="G34" s="22"/>
      <c r="H34" s="103"/>
      <c r="I34" s="22"/>
      <c r="J34" s="103"/>
      <c r="K34" s="22"/>
      <c r="L34" s="103"/>
      <c r="M34" s="37" t="e">
        <f t="shared" ca="1" si="1"/>
        <v>#N/A</v>
      </c>
      <c r="N34" s="99" t="e">
        <f ca="1">VLOOKUP($B34,Matrix!$H$13:$I$37,2,FALSE)&amp;"_"&amp;C34</f>
        <v>#N/A</v>
      </c>
      <c r="O34" s="110" t="e">
        <f t="shared" ca="1" si="0"/>
        <v>#N/A</v>
      </c>
    </row>
    <row r="35" spans="2:15">
      <c r="B35" s="22"/>
      <c r="C35" s="21"/>
      <c r="D35" s="102"/>
      <c r="E35" s="22"/>
      <c r="F35" s="103"/>
      <c r="G35" s="22"/>
      <c r="H35" s="103"/>
      <c r="I35" s="22"/>
      <c r="J35" s="103"/>
      <c r="K35" s="22"/>
      <c r="L35" s="103"/>
      <c r="M35" s="37" t="e">
        <f t="shared" ca="1" si="1"/>
        <v>#N/A</v>
      </c>
      <c r="N35" s="99" t="e">
        <f ca="1">VLOOKUP($B35,Matrix!$H$13:$I$37,2,FALSE)&amp;"_"&amp;C35</f>
        <v>#N/A</v>
      </c>
      <c r="O35" s="110" t="e">
        <f t="shared" ca="1" si="0"/>
        <v>#N/A</v>
      </c>
    </row>
    <row r="36" spans="2:15">
      <c r="B36" s="22"/>
      <c r="C36" s="21"/>
      <c r="D36" s="102"/>
      <c r="E36" s="22"/>
      <c r="F36" s="103"/>
      <c r="G36" s="22"/>
      <c r="H36" s="103"/>
      <c r="I36" s="22"/>
      <c r="J36" s="103"/>
      <c r="K36" s="22"/>
      <c r="L36" s="103"/>
      <c r="M36" s="37" t="e">
        <f t="shared" ca="1" si="1"/>
        <v>#N/A</v>
      </c>
      <c r="N36" s="99" t="e">
        <f ca="1">VLOOKUP($B36,Matrix!$H$13:$I$37,2,FALSE)&amp;"_"&amp;C36</f>
        <v>#N/A</v>
      </c>
      <c r="O36" s="110" t="e">
        <f t="shared" ref="O36:O67" ca="1" si="2">"#define "&amp;N36&amp;REPT(" ",48-M36)&amp;"("&amp;D36&amp;"U)"</f>
        <v>#N/A</v>
      </c>
    </row>
    <row r="37" spans="2:15">
      <c r="B37" s="22"/>
      <c r="C37" s="21"/>
      <c r="D37" s="102"/>
      <c r="E37" s="22"/>
      <c r="F37" s="103"/>
      <c r="G37" s="22"/>
      <c r="H37" s="103"/>
      <c r="I37" s="22"/>
      <c r="J37" s="103"/>
      <c r="K37" s="22"/>
      <c r="L37" s="103"/>
      <c r="M37" s="37" t="e">
        <f t="shared" ca="1" si="1"/>
        <v>#N/A</v>
      </c>
      <c r="N37" s="99" t="e">
        <f ca="1">VLOOKUP($B37,Matrix!$H$13:$I$37,2,FALSE)&amp;"_"&amp;C37</f>
        <v>#N/A</v>
      </c>
      <c r="O37" s="110" t="e">
        <f t="shared" ca="1" si="2"/>
        <v>#N/A</v>
      </c>
    </row>
    <row r="38" spans="2:15">
      <c r="B38" s="22"/>
      <c r="C38" s="21"/>
      <c r="D38" s="102"/>
      <c r="E38" s="22"/>
      <c r="F38" s="103"/>
      <c r="G38" s="22"/>
      <c r="H38" s="103"/>
      <c r="I38" s="22"/>
      <c r="J38" s="103"/>
      <c r="K38" s="22"/>
      <c r="L38" s="103"/>
      <c r="M38" s="37" t="e">
        <f t="shared" ca="1" si="1"/>
        <v>#N/A</v>
      </c>
      <c r="N38" s="99" t="e">
        <f ca="1">VLOOKUP($B38,Matrix!$H$13:$I$37,2,FALSE)&amp;"_"&amp;C38</f>
        <v>#N/A</v>
      </c>
      <c r="O38" s="110" t="e">
        <f t="shared" ca="1" si="2"/>
        <v>#N/A</v>
      </c>
    </row>
    <row r="39" spans="2:15">
      <c r="B39" s="22"/>
      <c r="C39" s="21"/>
      <c r="D39" s="102"/>
      <c r="E39" s="22"/>
      <c r="F39" s="103"/>
      <c r="G39" s="22"/>
      <c r="H39" s="103"/>
      <c r="I39" s="22"/>
      <c r="J39" s="103"/>
      <c r="K39" s="22"/>
      <c r="L39" s="103"/>
      <c r="M39" s="37" t="e">
        <f t="shared" ca="1" si="1"/>
        <v>#N/A</v>
      </c>
      <c r="N39" s="99" t="e">
        <f ca="1">VLOOKUP($B39,Matrix!$H$13:$I$37,2,FALSE)&amp;"_"&amp;C39</f>
        <v>#N/A</v>
      </c>
      <c r="O39" s="110" t="e">
        <f t="shared" ca="1" si="2"/>
        <v>#N/A</v>
      </c>
    </row>
    <row r="40" spans="2:15">
      <c r="B40" s="22"/>
      <c r="C40" s="21"/>
      <c r="D40" s="102"/>
      <c r="E40" s="22"/>
      <c r="F40" s="103"/>
      <c r="G40" s="22"/>
      <c r="H40" s="103"/>
      <c r="I40" s="22"/>
      <c r="J40" s="103"/>
      <c r="K40" s="22"/>
      <c r="L40" s="103"/>
      <c r="M40" s="37" t="e">
        <f t="shared" ca="1" si="1"/>
        <v>#N/A</v>
      </c>
      <c r="N40" s="99" t="e">
        <f ca="1">VLOOKUP($B40,Matrix!$H$13:$I$37,2,FALSE)&amp;"_"&amp;C40</f>
        <v>#N/A</v>
      </c>
      <c r="O40" s="110" t="e">
        <f t="shared" ca="1" si="2"/>
        <v>#N/A</v>
      </c>
    </row>
    <row r="41" spans="2:15">
      <c r="B41" s="22"/>
      <c r="C41" s="21"/>
      <c r="D41" s="102"/>
      <c r="E41" s="22"/>
      <c r="F41" s="103"/>
      <c r="G41" s="22"/>
      <c r="H41" s="103"/>
      <c r="I41" s="22"/>
      <c r="J41" s="103"/>
      <c r="K41" s="22"/>
      <c r="L41" s="103"/>
      <c r="M41" s="37" t="e">
        <f t="shared" ca="1" si="1"/>
        <v>#N/A</v>
      </c>
      <c r="N41" s="99" t="e">
        <f ca="1">VLOOKUP($B41,Matrix!$H$13:$I$37,2,FALSE)&amp;"_"&amp;C41</f>
        <v>#N/A</v>
      </c>
      <c r="O41" s="110" t="e">
        <f t="shared" ca="1" si="2"/>
        <v>#N/A</v>
      </c>
    </row>
    <row r="42" spans="2:15">
      <c r="B42" s="22"/>
      <c r="C42" s="21"/>
      <c r="D42" s="102"/>
      <c r="E42" s="22"/>
      <c r="F42" s="103"/>
      <c r="G42" s="22"/>
      <c r="H42" s="103"/>
      <c r="I42" s="22"/>
      <c r="J42" s="103"/>
      <c r="K42" s="22"/>
      <c r="L42" s="103"/>
      <c r="M42" s="37" t="e">
        <f t="shared" ca="1" si="1"/>
        <v>#N/A</v>
      </c>
      <c r="N42" s="99" t="e">
        <f ca="1">VLOOKUP($B42,Matrix!$H$13:$I$37,2,FALSE)&amp;"_"&amp;C42</f>
        <v>#N/A</v>
      </c>
      <c r="O42" s="110" t="e">
        <f t="shared" ca="1" si="2"/>
        <v>#N/A</v>
      </c>
    </row>
    <row r="43" spans="2:15">
      <c r="B43" s="22"/>
      <c r="C43" s="21"/>
      <c r="D43" s="102"/>
      <c r="E43" s="22"/>
      <c r="F43" s="103"/>
      <c r="G43" s="22"/>
      <c r="H43" s="103"/>
      <c r="I43" s="22"/>
      <c r="J43" s="103"/>
      <c r="K43" s="22"/>
      <c r="L43" s="103"/>
      <c r="M43" s="37" t="e">
        <f t="shared" ca="1" si="1"/>
        <v>#N/A</v>
      </c>
      <c r="N43" s="99" t="e">
        <f ca="1">VLOOKUP($B43,Matrix!$H$13:$I$37,2,FALSE)&amp;"_"&amp;C43</f>
        <v>#N/A</v>
      </c>
      <c r="O43" s="110" t="e">
        <f t="shared" ca="1" si="2"/>
        <v>#N/A</v>
      </c>
    </row>
    <row r="44" spans="2:15">
      <c r="B44" s="22"/>
      <c r="C44" s="21"/>
      <c r="D44" s="102"/>
      <c r="E44" s="22"/>
      <c r="F44" s="103"/>
      <c r="G44" s="22"/>
      <c r="H44" s="103"/>
      <c r="I44" s="22"/>
      <c r="J44" s="103"/>
      <c r="K44" s="22"/>
      <c r="L44" s="103"/>
      <c r="M44" s="37" t="e">
        <f t="shared" ca="1" si="1"/>
        <v>#N/A</v>
      </c>
      <c r="N44" s="99" t="e">
        <f ca="1">VLOOKUP($B44,Matrix!$H$13:$I$37,2,FALSE)&amp;"_"&amp;C44</f>
        <v>#N/A</v>
      </c>
      <c r="O44" s="110" t="e">
        <f t="shared" ca="1" si="2"/>
        <v>#N/A</v>
      </c>
    </row>
    <row r="45" spans="2:15">
      <c r="B45" s="22"/>
      <c r="C45" s="21"/>
      <c r="D45" s="102"/>
      <c r="E45" s="22"/>
      <c r="F45" s="103"/>
      <c r="G45" s="22"/>
      <c r="H45" s="103"/>
      <c r="I45" s="22"/>
      <c r="J45" s="103"/>
      <c r="K45" s="22"/>
      <c r="L45" s="103"/>
      <c r="M45" s="37" t="e">
        <f t="shared" ca="1" si="1"/>
        <v>#N/A</v>
      </c>
      <c r="N45" s="99" t="e">
        <f ca="1">VLOOKUP($B45,Matrix!$H$13:$I$37,2,FALSE)&amp;"_"&amp;C45</f>
        <v>#N/A</v>
      </c>
      <c r="O45" s="110" t="e">
        <f t="shared" ca="1" si="2"/>
        <v>#N/A</v>
      </c>
    </row>
    <row r="46" spans="2:15">
      <c r="B46" s="22"/>
      <c r="C46" s="21"/>
      <c r="D46" s="102"/>
      <c r="E46" s="22"/>
      <c r="F46" s="103"/>
      <c r="G46" s="22"/>
      <c r="H46" s="103"/>
      <c r="I46" s="22"/>
      <c r="J46" s="103"/>
      <c r="K46" s="22"/>
      <c r="L46" s="103"/>
      <c r="M46" s="37" t="e">
        <f t="shared" ca="1" si="1"/>
        <v>#N/A</v>
      </c>
      <c r="N46" s="99" t="e">
        <f ca="1">VLOOKUP($B46,Matrix!$H$13:$I$37,2,FALSE)&amp;"_"&amp;C46</f>
        <v>#N/A</v>
      </c>
      <c r="O46" s="110" t="e">
        <f t="shared" ca="1" si="2"/>
        <v>#N/A</v>
      </c>
    </row>
    <row r="47" spans="2:15">
      <c r="B47" s="22"/>
      <c r="C47" s="21"/>
      <c r="D47" s="102"/>
      <c r="E47" s="22"/>
      <c r="F47" s="103"/>
      <c r="G47" s="22"/>
      <c r="H47" s="103"/>
      <c r="I47" s="22"/>
      <c r="J47" s="103"/>
      <c r="K47" s="22"/>
      <c r="L47" s="103"/>
      <c r="M47" s="37" t="e">
        <f t="shared" ca="1" si="1"/>
        <v>#N/A</v>
      </c>
      <c r="N47" s="99" t="e">
        <f ca="1">VLOOKUP($B47,Matrix!$H$13:$I$37,2,FALSE)&amp;"_"&amp;C47</f>
        <v>#N/A</v>
      </c>
      <c r="O47" s="110" t="e">
        <f t="shared" ca="1" si="2"/>
        <v>#N/A</v>
      </c>
    </row>
    <row r="48" spans="2:15">
      <c r="B48" s="22"/>
      <c r="C48" s="21"/>
      <c r="D48" s="102"/>
      <c r="E48" s="22"/>
      <c r="F48" s="103"/>
      <c r="G48" s="22"/>
      <c r="H48" s="103"/>
      <c r="I48" s="22"/>
      <c r="J48" s="103"/>
      <c r="K48" s="22"/>
      <c r="L48" s="103"/>
      <c r="M48" s="37" t="e">
        <f t="shared" ca="1" si="1"/>
        <v>#N/A</v>
      </c>
      <c r="N48" s="99" t="e">
        <f ca="1">VLOOKUP($B48,Matrix!$H$13:$I$37,2,FALSE)&amp;"_"&amp;C48</f>
        <v>#N/A</v>
      </c>
      <c r="O48" s="110" t="e">
        <f t="shared" ca="1" si="2"/>
        <v>#N/A</v>
      </c>
    </row>
    <row r="49" spans="2:15">
      <c r="B49" s="22"/>
      <c r="C49" s="21"/>
      <c r="D49" s="102"/>
      <c r="E49" s="22"/>
      <c r="F49" s="103"/>
      <c r="G49" s="22"/>
      <c r="H49" s="103"/>
      <c r="I49" s="22"/>
      <c r="J49" s="103"/>
      <c r="K49" s="22"/>
      <c r="L49" s="103"/>
      <c r="M49" s="37" t="e">
        <f t="shared" ca="1" si="1"/>
        <v>#N/A</v>
      </c>
      <c r="N49" s="99" t="e">
        <f ca="1">VLOOKUP($B49,Matrix!$H$13:$I$37,2,FALSE)&amp;"_"&amp;C49</f>
        <v>#N/A</v>
      </c>
      <c r="O49" s="110" t="e">
        <f t="shared" ca="1" si="2"/>
        <v>#N/A</v>
      </c>
    </row>
    <row r="50" spans="2:15">
      <c r="B50" s="22"/>
      <c r="C50" s="21"/>
      <c r="D50" s="102"/>
      <c r="E50" s="22"/>
      <c r="F50" s="103"/>
      <c r="G50" s="22"/>
      <c r="H50" s="103"/>
      <c r="I50" s="22"/>
      <c r="J50" s="103"/>
      <c r="K50" s="22"/>
      <c r="L50" s="103"/>
      <c r="M50" s="37" t="e">
        <f t="shared" ca="1" si="1"/>
        <v>#N/A</v>
      </c>
      <c r="N50" s="99" t="e">
        <f ca="1">VLOOKUP($B50,Matrix!$H$13:$I$37,2,FALSE)&amp;"_"&amp;C50</f>
        <v>#N/A</v>
      </c>
      <c r="O50" s="110" t="e">
        <f t="shared" ca="1" si="2"/>
        <v>#N/A</v>
      </c>
    </row>
    <row r="51" spans="2:15">
      <c r="B51" s="22"/>
      <c r="C51" s="21"/>
      <c r="D51" s="102"/>
      <c r="E51" s="22"/>
      <c r="F51" s="103"/>
      <c r="G51" s="22"/>
      <c r="H51" s="103"/>
      <c r="I51" s="22"/>
      <c r="J51" s="103"/>
      <c r="K51" s="22"/>
      <c r="L51" s="103"/>
      <c r="M51" s="37" t="e">
        <f t="shared" ca="1" si="1"/>
        <v>#N/A</v>
      </c>
      <c r="N51" s="99" t="e">
        <f ca="1">VLOOKUP($B51,Matrix!$H$13:$I$37,2,FALSE)&amp;"_"&amp;C51</f>
        <v>#N/A</v>
      </c>
      <c r="O51" s="110" t="e">
        <f t="shared" ca="1" si="2"/>
        <v>#N/A</v>
      </c>
    </row>
    <row r="52" spans="2:15">
      <c r="B52" s="22"/>
      <c r="C52" s="21"/>
      <c r="D52" s="102"/>
      <c r="E52" s="22"/>
      <c r="F52" s="103"/>
      <c r="G52" s="22"/>
      <c r="H52" s="103"/>
      <c r="I52" s="22"/>
      <c r="J52" s="103"/>
      <c r="K52" s="22"/>
      <c r="L52" s="103"/>
      <c r="M52" s="37" t="e">
        <f t="shared" ca="1" si="1"/>
        <v>#N/A</v>
      </c>
      <c r="N52" s="99" t="e">
        <f ca="1">VLOOKUP($B52,Matrix!$H$13:$I$37,2,FALSE)&amp;"_"&amp;C52</f>
        <v>#N/A</v>
      </c>
      <c r="O52" s="110" t="e">
        <f t="shared" ca="1" si="2"/>
        <v>#N/A</v>
      </c>
    </row>
    <row r="53" spans="2:15">
      <c r="B53" s="22"/>
      <c r="C53" s="21"/>
      <c r="D53" s="102"/>
      <c r="E53" s="22"/>
      <c r="F53" s="103"/>
      <c r="G53" s="22"/>
      <c r="H53" s="103"/>
      <c r="I53" s="22"/>
      <c r="J53" s="103"/>
      <c r="K53" s="22"/>
      <c r="L53" s="103"/>
      <c r="M53" s="37" t="e">
        <f t="shared" ca="1" si="1"/>
        <v>#N/A</v>
      </c>
      <c r="N53" s="99" t="e">
        <f ca="1">VLOOKUP($B53,Matrix!$H$13:$I$37,2,FALSE)&amp;"_"&amp;C53</f>
        <v>#N/A</v>
      </c>
      <c r="O53" s="110" t="e">
        <f t="shared" ca="1" si="2"/>
        <v>#N/A</v>
      </c>
    </row>
    <row r="54" spans="2:15">
      <c r="B54" s="22"/>
      <c r="C54" s="21"/>
      <c r="D54" s="102"/>
      <c r="E54" s="22"/>
      <c r="F54" s="103"/>
      <c r="G54" s="22"/>
      <c r="H54" s="103"/>
      <c r="I54" s="22"/>
      <c r="J54" s="103"/>
      <c r="K54" s="22"/>
      <c r="L54" s="103"/>
      <c r="M54" s="37" t="e">
        <f t="shared" ca="1" si="1"/>
        <v>#N/A</v>
      </c>
      <c r="N54" s="99" t="e">
        <f ca="1">VLOOKUP($B54,Matrix!$H$13:$I$37,2,FALSE)&amp;"_"&amp;C54</f>
        <v>#N/A</v>
      </c>
      <c r="O54" s="110" t="e">
        <f t="shared" ca="1" si="2"/>
        <v>#N/A</v>
      </c>
    </row>
    <row r="55" spans="2:15">
      <c r="B55" s="22"/>
      <c r="C55" s="21"/>
      <c r="D55" s="102"/>
      <c r="E55" s="22"/>
      <c r="F55" s="103"/>
      <c r="G55" s="22"/>
      <c r="H55" s="103"/>
      <c r="I55" s="22"/>
      <c r="J55" s="103"/>
      <c r="K55" s="22"/>
      <c r="L55" s="103"/>
      <c r="M55" s="37" t="e">
        <f t="shared" ca="1" si="1"/>
        <v>#N/A</v>
      </c>
      <c r="N55" s="99" t="e">
        <f ca="1">VLOOKUP($B55,Matrix!$H$13:$I$37,2,FALSE)&amp;"_"&amp;C55</f>
        <v>#N/A</v>
      </c>
      <c r="O55" s="110" t="e">
        <f t="shared" ca="1" si="2"/>
        <v>#N/A</v>
      </c>
    </row>
    <row r="56" spans="2:15">
      <c r="B56" s="22"/>
      <c r="C56" s="21"/>
      <c r="D56" s="102"/>
      <c r="E56" s="22"/>
      <c r="F56" s="103"/>
      <c r="G56" s="22"/>
      <c r="H56" s="103"/>
      <c r="I56" s="22"/>
      <c r="J56" s="103"/>
      <c r="K56" s="22"/>
      <c r="L56" s="103"/>
      <c r="M56" s="37" t="e">
        <f t="shared" ca="1" si="1"/>
        <v>#N/A</v>
      </c>
      <c r="N56" s="99" t="e">
        <f ca="1">VLOOKUP($B56,Matrix!$H$13:$I$37,2,FALSE)&amp;"_"&amp;C56</f>
        <v>#N/A</v>
      </c>
      <c r="O56" s="110" t="e">
        <f t="shared" ca="1" si="2"/>
        <v>#N/A</v>
      </c>
    </row>
    <row r="57" spans="2:15">
      <c r="B57" s="22"/>
      <c r="C57" s="21"/>
      <c r="D57" s="102"/>
      <c r="E57" s="22"/>
      <c r="F57" s="103"/>
      <c r="G57" s="22"/>
      <c r="H57" s="103"/>
      <c r="I57" s="22"/>
      <c r="J57" s="103"/>
      <c r="K57" s="22"/>
      <c r="L57" s="103"/>
      <c r="M57" s="37" t="e">
        <f t="shared" ca="1" si="1"/>
        <v>#N/A</v>
      </c>
      <c r="N57" s="99" t="e">
        <f ca="1">VLOOKUP($B57,Matrix!$H$13:$I$37,2,FALSE)&amp;"_"&amp;C57</f>
        <v>#N/A</v>
      </c>
      <c r="O57" s="110" t="e">
        <f t="shared" ca="1" si="2"/>
        <v>#N/A</v>
      </c>
    </row>
    <row r="58" spans="2:15">
      <c r="B58" s="22"/>
      <c r="C58" s="21"/>
      <c r="D58" s="102"/>
      <c r="E58" s="22"/>
      <c r="F58" s="103"/>
      <c r="G58" s="22"/>
      <c r="H58" s="103"/>
      <c r="I58" s="22"/>
      <c r="J58" s="103"/>
      <c r="K58" s="22"/>
      <c r="L58" s="103"/>
      <c r="M58" s="37" t="e">
        <f t="shared" ca="1" si="1"/>
        <v>#N/A</v>
      </c>
      <c r="N58" s="99" t="e">
        <f ca="1">VLOOKUP($B58,Matrix!$H$13:$I$37,2,FALSE)&amp;"_"&amp;C58</f>
        <v>#N/A</v>
      </c>
      <c r="O58" s="110" t="e">
        <f t="shared" ca="1" si="2"/>
        <v>#N/A</v>
      </c>
    </row>
    <row r="59" spans="2:15">
      <c r="B59" s="22"/>
      <c r="C59" s="21"/>
      <c r="D59" s="102"/>
      <c r="E59" s="22"/>
      <c r="F59" s="103"/>
      <c r="G59" s="22"/>
      <c r="H59" s="103"/>
      <c r="I59" s="22"/>
      <c r="J59" s="103"/>
      <c r="K59" s="22"/>
      <c r="L59" s="103"/>
      <c r="M59" s="37" t="e">
        <f t="shared" ca="1" si="1"/>
        <v>#N/A</v>
      </c>
      <c r="N59" s="99" t="e">
        <f ca="1">VLOOKUP($B59,Matrix!$H$13:$I$37,2,FALSE)&amp;"_"&amp;C59</f>
        <v>#N/A</v>
      </c>
      <c r="O59" s="110" t="e">
        <f t="shared" ca="1" si="2"/>
        <v>#N/A</v>
      </c>
    </row>
    <row r="60" spans="2:15">
      <c r="B60" s="22"/>
      <c r="C60" s="21"/>
      <c r="D60" s="102"/>
      <c r="E60" s="22"/>
      <c r="F60" s="103"/>
      <c r="G60" s="22"/>
      <c r="H60" s="103"/>
      <c r="I60" s="22"/>
      <c r="J60" s="103"/>
      <c r="K60" s="22"/>
      <c r="L60" s="103"/>
      <c r="M60" s="37" t="e">
        <f t="shared" ca="1" si="1"/>
        <v>#N/A</v>
      </c>
      <c r="N60" s="99" t="e">
        <f ca="1">VLOOKUP($B60,Matrix!$H$13:$I$37,2,FALSE)&amp;"_"&amp;C60</f>
        <v>#N/A</v>
      </c>
      <c r="O60" s="110" t="e">
        <f t="shared" ca="1" si="2"/>
        <v>#N/A</v>
      </c>
    </row>
    <row r="61" spans="2:15">
      <c r="B61" s="22"/>
      <c r="C61" s="21"/>
      <c r="D61" s="102"/>
      <c r="E61" s="22"/>
      <c r="F61" s="103"/>
      <c r="G61" s="22"/>
      <c r="H61" s="103"/>
      <c r="I61" s="22"/>
      <c r="J61" s="103"/>
      <c r="K61" s="22"/>
      <c r="L61" s="103"/>
      <c r="M61" s="37" t="e">
        <f t="shared" ca="1" si="1"/>
        <v>#N/A</v>
      </c>
      <c r="N61" s="99" t="e">
        <f ca="1">VLOOKUP($B61,Matrix!$H$13:$I$37,2,FALSE)&amp;"_"&amp;C61</f>
        <v>#N/A</v>
      </c>
      <c r="O61" s="110" t="e">
        <f t="shared" ca="1" si="2"/>
        <v>#N/A</v>
      </c>
    </row>
    <row r="62" spans="2:15">
      <c r="B62" s="22"/>
      <c r="C62" s="21"/>
      <c r="D62" s="102"/>
      <c r="E62" s="22"/>
      <c r="F62" s="103"/>
      <c r="G62" s="22"/>
      <c r="H62" s="103"/>
      <c r="I62" s="22"/>
      <c r="J62" s="103"/>
      <c r="K62" s="22"/>
      <c r="L62" s="103"/>
      <c r="M62" s="37" t="e">
        <f t="shared" ca="1" si="1"/>
        <v>#N/A</v>
      </c>
      <c r="N62" s="99" t="e">
        <f ca="1">VLOOKUP($B62,Matrix!$H$13:$I$37,2,FALSE)&amp;"_"&amp;C62</f>
        <v>#N/A</v>
      </c>
      <c r="O62" s="110" t="e">
        <f t="shared" ca="1" si="2"/>
        <v>#N/A</v>
      </c>
    </row>
    <row r="63" spans="2:15">
      <c r="B63" s="22"/>
      <c r="C63" s="21"/>
      <c r="D63" s="102"/>
      <c r="E63" s="22"/>
      <c r="F63" s="103"/>
      <c r="G63" s="22"/>
      <c r="H63" s="103"/>
      <c r="I63" s="22"/>
      <c r="J63" s="103"/>
      <c r="K63" s="22"/>
      <c r="L63" s="103"/>
      <c r="M63" s="37" t="e">
        <f t="shared" ca="1" si="1"/>
        <v>#N/A</v>
      </c>
      <c r="N63" s="99" t="e">
        <f ca="1">VLOOKUP($B63,Matrix!$H$13:$I$37,2,FALSE)&amp;"_"&amp;C63</f>
        <v>#N/A</v>
      </c>
      <c r="O63" s="110" t="e">
        <f t="shared" ca="1" si="2"/>
        <v>#N/A</v>
      </c>
    </row>
    <row r="64" spans="2:15">
      <c r="B64" s="22"/>
      <c r="C64" s="21"/>
      <c r="D64" s="102"/>
      <c r="E64" s="22"/>
      <c r="F64" s="103"/>
      <c r="G64" s="22"/>
      <c r="H64" s="103"/>
      <c r="I64" s="22"/>
      <c r="J64" s="103"/>
      <c r="K64" s="22"/>
      <c r="L64" s="103"/>
      <c r="M64" s="37" t="e">
        <f t="shared" ca="1" si="1"/>
        <v>#N/A</v>
      </c>
      <c r="N64" s="99" t="e">
        <f ca="1">VLOOKUP($B64,Matrix!$H$13:$I$37,2,FALSE)&amp;"_"&amp;C64</f>
        <v>#N/A</v>
      </c>
      <c r="O64" s="110" t="e">
        <f t="shared" ca="1" si="2"/>
        <v>#N/A</v>
      </c>
    </row>
    <row r="65" spans="2:15">
      <c r="B65" s="22"/>
      <c r="C65" s="21"/>
      <c r="D65" s="102"/>
      <c r="E65" s="22"/>
      <c r="F65" s="103"/>
      <c r="G65" s="22"/>
      <c r="H65" s="103"/>
      <c r="I65" s="22"/>
      <c r="J65" s="103"/>
      <c r="K65" s="22"/>
      <c r="L65" s="103"/>
      <c r="M65" s="37" t="e">
        <f t="shared" ca="1" si="1"/>
        <v>#N/A</v>
      </c>
      <c r="N65" s="99" t="e">
        <f ca="1">VLOOKUP($B65,Matrix!$H$13:$I$37,2,FALSE)&amp;"_"&amp;C65</f>
        <v>#N/A</v>
      </c>
      <c r="O65" s="110" t="e">
        <f t="shared" ca="1" si="2"/>
        <v>#N/A</v>
      </c>
    </row>
    <row r="66" spans="2:15">
      <c r="B66" s="22"/>
      <c r="C66" s="21"/>
      <c r="D66" s="102"/>
      <c r="E66" s="22"/>
      <c r="F66" s="103"/>
      <c r="G66" s="22"/>
      <c r="H66" s="103"/>
      <c r="I66" s="22"/>
      <c r="J66" s="103"/>
      <c r="K66" s="22"/>
      <c r="L66" s="103"/>
      <c r="M66" s="37" t="e">
        <f t="shared" ca="1" si="1"/>
        <v>#N/A</v>
      </c>
      <c r="N66" s="99" t="e">
        <f ca="1">VLOOKUP($B66,Matrix!$H$13:$I$37,2,FALSE)&amp;"_"&amp;C66</f>
        <v>#N/A</v>
      </c>
      <c r="O66" s="110" t="e">
        <f t="shared" ca="1" si="2"/>
        <v>#N/A</v>
      </c>
    </row>
    <row r="67" spans="2:15">
      <c r="B67" s="22"/>
      <c r="C67" s="21"/>
      <c r="D67" s="102"/>
      <c r="E67" s="22"/>
      <c r="F67" s="103"/>
      <c r="G67" s="22"/>
      <c r="H67" s="103"/>
      <c r="I67" s="22"/>
      <c r="J67" s="103"/>
      <c r="K67" s="22"/>
      <c r="L67" s="103"/>
      <c r="M67" s="37" t="e">
        <f t="shared" ca="1" si="1"/>
        <v>#N/A</v>
      </c>
      <c r="N67" s="99" t="e">
        <f ca="1">VLOOKUP($B67,Matrix!$H$13:$I$37,2,FALSE)&amp;"_"&amp;C67</f>
        <v>#N/A</v>
      </c>
      <c r="O67" s="110" t="e">
        <f t="shared" ca="1" si="2"/>
        <v>#N/A</v>
      </c>
    </row>
    <row r="68" spans="2:15">
      <c r="B68" s="22"/>
      <c r="C68" s="21"/>
      <c r="D68" s="102"/>
      <c r="E68" s="22"/>
      <c r="F68" s="103"/>
      <c r="G68" s="22"/>
      <c r="H68" s="103"/>
      <c r="I68" s="22"/>
      <c r="J68" s="103"/>
      <c r="K68" s="22"/>
      <c r="L68" s="103"/>
      <c r="M68" s="37" t="e">
        <f t="shared" ca="1" si="1"/>
        <v>#N/A</v>
      </c>
      <c r="N68" s="99" t="e">
        <f ca="1">VLOOKUP($B68,Matrix!$H$13:$I$37,2,FALSE)&amp;"_"&amp;C68</f>
        <v>#N/A</v>
      </c>
      <c r="O68" s="110" t="e">
        <f t="shared" ref="O68:O99" ca="1" si="3">"#define "&amp;N68&amp;REPT(" ",48-M68)&amp;"("&amp;D68&amp;"U)"</f>
        <v>#N/A</v>
      </c>
    </row>
    <row r="69" spans="2:15">
      <c r="B69" s="22"/>
      <c r="C69" s="21"/>
      <c r="D69" s="102"/>
      <c r="E69" s="22"/>
      <c r="F69" s="103"/>
      <c r="G69" s="22"/>
      <c r="H69" s="103"/>
      <c r="I69" s="22"/>
      <c r="J69" s="103"/>
      <c r="K69" s="22"/>
      <c r="L69" s="103"/>
      <c r="M69" s="37" t="e">
        <f t="shared" ref="M69:M103" ca="1" si="4">LEN(N69)</f>
        <v>#N/A</v>
      </c>
      <c r="N69" s="99" t="e">
        <f ca="1">VLOOKUP($B69,Matrix!$H$13:$I$37,2,FALSE)&amp;"_"&amp;C69</f>
        <v>#N/A</v>
      </c>
      <c r="O69" s="110" t="e">
        <f t="shared" ca="1" si="3"/>
        <v>#N/A</v>
      </c>
    </row>
    <row r="70" spans="2:15">
      <c r="B70" s="22"/>
      <c r="C70" s="21"/>
      <c r="D70" s="102"/>
      <c r="E70" s="22"/>
      <c r="F70" s="103"/>
      <c r="G70" s="22"/>
      <c r="H70" s="103"/>
      <c r="I70" s="22"/>
      <c r="J70" s="103"/>
      <c r="K70" s="22"/>
      <c r="L70" s="103"/>
      <c r="M70" s="37" t="e">
        <f t="shared" ca="1" si="4"/>
        <v>#N/A</v>
      </c>
      <c r="N70" s="99" t="e">
        <f ca="1">VLOOKUP($B70,Matrix!$H$13:$I$37,2,FALSE)&amp;"_"&amp;C70</f>
        <v>#N/A</v>
      </c>
      <c r="O70" s="110" t="e">
        <f t="shared" ca="1" si="3"/>
        <v>#N/A</v>
      </c>
    </row>
    <row r="71" spans="2:15">
      <c r="B71" s="22"/>
      <c r="C71" s="21"/>
      <c r="D71" s="102"/>
      <c r="E71" s="22"/>
      <c r="F71" s="103"/>
      <c r="G71" s="22"/>
      <c r="H71" s="103"/>
      <c r="I71" s="22"/>
      <c r="J71" s="103"/>
      <c r="K71" s="22"/>
      <c r="L71" s="103"/>
      <c r="M71" s="37" t="e">
        <f t="shared" ca="1" si="4"/>
        <v>#N/A</v>
      </c>
      <c r="N71" s="99" t="e">
        <f ca="1">VLOOKUP($B71,Matrix!$H$13:$I$37,2,FALSE)&amp;"_"&amp;C71</f>
        <v>#N/A</v>
      </c>
      <c r="O71" s="110" t="e">
        <f t="shared" ca="1" si="3"/>
        <v>#N/A</v>
      </c>
    </row>
    <row r="72" spans="2:15">
      <c r="B72" s="22"/>
      <c r="C72" s="21"/>
      <c r="D72" s="102"/>
      <c r="E72" s="22"/>
      <c r="F72" s="103"/>
      <c r="G72" s="22"/>
      <c r="H72" s="103"/>
      <c r="I72" s="22"/>
      <c r="J72" s="103"/>
      <c r="K72" s="22"/>
      <c r="L72" s="103"/>
      <c r="M72" s="37" t="e">
        <f t="shared" ca="1" si="4"/>
        <v>#N/A</v>
      </c>
      <c r="N72" s="99" t="e">
        <f ca="1">VLOOKUP($B72,Matrix!$H$13:$I$37,2,FALSE)&amp;"_"&amp;C72</f>
        <v>#N/A</v>
      </c>
      <c r="O72" s="110" t="e">
        <f t="shared" ca="1" si="3"/>
        <v>#N/A</v>
      </c>
    </row>
    <row r="73" spans="2:15">
      <c r="B73" s="22"/>
      <c r="C73" s="21"/>
      <c r="D73" s="102"/>
      <c r="E73" s="22"/>
      <c r="F73" s="103"/>
      <c r="G73" s="22"/>
      <c r="H73" s="103"/>
      <c r="I73" s="22"/>
      <c r="J73" s="103"/>
      <c r="K73" s="22"/>
      <c r="L73" s="103"/>
      <c r="M73" s="37" t="e">
        <f t="shared" ca="1" si="4"/>
        <v>#N/A</v>
      </c>
      <c r="N73" s="99" t="e">
        <f ca="1">VLOOKUP($B73,Matrix!$H$13:$I$37,2,FALSE)&amp;"_"&amp;C73</f>
        <v>#N/A</v>
      </c>
      <c r="O73" s="110" t="e">
        <f t="shared" ca="1" si="3"/>
        <v>#N/A</v>
      </c>
    </row>
    <row r="74" spans="2:15">
      <c r="B74" s="22"/>
      <c r="C74" s="21"/>
      <c r="D74" s="102"/>
      <c r="E74" s="22"/>
      <c r="F74" s="103"/>
      <c r="G74" s="22"/>
      <c r="H74" s="103"/>
      <c r="I74" s="22"/>
      <c r="J74" s="103"/>
      <c r="K74" s="22"/>
      <c r="L74" s="103"/>
      <c r="M74" s="37" t="e">
        <f t="shared" ca="1" si="4"/>
        <v>#N/A</v>
      </c>
      <c r="N74" s="99" t="e">
        <f ca="1">VLOOKUP($B74,Matrix!$H$13:$I$37,2,FALSE)&amp;"_"&amp;C74</f>
        <v>#N/A</v>
      </c>
      <c r="O74" s="110" t="e">
        <f t="shared" ca="1" si="3"/>
        <v>#N/A</v>
      </c>
    </row>
    <row r="75" spans="2:15">
      <c r="B75" s="22"/>
      <c r="C75" s="21"/>
      <c r="D75" s="102"/>
      <c r="E75" s="22"/>
      <c r="F75" s="103"/>
      <c r="G75" s="22"/>
      <c r="H75" s="103"/>
      <c r="I75" s="22"/>
      <c r="J75" s="103"/>
      <c r="K75" s="22"/>
      <c r="L75" s="103"/>
      <c r="M75" s="37" t="e">
        <f t="shared" ca="1" si="4"/>
        <v>#N/A</v>
      </c>
      <c r="N75" s="99" t="e">
        <f ca="1">VLOOKUP($B75,Matrix!$H$13:$I$37,2,FALSE)&amp;"_"&amp;C75</f>
        <v>#N/A</v>
      </c>
      <c r="O75" s="110" t="e">
        <f t="shared" ca="1" si="3"/>
        <v>#N/A</v>
      </c>
    </row>
    <row r="76" spans="2:15">
      <c r="B76" s="22"/>
      <c r="C76" s="21"/>
      <c r="D76" s="102"/>
      <c r="E76" s="22"/>
      <c r="F76" s="103"/>
      <c r="G76" s="22"/>
      <c r="H76" s="103"/>
      <c r="I76" s="22"/>
      <c r="J76" s="103"/>
      <c r="K76" s="22"/>
      <c r="L76" s="103"/>
      <c r="M76" s="37" t="e">
        <f t="shared" ca="1" si="4"/>
        <v>#N/A</v>
      </c>
      <c r="N76" s="99" t="e">
        <f ca="1">VLOOKUP($B76,Matrix!$H$13:$I$37,2,FALSE)&amp;"_"&amp;C76</f>
        <v>#N/A</v>
      </c>
      <c r="O76" s="110" t="e">
        <f t="shared" ca="1" si="3"/>
        <v>#N/A</v>
      </c>
    </row>
    <row r="77" spans="2:15">
      <c r="B77" s="22"/>
      <c r="C77" s="21"/>
      <c r="D77" s="102"/>
      <c r="E77" s="22"/>
      <c r="F77" s="103"/>
      <c r="G77" s="22"/>
      <c r="H77" s="103"/>
      <c r="I77" s="22"/>
      <c r="J77" s="103"/>
      <c r="K77" s="22"/>
      <c r="L77" s="103"/>
      <c r="M77" s="37" t="e">
        <f t="shared" ca="1" si="4"/>
        <v>#N/A</v>
      </c>
      <c r="N77" s="99" t="e">
        <f ca="1">VLOOKUP($B77,Matrix!$H$13:$I$37,2,FALSE)&amp;"_"&amp;C77</f>
        <v>#N/A</v>
      </c>
      <c r="O77" s="110" t="e">
        <f t="shared" ca="1" si="3"/>
        <v>#N/A</v>
      </c>
    </row>
    <row r="78" spans="2:15">
      <c r="B78" s="22"/>
      <c r="C78" s="21"/>
      <c r="D78" s="102"/>
      <c r="E78" s="22"/>
      <c r="F78" s="103"/>
      <c r="G78" s="22"/>
      <c r="H78" s="103"/>
      <c r="I78" s="22"/>
      <c r="J78" s="103"/>
      <c r="K78" s="22"/>
      <c r="L78" s="103"/>
      <c r="M78" s="37" t="e">
        <f t="shared" ca="1" si="4"/>
        <v>#N/A</v>
      </c>
      <c r="N78" s="99" t="e">
        <f ca="1">VLOOKUP($B78,Matrix!$H$13:$I$37,2,FALSE)&amp;"_"&amp;C78</f>
        <v>#N/A</v>
      </c>
      <c r="O78" s="110" t="e">
        <f t="shared" ca="1" si="3"/>
        <v>#N/A</v>
      </c>
    </row>
    <row r="79" spans="2:15">
      <c r="B79" s="22"/>
      <c r="C79" s="21"/>
      <c r="D79" s="102"/>
      <c r="E79" s="22"/>
      <c r="F79" s="103"/>
      <c r="G79" s="22"/>
      <c r="H79" s="103"/>
      <c r="I79" s="22"/>
      <c r="J79" s="103"/>
      <c r="K79" s="22"/>
      <c r="L79" s="103"/>
      <c r="M79" s="37" t="e">
        <f t="shared" ca="1" si="4"/>
        <v>#N/A</v>
      </c>
      <c r="N79" s="99" t="e">
        <f ca="1">VLOOKUP($B79,Matrix!$H$13:$I$37,2,FALSE)&amp;"_"&amp;C79</f>
        <v>#N/A</v>
      </c>
      <c r="O79" s="110" t="e">
        <f t="shared" ca="1" si="3"/>
        <v>#N/A</v>
      </c>
    </row>
    <row r="80" spans="2:15">
      <c r="B80" s="22"/>
      <c r="C80" s="21"/>
      <c r="D80" s="102"/>
      <c r="E80" s="22"/>
      <c r="F80" s="103"/>
      <c r="G80" s="22"/>
      <c r="H80" s="103"/>
      <c r="I80" s="22"/>
      <c r="J80" s="103"/>
      <c r="K80" s="22"/>
      <c r="L80" s="103"/>
      <c r="M80" s="37" t="e">
        <f t="shared" ca="1" si="4"/>
        <v>#N/A</v>
      </c>
      <c r="N80" s="99" t="e">
        <f ca="1">VLOOKUP($B80,Matrix!$H$13:$I$37,2,FALSE)&amp;"_"&amp;C80</f>
        <v>#N/A</v>
      </c>
      <c r="O80" s="110" t="e">
        <f t="shared" ca="1" si="3"/>
        <v>#N/A</v>
      </c>
    </row>
    <row r="81" spans="2:15">
      <c r="B81" s="22"/>
      <c r="C81" s="21"/>
      <c r="D81" s="102"/>
      <c r="E81" s="22"/>
      <c r="F81" s="103"/>
      <c r="G81" s="22"/>
      <c r="H81" s="103"/>
      <c r="I81" s="22"/>
      <c r="J81" s="103"/>
      <c r="K81" s="22"/>
      <c r="L81" s="103"/>
      <c r="M81" s="37" t="e">
        <f t="shared" ca="1" si="4"/>
        <v>#N/A</v>
      </c>
      <c r="N81" s="99" t="e">
        <f ca="1">VLOOKUP($B81,Matrix!$H$13:$I$37,2,FALSE)&amp;"_"&amp;C81</f>
        <v>#N/A</v>
      </c>
      <c r="O81" s="110" t="e">
        <f t="shared" ca="1" si="3"/>
        <v>#N/A</v>
      </c>
    </row>
    <row r="82" spans="2:15">
      <c r="B82" s="22"/>
      <c r="C82" s="21"/>
      <c r="D82" s="102"/>
      <c r="E82" s="22"/>
      <c r="F82" s="103"/>
      <c r="G82" s="22"/>
      <c r="H82" s="103"/>
      <c r="I82" s="22"/>
      <c r="J82" s="103"/>
      <c r="K82" s="22"/>
      <c r="L82" s="103"/>
      <c r="M82" s="37" t="e">
        <f t="shared" ca="1" si="4"/>
        <v>#N/A</v>
      </c>
      <c r="N82" s="99" t="e">
        <f ca="1">VLOOKUP($B82,Matrix!$H$13:$I$37,2,FALSE)&amp;"_"&amp;C82</f>
        <v>#N/A</v>
      </c>
      <c r="O82" s="110" t="e">
        <f t="shared" ca="1" si="3"/>
        <v>#N/A</v>
      </c>
    </row>
    <row r="83" spans="2:15">
      <c r="B83" s="22"/>
      <c r="C83" s="21"/>
      <c r="D83" s="102"/>
      <c r="E83" s="22"/>
      <c r="F83" s="103"/>
      <c r="G83" s="22"/>
      <c r="H83" s="103"/>
      <c r="I83" s="22"/>
      <c r="J83" s="103"/>
      <c r="K83" s="22"/>
      <c r="L83" s="103"/>
      <c r="M83" s="37" t="e">
        <f t="shared" ca="1" si="4"/>
        <v>#N/A</v>
      </c>
      <c r="N83" s="99" t="e">
        <f ca="1">VLOOKUP($B83,Matrix!$H$13:$I$37,2,FALSE)&amp;"_"&amp;C83</f>
        <v>#N/A</v>
      </c>
      <c r="O83" s="110" t="e">
        <f t="shared" ca="1" si="3"/>
        <v>#N/A</v>
      </c>
    </row>
    <row r="84" spans="2:15">
      <c r="B84" s="22"/>
      <c r="C84" s="21"/>
      <c r="D84" s="102"/>
      <c r="E84" s="22"/>
      <c r="F84" s="103"/>
      <c r="G84" s="22"/>
      <c r="H84" s="103"/>
      <c r="I84" s="22"/>
      <c r="J84" s="103"/>
      <c r="K84" s="22"/>
      <c r="L84" s="103"/>
      <c r="M84" s="37" t="e">
        <f t="shared" ca="1" si="4"/>
        <v>#N/A</v>
      </c>
      <c r="N84" s="99" t="e">
        <f ca="1">VLOOKUP($B84,Matrix!$H$13:$I$37,2,FALSE)&amp;"_"&amp;C84</f>
        <v>#N/A</v>
      </c>
      <c r="O84" s="110" t="e">
        <f t="shared" ca="1" si="3"/>
        <v>#N/A</v>
      </c>
    </row>
    <row r="85" spans="2:15">
      <c r="B85" s="22"/>
      <c r="C85" s="21"/>
      <c r="D85" s="102"/>
      <c r="E85" s="22"/>
      <c r="F85" s="103"/>
      <c r="G85" s="22"/>
      <c r="H85" s="103"/>
      <c r="I85" s="22"/>
      <c r="J85" s="103"/>
      <c r="K85" s="22"/>
      <c r="L85" s="103"/>
      <c r="M85" s="37" t="e">
        <f t="shared" ca="1" si="4"/>
        <v>#N/A</v>
      </c>
      <c r="N85" s="99" t="e">
        <f ca="1">VLOOKUP($B85,Matrix!$H$13:$I$37,2,FALSE)&amp;"_"&amp;C85</f>
        <v>#N/A</v>
      </c>
      <c r="O85" s="110" t="e">
        <f t="shared" ca="1" si="3"/>
        <v>#N/A</v>
      </c>
    </row>
    <row r="86" spans="2:15">
      <c r="B86" s="22"/>
      <c r="C86" s="21"/>
      <c r="D86" s="102"/>
      <c r="E86" s="22"/>
      <c r="F86" s="103"/>
      <c r="G86" s="22"/>
      <c r="H86" s="103"/>
      <c r="I86" s="22"/>
      <c r="J86" s="103"/>
      <c r="K86" s="22"/>
      <c r="L86" s="103"/>
      <c r="M86" s="37" t="e">
        <f t="shared" ca="1" si="4"/>
        <v>#N/A</v>
      </c>
      <c r="N86" s="99" t="e">
        <f ca="1">VLOOKUP($B86,Matrix!$H$13:$I$37,2,FALSE)&amp;"_"&amp;C86</f>
        <v>#N/A</v>
      </c>
      <c r="O86" s="110" t="e">
        <f t="shared" ca="1" si="3"/>
        <v>#N/A</v>
      </c>
    </row>
    <row r="87" spans="2:15">
      <c r="B87" s="22"/>
      <c r="C87" s="21"/>
      <c r="D87" s="102"/>
      <c r="E87" s="22"/>
      <c r="F87" s="103"/>
      <c r="G87" s="22"/>
      <c r="H87" s="103"/>
      <c r="I87" s="22"/>
      <c r="J87" s="103"/>
      <c r="K87" s="22"/>
      <c r="L87" s="103"/>
      <c r="M87" s="37" t="e">
        <f t="shared" ca="1" si="4"/>
        <v>#N/A</v>
      </c>
      <c r="N87" s="58" t="e">
        <f ca="1">VLOOKUP($B87,Matrix!$H$13:$I$37,2,FALSE)&amp;"_"&amp;C87</f>
        <v>#N/A</v>
      </c>
      <c r="O87" s="110" t="e">
        <f t="shared" ca="1" si="3"/>
        <v>#N/A</v>
      </c>
    </row>
    <row r="88" spans="2:15">
      <c r="B88" s="22"/>
      <c r="C88" s="21"/>
      <c r="D88" s="102"/>
      <c r="E88" s="22"/>
      <c r="F88" s="103"/>
      <c r="G88" s="22"/>
      <c r="H88" s="103"/>
      <c r="I88" s="22"/>
      <c r="J88" s="103"/>
      <c r="K88" s="22"/>
      <c r="L88" s="103"/>
      <c r="M88" s="37" t="e">
        <f t="shared" ca="1" si="4"/>
        <v>#N/A</v>
      </c>
      <c r="N88" s="58" t="e">
        <f ca="1">VLOOKUP($B88,Matrix!$H$13:$I$37,2,FALSE)&amp;"_"&amp;C88</f>
        <v>#N/A</v>
      </c>
      <c r="O88" s="110" t="e">
        <f t="shared" ca="1" si="3"/>
        <v>#N/A</v>
      </c>
    </row>
    <row r="89" spans="2:15">
      <c r="B89" s="22"/>
      <c r="C89" s="21"/>
      <c r="D89" s="102"/>
      <c r="E89" s="22"/>
      <c r="F89" s="103"/>
      <c r="G89" s="22"/>
      <c r="H89" s="103"/>
      <c r="I89" s="22"/>
      <c r="J89" s="103"/>
      <c r="K89" s="22"/>
      <c r="L89" s="103"/>
      <c r="M89" s="37" t="e">
        <f t="shared" ca="1" si="4"/>
        <v>#N/A</v>
      </c>
      <c r="N89" s="58" t="e">
        <f ca="1">VLOOKUP($B89,Matrix!$H$13:$I$37,2,FALSE)&amp;"_"&amp;C89</f>
        <v>#N/A</v>
      </c>
      <c r="O89" s="110" t="e">
        <f t="shared" ca="1" si="3"/>
        <v>#N/A</v>
      </c>
    </row>
    <row r="90" spans="2:15">
      <c r="B90" s="22"/>
      <c r="C90" s="21"/>
      <c r="D90" s="102"/>
      <c r="E90" s="22"/>
      <c r="F90" s="103"/>
      <c r="G90" s="22"/>
      <c r="H90" s="103"/>
      <c r="I90" s="22"/>
      <c r="J90" s="103"/>
      <c r="K90" s="22"/>
      <c r="L90" s="103"/>
      <c r="M90" s="37" t="e">
        <f t="shared" ca="1" si="4"/>
        <v>#N/A</v>
      </c>
      <c r="N90" s="58" t="e">
        <f ca="1">VLOOKUP($B90,Matrix!$H$13:$I$37,2,FALSE)&amp;"_"&amp;C90</f>
        <v>#N/A</v>
      </c>
      <c r="O90" s="110" t="e">
        <f t="shared" ca="1" si="3"/>
        <v>#N/A</v>
      </c>
    </row>
    <row r="91" spans="2:15">
      <c r="B91" s="22"/>
      <c r="C91" s="21"/>
      <c r="D91" s="102"/>
      <c r="E91" s="22"/>
      <c r="F91" s="103"/>
      <c r="G91" s="22"/>
      <c r="H91" s="103"/>
      <c r="I91" s="22"/>
      <c r="J91" s="103"/>
      <c r="K91" s="22"/>
      <c r="L91" s="103"/>
      <c r="M91" s="37" t="e">
        <f t="shared" ca="1" si="4"/>
        <v>#N/A</v>
      </c>
      <c r="N91" s="58" t="e">
        <f ca="1">VLOOKUP($B91,Matrix!$H$13:$I$37,2,FALSE)&amp;"_"&amp;C91</f>
        <v>#N/A</v>
      </c>
      <c r="O91" s="110" t="e">
        <f t="shared" ca="1" si="3"/>
        <v>#N/A</v>
      </c>
    </row>
    <row r="92" spans="2:15">
      <c r="B92" s="22"/>
      <c r="C92" s="21"/>
      <c r="D92" s="102"/>
      <c r="E92" s="22"/>
      <c r="F92" s="103"/>
      <c r="G92" s="22"/>
      <c r="H92" s="103"/>
      <c r="I92" s="22"/>
      <c r="J92" s="103"/>
      <c r="K92" s="22"/>
      <c r="L92" s="103"/>
      <c r="M92" s="37" t="e">
        <f t="shared" ca="1" si="4"/>
        <v>#N/A</v>
      </c>
      <c r="N92" s="58" t="e">
        <f ca="1">VLOOKUP($B92,Matrix!$H$13:$I$37,2,FALSE)&amp;"_"&amp;C92</f>
        <v>#N/A</v>
      </c>
      <c r="O92" s="110" t="e">
        <f t="shared" ca="1" si="3"/>
        <v>#N/A</v>
      </c>
    </row>
    <row r="93" spans="2:15">
      <c r="B93" s="22"/>
      <c r="C93" s="21"/>
      <c r="D93" s="102"/>
      <c r="E93" s="22"/>
      <c r="F93" s="103"/>
      <c r="G93" s="22"/>
      <c r="H93" s="103"/>
      <c r="I93" s="22"/>
      <c r="J93" s="103"/>
      <c r="K93" s="22"/>
      <c r="L93" s="103"/>
      <c r="M93" s="37" t="e">
        <f t="shared" ca="1" si="4"/>
        <v>#N/A</v>
      </c>
      <c r="N93" s="58" t="e">
        <f ca="1">VLOOKUP($B93,Matrix!$H$13:$I$37,2,FALSE)&amp;"_"&amp;C93</f>
        <v>#N/A</v>
      </c>
      <c r="O93" s="110" t="e">
        <f t="shared" ca="1" si="3"/>
        <v>#N/A</v>
      </c>
    </row>
    <row r="94" spans="2:15">
      <c r="B94" s="22"/>
      <c r="C94" s="21"/>
      <c r="D94" s="102"/>
      <c r="E94" s="22"/>
      <c r="F94" s="103"/>
      <c r="G94" s="22"/>
      <c r="H94" s="103"/>
      <c r="I94" s="22"/>
      <c r="J94" s="103"/>
      <c r="K94" s="22"/>
      <c r="L94" s="103"/>
      <c r="M94" s="37" t="e">
        <f t="shared" ca="1" si="4"/>
        <v>#N/A</v>
      </c>
      <c r="N94" s="58" t="e">
        <f ca="1">VLOOKUP($B94,Matrix!$H$13:$I$37,2,FALSE)&amp;"_"&amp;C94</f>
        <v>#N/A</v>
      </c>
      <c r="O94" s="110" t="e">
        <f t="shared" ca="1" si="3"/>
        <v>#N/A</v>
      </c>
    </row>
    <row r="95" spans="2:15">
      <c r="B95" s="22"/>
      <c r="C95" s="21"/>
      <c r="D95" s="102"/>
      <c r="E95" s="22"/>
      <c r="F95" s="103"/>
      <c r="G95" s="22"/>
      <c r="H95" s="103"/>
      <c r="I95" s="22"/>
      <c r="J95" s="103"/>
      <c r="K95" s="22"/>
      <c r="L95" s="103"/>
      <c r="M95" s="37" t="e">
        <f t="shared" ca="1" si="4"/>
        <v>#N/A</v>
      </c>
      <c r="N95" s="58" t="e">
        <f ca="1">VLOOKUP($B95,Matrix!$H$13:$I$37,2,FALSE)&amp;"_"&amp;C95</f>
        <v>#N/A</v>
      </c>
      <c r="O95" s="110" t="e">
        <f t="shared" ca="1" si="3"/>
        <v>#N/A</v>
      </c>
    </row>
    <row r="96" spans="2:15">
      <c r="B96" s="22"/>
      <c r="C96" s="21"/>
      <c r="D96" s="102"/>
      <c r="E96" s="22"/>
      <c r="F96" s="103"/>
      <c r="G96" s="22"/>
      <c r="H96" s="103"/>
      <c r="I96" s="22"/>
      <c r="J96" s="103"/>
      <c r="K96" s="22"/>
      <c r="L96" s="103"/>
      <c r="M96" s="37" t="e">
        <f t="shared" ca="1" si="4"/>
        <v>#N/A</v>
      </c>
      <c r="N96" s="58" t="e">
        <f ca="1">VLOOKUP($B96,Matrix!$H$13:$I$37,2,FALSE)&amp;"_"&amp;C96</f>
        <v>#N/A</v>
      </c>
      <c r="O96" s="110" t="e">
        <f t="shared" ca="1" si="3"/>
        <v>#N/A</v>
      </c>
    </row>
    <row r="97" spans="2:15">
      <c r="B97" s="22"/>
      <c r="C97" s="21"/>
      <c r="D97" s="102"/>
      <c r="E97" s="22"/>
      <c r="F97" s="103"/>
      <c r="G97" s="22"/>
      <c r="H97" s="103"/>
      <c r="I97" s="22"/>
      <c r="J97" s="103"/>
      <c r="K97" s="22"/>
      <c r="L97" s="103"/>
      <c r="M97" s="37" t="e">
        <f t="shared" ca="1" si="4"/>
        <v>#N/A</v>
      </c>
      <c r="N97" s="58" t="e">
        <f ca="1">VLOOKUP($B97,Matrix!$H$13:$I$37,2,FALSE)&amp;"_"&amp;C97</f>
        <v>#N/A</v>
      </c>
      <c r="O97" s="110" t="e">
        <f t="shared" ca="1" si="3"/>
        <v>#N/A</v>
      </c>
    </row>
    <row r="98" spans="2:15">
      <c r="B98" s="22"/>
      <c r="C98" s="21"/>
      <c r="D98" s="102"/>
      <c r="E98" s="22"/>
      <c r="F98" s="103"/>
      <c r="G98" s="22"/>
      <c r="H98" s="103"/>
      <c r="I98" s="22"/>
      <c r="J98" s="103"/>
      <c r="K98" s="22"/>
      <c r="L98" s="103"/>
      <c r="M98" s="37" t="e">
        <f t="shared" ca="1" si="4"/>
        <v>#N/A</v>
      </c>
      <c r="N98" s="58" t="e">
        <f ca="1">VLOOKUP($B98,Matrix!$H$13:$I$37,2,FALSE)&amp;"_"&amp;C98</f>
        <v>#N/A</v>
      </c>
      <c r="O98" s="110" t="e">
        <f t="shared" ca="1" si="3"/>
        <v>#N/A</v>
      </c>
    </row>
    <row r="99" spans="2:15">
      <c r="B99" s="22"/>
      <c r="C99" s="21"/>
      <c r="D99" s="102"/>
      <c r="E99" s="22"/>
      <c r="F99" s="103"/>
      <c r="G99" s="22"/>
      <c r="H99" s="103"/>
      <c r="I99" s="22"/>
      <c r="J99" s="103"/>
      <c r="K99" s="22"/>
      <c r="L99" s="103"/>
      <c r="M99" s="37" t="e">
        <f t="shared" ca="1" si="4"/>
        <v>#N/A</v>
      </c>
      <c r="N99" s="58" t="e">
        <f ca="1">VLOOKUP($B99,Matrix!$H$13:$I$37,2,FALSE)&amp;"_"&amp;C99</f>
        <v>#N/A</v>
      </c>
      <c r="O99" s="110" t="e">
        <f t="shared" ca="1" si="3"/>
        <v>#N/A</v>
      </c>
    </row>
    <row r="100" spans="2:15">
      <c r="B100" s="22"/>
      <c r="C100" s="21"/>
      <c r="D100" s="102"/>
      <c r="E100" s="22"/>
      <c r="F100" s="103"/>
      <c r="G100" s="22"/>
      <c r="H100" s="103"/>
      <c r="I100" s="22"/>
      <c r="J100" s="103"/>
      <c r="K100" s="22"/>
      <c r="L100" s="103"/>
      <c r="M100" s="37" t="e">
        <f t="shared" ca="1" si="4"/>
        <v>#N/A</v>
      </c>
      <c r="N100" s="58" t="e">
        <f ca="1">VLOOKUP($B100,Matrix!$H$13:$I$37,2,FALSE)&amp;"_"&amp;C100</f>
        <v>#N/A</v>
      </c>
      <c r="O100" s="110" t="e">
        <f t="shared" ref="O100:O103" ca="1" si="5">"#define "&amp;N100&amp;REPT(" ",48-M100)&amp;"("&amp;D100&amp;"U)"</f>
        <v>#N/A</v>
      </c>
    </row>
    <row r="101" spans="2:15">
      <c r="B101" s="22"/>
      <c r="C101" s="21"/>
      <c r="D101" s="102"/>
      <c r="E101" s="22"/>
      <c r="F101" s="103"/>
      <c r="G101" s="22"/>
      <c r="H101" s="103"/>
      <c r="I101" s="22"/>
      <c r="J101" s="103"/>
      <c r="K101" s="22"/>
      <c r="L101" s="103"/>
      <c r="M101" s="37" t="e">
        <f t="shared" ca="1" si="4"/>
        <v>#N/A</v>
      </c>
      <c r="N101" s="58" t="e">
        <f ca="1">VLOOKUP($B101,Matrix!$H$13:$I$37,2,FALSE)&amp;"_"&amp;C101</f>
        <v>#N/A</v>
      </c>
      <c r="O101" s="110" t="e">
        <f t="shared" ca="1" si="5"/>
        <v>#N/A</v>
      </c>
    </row>
    <row r="102" spans="2:15">
      <c r="B102" s="22"/>
      <c r="C102" s="21"/>
      <c r="D102" s="102"/>
      <c r="E102" s="22"/>
      <c r="F102" s="103"/>
      <c r="G102" s="22"/>
      <c r="H102" s="103"/>
      <c r="I102" s="22"/>
      <c r="J102" s="103"/>
      <c r="K102" s="22"/>
      <c r="L102" s="103"/>
      <c r="M102" s="37" t="e">
        <f t="shared" ca="1" si="4"/>
        <v>#N/A</v>
      </c>
      <c r="N102" s="58" t="e">
        <f ca="1">VLOOKUP($B102,Matrix!$H$13:$I$37,2,FALSE)&amp;"_"&amp;C102</f>
        <v>#N/A</v>
      </c>
      <c r="O102" s="110" t="e">
        <f t="shared" ca="1" si="5"/>
        <v>#N/A</v>
      </c>
    </row>
    <row r="103" spans="2:15" ht="13.8" thickBot="1">
      <c r="B103" s="43"/>
      <c r="C103" s="44"/>
      <c r="D103" s="104"/>
      <c r="E103" s="43"/>
      <c r="F103" s="105"/>
      <c r="G103" s="43"/>
      <c r="H103" s="105"/>
      <c r="I103" s="43"/>
      <c r="J103" s="105"/>
      <c r="K103" s="43"/>
      <c r="L103" s="105"/>
      <c r="M103" s="45" t="e">
        <f t="shared" ca="1" si="4"/>
        <v>#N/A</v>
      </c>
      <c r="N103" s="59" t="e">
        <f ca="1">VLOOKUP($B103,Matrix!$H$13:$I$37,2,FALSE)&amp;"_"&amp;C103</f>
        <v>#N/A</v>
      </c>
      <c r="O103" s="111" t="e">
        <f t="shared" ca="1" si="5"/>
        <v>#N/A</v>
      </c>
    </row>
  </sheetData>
  <sheetProtection sheet="1" objects="1" scenarios="1"/>
  <protectedRanges>
    <protectedRange sqref="B4:L103" name="範囲1"/>
  </protectedRanges>
  <phoneticPr fontId="3"/>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topLeftCell="B1" zoomScale="70" zoomScaleNormal="70" workbookViewId="0">
      <pane ySplit="3" topLeftCell="A4" activePane="bottomLeft" state="frozen"/>
      <selection pane="bottomLeft" activeCell="AV31" sqref="AV31"/>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12" t="s">
        <v>123</v>
      </c>
      <c r="C2" s="306" t="s">
        <v>84</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308" t="s">
        <v>51</v>
      </c>
    </row>
    <row r="3" spans="1:49" ht="213" customHeight="1" thickBot="1">
      <c r="B3" s="211" t="str">
        <f>IF(OR(IF(COUNTIF(D6:AC69,"0")&lt;&gt;0,TRUE,FALSE),IF(COUNTIF(D6:AC69,"1")&lt;&gt;0,TRUE,FALSE)),"Search Table","Index Table")</f>
        <v>Index Table</v>
      </c>
      <c r="C3" s="307"/>
      <c r="D3" s="114" t="s">
        <v>61</v>
      </c>
      <c r="E3" s="114" t="s">
        <v>66</v>
      </c>
      <c r="F3" s="114" t="s">
        <v>49</v>
      </c>
      <c r="G3" s="114" t="s">
        <v>48</v>
      </c>
      <c r="H3" s="114" t="s">
        <v>121</v>
      </c>
      <c r="I3" s="114" t="s">
        <v>120</v>
      </c>
      <c r="J3" s="114" t="s">
        <v>125</v>
      </c>
      <c r="K3" s="114" t="s">
        <v>124</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115" t="s">
        <v>66</v>
      </c>
      <c r="AG3" s="310" t="s">
        <v>195</v>
      </c>
      <c r="AH3" s="311"/>
      <c r="AI3" s="190" t="s">
        <v>229</v>
      </c>
      <c r="AJ3" s="309"/>
      <c r="AR3" s="80" t="s">
        <v>96</v>
      </c>
    </row>
    <row r="4" spans="1:49" ht="13.8" thickBot="1">
      <c r="A4" s="312" t="s">
        <v>63</v>
      </c>
      <c r="B4" s="313"/>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17"/>
      <c r="AR4" s="68" t="s">
        <v>82</v>
      </c>
      <c r="AS4" s="69"/>
      <c r="AT4" s="69"/>
      <c r="AU4" s="69"/>
      <c r="AV4" s="69"/>
      <c r="AW4" s="70"/>
    </row>
    <row r="5" spans="1:49" ht="13.8" thickBot="1">
      <c r="A5" s="314"/>
      <c r="B5" s="315"/>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18"/>
      <c r="AR5" s="71" t="str">
        <f ca="1">"static const U4  "&amp;AW8&amp;"["&amp;AW10&amp;"]"&amp;" = {"</f>
        <v>static const U4  u4_sp_ALERT_S_ADBZR_BSM_CRIT[ALERT_S_ADBZR_BSM_NUM_DST] = {</v>
      </c>
      <c r="AS5" s="71" t="str">
        <f ca="1">"static const U4  "&amp;$AW$9&amp;"["&amp;$AW$10&amp;"] = {"</f>
        <v>static const U4  u4_sp_ALERT_S_ADBZR_BSM_MASK[ALERT_S_ADBZR_BSM_NUM_DST] = {</v>
      </c>
      <c r="AT5" s="71" t="str">
        <f ca="1">"static const U1  "&amp;$AW$11&amp;"["&amp;$AW$10&amp;"] = {"</f>
        <v>static const U1  u1_sp_ALERT_S_ADBZR_BSM_DST[ALERT_S_ADBZR_BSM_NUM_DST] = {</v>
      </c>
      <c r="AU5" s="71" t="str">
        <f ca="1">"const ST_ALERT_MTRX "&amp;$AW$12&amp;" = {"</f>
        <v>const ST_ALERT_MTRX st_gp_ALERT_S_ADBZR_BSM_MTRX[1] = {</v>
      </c>
      <c r="AV5" s="55" t="str">
        <f ca="1">"#define "&amp;AW10&amp;REPT(" ",41-LEN(AW10))&amp;"("&amp;AW13&amp;"U)"</f>
        <v>#define ALERT_S_ADBZR_BSM_NUM_DST                (8U)</v>
      </c>
      <c r="AW5" s="56"/>
    </row>
    <row r="6" spans="1:49">
      <c r="B6" s="120" t="str">
        <f ca="1">"Table "&amp;$AW$6</f>
        <v>Table S_ADBZR_BSM</v>
      </c>
      <c r="C6" s="42">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67</v>
      </c>
      <c r="AC6" s="116" t="s">
        <v>67</v>
      </c>
      <c r="AD6" s="116" t="s">
        <v>67</v>
      </c>
      <c r="AE6" s="116" t="s">
        <v>67</v>
      </c>
      <c r="AF6" s="116" t="s">
        <v>67</v>
      </c>
      <c r="AG6" s="174">
        <v>0</v>
      </c>
      <c r="AH6" s="174">
        <v>0</v>
      </c>
      <c r="AI6" s="174">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(U4)0x00000007U,                                                           /* 00 UNKNOWN                                         */</v>
      </c>
      <c r="AT6" s="53" t="str">
        <f t="shared" ref="AT6:AT69" si="1">IF(AJ6&lt;&gt;"",AL6&amp;IF(AJ7&lt;&gt;"",","," ")&amp;REPT(" ",78-LEN(AL6))&amp;"/* "&amp;IF(C6&lt;10,"0"&amp;C6,C6)&amp;" "&amp;AJ6&amp;REPT(" ",48-LEN(AJ6))&amp;"*/",IF(AJ5&lt;&gt;"","};",""))</f>
        <v xml:space="preserve">    (U1)ALERT_REQ_UNKNOWN,                                                     /* 00 UNKNOWN                                         */</v>
      </c>
      <c r="AU6" s="53" t="s">
        <v>68</v>
      </c>
      <c r="AV6" s="38" t="s">
        <v>70</v>
      </c>
      <c r="AW6" s="57" t="str">
        <f ca="1">UPPER(RIGHT(CELL("filename",A1),LEN(CELL("filename",A1))-FIND("]",CELL("filename",A1))))</f>
        <v>S_ADBZR_BSM</v>
      </c>
    </row>
    <row r="7" spans="1:49">
      <c r="B7" s="120"/>
      <c r="C7" s="37">
        <f t="shared" ref="C7:C69" si="2">ROW()-ROW($C$6)</f>
        <v>1</v>
      </c>
      <c r="D7" s="51" t="s">
        <v>67</v>
      </c>
      <c r="E7" s="51" t="s">
        <v>67</v>
      </c>
      <c r="F7" s="51" t="s">
        <v>67</v>
      </c>
      <c r="G7" s="51" t="s">
        <v>67</v>
      </c>
      <c r="H7" s="51" t="s">
        <v>67</v>
      </c>
      <c r="I7" s="51" t="s">
        <v>67</v>
      </c>
      <c r="J7" s="116" t="s">
        <v>67</v>
      </c>
      <c r="K7" s="116"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6" t="s">
        <v>67</v>
      </c>
      <c r="Z7" s="116" t="s">
        <v>67</v>
      </c>
      <c r="AA7" s="116" t="s">
        <v>67</v>
      </c>
      <c r="AB7" s="116" t="s">
        <v>67</v>
      </c>
      <c r="AC7" s="116" t="s">
        <v>67</v>
      </c>
      <c r="AD7" s="116" t="s">
        <v>67</v>
      </c>
      <c r="AE7" s="116" t="s">
        <v>67</v>
      </c>
      <c r="AF7" s="116" t="s">
        <v>67</v>
      </c>
      <c r="AG7" s="174">
        <v>0</v>
      </c>
      <c r="AH7" s="174">
        <v>0</v>
      </c>
      <c r="AI7" s="174">
        <v>1</v>
      </c>
      <c r="AJ7" s="41" t="s">
        <v>232</v>
      </c>
      <c r="AL7" t="str">
        <f t="shared" ca="1" si="0"/>
        <v xml:space="preserve">    (U1)ALERT_REQ_S_ADBZR_BSM_WARNING</v>
      </c>
      <c r="AR7" s="53" t="str">
        <f t="shared" ref="AR7:AR70" si="3">IF(AQ72&lt;&gt;"",AQ72,IF(AQ71&lt;&gt;"","};",""))</f>
        <v xml:space="preserve">    (U4)0x00000001U,                                                           /* 01 WARNING                                         */</v>
      </c>
      <c r="AS7" s="53" t="str">
        <f t="shared" ref="AS7:AS70" si="4">IF(AQ137&lt;&gt;"",AQ137,IF(AQ136&lt;&gt;"","};",""))</f>
        <v xml:space="preserve">    (U4)0x00000007U,                                                           /* 01 WARNING                                         */</v>
      </c>
      <c r="AT7" s="53" t="str">
        <f ca="1">IF(AJ7&lt;&gt;"",AL7&amp;IF(AJ8&lt;&gt;"",","," ")&amp;REPT(" ",78-LEN(AL7))&amp;"/* "&amp;IF(C7&lt;10,"0"&amp;C7,C7)&amp;" "&amp;AJ7&amp;REPT(" ",48-LEN(AJ7))&amp;"*/",IF(AJ6&lt;&gt;"","};",""))</f>
        <v xml:space="preserve">    (U1)ALERT_REQ_S_ADBZR_BSM_WARNING,                                         /* 01 WARNING                                         */</v>
      </c>
      <c r="AU7" s="53" t="str">
        <f ca="1">"        &amp;"&amp;$AW$14&amp;","&amp;REPT(" ",69-LEN($AW$14))&amp;"/* fp_u4_SRC_CHK                                      */"</f>
        <v xml:space="preserve">        &amp;u4_s_AlertS_adbzr_bsmSrcchk,                                          /* fp_u4_SRC_CHK                                      */</v>
      </c>
      <c r="AV7" s="39" t="s">
        <v>71</v>
      </c>
      <c r="AW7" s="119">
        <f>IF(B3="Search Table",1,0)</f>
        <v>0</v>
      </c>
    </row>
    <row r="8" spans="1:49">
      <c r="B8" s="120"/>
      <c r="C8" s="37">
        <f t="shared" si="2"/>
        <v>2</v>
      </c>
      <c r="D8" s="51" t="s">
        <v>67</v>
      </c>
      <c r="E8" s="51" t="s">
        <v>67</v>
      </c>
      <c r="F8" s="51" t="s">
        <v>67</v>
      </c>
      <c r="G8" s="51" t="s">
        <v>67</v>
      </c>
      <c r="H8" s="51" t="s">
        <v>67</v>
      </c>
      <c r="I8" s="51" t="s">
        <v>67</v>
      </c>
      <c r="J8" s="116"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6" t="s">
        <v>67</v>
      </c>
      <c r="Z8" s="116" t="s">
        <v>67</v>
      </c>
      <c r="AA8" s="116" t="s">
        <v>67</v>
      </c>
      <c r="AB8" s="116" t="s">
        <v>67</v>
      </c>
      <c r="AC8" s="116" t="s">
        <v>67</v>
      </c>
      <c r="AD8" s="116" t="s">
        <v>67</v>
      </c>
      <c r="AE8" s="116" t="s">
        <v>67</v>
      </c>
      <c r="AF8" s="116" t="s">
        <v>67</v>
      </c>
      <c r="AG8" s="174">
        <v>0</v>
      </c>
      <c r="AH8" s="174">
        <v>1</v>
      </c>
      <c r="AI8" s="174">
        <v>0</v>
      </c>
      <c r="AJ8" s="41" t="s">
        <v>32</v>
      </c>
      <c r="AL8" t="str">
        <f t="shared" si="0"/>
        <v xml:space="preserve">    (U1)ALERT_REQ_UNKNOWN</v>
      </c>
      <c r="AR8" s="53" t="str">
        <f t="shared" si="3"/>
        <v xml:space="preserve">    (U4)0x00000002U,                                                           /* 02 UNKNOWN                                         */</v>
      </c>
      <c r="AS8" s="53" t="str">
        <f t="shared" si="4"/>
        <v xml:space="preserve">    (U4)0x00000007U,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72</v>
      </c>
      <c r="AW8" s="58" t="str">
        <f ca="1">"u4_sp_ALERT_"&amp;IF(AW6&lt;&gt;AW17,$AW$17&amp;"_"&amp;$AW$6,AW17)&amp;"_CRIT"</f>
        <v>u4_sp_ALERT_S_ADBZR_BSM_CRIT</v>
      </c>
    </row>
    <row r="9" spans="1:49">
      <c r="B9" s="120"/>
      <c r="C9" s="37">
        <f t="shared" si="2"/>
        <v>3</v>
      </c>
      <c r="D9" s="51" t="s">
        <v>67</v>
      </c>
      <c r="E9" s="51" t="s">
        <v>67</v>
      </c>
      <c r="F9" s="51" t="s">
        <v>67</v>
      </c>
      <c r="G9" s="51" t="s">
        <v>67</v>
      </c>
      <c r="H9" s="51" t="s">
        <v>67</v>
      </c>
      <c r="I9" s="51" t="s">
        <v>67</v>
      </c>
      <c r="J9" s="116"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6" t="s">
        <v>67</v>
      </c>
      <c r="Z9" s="116" t="s">
        <v>67</v>
      </c>
      <c r="AA9" s="116" t="s">
        <v>67</v>
      </c>
      <c r="AB9" s="116" t="s">
        <v>67</v>
      </c>
      <c r="AC9" s="116" t="s">
        <v>67</v>
      </c>
      <c r="AD9" s="116" t="s">
        <v>67</v>
      </c>
      <c r="AE9" s="116" t="s">
        <v>67</v>
      </c>
      <c r="AF9" s="116" t="s">
        <v>67</v>
      </c>
      <c r="AG9" s="51">
        <v>0</v>
      </c>
      <c r="AH9" s="51">
        <v>1</v>
      </c>
      <c r="AI9" s="51">
        <v>1</v>
      </c>
      <c r="AJ9" s="41" t="s">
        <v>32</v>
      </c>
      <c r="AL9" t="str">
        <f t="shared" si="0"/>
        <v xml:space="preserve">    (U1)ALERT_REQ_UNKNOWN</v>
      </c>
      <c r="AR9" s="53" t="str">
        <f t="shared" si="3"/>
        <v xml:space="preserve">    (U4)0x00000003U,                                                           /* 03 UNKNOWN                                         */</v>
      </c>
      <c r="AS9" s="53" t="str">
        <f t="shared" si="4"/>
        <v xml:space="preserve">    (U4)0x00000007U,                                                           /* 03 UNKNOWN                                         */</v>
      </c>
      <c r="AT9" s="53" t="str">
        <f t="shared" si="1"/>
        <v xml:space="preserve">    (U1)ALERT_REQ_UNKNOWN,                                                     /* 03 UNKNOWN                                         */</v>
      </c>
      <c r="AU9" s="53"/>
      <c r="AV9" s="39" t="s">
        <v>73</v>
      </c>
      <c r="AW9" s="58" t="str">
        <f ca="1">"u4_sp_ALERT_"&amp;IF(AW6&lt;&gt;AW17,$AW$17&amp;"_"&amp;$AW$6,AW17)&amp;"_MASK"</f>
        <v>u4_sp_ALERT_S_ADBZR_BSM_MASK</v>
      </c>
    </row>
    <row r="10" spans="1:49">
      <c r="B10" s="120"/>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16" t="s">
        <v>67</v>
      </c>
      <c r="AG10" s="51">
        <v>1</v>
      </c>
      <c r="AH10" s="51">
        <v>0</v>
      </c>
      <c r="AI10" s="51">
        <v>0</v>
      </c>
      <c r="AJ10" s="41" t="s">
        <v>32</v>
      </c>
      <c r="AL10" t="str">
        <f t="shared" si="0"/>
        <v xml:space="preserve">    (U1)ALERT_REQ_UNKNOWN</v>
      </c>
      <c r="AR10" s="53" t="str">
        <f t="shared" si="3"/>
        <v xml:space="preserve">    (U4)0x00000004U,                                                           /* 04 UNKNOWN                                         */</v>
      </c>
      <c r="AS10" s="53" t="str">
        <f t="shared" si="4"/>
        <v xml:space="preserve">    (U4)0x00000007U,                                                           /* 04 UNKNOWN                                         */</v>
      </c>
      <c r="AT10" s="53" t="str">
        <f t="shared" si="1"/>
        <v xml:space="preserve">    (U1)ALERT_REQ_UNKNOWN,                                                     /* 04 UNKNOWN                                         */</v>
      </c>
      <c r="AU10" s="53" t="str">
        <f>IF($AW$7=1,"        &amp;"&amp;$AW$9&amp;"[0],"&amp;REPT(" ",66-LEN($AW$9))&amp;"/* u4p_MASK                                           */","        (const U4 *)vdp_PTR_NA,                                                /* u4p_MASK                                           */")</f>
        <v xml:space="preserve">        (const U4 *)vdp_PTR_NA,                                                /* u4p_MASK                                           */</v>
      </c>
      <c r="AV10" s="39" t="s">
        <v>74</v>
      </c>
      <c r="AW10" s="58" t="str">
        <f ca="1">"ALERT_"&amp;IF(AW6&lt;&gt;AW17,$AW$17&amp;"_"&amp;$AW$6,AW17)&amp;"_NUM_DST"</f>
        <v>ALERT_S_ADBZR_BSM_NUM_DST</v>
      </c>
    </row>
    <row r="11" spans="1:49">
      <c r="B11" s="120"/>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16" t="s">
        <v>67</v>
      </c>
      <c r="AG11" s="51">
        <v>1</v>
      </c>
      <c r="AH11" s="51">
        <v>0</v>
      </c>
      <c r="AI11" s="51">
        <v>1</v>
      </c>
      <c r="AJ11" s="41" t="s">
        <v>32</v>
      </c>
      <c r="AL11" t="str">
        <f t="shared" si="0"/>
        <v xml:space="preserve">    (U1)ALERT_REQ_UNKNOWN</v>
      </c>
      <c r="AR11" s="53" t="str">
        <f t="shared" si="3"/>
        <v xml:space="preserve">    (U4)0x00000005U,                                                           /* 05 UNKNOWN                                         */</v>
      </c>
      <c r="AS11" s="53" t="str">
        <f t="shared" si="4"/>
        <v xml:space="preserve">    (U4)0x00000007U,                                                           /* 05 UNKNOWN                                         */</v>
      </c>
      <c r="AT11" s="53" t="str">
        <f t="shared" si="1"/>
        <v xml:space="preserve">    (U1)ALERT_REQ_UNKNOWN,                                                     /* 05 UNKNOWN                                         */</v>
      </c>
      <c r="AU11" s="53" t="str">
        <f>IF($AW$7=1,"        &amp;"&amp;$AW$8&amp;"[0],"&amp;REPT(" ",66-LEN($AW$8))&amp;"/* u4p_CRIT                                           */","        (const U4 *)vdp_PTR_NA,                                                /* u4p_CRIT                                           */")</f>
        <v xml:space="preserve">        (const U4 *)vdp_PTR_NA,                                                /* u4p_CRIT                                           */</v>
      </c>
      <c r="AV11" s="39" t="s">
        <v>75</v>
      </c>
      <c r="AW11" s="58" t="str">
        <f ca="1">"u1_sp_ALERT_"&amp;IF(AW6&lt;&gt;AW17,$AW$17&amp;"_"&amp;$AW$6,AW17)&amp;"_DST"</f>
        <v>u1_sp_ALERT_S_ADBZR_BSM_DST</v>
      </c>
    </row>
    <row r="12" spans="1:49">
      <c r="B12" s="120"/>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6" t="s">
        <v>67</v>
      </c>
      <c r="AF12" s="116" t="s">
        <v>67</v>
      </c>
      <c r="AG12" s="51">
        <v>1</v>
      </c>
      <c r="AH12" s="51">
        <v>1</v>
      </c>
      <c r="AI12" s="51">
        <v>0</v>
      </c>
      <c r="AJ12" s="41" t="s">
        <v>32</v>
      </c>
      <c r="AL12" t="str">
        <f t="shared" si="0"/>
        <v xml:space="preserve">    (U1)ALERT_REQ_UNKNOWN</v>
      </c>
      <c r="AR12" s="53" t="str">
        <f t="shared" si="3"/>
        <v xml:space="preserve">    (U4)0x00000006U,                                                           /* 06 UNKNOWN                                         */</v>
      </c>
      <c r="AS12" s="53" t="str">
        <f t="shared" si="4"/>
        <v xml:space="preserve">    (U4)0x00000007U,                                                           /* 06 UNKNOWN                                         */</v>
      </c>
      <c r="AT12" s="53" t="str">
        <f t="shared" si="1"/>
        <v xml:space="preserve">    (U1)ALERT_REQ_UNKNOWN,                                                     /* 06 UNKNOWN                                         */</v>
      </c>
      <c r="AU12" s="53"/>
      <c r="AV12" s="39" t="s">
        <v>88</v>
      </c>
      <c r="AW12" s="58" t="str">
        <f ca="1">Matrix!D8&amp;"["&amp;Matrix!D7&amp;"]"</f>
        <v>st_gp_ALERT_S_ADBZR_BSM_MTRX[1]</v>
      </c>
    </row>
    <row r="13" spans="1:49">
      <c r="B13" s="120"/>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16" t="s">
        <v>67</v>
      </c>
      <c r="AG13" s="51">
        <v>1</v>
      </c>
      <c r="AH13" s="51">
        <v>1</v>
      </c>
      <c r="AI13" s="51">
        <v>1</v>
      </c>
      <c r="AJ13" s="41" t="s">
        <v>32</v>
      </c>
      <c r="AL13" t="str">
        <f t="shared" si="0"/>
        <v xml:space="preserve">    (U1)ALERT_REQ_UNKNOWN</v>
      </c>
      <c r="AR13" s="53" t="str">
        <f t="shared" si="3"/>
        <v xml:space="preserve">    (U4)0x00000007U                                                            /* 07 UNKNOWN                                         */</v>
      </c>
      <c r="AS13" s="53" t="str">
        <f t="shared" si="4"/>
        <v xml:space="preserve">    (U4)0x00000007U                                                            /* 07 UNKNOWN                                         */</v>
      </c>
      <c r="AT13" s="53" t="str">
        <f t="shared" si="1"/>
        <v xml:space="preserve">    (U1)ALERT_REQ_UNKNOWN                                                      /* 07 UNKNOWN                                         */</v>
      </c>
      <c r="AU13" s="53" t="str">
        <f ca="1">"        &amp;"&amp;$AW$11&amp;"[0],"&amp;REPT(" ",66-LEN($AW$11))&amp;"/* u1p_DST                                            */"</f>
        <v xml:space="preserve">        &amp;u1_sp_ALERT_S_ADBZR_BSM_DST[0],                                       /* u1p_DST                                            */</v>
      </c>
      <c r="AV13" s="39" t="s">
        <v>76</v>
      </c>
      <c r="AW13" s="119">
        <f>COUNTA($AJ$6:$AJ$69)</f>
        <v>8</v>
      </c>
    </row>
    <row r="14" spans="1:49">
      <c r="B14" s="120"/>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16" t="s">
        <v>67</v>
      </c>
      <c r="AG14" s="116" t="s">
        <v>67</v>
      </c>
      <c r="AH14" s="116" t="s">
        <v>67</v>
      </c>
      <c r="AI14" s="116" t="s">
        <v>67</v>
      </c>
      <c r="AJ14" s="21"/>
      <c r="AL14" t="str">
        <f t="shared" ca="1" si="0"/>
        <v xml:space="preserve">    (U1)ALERT_REQ_S_ADBZR_BSM_</v>
      </c>
      <c r="AR14" s="53" t="str">
        <f t="shared" si="3"/>
        <v>};</v>
      </c>
      <c r="AS14" s="53" t="str">
        <f t="shared" si="4"/>
        <v>};</v>
      </c>
      <c r="AT14" s="53" t="str">
        <f t="shared" si="1"/>
        <v>};</v>
      </c>
      <c r="AU14" s="53" t="str">
        <f ca="1">"        (U2)"&amp;$AW$10&amp;","&amp;REPT(" ",66-LEN($AW$10))&amp;"/* u2_num_srch                                        */"</f>
        <v xml:space="preserve">        (U2)ALERT_S_ADBZR_BSM_NUM_DST,                                         /* u2_num_srch                                        */</v>
      </c>
      <c r="AV14" s="39" t="s">
        <v>77</v>
      </c>
      <c r="AW14" s="58" t="str">
        <f ca="1">IF(AW6&lt;&gt;AW17,VLOOKUP(AW6,Matrix!$C$13:$G$37,4,FALSE),Matrix!F13)</f>
        <v>u4_s_AlertS_adbzr_bsmSrcchk</v>
      </c>
    </row>
    <row r="15" spans="1:49">
      <c r="B15" s="120"/>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16" t="s">
        <v>67</v>
      </c>
      <c r="AG15" s="116" t="s">
        <v>67</v>
      </c>
      <c r="AH15" s="116" t="s">
        <v>67</v>
      </c>
      <c r="AI15" s="116" t="s">
        <v>67</v>
      </c>
      <c r="AJ15" s="21"/>
      <c r="AL15" t="str">
        <f t="shared" ca="1" si="0"/>
        <v xml:space="preserve">    (U1)ALERT_REQ_S_ADBZR_BSM_</v>
      </c>
      <c r="AR15" s="53" t="str">
        <f t="shared" si="3"/>
        <v/>
      </c>
      <c r="AS15" s="53" t="str">
        <f t="shared" si="4"/>
        <v/>
      </c>
      <c r="AT15" s="53" t="str">
        <f t="shared" si="1"/>
        <v/>
      </c>
      <c r="AU15" s="53" t="str">
        <f ca="1">"        (U1)"&amp;$AW$16&amp;REPT(" ",67-LEN($AW$16))&amp;"/* u1_vom_act                                         */"</f>
        <v xml:space="preserve">        (U1)ALERT_VOM_IGN_ON                                                   /* u1_vom_act                                         */</v>
      </c>
      <c r="AV15" s="39" t="s">
        <v>80</v>
      </c>
      <c r="AW15" s="58" t="str">
        <f ca="1">IF(AW6&lt;&gt;AW17,VLOOKUP(AW6,Matrix!$C$13:$G$37,5,FALSE),Matrix!G13)</f>
        <v>NULL</v>
      </c>
    </row>
    <row r="16" spans="1:49">
      <c r="B16" s="120"/>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16" t="s">
        <v>67</v>
      </c>
      <c r="AG16" s="116" t="s">
        <v>67</v>
      </c>
      <c r="AH16" s="116" t="s">
        <v>67</v>
      </c>
      <c r="AI16" s="116" t="s">
        <v>67</v>
      </c>
      <c r="AJ16" s="21"/>
      <c r="AL16" t="str">
        <f t="shared" ca="1" si="0"/>
        <v xml:space="preserve">    (U1)ALERT_REQ_S_ADBZR_BSM_</v>
      </c>
      <c r="AR16" s="53" t="str">
        <f t="shared" si="3"/>
        <v/>
      </c>
      <c r="AS16" s="53" t="str">
        <f t="shared" si="4"/>
        <v/>
      </c>
      <c r="AT16" s="53" t="str">
        <f t="shared" si="1"/>
        <v/>
      </c>
      <c r="AU16" s="53" t="s">
        <v>69</v>
      </c>
      <c r="AV16" s="39" t="s">
        <v>78</v>
      </c>
      <c r="AW16" s="58" t="str">
        <f ca="1">IF(AW6&lt;&gt;AW17,VLOOKUP(AW6,Matrix!$C$13:$G$37,2,FALSE),Matrix!D13)</f>
        <v>ALERT_VOM_IGN_ON</v>
      </c>
    </row>
    <row r="17" spans="2:49" ht="13.8" thickBot="1">
      <c r="B17" s="120"/>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51" t="s">
        <v>67</v>
      </c>
      <c r="AF17" s="116" t="s">
        <v>67</v>
      </c>
      <c r="AG17" s="116" t="s">
        <v>67</v>
      </c>
      <c r="AH17" s="116" t="s">
        <v>67</v>
      </c>
      <c r="AI17" s="116" t="s">
        <v>67</v>
      </c>
      <c r="AJ17" s="21"/>
      <c r="AL17" t="str">
        <f t="shared" ca="1" si="0"/>
        <v xml:space="preserve">    (U1)ALERT_REQ_S_ADBZR_BSM_</v>
      </c>
      <c r="AR17" s="53" t="str">
        <f t="shared" si="3"/>
        <v/>
      </c>
      <c r="AS17" s="53" t="str">
        <f t="shared" si="4"/>
        <v/>
      </c>
      <c r="AT17" s="53" t="str">
        <f t="shared" si="1"/>
        <v/>
      </c>
      <c r="AU17" s="54" t="s">
        <v>81</v>
      </c>
      <c r="AV17" s="40" t="s">
        <v>79</v>
      </c>
      <c r="AW17" s="59" t="str">
        <f ca="1">UPPER(Matrix!$D$6)</f>
        <v>S_ADBZR_BSM</v>
      </c>
    </row>
    <row r="18" spans="2:49">
      <c r="B18" s="120"/>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16" t="s">
        <v>67</v>
      </c>
      <c r="AG18" s="116" t="s">
        <v>67</v>
      </c>
      <c r="AH18" s="116" t="s">
        <v>67</v>
      </c>
      <c r="AI18" s="116" t="s">
        <v>67</v>
      </c>
      <c r="AJ18" s="21"/>
      <c r="AL18" t="str">
        <f t="shared" ca="1" si="0"/>
        <v xml:space="preserve">    (U1)ALERT_REQ_S_ADBZR_BSM_</v>
      </c>
      <c r="AR18" s="53" t="str">
        <f t="shared" si="3"/>
        <v/>
      </c>
      <c r="AS18" s="53" t="str">
        <f t="shared" si="4"/>
        <v/>
      </c>
      <c r="AT18" s="53" t="str">
        <f t="shared" si="1"/>
        <v/>
      </c>
    </row>
    <row r="19" spans="2:49">
      <c r="B19" s="120"/>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16" t="s">
        <v>67</v>
      </c>
      <c r="AG19" s="116" t="s">
        <v>67</v>
      </c>
      <c r="AH19" s="116" t="s">
        <v>67</v>
      </c>
      <c r="AI19" s="116" t="s">
        <v>67</v>
      </c>
      <c r="AJ19" s="21"/>
      <c r="AL19" t="str">
        <f t="shared" ca="1" si="0"/>
        <v xml:space="preserve">    (U1)ALERT_REQ_S_ADBZR_BSM_</v>
      </c>
      <c r="AR19" s="53" t="str">
        <f t="shared" si="3"/>
        <v/>
      </c>
      <c r="AS19" s="53" t="str">
        <f t="shared" si="4"/>
        <v/>
      </c>
      <c r="AT19" s="53" t="str">
        <f t="shared" si="1"/>
        <v/>
      </c>
    </row>
    <row r="20" spans="2:49">
      <c r="B20" s="120"/>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16" t="s">
        <v>67</v>
      </c>
      <c r="AG20" s="116" t="s">
        <v>67</v>
      </c>
      <c r="AH20" s="116" t="s">
        <v>67</v>
      </c>
      <c r="AI20" s="116" t="s">
        <v>67</v>
      </c>
      <c r="AJ20" s="21"/>
      <c r="AL20" t="str">
        <f t="shared" ca="1" si="0"/>
        <v xml:space="preserve">    (U1)ALERT_REQ_S_ADBZR_BSM_</v>
      </c>
      <c r="AR20" s="53" t="str">
        <f t="shared" si="3"/>
        <v/>
      </c>
      <c r="AS20" s="53" t="str">
        <f t="shared" si="4"/>
        <v/>
      </c>
      <c r="AT20" s="53" t="str">
        <f t="shared" si="1"/>
        <v/>
      </c>
    </row>
    <row r="21" spans="2:49">
      <c r="B21" s="120"/>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16" t="s">
        <v>67</v>
      </c>
      <c r="AG21" s="116" t="s">
        <v>67</v>
      </c>
      <c r="AH21" s="116" t="s">
        <v>67</v>
      </c>
      <c r="AI21" s="116" t="s">
        <v>67</v>
      </c>
      <c r="AJ21" s="21"/>
      <c r="AL21" t="str">
        <f t="shared" ca="1" si="0"/>
        <v xml:space="preserve">    (U1)ALERT_REQ_S_ADBZR_BSM_</v>
      </c>
      <c r="AR21" s="53" t="str">
        <f t="shared" si="3"/>
        <v/>
      </c>
      <c r="AS21" s="53" t="str">
        <f t="shared" si="4"/>
        <v/>
      </c>
      <c r="AT21" s="53" t="str">
        <f t="shared" si="1"/>
        <v/>
      </c>
    </row>
    <row r="22" spans="2:49">
      <c r="B22" s="120"/>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116" t="s">
        <v>67</v>
      </c>
      <c r="AG22" s="116" t="s">
        <v>67</v>
      </c>
      <c r="AH22" s="116" t="s">
        <v>67</v>
      </c>
      <c r="AI22" s="116" t="s">
        <v>67</v>
      </c>
      <c r="AJ22" s="21"/>
      <c r="AL22" t="str">
        <f t="shared" ca="1" si="0"/>
        <v xml:space="preserve">    (U1)ALERT_REQ_S_ADBZR_BSM_</v>
      </c>
      <c r="AR22" s="53" t="str">
        <f t="shared" si="3"/>
        <v/>
      </c>
      <c r="AS22" s="53" t="str">
        <f t="shared" si="4"/>
        <v/>
      </c>
      <c r="AT22" s="53" t="str">
        <f t="shared" si="1"/>
        <v/>
      </c>
    </row>
    <row r="23" spans="2:49">
      <c r="B23" s="120"/>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116" t="s">
        <v>67</v>
      </c>
      <c r="AG23" s="116" t="s">
        <v>67</v>
      </c>
      <c r="AH23" s="116" t="s">
        <v>67</v>
      </c>
      <c r="AI23" s="116" t="s">
        <v>67</v>
      </c>
      <c r="AJ23" s="21"/>
      <c r="AL23" t="str">
        <f t="shared" ca="1" si="0"/>
        <v xml:space="preserve">    (U1)ALERT_REQ_S_ADBZR_BSM_</v>
      </c>
      <c r="AR23" s="53" t="str">
        <f t="shared" si="3"/>
        <v/>
      </c>
      <c r="AS23" s="53" t="str">
        <f t="shared" si="4"/>
        <v/>
      </c>
      <c r="AT23" s="53" t="str">
        <f t="shared" si="1"/>
        <v/>
      </c>
    </row>
    <row r="24" spans="2:49">
      <c r="B24" s="120"/>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116" t="s">
        <v>67</v>
      </c>
      <c r="AG24" s="116" t="s">
        <v>67</v>
      </c>
      <c r="AH24" s="116" t="s">
        <v>67</v>
      </c>
      <c r="AI24" s="116" t="s">
        <v>67</v>
      </c>
      <c r="AJ24" s="21"/>
      <c r="AL24" t="str">
        <f t="shared" ca="1" si="0"/>
        <v xml:space="preserve">    (U1)ALERT_REQ_S_ADBZR_BSM_</v>
      </c>
      <c r="AR24" s="53" t="str">
        <f t="shared" si="3"/>
        <v/>
      </c>
      <c r="AS24" s="53" t="str">
        <f t="shared" si="4"/>
        <v/>
      </c>
      <c r="AT24" s="53" t="str">
        <f t="shared" si="1"/>
        <v/>
      </c>
    </row>
    <row r="25" spans="2:49">
      <c r="B25" s="120"/>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116" t="s">
        <v>67</v>
      </c>
      <c r="AG25" s="116" t="s">
        <v>67</v>
      </c>
      <c r="AH25" s="116" t="s">
        <v>67</v>
      </c>
      <c r="AI25" s="116" t="s">
        <v>67</v>
      </c>
      <c r="AJ25" s="21"/>
      <c r="AL25" t="str">
        <f t="shared" ca="1" si="0"/>
        <v xml:space="preserve">    (U1)ALERT_REQ_S_ADBZR_BSM_</v>
      </c>
      <c r="AR25" s="53" t="str">
        <f t="shared" si="3"/>
        <v/>
      </c>
      <c r="AS25" s="53" t="str">
        <f t="shared" si="4"/>
        <v/>
      </c>
      <c r="AT25" s="53" t="str">
        <f t="shared" si="1"/>
        <v/>
      </c>
    </row>
    <row r="26" spans="2:49">
      <c r="B26" s="120"/>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116" t="s">
        <v>67</v>
      </c>
      <c r="AG26" s="116" t="s">
        <v>67</v>
      </c>
      <c r="AH26" s="116" t="s">
        <v>67</v>
      </c>
      <c r="AI26" s="116" t="s">
        <v>67</v>
      </c>
      <c r="AJ26" s="21"/>
      <c r="AL26" t="str">
        <f t="shared" ca="1" si="0"/>
        <v xml:space="preserve">    (U1)ALERT_REQ_S_ADBZR_BSM_</v>
      </c>
      <c r="AR26" s="53" t="str">
        <f t="shared" si="3"/>
        <v/>
      </c>
      <c r="AS26" s="53" t="str">
        <f t="shared" si="4"/>
        <v/>
      </c>
      <c r="AT26" s="53" t="str">
        <f t="shared" si="1"/>
        <v/>
      </c>
    </row>
    <row r="27" spans="2:49">
      <c r="B27" s="120"/>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116" t="s">
        <v>67</v>
      </c>
      <c r="AG27" s="116" t="s">
        <v>67</v>
      </c>
      <c r="AH27" s="116" t="s">
        <v>67</v>
      </c>
      <c r="AI27" s="116" t="s">
        <v>67</v>
      </c>
      <c r="AJ27" s="21"/>
      <c r="AL27" t="str">
        <f t="shared" ca="1" si="0"/>
        <v xml:space="preserve">    (U1)ALERT_REQ_S_ADBZR_BSM_</v>
      </c>
      <c r="AR27" s="53" t="str">
        <f t="shared" si="3"/>
        <v/>
      </c>
      <c r="AS27" s="53" t="str">
        <f t="shared" si="4"/>
        <v/>
      </c>
      <c r="AT27" s="53" t="str">
        <f t="shared" si="1"/>
        <v/>
      </c>
    </row>
    <row r="28" spans="2:49">
      <c r="B28" s="120"/>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116" t="s">
        <v>67</v>
      </c>
      <c r="AG28" s="116" t="s">
        <v>67</v>
      </c>
      <c r="AH28" s="116" t="s">
        <v>67</v>
      </c>
      <c r="AI28" s="116" t="s">
        <v>67</v>
      </c>
      <c r="AJ28" s="21"/>
      <c r="AL28" t="str">
        <f t="shared" ca="1" si="0"/>
        <v xml:space="preserve">    (U1)ALERT_REQ_S_ADBZR_BSM_</v>
      </c>
      <c r="AR28" s="53" t="str">
        <f t="shared" si="3"/>
        <v/>
      </c>
      <c r="AS28" s="53" t="str">
        <f t="shared" si="4"/>
        <v/>
      </c>
      <c r="AT28" s="53" t="str">
        <f t="shared" si="1"/>
        <v/>
      </c>
    </row>
    <row r="29" spans="2:49">
      <c r="B29" s="120"/>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116" t="s">
        <v>67</v>
      </c>
      <c r="AG29" s="116" t="s">
        <v>67</v>
      </c>
      <c r="AH29" s="116" t="s">
        <v>67</v>
      </c>
      <c r="AI29" s="116" t="s">
        <v>67</v>
      </c>
      <c r="AJ29" s="21"/>
      <c r="AL29" t="str">
        <f t="shared" ca="1" si="0"/>
        <v xml:space="preserve">    (U1)ALERT_REQ_S_ADBZR_BSM_</v>
      </c>
      <c r="AR29" s="53" t="str">
        <f t="shared" si="3"/>
        <v/>
      </c>
      <c r="AS29" s="53" t="str">
        <f t="shared" si="4"/>
        <v/>
      </c>
      <c r="AT29" s="53" t="str">
        <f t="shared" si="1"/>
        <v/>
      </c>
    </row>
    <row r="30" spans="2:49">
      <c r="B30" s="120"/>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116" t="s">
        <v>67</v>
      </c>
      <c r="AG30" s="116" t="s">
        <v>67</v>
      </c>
      <c r="AH30" s="116" t="s">
        <v>67</v>
      </c>
      <c r="AI30" s="116" t="s">
        <v>67</v>
      </c>
      <c r="AJ30" s="21"/>
      <c r="AL30" t="str">
        <f t="shared" ca="1" si="0"/>
        <v xml:space="preserve">    (U1)ALERT_REQ_S_ADBZR_BSM_</v>
      </c>
      <c r="AR30" s="53" t="str">
        <f t="shared" si="3"/>
        <v/>
      </c>
      <c r="AS30" s="53" t="str">
        <f t="shared" si="4"/>
        <v/>
      </c>
      <c r="AT30" s="53" t="str">
        <f t="shared" si="1"/>
        <v/>
      </c>
    </row>
    <row r="31" spans="2:49">
      <c r="B31" s="120"/>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116" t="s">
        <v>67</v>
      </c>
      <c r="AG31" s="116" t="s">
        <v>67</v>
      </c>
      <c r="AH31" s="116" t="s">
        <v>67</v>
      </c>
      <c r="AI31" s="116" t="s">
        <v>67</v>
      </c>
      <c r="AJ31" s="21"/>
      <c r="AL31" t="str">
        <f t="shared" ca="1" si="0"/>
        <v xml:space="preserve">    (U1)ALERT_REQ_S_ADBZR_BSM_</v>
      </c>
      <c r="AR31" s="53" t="str">
        <f t="shared" si="3"/>
        <v/>
      </c>
      <c r="AS31" s="53" t="str">
        <f t="shared" si="4"/>
        <v/>
      </c>
      <c r="AT31" s="53" t="str">
        <f t="shared" si="1"/>
        <v/>
      </c>
    </row>
    <row r="32" spans="2:49">
      <c r="B32" s="120"/>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116" t="s">
        <v>67</v>
      </c>
      <c r="AG32" s="116" t="s">
        <v>67</v>
      </c>
      <c r="AH32" s="116" t="s">
        <v>67</v>
      </c>
      <c r="AI32" s="116" t="s">
        <v>67</v>
      </c>
      <c r="AJ32" s="21"/>
      <c r="AL32" t="str">
        <f t="shared" ca="1" si="0"/>
        <v xml:space="preserve">    (U1)ALERT_REQ_S_ADBZR_BSM_</v>
      </c>
      <c r="AR32" s="53" t="str">
        <f t="shared" si="3"/>
        <v/>
      </c>
      <c r="AS32" s="53" t="str">
        <f t="shared" si="4"/>
        <v/>
      </c>
      <c r="AT32" s="53" t="str">
        <f t="shared" si="1"/>
        <v/>
      </c>
    </row>
    <row r="33" spans="2:46">
      <c r="B33" s="120"/>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116" t="s">
        <v>67</v>
      </c>
      <c r="AG33" s="116" t="s">
        <v>67</v>
      </c>
      <c r="AH33" s="116" t="s">
        <v>67</v>
      </c>
      <c r="AI33" s="116" t="s">
        <v>67</v>
      </c>
      <c r="AJ33" s="21"/>
      <c r="AL33" t="str">
        <f t="shared" ca="1" si="0"/>
        <v xml:space="preserve">    (U1)ALERT_REQ_S_ADBZR_BSM_</v>
      </c>
      <c r="AR33" s="53" t="str">
        <f t="shared" si="3"/>
        <v/>
      </c>
      <c r="AS33" s="53" t="str">
        <f t="shared" si="4"/>
        <v/>
      </c>
      <c r="AT33" s="53" t="str">
        <f t="shared" si="1"/>
        <v/>
      </c>
    </row>
    <row r="34" spans="2:46">
      <c r="B34" s="120"/>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21"/>
      <c r="AL34" t="str">
        <f t="shared" ca="1" si="0"/>
        <v xml:space="preserve">    (U1)ALERT_REQ_S_ADBZR_BSM_</v>
      </c>
      <c r="AR34" s="53" t="str">
        <f t="shared" si="3"/>
        <v/>
      </c>
      <c r="AS34" s="53" t="str">
        <f t="shared" si="4"/>
        <v/>
      </c>
      <c r="AT34" s="53" t="str">
        <f t="shared" si="1"/>
        <v/>
      </c>
    </row>
    <row r="35" spans="2:46">
      <c r="B35" s="120"/>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21"/>
      <c r="AL35" t="str">
        <f t="shared" ca="1" si="0"/>
        <v xml:space="preserve">    (U1)ALERT_REQ_S_ADBZR_BSM_</v>
      </c>
      <c r="AR35" s="53" t="str">
        <f t="shared" si="3"/>
        <v/>
      </c>
      <c r="AS35" s="53" t="str">
        <f t="shared" si="4"/>
        <v/>
      </c>
      <c r="AT35" s="53" t="str">
        <f t="shared" si="1"/>
        <v/>
      </c>
    </row>
    <row r="36" spans="2:46">
      <c r="B36" s="120"/>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21"/>
      <c r="AL36" t="str">
        <f t="shared" ca="1" si="0"/>
        <v xml:space="preserve">    (U1)ALERT_REQ_S_ADBZR_BSM_</v>
      </c>
      <c r="AR36" s="53" t="str">
        <f t="shared" si="3"/>
        <v/>
      </c>
      <c r="AS36" s="53" t="str">
        <f t="shared" si="4"/>
        <v/>
      </c>
      <c r="AT36" s="53" t="str">
        <f t="shared" si="1"/>
        <v/>
      </c>
    </row>
    <row r="37" spans="2:46">
      <c r="B37" s="120"/>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21"/>
      <c r="AL37" t="str">
        <f t="shared" ca="1" si="0"/>
        <v xml:space="preserve">    (U1)ALERT_REQ_S_ADBZR_BSM_</v>
      </c>
      <c r="AR37" s="53" t="str">
        <f t="shared" si="3"/>
        <v/>
      </c>
      <c r="AS37" s="53" t="str">
        <f t="shared" si="4"/>
        <v/>
      </c>
      <c r="AT37" s="53" t="str">
        <f t="shared" si="1"/>
        <v/>
      </c>
    </row>
    <row r="38" spans="2:46">
      <c r="B38" s="120"/>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21"/>
      <c r="AL38" t="str">
        <f t="shared" ca="1" si="0"/>
        <v xml:space="preserve">    (U1)ALERT_REQ_S_ADBZR_BSM_</v>
      </c>
      <c r="AR38" s="53" t="str">
        <f t="shared" si="3"/>
        <v/>
      </c>
      <c r="AS38" s="53" t="str">
        <f t="shared" si="4"/>
        <v/>
      </c>
      <c r="AT38" s="53" t="str">
        <f t="shared" si="1"/>
        <v/>
      </c>
    </row>
    <row r="39" spans="2:46">
      <c r="B39" s="120"/>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21"/>
      <c r="AL39" t="str">
        <f t="shared" ca="1" si="0"/>
        <v xml:space="preserve">    (U1)ALERT_REQ_S_ADBZR_BSM_</v>
      </c>
      <c r="AR39" s="53" t="str">
        <f t="shared" si="3"/>
        <v/>
      </c>
      <c r="AS39" s="53" t="str">
        <f t="shared" si="4"/>
        <v/>
      </c>
      <c r="AT39" s="53" t="str">
        <f t="shared" si="1"/>
        <v/>
      </c>
    </row>
    <row r="40" spans="2:46">
      <c r="B40" s="120"/>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21"/>
      <c r="AL40" t="str">
        <f t="shared" ca="1" si="0"/>
        <v xml:space="preserve">    (U1)ALERT_REQ_S_ADBZR_BSM_</v>
      </c>
      <c r="AR40" s="53" t="str">
        <f t="shared" si="3"/>
        <v/>
      </c>
      <c r="AS40" s="53" t="str">
        <f t="shared" si="4"/>
        <v/>
      </c>
      <c r="AT40" s="53" t="str">
        <f t="shared" si="1"/>
        <v/>
      </c>
    </row>
    <row r="41" spans="2:46">
      <c r="B41" s="120"/>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21"/>
      <c r="AL41" t="str">
        <f t="shared" ca="1" si="0"/>
        <v xml:space="preserve">    (U1)ALERT_REQ_S_ADBZR_BSM_</v>
      </c>
      <c r="AR41" s="53" t="str">
        <f t="shared" si="3"/>
        <v/>
      </c>
      <c r="AS41" s="53" t="str">
        <f t="shared" si="4"/>
        <v/>
      </c>
      <c r="AT41" s="53" t="str">
        <f t="shared" si="1"/>
        <v/>
      </c>
    </row>
    <row r="42" spans="2:46">
      <c r="B42" s="120"/>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21"/>
      <c r="AL42" t="str">
        <f t="shared" ca="1" si="0"/>
        <v xml:space="preserve">    (U1)ALERT_REQ_S_ADBZR_BSM_</v>
      </c>
      <c r="AR42" s="53" t="str">
        <f t="shared" si="3"/>
        <v/>
      </c>
      <c r="AS42" s="53" t="str">
        <f t="shared" si="4"/>
        <v/>
      </c>
      <c r="AT42" s="53" t="str">
        <f t="shared" si="1"/>
        <v/>
      </c>
    </row>
    <row r="43" spans="2:46">
      <c r="B43" s="120"/>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21"/>
      <c r="AL43" t="str">
        <f t="shared" ca="1" si="0"/>
        <v xml:space="preserve">    (U1)ALERT_REQ_S_ADBZR_BSM_</v>
      </c>
      <c r="AR43" s="53" t="str">
        <f t="shared" si="3"/>
        <v/>
      </c>
      <c r="AS43" s="53" t="str">
        <f t="shared" si="4"/>
        <v/>
      </c>
      <c r="AT43" s="53" t="str">
        <f t="shared" si="1"/>
        <v/>
      </c>
    </row>
    <row r="44" spans="2:46">
      <c r="B44" s="120"/>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21"/>
      <c r="AL44" t="str">
        <f t="shared" ca="1" si="0"/>
        <v xml:space="preserve">    (U1)ALERT_REQ_S_ADBZR_BSM_</v>
      </c>
      <c r="AR44" s="53" t="str">
        <f t="shared" si="3"/>
        <v/>
      </c>
      <c r="AS44" s="53" t="str">
        <f t="shared" si="4"/>
        <v/>
      </c>
      <c r="AT44" s="53" t="str">
        <f t="shared" si="1"/>
        <v/>
      </c>
    </row>
    <row r="45" spans="2:46">
      <c r="B45" s="120"/>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21"/>
      <c r="AL45" t="str">
        <f t="shared" ca="1" si="0"/>
        <v xml:space="preserve">    (U1)ALERT_REQ_S_ADBZR_BSM_</v>
      </c>
      <c r="AR45" s="53" t="str">
        <f t="shared" si="3"/>
        <v/>
      </c>
      <c r="AS45" s="53" t="str">
        <f t="shared" si="4"/>
        <v/>
      </c>
      <c r="AT45" s="53" t="str">
        <f t="shared" si="1"/>
        <v/>
      </c>
    </row>
    <row r="46" spans="2:46">
      <c r="B46" s="120"/>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21"/>
      <c r="AL46" t="str">
        <f t="shared" ca="1" si="0"/>
        <v xml:space="preserve">    (U1)ALERT_REQ_S_ADBZR_BSM_</v>
      </c>
      <c r="AR46" s="53" t="str">
        <f t="shared" si="3"/>
        <v/>
      </c>
      <c r="AS46" s="53" t="str">
        <f t="shared" si="4"/>
        <v/>
      </c>
      <c r="AT46" s="53" t="str">
        <f t="shared" si="1"/>
        <v/>
      </c>
    </row>
    <row r="47" spans="2:46">
      <c r="B47" s="120"/>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21"/>
      <c r="AL47" t="str">
        <f t="shared" ca="1" si="0"/>
        <v xml:space="preserve">    (U1)ALERT_REQ_S_ADBZR_BSM_</v>
      </c>
      <c r="AR47" s="53" t="str">
        <f t="shared" si="3"/>
        <v/>
      </c>
      <c r="AS47" s="53" t="str">
        <f t="shared" si="4"/>
        <v/>
      </c>
      <c r="AT47" s="53" t="str">
        <f t="shared" si="1"/>
        <v/>
      </c>
    </row>
    <row r="48" spans="2:46">
      <c r="B48" s="120"/>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21"/>
      <c r="AL48" t="str">
        <f t="shared" ca="1" si="0"/>
        <v xml:space="preserve">    (U1)ALERT_REQ_S_ADBZR_BSM_</v>
      </c>
      <c r="AR48" s="53" t="str">
        <f t="shared" si="3"/>
        <v/>
      </c>
      <c r="AS48" s="53" t="str">
        <f t="shared" si="4"/>
        <v/>
      </c>
      <c r="AT48" s="53" t="str">
        <f t="shared" si="1"/>
        <v/>
      </c>
    </row>
    <row r="49" spans="2:46">
      <c r="B49" s="120"/>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21"/>
      <c r="AL49" t="str">
        <f t="shared" ca="1" si="0"/>
        <v xml:space="preserve">    (U1)ALERT_REQ_S_ADBZR_BSM_</v>
      </c>
      <c r="AR49" s="53" t="str">
        <f t="shared" si="3"/>
        <v/>
      </c>
      <c r="AS49" s="53" t="str">
        <f t="shared" si="4"/>
        <v/>
      </c>
      <c r="AT49" s="53" t="str">
        <f t="shared" si="1"/>
        <v/>
      </c>
    </row>
    <row r="50" spans="2:46">
      <c r="B50" s="120"/>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21"/>
      <c r="AL50" t="str">
        <f t="shared" ca="1" si="0"/>
        <v xml:space="preserve">    (U1)ALERT_REQ_S_ADBZR_BSM_</v>
      </c>
      <c r="AR50" s="53" t="str">
        <f t="shared" si="3"/>
        <v/>
      </c>
      <c r="AS50" s="53" t="str">
        <f t="shared" si="4"/>
        <v/>
      </c>
      <c r="AT50" s="53" t="str">
        <f t="shared" si="1"/>
        <v/>
      </c>
    </row>
    <row r="51" spans="2:46">
      <c r="B51" s="120"/>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21"/>
      <c r="AL51" t="str">
        <f t="shared" ca="1" si="0"/>
        <v xml:space="preserve">    (U1)ALERT_REQ_S_ADBZR_BSM_</v>
      </c>
      <c r="AR51" s="53" t="str">
        <f t="shared" si="3"/>
        <v/>
      </c>
      <c r="AS51" s="53" t="str">
        <f t="shared" si="4"/>
        <v/>
      </c>
      <c r="AT51" s="53" t="str">
        <f t="shared" si="1"/>
        <v/>
      </c>
    </row>
    <row r="52" spans="2:46">
      <c r="B52" s="120"/>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21"/>
      <c r="AL52" t="str">
        <f t="shared" ca="1" si="0"/>
        <v xml:space="preserve">    (U1)ALERT_REQ_S_ADBZR_BSM_</v>
      </c>
      <c r="AR52" s="53" t="str">
        <f t="shared" si="3"/>
        <v/>
      </c>
      <c r="AS52" s="53" t="str">
        <f t="shared" si="4"/>
        <v/>
      </c>
      <c r="AT52" s="53" t="str">
        <f t="shared" si="1"/>
        <v/>
      </c>
    </row>
    <row r="53" spans="2:46">
      <c r="B53" s="120"/>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21"/>
      <c r="AL53" t="str">
        <f t="shared" ca="1" si="0"/>
        <v xml:space="preserve">    (U1)ALERT_REQ_S_ADBZR_BSM_</v>
      </c>
      <c r="AR53" s="53" t="str">
        <f t="shared" si="3"/>
        <v/>
      </c>
      <c r="AS53" s="53" t="str">
        <f t="shared" si="4"/>
        <v/>
      </c>
      <c r="AT53" s="53" t="str">
        <f t="shared" si="1"/>
        <v/>
      </c>
    </row>
    <row r="54" spans="2:46">
      <c r="B54" s="120"/>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21"/>
      <c r="AL54" t="str">
        <f t="shared" ca="1" si="0"/>
        <v xml:space="preserve">    (U1)ALERT_REQ_S_ADBZR_BSM_</v>
      </c>
      <c r="AR54" s="53" t="str">
        <f t="shared" si="3"/>
        <v/>
      </c>
      <c r="AS54" s="53" t="str">
        <f t="shared" si="4"/>
        <v/>
      </c>
      <c r="AT54" s="53" t="str">
        <f t="shared" si="1"/>
        <v/>
      </c>
    </row>
    <row r="55" spans="2:46">
      <c r="B55" s="120"/>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21"/>
      <c r="AL55" t="str">
        <f t="shared" ca="1" si="0"/>
        <v xml:space="preserve">    (U1)ALERT_REQ_S_ADBZR_BSM_</v>
      </c>
      <c r="AR55" s="53" t="str">
        <f t="shared" si="3"/>
        <v/>
      </c>
      <c r="AS55" s="53" t="str">
        <f t="shared" si="4"/>
        <v/>
      </c>
      <c r="AT55" s="53" t="str">
        <f t="shared" si="1"/>
        <v/>
      </c>
    </row>
    <row r="56" spans="2:46">
      <c r="B56" s="120"/>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21"/>
      <c r="AL56" t="str">
        <f t="shared" ca="1" si="0"/>
        <v xml:space="preserve">    (U1)ALERT_REQ_S_ADBZR_BSM_</v>
      </c>
      <c r="AR56" s="53" t="str">
        <f t="shared" si="3"/>
        <v/>
      </c>
      <c r="AS56" s="53" t="str">
        <f t="shared" si="4"/>
        <v/>
      </c>
      <c r="AT56" s="53" t="str">
        <f t="shared" si="1"/>
        <v/>
      </c>
    </row>
    <row r="57" spans="2:46">
      <c r="B57" s="120"/>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21"/>
      <c r="AL57" t="str">
        <f t="shared" ca="1" si="0"/>
        <v xml:space="preserve">    (U1)ALERT_REQ_S_ADBZR_BSM_</v>
      </c>
      <c r="AR57" s="53" t="str">
        <f t="shared" si="3"/>
        <v/>
      </c>
      <c r="AS57" s="53" t="str">
        <f t="shared" si="4"/>
        <v/>
      </c>
      <c r="AT57" s="53" t="str">
        <f t="shared" si="1"/>
        <v/>
      </c>
    </row>
    <row r="58" spans="2:46">
      <c r="B58" s="120"/>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21"/>
      <c r="AL58" t="str">
        <f t="shared" ca="1" si="0"/>
        <v xml:space="preserve">    (U1)ALERT_REQ_S_ADBZR_BSM_</v>
      </c>
      <c r="AR58" s="53" t="str">
        <f t="shared" si="3"/>
        <v/>
      </c>
      <c r="AS58" s="53" t="str">
        <f t="shared" si="4"/>
        <v/>
      </c>
      <c r="AT58" s="53" t="str">
        <f t="shared" si="1"/>
        <v/>
      </c>
    </row>
    <row r="59" spans="2:46">
      <c r="B59" s="120"/>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21"/>
      <c r="AL59" t="str">
        <f t="shared" ca="1" si="0"/>
        <v xml:space="preserve">    (U1)ALERT_REQ_S_ADBZR_BSM_</v>
      </c>
      <c r="AR59" s="53" t="str">
        <f t="shared" si="3"/>
        <v/>
      </c>
      <c r="AS59" s="53" t="str">
        <f t="shared" si="4"/>
        <v/>
      </c>
      <c r="AT59" s="53" t="str">
        <f t="shared" si="1"/>
        <v/>
      </c>
    </row>
    <row r="60" spans="2:46">
      <c r="B60" s="120"/>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21"/>
      <c r="AL60" t="str">
        <f t="shared" ca="1" si="0"/>
        <v xml:space="preserve">    (U1)ALERT_REQ_S_ADBZR_BSM_</v>
      </c>
      <c r="AR60" s="53" t="str">
        <f t="shared" si="3"/>
        <v/>
      </c>
      <c r="AS60" s="53" t="str">
        <f t="shared" si="4"/>
        <v/>
      </c>
      <c r="AT60" s="53" t="str">
        <f t="shared" si="1"/>
        <v/>
      </c>
    </row>
    <row r="61" spans="2:46">
      <c r="B61" s="120"/>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21"/>
      <c r="AL61" t="str">
        <f t="shared" ca="1" si="0"/>
        <v xml:space="preserve">    (U1)ALERT_REQ_S_ADBZR_BSM_</v>
      </c>
      <c r="AR61" s="53" t="str">
        <f t="shared" si="3"/>
        <v/>
      </c>
      <c r="AS61" s="53" t="str">
        <f t="shared" si="4"/>
        <v/>
      </c>
      <c r="AT61" s="53" t="str">
        <f t="shared" si="1"/>
        <v/>
      </c>
    </row>
    <row r="62" spans="2:46">
      <c r="B62" s="120"/>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21"/>
      <c r="AL62" t="str">
        <f t="shared" ca="1" si="0"/>
        <v xml:space="preserve">    (U1)ALERT_REQ_S_ADBZR_BSM_</v>
      </c>
      <c r="AR62" s="53" t="str">
        <f t="shared" si="3"/>
        <v/>
      </c>
      <c r="AS62" s="53" t="str">
        <f t="shared" si="4"/>
        <v/>
      </c>
      <c r="AT62" s="53" t="str">
        <f t="shared" si="1"/>
        <v/>
      </c>
    </row>
    <row r="63" spans="2:46">
      <c r="B63" s="120"/>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21"/>
      <c r="AL63" t="str">
        <f t="shared" ca="1" si="0"/>
        <v xml:space="preserve">    (U1)ALERT_REQ_S_ADBZR_BSM_</v>
      </c>
      <c r="AR63" s="53" t="str">
        <f t="shared" si="3"/>
        <v/>
      </c>
      <c r="AS63" s="53" t="str">
        <f t="shared" si="4"/>
        <v/>
      </c>
      <c r="AT63" s="53" t="str">
        <f t="shared" si="1"/>
        <v/>
      </c>
    </row>
    <row r="64" spans="2:46">
      <c r="B64" s="120"/>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21"/>
      <c r="AL64" t="str">
        <f t="shared" ca="1" si="0"/>
        <v xml:space="preserve">    (U1)ALERT_REQ_S_ADBZR_BSM_</v>
      </c>
      <c r="AR64" s="53" t="str">
        <f t="shared" si="3"/>
        <v/>
      </c>
      <c r="AS64" s="53" t="str">
        <f t="shared" si="4"/>
        <v/>
      </c>
      <c r="AT64" s="53" t="str">
        <f t="shared" si="1"/>
        <v/>
      </c>
    </row>
    <row r="65" spans="1:46">
      <c r="B65" s="120"/>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21"/>
      <c r="AL65" t="str">
        <f t="shared" ca="1" si="0"/>
        <v xml:space="preserve">    (U1)ALERT_REQ_S_ADBZR_BSM_</v>
      </c>
      <c r="AR65" s="53" t="str">
        <f t="shared" si="3"/>
        <v/>
      </c>
      <c r="AS65" s="53" t="str">
        <f t="shared" si="4"/>
        <v/>
      </c>
      <c r="AT65" s="53" t="str">
        <f t="shared" si="1"/>
        <v/>
      </c>
    </row>
    <row r="66" spans="1:46">
      <c r="B66" s="120"/>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21"/>
      <c r="AL66" t="str">
        <f t="shared" ca="1" si="0"/>
        <v xml:space="preserve">    (U1)ALERT_REQ_S_ADBZR_BSM_</v>
      </c>
      <c r="AR66" s="53" t="str">
        <f t="shared" si="3"/>
        <v/>
      </c>
      <c r="AS66" s="53" t="str">
        <f t="shared" si="4"/>
        <v/>
      </c>
      <c r="AT66" s="53" t="str">
        <f t="shared" si="1"/>
        <v/>
      </c>
    </row>
    <row r="67" spans="1:46">
      <c r="B67" s="120"/>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21"/>
      <c r="AL67" t="str">
        <f t="shared" ca="1" si="0"/>
        <v xml:space="preserve">    (U1)ALERT_REQ_S_ADBZR_BSM_</v>
      </c>
      <c r="AR67" s="53" t="str">
        <f t="shared" si="3"/>
        <v/>
      </c>
      <c r="AS67" s="53" t="str">
        <f t="shared" si="4"/>
        <v/>
      </c>
      <c r="AT67" s="53" t="str">
        <f t="shared" si="1"/>
        <v/>
      </c>
    </row>
    <row r="68" spans="1:46">
      <c r="B68" s="120"/>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21"/>
      <c r="AL68" t="str">
        <f t="shared" ca="1" si="0"/>
        <v xml:space="preserve">    (U1)ALERT_REQ_S_ADBZR_BSM_</v>
      </c>
      <c r="AR68" s="53" t="str">
        <f t="shared" si="3"/>
        <v/>
      </c>
      <c r="AS68" s="53" t="str">
        <f t="shared" si="4"/>
        <v/>
      </c>
      <c r="AT68" s="53" t="str">
        <f t="shared" si="1"/>
        <v/>
      </c>
    </row>
    <row r="69" spans="1:46">
      <c r="B69" s="121"/>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21"/>
      <c r="AL69" t="str">
        <f t="shared" ca="1" si="0"/>
        <v xml:space="preserve">    (U1)ALERT_REQ_S_ADBZR_BSM_</v>
      </c>
      <c r="AR69" s="53" t="str">
        <f t="shared" si="3"/>
        <v/>
      </c>
      <c r="AS69" s="53" t="str">
        <f t="shared" si="4"/>
        <v/>
      </c>
      <c r="AT69" s="53" t="str">
        <f t="shared" si="1"/>
        <v/>
      </c>
    </row>
    <row r="70" spans="1:46" ht="13.8"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2" t="str">
        <f ca="1">IF(B6&lt;&gt;"",B6,"")</f>
        <v>Table S_ADBZR_BSM</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WARNING</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WARNING                                         */</v>
      </c>
    </row>
    <row r="73" spans="1:46">
      <c r="B73" s="120"/>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0"/>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0"/>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0"/>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0"/>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0"/>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0"/>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7" t="str">
        <f t="shared" si="7"/>
        <v/>
      </c>
      <c r="AK79" s="50"/>
      <c r="AL79" s="50" t="str">
        <f t="shared" si="10"/>
        <v>00</v>
      </c>
      <c r="AM79" s="52" t="str">
        <f t="shared" si="11"/>
        <v>00</v>
      </c>
      <c r="AN79" s="52" t="str">
        <f t="shared" si="12"/>
        <v>00</v>
      </c>
      <c r="AO79" s="52" t="str">
        <f t="shared" si="13"/>
        <v>00</v>
      </c>
      <c r="AQ79" t="str">
        <f t="shared" si="8"/>
        <v/>
      </c>
    </row>
    <row r="80" spans="1:46">
      <c r="B80" s="120"/>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7" t="str">
        <f t="shared" si="7"/>
        <v/>
      </c>
      <c r="AK80" s="50"/>
      <c r="AL80" s="50" t="str">
        <f t="shared" si="10"/>
        <v>00</v>
      </c>
      <c r="AM80" s="52" t="str">
        <f t="shared" si="11"/>
        <v>00</v>
      </c>
      <c r="AN80" s="52" t="str">
        <f t="shared" si="12"/>
        <v>00</v>
      </c>
      <c r="AO80" s="52" t="str">
        <f t="shared" si="13"/>
        <v>00</v>
      </c>
      <c r="AQ80" t="str">
        <f t="shared" si="8"/>
        <v/>
      </c>
    </row>
    <row r="81" spans="2:43">
      <c r="B81" s="120"/>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7" t="str">
        <f t="shared" si="7"/>
        <v/>
      </c>
      <c r="AK81" s="50"/>
      <c r="AL81" s="50" t="str">
        <f t="shared" si="10"/>
        <v>00</v>
      </c>
      <c r="AM81" s="52" t="str">
        <f t="shared" si="11"/>
        <v>00</v>
      </c>
      <c r="AN81" s="52" t="str">
        <f t="shared" si="12"/>
        <v>00</v>
      </c>
      <c r="AO81" s="52" t="str">
        <f t="shared" si="13"/>
        <v>00</v>
      </c>
      <c r="AQ81" t="str">
        <f t="shared" si="8"/>
        <v/>
      </c>
    </row>
    <row r="82" spans="2:43">
      <c r="B82" s="120"/>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7" t="str">
        <f t="shared" si="7"/>
        <v/>
      </c>
      <c r="AK82" s="50"/>
      <c r="AL82" s="50" t="str">
        <f t="shared" si="10"/>
        <v>00</v>
      </c>
      <c r="AM82" s="52" t="str">
        <f t="shared" si="11"/>
        <v>00</v>
      </c>
      <c r="AN82" s="52" t="str">
        <f t="shared" si="12"/>
        <v>00</v>
      </c>
      <c r="AO82" s="52" t="str">
        <f t="shared" si="13"/>
        <v>00</v>
      </c>
      <c r="AQ82" t="str">
        <f t="shared" si="8"/>
        <v/>
      </c>
    </row>
    <row r="83" spans="2:43">
      <c r="B83" s="120"/>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7" t="str">
        <f t="shared" si="7"/>
        <v/>
      </c>
      <c r="AK83" s="50"/>
      <c r="AL83" s="50" t="str">
        <f t="shared" si="10"/>
        <v>00</v>
      </c>
      <c r="AM83" s="52" t="str">
        <f t="shared" si="11"/>
        <v>00</v>
      </c>
      <c r="AN83" s="52" t="str">
        <f t="shared" si="12"/>
        <v>00</v>
      </c>
      <c r="AO83" s="52" t="str">
        <f t="shared" si="13"/>
        <v>00</v>
      </c>
      <c r="AQ83" t="str">
        <f t="shared" si="8"/>
        <v/>
      </c>
    </row>
    <row r="84" spans="2:43">
      <c r="B84" s="120"/>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7" t="str">
        <f t="shared" si="7"/>
        <v/>
      </c>
      <c r="AK84" s="50"/>
      <c r="AL84" s="50" t="str">
        <f t="shared" si="10"/>
        <v>00</v>
      </c>
      <c r="AM84" s="52" t="str">
        <f t="shared" si="11"/>
        <v>00</v>
      </c>
      <c r="AN84" s="52" t="str">
        <f t="shared" si="12"/>
        <v>00</v>
      </c>
      <c r="AO84" s="52" t="str">
        <f t="shared" si="13"/>
        <v>00</v>
      </c>
      <c r="AQ84" t="str">
        <f t="shared" si="8"/>
        <v/>
      </c>
    </row>
    <row r="85" spans="2:43">
      <c r="B85" s="120"/>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7" t="str">
        <f t="shared" si="7"/>
        <v/>
      </c>
      <c r="AK85" s="50"/>
      <c r="AL85" s="50" t="str">
        <f t="shared" si="10"/>
        <v>00</v>
      </c>
      <c r="AM85" s="52" t="str">
        <f t="shared" si="11"/>
        <v>00</v>
      </c>
      <c r="AN85" s="52" t="str">
        <f t="shared" si="12"/>
        <v>00</v>
      </c>
      <c r="AO85" s="52" t="str">
        <f t="shared" si="13"/>
        <v>00</v>
      </c>
      <c r="AQ85" t="str">
        <f t="shared" si="8"/>
        <v/>
      </c>
    </row>
    <row r="86" spans="2:43">
      <c r="B86" s="120"/>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7" t="str">
        <f t="shared" si="7"/>
        <v/>
      </c>
      <c r="AK86" s="50"/>
      <c r="AL86" s="50" t="str">
        <f t="shared" si="10"/>
        <v>00</v>
      </c>
      <c r="AM86" s="52" t="str">
        <f t="shared" si="11"/>
        <v>00</v>
      </c>
      <c r="AN86" s="52" t="str">
        <f t="shared" si="12"/>
        <v>00</v>
      </c>
      <c r="AO86" s="52" t="str">
        <f t="shared" si="13"/>
        <v>00</v>
      </c>
      <c r="AQ86" t="str">
        <f t="shared" si="8"/>
        <v/>
      </c>
    </row>
    <row r="87" spans="2:43">
      <c r="B87" s="120"/>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0"/>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0"/>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0"/>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0"/>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0"/>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0"/>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0"/>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0"/>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0"/>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0"/>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0"/>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0"/>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0"/>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0"/>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0"/>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0"/>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0"/>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0"/>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0"/>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0"/>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0"/>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0"/>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0"/>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0"/>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0"/>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0"/>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0"/>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0"/>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0"/>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0"/>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0"/>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0"/>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0"/>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0"/>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0"/>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0"/>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0"/>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0"/>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0"/>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0"/>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0"/>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0"/>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0"/>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0"/>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0"/>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0"/>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1"/>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2" t="str">
        <f ca="1">IF(B6&lt;&gt;"",B6,"")</f>
        <v>Table S_ADBZR_BSM</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1</v>
      </c>
      <c r="AH136" s="113">
        <f t="shared" si="29"/>
        <v>1</v>
      </c>
      <c r="AI136" s="113">
        <f t="shared" si="29"/>
        <v>1</v>
      </c>
      <c r="AJ136" s="37" t="str">
        <f t="shared" ref="AJ136:AJ199" si="30">IF(AJ6&lt;&gt;"",AJ6,"")</f>
        <v>UNKNOWN</v>
      </c>
      <c r="AK136" s="50"/>
      <c r="AL136" s="50" t="str">
        <f>BIN2HEX(AB136&amp;AC136&amp;AD136&amp;AE136&amp;AF136&amp;AG136&amp;AH136&amp;AI136,2)</f>
        <v>07</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0"/>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1</v>
      </c>
      <c r="AH137" s="113">
        <f t="shared" si="29"/>
        <v>1</v>
      </c>
      <c r="AI137" s="113">
        <f t="shared" si="29"/>
        <v>1</v>
      </c>
      <c r="AJ137" s="37" t="str">
        <f t="shared" si="30"/>
        <v>WARNING</v>
      </c>
      <c r="AK137" s="50"/>
      <c r="AL137" s="50" t="str">
        <f t="shared" ref="AL137:AL199" si="33">BIN2HEX(AB137&amp;AC137&amp;AD137&amp;AE137&amp;AF137&amp;AG137&amp;AH137&amp;AI137,2)</f>
        <v>07</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(U4)0x00000007U,                                                           /* 01 WARNING                                         */</v>
      </c>
    </row>
    <row r="138" spans="1:43">
      <c r="B138" s="120"/>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1</v>
      </c>
      <c r="AH138" s="113">
        <f t="shared" si="29"/>
        <v>1</v>
      </c>
      <c r="AI138" s="113">
        <f t="shared" si="29"/>
        <v>1</v>
      </c>
      <c r="AJ138" s="37" t="str">
        <f t="shared" si="30"/>
        <v>UNKNOWN</v>
      </c>
      <c r="AK138" s="50"/>
      <c r="AL138" s="50" t="str">
        <f t="shared" si="33"/>
        <v>07</v>
      </c>
      <c r="AM138" s="52" t="str">
        <f t="shared" si="34"/>
        <v>00</v>
      </c>
      <c r="AN138" s="52" t="str">
        <f t="shared" si="35"/>
        <v>00</v>
      </c>
      <c r="AO138" s="52" t="str">
        <f t="shared" si="36"/>
        <v>00</v>
      </c>
      <c r="AQ138" t="str">
        <f t="shared" si="31"/>
        <v xml:space="preserve">    (U4)0x00000007U,                                                           /* 02 UNKNOWN                                         */</v>
      </c>
    </row>
    <row r="139" spans="1:43">
      <c r="B139" s="120"/>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1</v>
      </c>
      <c r="AH139" s="113">
        <f t="shared" si="29"/>
        <v>1</v>
      </c>
      <c r="AI139" s="113">
        <f t="shared" si="29"/>
        <v>1</v>
      </c>
      <c r="AJ139" s="37" t="str">
        <f t="shared" si="30"/>
        <v>UNKNOWN</v>
      </c>
      <c r="AK139" s="50"/>
      <c r="AL139" s="50" t="str">
        <f t="shared" si="33"/>
        <v>07</v>
      </c>
      <c r="AM139" s="52" t="str">
        <f t="shared" si="34"/>
        <v>00</v>
      </c>
      <c r="AN139" s="52" t="str">
        <f t="shared" si="35"/>
        <v>00</v>
      </c>
      <c r="AO139" s="52" t="str">
        <f t="shared" si="36"/>
        <v>00</v>
      </c>
      <c r="AQ139" t="str">
        <f t="shared" si="31"/>
        <v xml:space="preserve">    (U4)0x00000007U,                                                           /* 03 UNKNOWN                                         */</v>
      </c>
    </row>
    <row r="140" spans="1:43">
      <c r="B140" s="120"/>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1</v>
      </c>
      <c r="AH140" s="113">
        <f t="shared" si="29"/>
        <v>1</v>
      </c>
      <c r="AI140" s="113">
        <f t="shared" si="29"/>
        <v>1</v>
      </c>
      <c r="AJ140" s="37" t="str">
        <f t="shared" si="30"/>
        <v>UNKNOWN</v>
      </c>
      <c r="AK140" s="50"/>
      <c r="AL140" s="50" t="str">
        <f t="shared" si="33"/>
        <v>07</v>
      </c>
      <c r="AM140" s="52" t="str">
        <f t="shared" si="34"/>
        <v>00</v>
      </c>
      <c r="AN140" s="52" t="str">
        <f t="shared" si="35"/>
        <v>00</v>
      </c>
      <c r="AO140" s="52" t="str">
        <f t="shared" si="36"/>
        <v>00</v>
      </c>
      <c r="AQ140" t="str">
        <f t="shared" si="31"/>
        <v xml:space="preserve">    (U4)0x00000007U,                                                           /* 04 UNKNOWN                                         */</v>
      </c>
    </row>
    <row r="141" spans="1:43">
      <c r="B141" s="120"/>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1</v>
      </c>
      <c r="AH141" s="113">
        <f t="shared" si="29"/>
        <v>1</v>
      </c>
      <c r="AI141" s="113">
        <f t="shared" si="29"/>
        <v>1</v>
      </c>
      <c r="AJ141" s="37" t="str">
        <f t="shared" si="30"/>
        <v>UNKNOWN</v>
      </c>
      <c r="AK141" s="50"/>
      <c r="AL141" s="50" t="str">
        <f t="shared" si="33"/>
        <v>07</v>
      </c>
      <c r="AM141" s="52" t="str">
        <f t="shared" si="34"/>
        <v>00</v>
      </c>
      <c r="AN141" s="52" t="str">
        <f t="shared" si="35"/>
        <v>00</v>
      </c>
      <c r="AO141" s="52" t="str">
        <f t="shared" si="36"/>
        <v>00</v>
      </c>
      <c r="AQ141" t="str">
        <f t="shared" si="31"/>
        <v xml:space="preserve">    (U4)0x00000007U,                                                           /* 05 UNKNOWN                                         */</v>
      </c>
    </row>
    <row r="142" spans="1:43">
      <c r="B142" s="120"/>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1</v>
      </c>
      <c r="AH142" s="113">
        <f t="shared" si="29"/>
        <v>1</v>
      </c>
      <c r="AI142" s="113">
        <f t="shared" si="29"/>
        <v>1</v>
      </c>
      <c r="AJ142" s="37" t="str">
        <f t="shared" si="30"/>
        <v>UNKNOWN</v>
      </c>
      <c r="AK142" s="50"/>
      <c r="AL142" s="50" t="str">
        <f t="shared" si="33"/>
        <v>07</v>
      </c>
      <c r="AM142" s="52" t="str">
        <f t="shared" si="34"/>
        <v>00</v>
      </c>
      <c r="AN142" s="52" t="str">
        <f t="shared" si="35"/>
        <v>00</v>
      </c>
      <c r="AO142" s="52" t="str">
        <f t="shared" si="36"/>
        <v>00</v>
      </c>
      <c r="AQ142" t="str">
        <f t="shared" si="31"/>
        <v xml:space="preserve">    (U4)0x00000007U,                                                           /* 06 UNKNOWN                                         */</v>
      </c>
    </row>
    <row r="143" spans="1:43">
      <c r="B143" s="120"/>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1</v>
      </c>
      <c r="AH143" s="113">
        <f t="shared" si="29"/>
        <v>1</v>
      </c>
      <c r="AI143" s="113">
        <f t="shared" ref="AI143" si="37">IF(OR(AI13=0,AI13=1),1,0)</f>
        <v>1</v>
      </c>
      <c r="AJ143" s="37" t="str">
        <f t="shared" si="30"/>
        <v>UNKNOWN</v>
      </c>
      <c r="AK143" s="50"/>
      <c r="AL143" s="50" t="str">
        <f t="shared" si="33"/>
        <v>07</v>
      </c>
      <c r="AM143" s="52" t="str">
        <f t="shared" si="34"/>
        <v>00</v>
      </c>
      <c r="AN143" s="52" t="str">
        <f t="shared" si="35"/>
        <v>00</v>
      </c>
      <c r="AO143" s="52" t="str">
        <f t="shared" si="36"/>
        <v>00</v>
      </c>
      <c r="AQ143" t="str">
        <f t="shared" si="31"/>
        <v xml:space="preserve">    (U4)0x00000007U                                                            /* 07 UNKNOWN                                         */</v>
      </c>
    </row>
    <row r="144" spans="1:43">
      <c r="B144" s="120"/>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7" t="str">
        <f t="shared" si="30"/>
        <v/>
      </c>
      <c r="AK144" s="50"/>
      <c r="AL144" s="50" t="str">
        <f t="shared" si="33"/>
        <v>00</v>
      </c>
      <c r="AM144" s="52" t="str">
        <f t="shared" si="34"/>
        <v>00</v>
      </c>
      <c r="AN144" s="52" t="str">
        <f t="shared" si="35"/>
        <v>00</v>
      </c>
      <c r="AO144" s="52" t="str">
        <f t="shared" si="36"/>
        <v>00</v>
      </c>
      <c r="AQ144" t="str">
        <f t="shared" si="31"/>
        <v/>
      </c>
    </row>
    <row r="145" spans="2:43">
      <c r="B145" s="120"/>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7" t="str">
        <f t="shared" si="30"/>
        <v/>
      </c>
      <c r="AK145" s="50"/>
      <c r="AL145" s="50" t="str">
        <f t="shared" si="33"/>
        <v>00</v>
      </c>
      <c r="AM145" s="52" t="str">
        <f t="shared" si="34"/>
        <v>00</v>
      </c>
      <c r="AN145" s="52" t="str">
        <f t="shared" si="35"/>
        <v>00</v>
      </c>
      <c r="AO145" s="52" t="str">
        <f t="shared" si="36"/>
        <v>00</v>
      </c>
      <c r="AQ145" t="str">
        <f t="shared" si="31"/>
        <v/>
      </c>
    </row>
    <row r="146" spans="2:43">
      <c r="B146" s="120"/>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7" t="str">
        <f t="shared" si="30"/>
        <v/>
      </c>
      <c r="AK146" s="50"/>
      <c r="AL146" s="50" t="str">
        <f t="shared" si="33"/>
        <v>00</v>
      </c>
      <c r="AM146" s="52" t="str">
        <f t="shared" si="34"/>
        <v>00</v>
      </c>
      <c r="AN146" s="52" t="str">
        <f t="shared" si="35"/>
        <v>00</v>
      </c>
      <c r="AO146" s="52" t="str">
        <f t="shared" si="36"/>
        <v>00</v>
      </c>
      <c r="AQ146" t="str">
        <f t="shared" si="31"/>
        <v/>
      </c>
    </row>
    <row r="147" spans="2:43">
      <c r="B147" s="120"/>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7" t="str">
        <f t="shared" si="30"/>
        <v/>
      </c>
      <c r="AK147" s="50"/>
      <c r="AL147" s="50" t="str">
        <f t="shared" si="33"/>
        <v>00</v>
      </c>
      <c r="AM147" s="52" t="str">
        <f t="shared" si="34"/>
        <v>00</v>
      </c>
      <c r="AN147" s="52" t="str">
        <f t="shared" si="35"/>
        <v>00</v>
      </c>
      <c r="AO147" s="52" t="str">
        <f t="shared" si="36"/>
        <v>00</v>
      </c>
      <c r="AQ147" t="str">
        <f t="shared" si="31"/>
        <v/>
      </c>
    </row>
    <row r="148" spans="2:43">
      <c r="B148" s="120"/>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7" t="str">
        <f t="shared" si="30"/>
        <v/>
      </c>
      <c r="AK148" s="50"/>
      <c r="AL148" s="50" t="str">
        <f t="shared" si="33"/>
        <v>00</v>
      </c>
      <c r="AM148" s="52" t="str">
        <f t="shared" si="34"/>
        <v>00</v>
      </c>
      <c r="AN148" s="52" t="str">
        <f t="shared" si="35"/>
        <v>00</v>
      </c>
      <c r="AO148" s="52" t="str">
        <f t="shared" si="36"/>
        <v>00</v>
      </c>
      <c r="AQ148" t="str">
        <f t="shared" si="31"/>
        <v/>
      </c>
    </row>
    <row r="149" spans="2:43">
      <c r="B149" s="120"/>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7" t="str">
        <f t="shared" si="30"/>
        <v/>
      </c>
      <c r="AK149" s="50"/>
      <c r="AL149" s="50" t="str">
        <f t="shared" si="33"/>
        <v>00</v>
      </c>
      <c r="AM149" s="52" t="str">
        <f t="shared" si="34"/>
        <v>00</v>
      </c>
      <c r="AN149" s="52" t="str">
        <f t="shared" si="35"/>
        <v>00</v>
      </c>
      <c r="AO149" s="52" t="str">
        <f t="shared" si="36"/>
        <v>00</v>
      </c>
      <c r="AQ149" t="str">
        <f t="shared" si="31"/>
        <v/>
      </c>
    </row>
    <row r="150" spans="2:43">
      <c r="B150" s="120"/>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7" t="str">
        <f t="shared" si="30"/>
        <v/>
      </c>
      <c r="AK150" s="50"/>
      <c r="AL150" s="50" t="str">
        <f t="shared" si="33"/>
        <v>00</v>
      </c>
      <c r="AM150" s="52" t="str">
        <f t="shared" si="34"/>
        <v>00</v>
      </c>
      <c r="AN150" s="52" t="str">
        <f t="shared" si="35"/>
        <v>00</v>
      </c>
      <c r="AO150" s="52" t="str">
        <f t="shared" si="36"/>
        <v>00</v>
      </c>
      <c r="AQ150" t="str">
        <f t="shared" si="31"/>
        <v/>
      </c>
    </row>
    <row r="151" spans="2:43">
      <c r="B151" s="120"/>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7" t="str">
        <f t="shared" si="30"/>
        <v/>
      </c>
      <c r="AK151" s="50"/>
      <c r="AL151" s="50" t="str">
        <f t="shared" si="33"/>
        <v>00</v>
      </c>
      <c r="AM151" s="52" t="str">
        <f t="shared" si="34"/>
        <v>00</v>
      </c>
      <c r="AN151" s="52" t="str">
        <f t="shared" si="35"/>
        <v>00</v>
      </c>
      <c r="AO151" s="52" t="str">
        <f t="shared" si="36"/>
        <v>00</v>
      </c>
      <c r="AQ151" t="str">
        <f t="shared" si="31"/>
        <v/>
      </c>
    </row>
    <row r="152" spans="2:43">
      <c r="B152" s="120"/>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0"/>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0"/>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0"/>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0"/>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0"/>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0"/>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0"/>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0"/>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0"/>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0"/>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0"/>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0"/>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0"/>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0"/>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0"/>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0"/>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0"/>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0"/>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0"/>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0"/>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0"/>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0"/>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0"/>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0"/>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0"/>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0"/>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0"/>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0"/>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0"/>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0"/>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0"/>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0"/>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0"/>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0"/>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0"/>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0"/>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0"/>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0"/>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0"/>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0"/>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0"/>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0"/>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0"/>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0"/>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0"/>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0"/>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1"/>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D34:AI69 L3:AE3 D10:AE33 AJ14:AJ69" name="Table作成編集範囲"/>
    <protectedRange sqref="D6:AE9" name="Table作成編集範囲_4"/>
    <protectedRange sqref="AF3" name="Table作成編集範囲_1"/>
    <protectedRange sqref="AF14:AI33 AF6:AF13" name="Table作成編集範囲_1_1"/>
    <protectedRange sqref="AI3 AG3" name="Table作成編集範囲_3"/>
    <protectedRange sqref="AG6:AJ13" name="Table作成編集範囲_5"/>
    <protectedRange sqref="B3" name="Table作成編集範囲_2"/>
  </protectedRanges>
  <mergeCells count="4">
    <mergeCell ref="C2:C3"/>
    <mergeCell ref="AJ2:AJ3"/>
    <mergeCell ref="AG3:AH3"/>
    <mergeCell ref="A4:B5"/>
  </mergeCells>
  <phoneticPr fontId="3"/>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7:Q83"/>
  <sheetViews>
    <sheetView topLeftCell="A30" zoomScale="55" zoomScaleNormal="55" workbookViewId="0">
      <selection activeCell="T86" sqref="T86"/>
    </sheetView>
  </sheetViews>
  <sheetFormatPr defaultRowHeight="13.2"/>
  <cols>
    <col min="2" max="2" width="63.88671875" customWidth="1"/>
    <col min="3" max="10" width="3.33203125" customWidth="1"/>
    <col min="11" max="11" width="24" customWidth="1"/>
    <col min="12" max="12" width="52" customWidth="1"/>
    <col min="13" max="13" width="20.88671875" customWidth="1"/>
    <col min="14" max="16" width="10.88671875" customWidth="1"/>
    <col min="17" max="17" width="13.21875" customWidth="1"/>
  </cols>
  <sheetData>
    <row r="47" spans="12:12">
      <c r="L47" s="148"/>
    </row>
    <row r="50" spans="2:17" ht="14.4">
      <c r="B50" s="205"/>
      <c r="C50" s="206"/>
      <c r="D50" s="206"/>
      <c r="E50" s="206"/>
      <c r="F50" s="206"/>
      <c r="G50" s="206"/>
      <c r="H50" s="206"/>
      <c r="I50" s="206"/>
      <c r="J50" s="206"/>
      <c r="K50" s="206"/>
      <c r="L50" s="206"/>
      <c r="M50" s="206"/>
      <c r="N50" s="206"/>
      <c r="O50" s="206"/>
      <c r="P50" s="206"/>
      <c r="Q50" s="206"/>
    </row>
    <row r="51" spans="2:17" ht="14.4">
      <c r="B51" s="207"/>
      <c r="C51" s="208"/>
      <c r="D51" s="208"/>
      <c r="E51" s="208"/>
      <c r="F51" s="208"/>
      <c r="G51" s="208"/>
      <c r="H51" s="208"/>
      <c r="I51" s="208"/>
      <c r="J51" s="208"/>
      <c r="K51" s="206"/>
      <c r="L51" s="206"/>
      <c r="M51" s="206"/>
      <c r="N51" s="206"/>
      <c r="O51" s="206"/>
      <c r="P51" s="206"/>
      <c r="Q51" s="206"/>
    </row>
    <row r="52" spans="2:17">
      <c r="B52" s="206"/>
      <c r="C52" s="206"/>
      <c r="D52" s="206"/>
      <c r="E52" s="206"/>
      <c r="F52" s="206"/>
      <c r="G52" s="206"/>
      <c r="H52" s="206"/>
      <c r="I52" s="206"/>
      <c r="J52" s="206"/>
      <c r="K52" s="206"/>
      <c r="L52" s="206"/>
      <c r="M52" s="206"/>
      <c r="N52" s="206"/>
      <c r="O52" s="206"/>
      <c r="P52" s="206"/>
      <c r="Q52" s="206"/>
    </row>
    <row r="53" spans="2:17">
      <c r="B53" s="206"/>
      <c r="C53" s="209"/>
      <c r="D53" s="209"/>
      <c r="E53" s="209"/>
      <c r="F53" s="209"/>
      <c r="G53" s="209"/>
      <c r="H53" s="209"/>
      <c r="I53" s="209"/>
      <c r="J53" s="209"/>
      <c r="K53" s="206"/>
      <c r="L53" s="206"/>
      <c r="M53" s="206"/>
      <c r="N53" s="206"/>
      <c r="O53" s="206"/>
      <c r="P53" s="206"/>
      <c r="Q53" s="206"/>
    </row>
    <row r="54" spans="2:17">
      <c r="B54" s="206"/>
      <c r="C54" s="210"/>
      <c r="D54" s="210"/>
      <c r="E54" s="210"/>
      <c r="F54" s="210"/>
      <c r="G54" s="210"/>
      <c r="H54" s="210"/>
      <c r="I54" s="210"/>
      <c r="J54" s="210"/>
      <c r="K54" s="210"/>
      <c r="L54" s="210"/>
      <c r="M54" s="206"/>
      <c r="N54" s="206"/>
      <c r="O54" s="206"/>
      <c r="P54" s="206"/>
      <c r="Q54" s="206"/>
    </row>
    <row r="55" spans="2:17">
      <c r="B55" s="206"/>
      <c r="C55" s="50"/>
      <c r="D55" s="50"/>
      <c r="E55" s="50"/>
      <c r="F55" s="50"/>
      <c r="G55" s="50"/>
      <c r="H55" s="50"/>
      <c r="I55" s="50"/>
      <c r="J55" s="50"/>
      <c r="K55" s="50"/>
      <c r="L55" s="50"/>
      <c r="M55" s="50"/>
      <c r="N55" s="50"/>
      <c r="O55" s="50"/>
      <c r="P55" s="50"/>
      <c r="Q55" s="50"/>
    </row>
    <row r="56" spans="2:17">
      <c r="B56" s="206"/>
      <c r="C56" s="206"/>
      <c r="D56" s="206"/>
      <c r="E56" s="206"/>
      <c r="F56" s="206"/>
      <c r="G56" s="206"/>
      <c r="H56" s="206"/>
      <c r="I56" s="206"/>
      <c r="J56" s="206"/>
      <c r="K56" s="206"/>
      <c r="L56" s="206"/>
      <c r="M56" s="206"/>
      <c r="N56" s="206"/>
      <c r="O56" s="206"/>
      <c r="P56" s="206"/>
      <c r="Q56" s="206"/>
    </row>
    <row r="57" spans="2:17">
      <c r="B57" s="206"/>
      <c r="C57" s="206"/>
      <c r="D57" s="206"/>
      <c r="E57" s="206"/>
      <c r="F57" s="206"/>
      <c r="G57" s="206"/>
      <c r="H57" s="206"/>
      <c r="I57" s="206"/>
      <c r="J57" s="206"/>
      <c r="K57" s="206"/>
      <c r="L57" s="206"/>
      <c r="M57" s="206"/>
      <c r="N57" s="206"/>
      <c r="O57" s="206"/>
      <c r="P57" s="206"/>
      <c r="Q57" s="206"/>
    </row>
    <row r="58" spans="2:17">
      <c r="B58" s="206"/>
      <c r="C58" s="206"/>
      <c r="D58" s="206"/>
      <c r="E58" s="206"/>
      <c r="F58" s="206"/>
      <c r="G58" s="206"/>
      <c r="H58" s="206"/>
      <c r="I58" s="206"/>
      <c r="J58" s="206"/>
      <c r="K58" s="206"/>
      <c r="L58" s="206"/>
      <c r="M58" s="206"/>
      <c r="N58" s="206"/>
      <c r="O58" s="206"/>
      <c r="P58" s="206"/>
      <c r="Q58" s="206"/>
    </row>
    <row r="59" spans="2:17">
      <c r="B59" s="206"/>
      <c r="C59" s="206"/>
      <c r="D59" s="206"/>
      <c r="E59" s="206"/>
      <c r="F59" s="206"/>
      <c r="G59" s="206"/>
      <c r="H59" s="206"/>
      <c r="I59" s="206"/>
      <c r="J59" s="206"/>
      <c r="K59" s="206"/>
      <c r="L59" s="206"/>
      <c r="M59" s="206"/>
      <c r="N59" s="206"/>
      <c r="O59" s="206"/>
      <c r="P59" s="206"/>
      <c r="Q59" s="206"/>
    </row>
    <row r="60" spans="2:17">
      <c r="B60" s="206"/>
      <c r="C60" s="206"/>
      <c r="D60" s="206"/>
      <c r="E60" s="206"/>
      <c r="F60" s="206"/>
      <c r="G60" s="206"/>
      <c r="H60" s="206"/>
      <c r="I60" s="206"/>
      <c r="J60" s="206"/>
      <c r="K60" s="206"/>
      <c r="L60" s="206"/>
      <c r="M60" s="206"/>
      <c r="N60" s="206"/>
      <c r="O60" s="206"/>
      <c r="P60" s="206"/>
      <c r="Q60" s="206"/>
    </row>
    <row r="64" spans="2:17" ht="15" thickBot="1">
      <c r="B64" s="220" t="s">
        <v>225</v>
      </c>
    </row>
    <row r="65" spans="2:17" ht="15" thickBot="1">
      <c r="B65" s="84" t="s">
        <v>123</v>
      </c>
      <c r="C65" s="258" t="s">
        <v>192</v>
      </c>
      <c r="D65" s="259"/>
      <c r="E65" s="259"/>
      <c r="F65" s="259"/>
      <c r="G65" s="259"/>
      <c r="H65" s="259"/>
      <c r="I65" s="259"/>
      <c r="J65" s="260"/>
      <c r="K65" s="154"/>
      <c r="L65" s="154"/>
      <c r="M65" s="157"/>
      <c r="N65" s="155"/>
      <c r="O65" s="155"/>
      <c r="P65" s="155"/>
      <c r="Q65" s="156"/>
    </row>
    <row r="66" spans="2:17">
      <c r="B66" s="60"/>
      <c r="C66" s="28" t="s">
        <v>196</v>
      </c>
      <c r="D66" s="28"/>
      <c r="E66" s="28"/>
      <c r="F66" s="28"/>
      <c r="G66" s="28"/>
      <c r="H66" s="28"/>
      <c r="I66" s="28"/>
      <c r="J66" s="28"/>
      <c r="K66" s="28"/>
      <c r="L66" s="183"/>
      <c r="M66" s="24" t="s">
        <v>51</v>
      </c>
      <c r="N66" s="33" t="s">
        <v>20</v>
      </c>
      <c r="O66" s="34"/>
      <c r="P66" s="34"/>
      <c r="Q66" s="35"/>
    </row>
    <row r="67" spans="2:17" ht="26.4">
      <c r="B67" s="61" t="s">
        <v>21</v>
      </c>
      <c r="C67" s="261" t="s">
        <v>163</v>
      </c>
      <c r="D67" s="256"/>
      <c r="E67" s="256"/>
      <c r="F67" s="256"/>
      <c r="G67" s="256"/>
      <c r="H67" s="256"/>
      <c r="I67" s="256"/>
      <c r="J67" s="257"/>
      <c r="K67" s="29" t="s">
        <v>22</v>
      </c>
      <c r="L67" s="184"/>
      <c r="M67" s="252" t="s">
        <v>280</v>
      </c>
      <c r="N67" s="192" t="s">
        <v>226</v>
      </c>
      <c r="O67" s="192" t="s">
        <v>24</v>
      </c>
      <c r="P67" s="191" t="s">
        <v>227</v>
      </c>
      <c r="Q67" s="124" t="s">
        <v>26</v>
      </c>
    </row>
    <row r="68" spans="2:17">
      <c r="B68" s="61" t="s">
        <v>33</v>
      </c>
      <c r="C68" s="149" t="s">
        <v>194</v>
      </c>
      <c r="D68" s="149" t="s">
        <v>194</v>
      </c>
      <c r="E68" s="149" t="s">
        <v>194</v>
      </c>
      <c r="F68" s="149" t="s">
        <v>194</v>
      </c>
      <c r="G68" s="149" t="s">
        <v>194</v>
      </c>
      <c r="H68" s="149" t="s">
        <v>194</v>
      </c>
      <c r="I68" s="149" t="s">
        <v>194</v>
      </c>
      <c r="J68" s="149" t="s">
        <v>194</v>
      </c>
      <c r="K68" s="123" t="s">
        <v>100</v>
      </c>
      <c r="L68" s="193" t="s">
        <v>100</v>
      </c>
      <c r="M68" s="25" t="s">
        <v>197</v>
      </c>
      <c r="N68" s="195"/>
      <c r="O68" s="195"/>
      <c r="P68" s="194"/>
      <c r="Q68" s="124"/>
    </row>
    <row r="69" spans="2:17" ht="26.4">
      <c r="B69" s="62" t="s">
        <v>27</v>
      </c>
      <c r="C69" s="255" t="s">
        <v>35</v>
      </c>
      <c r="D69" s="256"/>
      <c r="E69" s="256"/>
      <c r="F69" s="256"/>
      <c r="G69" s="256"/>
      <c r="H69" s="256"/>
      <c r="I69" s="256"/>
      <c r="J69" s="257"/>
      <c r="K69" s="212" t="s">
        <v>198</v>
      </c>
      <c r="L69" s="185" t="s">
        <v>198</v>
      </c>
      <c r="M69" s="26"/>
      <c r="N69" s="195"/>
      <c r="O69" s="195"/>
      <c r="P69" s="194"/>
      <c r="Q69" s="124"/>
    </row>
    <row r="70" spans="2:17" ht="133.19999999999999">
      <c r="B70" s="61" t="s">
        <v>28</v>
      </c>
      <c r="C70" s="150" t="s">
        <v>199</v>
      </c>
      <c r="D70" s="150" t="s">
        <v>62</v>
      </c>
      <c r="E70" s="150" t="s">
        <v>200</v>
      </c>
      <c r="F70" s="150" t="s">
        <v>201</v>
      </c>
      <c r="G70" s="150" t="s">
        <v>202</v>
      </c>
      <c r="H70" s="150" t="s">
        <v>203</v>
      </c>
      <c r="I70" s="150" t="s">
        <v>204</v>
      </c>
      <c r="J70" s="150" t="s">
        <v>205</v>
      </c>
      <c r="K70" s="212" t="s">
        <v>195</v>
      </c>
      <c r="L70" s="185" t="s">
        <v>229</v>
      </c>
      <c r="M70" s="25" t="s">
        <v>29</v>
      </c>
      <c r="N70" s="195"/>
      <c r="O70" s="195"/>
      <c r="P70" s="194"/>
      <c r="Q70" s="124"/>
    </row>
    <row r="71" spans="2:17" ht="53.4" thickBot="1">
      <c r="B71" s="63" t="s">
        <v>30</v>
      </c>
      <c r="C71" s="151" t="s">
        <v>206</v>
      </c>
      <c r="D71" s="151" t="s">
        <v>194</v>
      </c>
      <c r="E71" s="151" t="s">
        <v>206</v>
      </c>
      <c r="F71" s="151" t="s">
        <v>206</v>
      </c>
      <c r="G71" s="151" t="s">
        <v>206</v>
      </c>
      <c r="H71" s="151" t="s">
        <v>206</v>
      </c>
      <c r="I71" s="151" t="s">
        <v>206</v>
      </c>
      <c r="J71" s="151" t="s">
        <v>206</v>
      </c>
      <c r="K71" s="175" t="s">
        <v>207</v>
      </c>
      <c r="L71" s="23" t="s">
        <v>236</v>
      </c>
      <c r="M71" s="27" t="s">
        <v>234</v>
      </c>
      <c r="N71" s="198"/>
      <c r="O71" s="197"/>
      <c r="P71" s="196" t="s">
        <v>228</v>
      </c>
      <c r="Q71" s="125"/>
    </row>
    <row r="72" spans="2:17" ht="13.8" thickTop="1">
      <c r="B72" s="64" t="s">
        <v>237</v>
      </c>
      <c r="C72" s="152" t="s">
        <v>156</v>
      </c>
      <c r="D72" s="152" t="s">
        <v>156</v>
      </c>
      <c r="E72" s="152" t="s">
        <v>156</v>
      </c>
      <c r="F72" s="152" t="s">
        <v>156</v>
      </c>
      <c r="G72" s="152" t="s">
        <v>156</v>
      </c>
      <c r="H72" s="152" t="s">
        <v>156</v>
      </c>
      <c r="I72" s="152" t="s">
        <v>156</v>
      </c>
      <c r="J72" s="152" t="s">
        <v>156</v>
      </c>
      <c r="K72" s="30" t="s">
        <v>193</v>
      </c>
      <c r="L72" s="176" t="s">
        <v>208</v>
      </c>
      <c r="M72" s="31" t="s">
        <v>108</v>
      </c>
      <c r="N72" s="200"/>
      <c r="O72" s="200"/>
      <c r="P72" s="199" t="s">
        <v>31</v>
      </c>
      <c r="Q72" s="186"/>
    </row>
    <row r="73" spans="2:17">
      <c r="B73" s="19" t="s">
        <v>238</v>
      </c>
      <c r="C73" s="153" t="s">
        <v>156</v>
      </c>
      <c r="D73" s="153" t="s">
        <v>156</v>
      </c>
      <c r="E73" s="153" t="s">
        <v>156</v>
      </c>
      <c r="F73" s="153" t="s">
        <v>156</v>
      </c>
      <c r="G73" s="153" t="s">
        <v>156</v>
      </c>
      <c r="H73" s="153" t="s">
        <v>156</v>
      </c>
      <c r="I73" s="153" t="s">
        <v>156</v>
      </c>
      <c r="J73" s="153" t="s">
        <v>156</v>
      </c>
      <c r="K73" s="254" t="s">
        <v>209</v>
      </c>
      <c r="L73" s="187" t="s">
        <v>210</v>
      </c>
      <c r="M73" s="32" t="s">
        <v>235</v>
      </c>
      <c r="N73" s="202"/>
      <c r="O73" s="202"/>
      <c r="P73" s="201" t="s">
        <v>230</v>
      </c>
      <c r="Q73" s="126"/>
    </row>
    <row r="74" spans="2:17">
      <c r="B74" s="19" t="s">
        <v>211</v>
      </c>
      <c r="C74" s="153" t="s">
        <v>156</v>
      </c>
      <c r="D74" s="153" t="s">
        <v>156</v>
      </c>
      <c r="E74" s="153" t="s">
        <v>156</v>
      </c>
      <c r="F74" s="153" t="s">
        <v>156</v>
      </c>
      <c r="G74" s="153" t="s">
        <v>156</v>
      </c>
      <c r="H74" s="153" t="s">
        <v>156</v>
      </c>
      <c r="I74" s="153" t="s">
        <v>156</v>
      </c>
      <c r="J74" s="153" t="s">
        <v>156</v>
      </c>
      <c r="K74" s="254" t="s">
        <v>212</v>
      </c>
      <c r="L74" s="187" t="s">
        <v>213</v>
      </c>
      <c r="M74" s="32" t="s">
        <v>108</v>
      </c>
      <c r="N74" s="202"/>
      <c r="O74" s="202"/>
      <c r="P74" s="201" t="s">
        <v>194</v>
      </c>
      <c r="Q74" s="126"/>
    </row>
    <row r="75" spans="2:17">
      <c r="B75" s="19" t="s">
        <v>214</v>
      </c>
      <c r="C75" s="153" t="s">
        <v>156</v>
      </c>
      <c r="D75" s="153" t="s">
        <v>156</v>
      </c>
      <c r="E75" s="153" t="s">
        <v>156</v>
      </c>
      <c r="F75" s="153" t="s">
        <v>156</v>
      </c>
      <c r="G75" s="153" t="s">
        <v>156</v>
      </c>
      <c r="H75" s="153" t="s">
        <v>156</v>
      </c>
      <c r="I75" s="153" t="s">
        <v>156</v>
      </c>
      <c r="J75" s="153" t="s">
        <v>156</v>
      </c>
      <c r="K75" s="254" t="s">
        <v>215</v>
      </c>
      <c r="L75" s="187" t="s">
        <v>213</v>
      </c>
      <c r="M75" s="32" t="s">
        <v>32</v>
      </c>
      <c r="N75" s="202"/>
      <c r="O75" s="202"/>
      <c r="P75" s="201" t="s">
        <v>231</v>
      </c>
      <c r="Q75" s="126"/>
    </row>
    <row r="76" spans="2:17">
      <c r="B76" s="19" t="s">
        <v>216</v>
      </c>
      <c r="C76" s="153" t="s">
        <v>156</v>
      </c>
      <c r="D76" s="153" t="s">
        <v>156</v>
      </c>
      <c r="E76" s="153" t="s">
        <v>156</v>
      </c>
      <c r="F76" s="153" t="s">
        <v>156</v>
      </c>
      <c r="G76" s="153" t="s">
        <v>156</v>
      </c>
      <c r="H76" s="153" t="s">
        <v>156</v>
      </c>
      <c r="I76" s="153" t="s">
        <v>156</v>
      </c>
      <c r="J76" s="153" t="s">
        <v>156</v>
      </c>
      <c r="K76" s="254" t="s">
        <v>217</v>
      </c>
      <c r="L76" s="187" t="s">
        <v>213</v>
      </c>
      <c r="M76" s="32" t="s">
        <v>32</v>
      </c>
      <c r="N76" s="202"/>
      <c r="O76" s="202"/>
      <c r="P76" s="201" t="s">
        <v>231</v>
      </c>
      <c r="Q76" s="126"/>
    </row>
    <row r="77" spans="2:17" ht="13.8" thickBot="1">
      <c r="B77" s="177" t="s">
        <v>101</v>
      </c>
      <c r="C77" s="178" t="s">
        <v>156</v>
      </c>
      <c r="D77" s="178" t="s">
        <v>156</v>
      </c>
      <c r="E77" s="178" t="s">
        <v>156</v>
      </c>
      <c r="F77" s="178" t="s">
        <v>156</v>
      </c>
      <c r="G77" s="178" t="s">
        <v>156</v>
      </c>
      <c r="H77" s="178" t="s">
        <v>156</v>
      </c>
      <c r="I77" s="178" t="s">
        <v>156</v>
      </c>
      <c r="J77" s="178" t="s">
        <v>156</v>
      </c>
      <c r="K77" s="179" t="s">
        <v>218</v>
      </c>
      <c r="L77" s="180" t="s">
        <v>213</v>
      </c>
      <c r="M77" s="181" t="s">
        <v>32</v>
      </c>
      <c r="N77" s="204"/>
      <c r="O77" s="204"/>
      <c r="P77" s="203" t="s">
        <v>31</v>
      </c>
      <c r="Q77" s="182"/>
    </row>
    <row r="83" ht="68.25" customHeight="1"/>
  </sheetData>
  <phoneticPr fontId="3"/>
  <dataValidations disablePrompts="1" count="1">
    <dataValidation type="list" allowBlank="1" showInputMessage="1" showErrorMessage="1" sqref="C65 C51"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72" t="s">
        <v>85</v>
      </c>
      <c r="C2" s="73">
        <f>MAX(B4:B28)</f>
        <v>20</v>
      </c>
      <c r="D2" s="73"/>
    </row>
    <row r="3" spans="2:4" ht="13.8" thickBot="1">
      <c r="B3" s="66" t="s">
        <v>85</v>
      </c>
      <c r="C3" s="74" t="s">
        <v>89</v>
      </c>
      <c r="D3" s="67" t="s">
        <v>86</v>
      </c>
    </row>
    <row r="4" spans="2:4" ht="13.8" thickTop="1">
      <c r="B4" s="11">
        <v>0</v>
      </c>
      <c r="C4" s="75" t="s">
        <v>90</v>
      </c>
      <c r="D4" s="12" t="s">
        <v>19</v>
      </c>
    </row>
    <row r="5" spans="2:4" ht="39.6">
      <c r="B5" s="1">
        <v>1</v>
      </c>
      <c r="C5" s="76" t="s">
        <v>90</v>
      </c>
      <c r="D5" s="78" t="s">
        <v>91</v>
      </c>
    </row>
    <row r="6" spans="2:4" ht="26.4">
      <c r="B6" s="1">
        <v>2</v>
      </c>
      <c r="C6" s="76" t="s">
        <v>93</v>
      </c>
      <c r="D6" s="78" t="s">
        <v>94</v>
      </c>
    </row>
    <row r="7" spans="2:4" ht="52.8">
      <c r="B7" s="1">
        <v>3</v>
      </c>
      <c r="C7" s="76" t="s">
        <v>90</v>
      </c>
      <c r="D7" s="78" t="s">
        <v>97</v>
      </c>
    </row>
    <row r="8" spans="2:4" ht="79.2">
      <c r="B8" s="1">
        <v>4</v>
      </c>
      <c r="C8" s="76" t="s">
        <v>105</v>
      </c>
      <c r="D8" s="78" t="s">
        <v>111</v>
      </c>
    </row>
    <row r="9" spans="2:4" ht="41.25" customHeight="1">
      <c r="B9" s="1">
        <v>5</v>
      </c>
      <c r="C9" s="76" t="s">
        <v>106</v>
      </c>
      <c r="D9" s="78" t="s">
        <v>107</v>
      </c>
    </row>
    <row r="10" spans="2:4" ht="26.4">
      <c r="B10" s="1">
        <v>6</v>
      </c>
      <c r="C10" s="76" t="s">
        <v>90</v>
      </c>
      <c r="D10" s="78" t="s">
        <v>110</v>
      </c>
    </row>
    <row r="11" spans="2:4" ht="26.4">
      <c r="B11" s="1">
        <v>7</v>
      </c>
      <c r="C11" s="76" t="s">
        <v>105</v>
      </c>
      <c r="D11" s="78" t="s">
        <v>109</v>
      </c>
    </row>
    <row r="12" spans="2:4" ht="26.4">
      <c r="B12" s="1">
        <v>8</v>
      </c>
      <c r="C12" s="76" t="s">
        <v>90</v>
      </c>
      <c r="D12" s="78" t="s">
        <v>112</v>
      </c>
    </row>
    <row r="13" spans="2:4" ht="26.4">
      <c r="B13" s="1">
        <v>9</v>
      </c>
      <c r="C13" s="76" t="s">
        <v>90</v>
      </c>
      <c r="D13" s="78" t="s">
        <v>113</v>
      </c>
    </row>
    <row r="14" spans="2:4" ht="26.4">
      <c r="B14" s="1">
        <v>10</v>
      </c>
      <c r="C14" s="76" t="s">
        <v>114</v>
      </c>
      <c r="D14" s="78" t="s">
        <v>115</v>
      </c>
    </row>
    <row r="15" spans="2:4" ht="132">
      <c r="B15" s="1">
        <v>11</v>
      </c>
      <c r="C15" s="76" t="s">
        <v>90</v>
      </c>
      <c r="D15" s="78" t="s">
        <v>127</v>
      </c>
    </row>
    <row r="16" spans="2:4" ht="191.25" customHeight="1">
      <c r="B16" s="1">
        <v>12</v>
      </c>
      <c r="C16" s="76" t="s">
        <v>154</v>
      </c>
      <c r="D16" s="78" t="s">
        <v>161</v>
      </c>
    </row>
    <row r="17" spans="2:4" ht="26.4">
      <c r="B17" s="1">
        <v>13</v>
      </c>
      <c r="C17" s="76" t="s">
        <v>93</v>
      </c>
      <c r="D17" s="78" t="s">
        <v>164</v>
      </c>
    </row>
    <row r="18" spans="2:4" ht="92.4">
      <c r="B18" s="1">
        <v>14</v>
      </c>
      <c r="C18" s="76" t="s">
        <v>93</v>
      </c>
      <c r="D18" s="78" t="s">
        <v>166</v>
      </c>
    </row>
    <row r="19" spans="2:4" ht="39.6">
      <c r="B19" s="1">
        <v>15</v>
      </c>
      <c r="C19" s="76" t="s">
        <v>106</v>
      </c>
      <c r="D19" s="78" t="s">
        <v>169</v>
      </c>
    </row>
    <row r="20" spans="2:4" ht="64.5" customHeight="1">
      <c r="B20" s="1">
        <v>16</v>
      </c>
      <c r="C20" s="76" t="s">
        <v>106</v>
      </c>
      <c r="D20" s="78" t="s">
        <v>173</v>
      </c>
    </row>
    <row r="21" spans="2:4" ht="66.75" customHeight="1">
      <c r="B21" s="1">
        <v>17</v>
      </c>
      <c r="C21" s="76" t="s">
        <v>105</v>
      </c>
      <c r="D21" s="78" t="s">
        <v>188</v>
      </c>
    </row>
    <row r="22" spans="2:4" ht="26.4">
      <c r="B22" s="1">
        <v>18</v>
      </c>
      <c r="C22" s="76" t="s">
        <v>219</v>
      </c>
      <c r="D22" s="78" t="s">
        <v>220</v>
      </c>
    </row>
    <row r="23" spans="2:4" ht="26.4">
      <c r="B23" s="1">
        <v>19</v>
      </c>
      <c r="C23" s="76" t="s">
        <v>219</v>
      </c>
      <c r="D23" s="78" t="s">
        <v>221</v>
      </c>
    </row>
    <row r="24" spans="2:4" ht="92.4">
      <c r="B24" s="213">
        <v>20</v>
      </c>
      <c r="C24" s="76" t="s">
        <v>243</v>
      </c>
      <c r="D24" s="78" t="s">
        <v>244</v>
      </c>
    </row>
    <row r="25" spans="2:4">
      <c r="B25" s="1"/>
      <c r="C25" s="76"/>
      <c r="D25" s="65"/>
    </row>
    <row r="26" spans="2:4">
      <c r="B26" s="1"/>
      <c r="C26" s="76"/>
      <c r="D26" s="65"/>
    </row>
    <row r="27" spans="2:4" ht="13.8" thickBot="1">
      <c r="B27" s="2"/>
      <c r="C27" s="77"/>
      <c r="D27" s="4"/>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S_ADBZR_BSM</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2025-12-17T10:19:06Z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2024-05-28T09:12:31Z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148b251a-0a75-4d6f-9890-de886ab2f6e2</vt:lpwstr>
  </property>
  <property fmtid="{D5CDD505-2E9C-101B-9397-08002B2CF9AE}" pid="8" name="MSIP_Label_6add209e-37c4-4e15-ab1b-f9befe71def1_ContentBits">
    <vt:lpwstr>0</vt:lpwstr>
  </property>
</Properties>
</file>