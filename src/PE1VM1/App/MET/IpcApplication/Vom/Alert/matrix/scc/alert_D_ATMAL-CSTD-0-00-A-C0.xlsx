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Project\19PFv3\Git\CV内部結合2_Integ0112\mainline\ren_d1x\src\IpcApplication\Vom\Alert\matrix-CSTD-1-03-A-C0\scc\"/>
    </mc:Choice>
  </mc:AlternateContent>
  <xr:revisionPtr revIDLastSave="0" documentId="13_ncr:1_{72BE8B31-49DF-4035-8295-60F57D8969E8}" xr6:coauthVersionLast="47" xr6:coauthVersionMax="47" xr10:uidLastSave="{00000000-0000-0000-0000-000000000000}"/>
  <bookViews>
    <workbookView xWindow="-28920" yWindow="3390" windowWidth="29040" windowHeight="15840" xr2:uid="{00000000-000D-0000-FFFF-FFFF00000000}"/>
  </bookViews>
  <sheets>
    <sheet name="表紙" sheetId="14" r:id="rId1"/>
    <sheet name="_表紙" sheetId="1" r:id="rId2"/>
    <sheet name="はじめに" sheetId="10" r:id="rId3"/>
    <sheet name="Matrix" sheetId="4" r:id="rId4"/>
    <sheet name="Config_IF" sheetId="11" r:id="rId5"/>
    <sheet name="CH_Design" sheetId="5" r:id="rId6"/>
    <sheet name="D_ATMAL" sheetId="8" r:id="rId7"/>
    <sheet name="Reference" sheetId="13" r:id="rId8"/>
    <sheet name="History" sheetId="7"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s>
  <definedNames>
    <definedName name="_1">#N/A</definedName>
    <definedName name="_10">'[1]#REF'!$GJ$2:$GJ$7971</definedName>
    <definedName name="_11">'[1]#REF'!$GJ$2:$GJ$7971</definedName>
    <definedName name="_12">'[1]#REF'!$GJ$2:$GJ$7971</definedName>
    <definedName name="_13">'[1]#REF'!$GJ$2:$GJ$7971</definedName>
    <definedName name="_2">#N/A</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localSheetId="0" hidden="1">#REF!</definedName>
    <definedName name="_Fill" hidden="1">#REF!</definedName>
    <definedName name="_Key1" localSheetId="0" hidden="1">#REF!</definedName>
    <definedName name="_Key1" hidden="1">#REF!</definedName>
    <definedName name="_Order1" hidden="1">255</definedName>
    <definedName name="_Order2" hidden="1">1</definedName>
    <definedName name="_Sort" localSheetId="0" hidden="1">#REF!</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localSheetId="0" hidden="1">{"'2001 4 12'!$A$7:$K$90"}</definedName>
    <definedName name="a" hidden="1">{"'2001 4 12'!$A$7:$K$90"}</definedName>
    <definedName name="aa">'[1]#REF'!$DU$3</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#REF!</definedName>
    <definedName name="B_WRNBAR_000">#REF!</definedName>
    <definedName name="BASELINE_SHIFT">#REF!</definedName>
    <definedName name="baseName">#REF!</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'[2]#定義'!#REF!</definedName>
    <definedName name="CreateDsMax">#REF!</definedName>
    <definedName name="CSVファイル出力">[3]ツール!#REF!</definedName>
    <definedName name="d">#REF!</definedName>
    <definedName name="_xlnm.Database">'[1]#REF'!$A$2:$X$1000</definedName>
    <definedName name="Database_MI">'[1]#REF'!$A$2:$X$1000</definedName>
    <definedName name="DatabaseList作成の生産性">[4]生産性定義!#REF!</definedName>
    <definedName name="DATE">MAXA('[5]#改訂履歴_'!$G$6:$G$44)</definedName>
    <definedName name="DefaultFontType" localSheetId="0">#REF!</definedName>
    <definedName name="DefaultFontType">#REF!</definedName>
    <definedName name="DefaultLanguage">[6]Parameter!$AX$8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'[7]rom map'!#REF!</definedName>
    <definedName name="DotPitch" localSheetId="0">#REF!</definedName>
    <definedName name="DotPitch">#REF!</definedName>
    <definedName name="DS_MAP_SELECT">#REF!</definedName>
    <definedName name="DS_MAP_SELECT_1ST">#REF!</definedName>
    <definedName name="DS_MAP_SELECT_CAT">#REF!</definedName>
    <definedName name="DS_MAP_SELECT_ITEM">#REF!</definedName>
    <definedName name="DS_MAP_START">'[7]rom map'!#REF!</definedName>
    <definedName name="DsDbArea">#REF!</definedName>
    <definedName name="DsDbCreate">#REF!</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'[7]rom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#REF!</definedName>
    <definedName name="INDIRECT">#REF!</definedName>
    <definedName name="JUSTIFICATION">#REF!</definedName>
    <definedName name="K">#REF!</definedName>
    <definedName name="KERNING">#REF!</definedName>
    <definedName name="Lakewood_Outline_001e78ed2a57450a923b422bad8cf12c">[2]タブ部品!#REF!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[2]排他部品!#REF!</definedName>
    <definedName name="Lakewood_Outline_2495c720af96485191b392c1b906b125">#REF!</definedName>
    <definedName name="Lakewood_Outline_265169d599fc43e6a5169f4fffb4f172">[2]縮尺度表示部品!#REF!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[2]可変行数表示部品!#REF!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[8]ラベル!#REF!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[2]排他部品!#REF!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[9]タブ部品!#REF!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'[2]#ツール上でのロール割り当て'!#REF!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#REF!</definedName>
    <definedName name="MASK">#REF!</definedName>
    <definedName name="menber2_out">'[10]要求仕様Ｑ＆Ａ'!#REF!</definedName>
    <definedName name="MeterVariationDs">#REF!</definedName>
    <definedName name="Miles.IDCell.1.1875.6013209">[11]計画!#REF!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[12]Sheet1!$A$1:$I$233</definedName>
    <definedName name="PRINT_AREA_MI">'[1]#REF'!$A$3:$Q$1000</definedName>
    <definedName name="_xlnm.Print_Titles">[13]車両仕様!$A$1:$C$65536,[13]車両仕様!$A$3:$IV$4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OLID_COLOR">#REF!</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'[10]要求仕様Ｑ＆Ａ'!#REF!</definedName>
    <definedName name="test2">'[10]要求仕様Ｑ＆Ａ'!#REF!</definedName>
    <definedName name="text">#REF!</definedName>
    <definedName name="TEXT_STYLE_LENGTH">#REF!</definedName>
    <definedName name="TEXT_STYLE_NO">#REF!</definedName>
    <definedName name="TOTAL">#N/A</definedName>
    <definedName name="TRACKING">#REF!</definedName>
    <definedName name="UNDERLINE">#REF!</definedName>
    <definedName name="VarSel_START_DS">#REF!</definedName>
    <definedName name="Version">[14]改訂履歴!$B$4:$B$67</definedName>
    <definedName name="VERTICAL_SCALE">#REF!</definedName>
    <definedName name="WRN中国">#REF!</definedName>
    <definedName name="WRN中国改行済み">#REF!</definedName>
    <definedName name="WRN中国改行済み120411">#REF!</definedName>
    <definedName name="xlo1">#REF!</definedName>
    <definedName name="xlo2">#REF!</definedName>
    <definedName name="xlo3">#REF!</definedName>
    <definedName name="xlo4">#REF!</definedName>
    <definedName name="xmlText">#REF!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1C5CC427_F21E_4E9E_AA2A_70C4FAFCEA7E_.wvu.FilterData" localSheetId="0" hidden="1">#REF!</definedName>
    <definedName name="Z_1C5CC427_F21E_4E9E_AA2A_70C4FAFCEA7E_.wvu.FilterData" hidden="1">#REF!</definedName>
    <definedName name="Z_20F46882_CF8B_4C76_A848_D8B5AA35F51C_.wvu.FilterData" localSheetId="0" hidden="1">#REF!</definedName>
    <definedName name="Z_20F46882_CF8B_4C76_A848_D8B5AA35F51C_.wvu.FilterData" hidden="1">#REF!</definedName>
    <definedName name="Z_229AA605_3522_4215_99D1_12508BA7412C_.wvu.FilterData" localSheetId="0" hidden="1">#REF!</definedName>
    <definedName name="Z_229AA605_3522_4215_99D1_12508BA7412C_.wvu.FilterData" hidden="1">#REF!</definedName>
    <definedName name="Z_23E93EC3_6276_4192_A4D2_6D99E25284BB_.wvu.FilterData" hidden="1">#REF!</definedName>
    <definedName name="Z_2747093B_3A77_4EE5_BB5F_56D528A620AE_.wvu.FilterData" localSheetId="0" hidden="1">#REF!</definedName>
    <definedName name="Z_2747093B_3A77_4EE5_BB5F_56D528A620AE_.wvu.FilterData" hidden="1">#REF!</definedName>
    <definedName name="Z_2EBF1EC8_F0EB_472B_8DFE_569F9BA53BFB_.wvu.FilterData" localSheetId="0" hidden="1">#REF!</definedName>
    <definedName name="Z_2EBF1EC8_F0EB_472B_8DFE_569F9BA53BFB_.wvu.FilterData" hidden="1">#REF!</definedName>
    <definedName name="Z_3451C728_AE51_4C5C_8314_C812EF071658_.wvu.FilterData" localSheetId="0" hidden="1">#REF!</definedName>
    <definedName name="Z_3451C728_AE51_4C5C_8314_C812EF071658_.wvu.FilterData" hidden="1">#REF!</definedName>
    <definedName name="Z_348ADFB6_EE1A_414F_8E5D_FE9844DD7414_.wvu.FilterData" localSheetId="0" hidden="1">#REF!</definedName>
    <definedName name="Z_348ADFB6_EE1A_414F_8E5D_FE9844DD7414_.wvu.FilterData" hidden="1">#REF!</definedName>
    <definedName name="Z_3FB1D58B_81CC_44CD_A97C_50C659F7C994_.wvu.FilterData" localSheetId="0" hidden="1">#REF!</definedName>
    <definedName name="Z_3FB1D58B_81CC_44CD_A97C_50C659F7C994_.wvu.FilterData" hidden="1">#REF!</definedName>
    <definedName name="Z_524601A4_BDA9_430D_8321_FC1EB976CAC7_.wvu.FilterData" localSheetId="0" hidden="1">#REF!</definedName>
    <definedName name="Z_524601A4_BDA9_430D_8321_FC1EB976CAC7_.wvu.FilterData" hidden="1">#REF!</definedName>
    <definedName name="Z_549346FF_2959_4613_8783_DAA5CB3C3FA4_.wvu.FilterData" hidden="1">#REF!</definedName>
    <definedName name="Z_675E72C0_30BB_4A11_A5AD_1A4F5C473816_.wvu.FilterData" localSheetId="0" hidden="1">#REF!</definedName>
    <definedName name="Z_675E72C0_30BB_4A11_A5AD_1A4F5C473816_.wvu.FilterData" hidden="1">#REF!</definedName>
    <definedName name="Z_8BE38E37_24BE_4185_90D6_7DA5187371D1_.wvu.FilterData" localSheetId="0" hidden="1">#REF!</definedName>
    <definedName name="Z_8BE38E37_24BE_4185_90D6_7DA5187371D1_.wvu.FilterData" hidden="1">#REF!</definedName>
    <definedName name="Z_9EE5E24B_8977_415D_A48B_0826FF3522FB_.wvu.FilterData" localSheetId="0" hidden="1">#REF!</definedName>
    <definedName name="Z_9EE5E24B_8977_415D_A48B_0826FF3522FB_.wvu.FilterData" hidden="1">#REF!</definedName>
    <definedName name="Z_AD56BB8D_44D5_493C_A851_E022A8DAB93F_.wvu.FilterData" localSheetId="0" hidden="1">#REF!</definedName>
    <definedName name="Z_AD56BB8D_44D5_493C_A851_E022A8DAB93F_.wvu.FilterData" hidden="1">#REF!</definedName>
    <definedName name="Z_C7ACEFCF_EBF5_4657_826B_71375E8E4E14_.wvu.FilterData" localSheetId="0" hidden="1">#REF!</definedName>
    <definedName name="Z_C7ACEFCF_EBF5_4657_826B_71375E8E4E14_.wvu.FilterData" hidden="1">#REF!</definedName>
    <definedName name="Z_CE85EACA_675D_4231_85CC_B813572E9AFA_.wvu.FilterData" localSheetId="0" hidden="1">#REF!</definedName>
    <definedName name="Z_CE85EACA_675D_4231_85CC_B813572E9AFA_.wvu.FilterData" hidden="1">#REF!</definedName>
    <definedName name="Z_D088C5D1_20A3_40E6_955D_85E2E243D41E_.wvu.FilterData" localSheetId="0" hidden="1">#REF!</definedName>
    <definedName name="Z_D088C5D1_20A3_40E6_955D_85E2E243D41E_.wvu.FilterData" hidden="1">#REF!</definedName>
    <definedName name="Z_D11BE9DC_1F04_4335_B3CB_74219F85E405_.wvu.FilterData" localSheetId="0" hidden="1">#REF!</definedName>
    <definedName name="Z_D11BE9DC_1F04_4335_B3CB_74219F85E405_.wvu.FilterData" hidden="1">#REF!</definedName>
    <definedName name="Z_D90D0A22_4AF7_49BB_9F00_32C64F083292_.wvu.FilterData" localSheetId="0" hidden="1">#REF!</definedName>
    <definedName name="Z_D90D0A22_4AF7_49BB_9F00_32C64F083292_.wvu.FilterData" hidden="1">#REF!</definedName>
    <definedName name="Z_ECB78682_BE71_4707_836F_5BFA577E4566_.wvu.FilterData" localSheetId="0" hidden="1">#REF!</definedName>
    <definedName name="Z_ECB78682_BE71_4707_836F_5BFA577E4566_.wvu.FilterData" hidden="1">#REF!</definedName>
    <definedName name="Z_F90082A1_C4F1_4A9B_BBA7_3A362D412A9C_.wvu.FilterData" localSheetId="0" hidden="1">#REF!</definedName>
    <definedName name="Z_F90082A1_C4F1_4A9B_BBA7_3A362D412A9C_.wvu.FilterData" hidden="1">#REF!</definedName>
    <definedName name="あ" localSheetId="0" hidden="1">#REF!</definedName>
    <definedName name="あ" hidden="1">#REF!</definedName>
    <definedName name="ああ" localSheetId="0" hidden="1">{"'2001 4 12'!$A$7:$K$90"}</definedName>
    <definedName name="ああ" hidden="1">{"'2001 4 12'!$A$7:$K$90"}</definedName>
    <definedName name="あああ">[1]選択肢!$C$2:$C$6</definedName>
    <definedName name="あああああああああああ" localSheetId="0" hidden="1">{"'2001 4 12'!$A$7:$K$90"}</definedName>
    <definedName name="あああああああああああ" hidden="1">{"'2001 4 12'!$A$7:$K$90"}</definedName>
    <definedName name="アイテム">[15]ユーザー選択肢定義!$E$4:$E$6</definedName>
    <definedName name="い" localSheetId="0" hidden="1">#REF!</definedName>
    <definedName name="い" hidden="1">#REF!</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[16]計画AUDIO!#REF!</definedName>
    <definedName name="オーディオ７末実施者">[16]計画AUDIO!#REF!</definedName>
    <definedName name="オーディオ７末設計">#REF!</definedName>
    <definedName name="オーディオ７末設計時間">[16]計画AUDIO!#REF!</definedName>
    <definedName name="オーディオ７末設計者">[16]計画AUDIO!#REF!</definedName>
    <definedName name="クエリ1">'[1]#REF'!$A$1:$H$398</definedName>
    <definedName name="クラス">#REF!</definedName>
    <definedName name="コンテンツ名">#REF!</definedName>
    <definedName name="シートMAX数">#REF!</definedName>
    <definedName name="シンボル定義CDF">[3]ツール!#REF!</definedName>
    <definedName name="シンボル定義PDF">#REF!</definedName>
    <definedName name="タイプ">[17]設定!$B$3:$B$5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[18]設定値定義!#REF!</definedName>
    <definedName name="ポート出力データ設定PDR_PODR">[18]設定値定義!#REF!</definedName>
    <definedName name="ポート入出力設定DDR">[18]設定値定義!#REF!</definedName>
    <definedName name="マイコン品番">'[19]XSSマイコン依存部 (基本設定)'!$K$7</definedName>
    <definedName name="メータ多言語翻訳リスト">#REF!</definedName>
    <definedName name="リスク_観察結果">'[20]３．課題・問題・リスク'!#REF!</definedName>
    <definedName name="リスク_対応ステータス">'[20]３．課題・問題・リスク'!#REF!</definedName>
    <definedName name="リスト">#REF!</definedName>
    <definedName name="レイヤーインフォ">#REF!</definedName>
    <definedName name="案件生産性">#REF!</definedName>
    <definedName name="一回目">[21]多言語翻訳リスト!$M$1:$N$65536</definedName>
    <definedName name="英語2回目">#REF!</definedName>
    <definedName name="画面SSDファイル">[3]ツール!#REF!</definedName>
    <definedName name="画面設計の内訳">#REF!</definedName>
    <definedName name="画面設計の内訳1">[2]排他部品!#REF!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拡張ポート機能設定EPFR">[18]設定値定義!#REF!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#REF!</definedName>
    <definedName name="関数名_確定_IGOFF">#REF!</definedName>
    <definedName name="関数名_確定_IGON">#REF!</definedName>
    <definedName name="関数名_確定_WKUP">#REF!</definedName>
    <definedName name="関数名_確定_状態遷移_0">#REF!</definedName>
    <definedName name="関数名_確定_状態遷移_1">#REF!</definedName>
    <definedName name="関数名_確定_状態遷移_2">#REF!</definedName>
    <definedName name="関数名_確定_状態遷移_3">#REF!</definedName>
    <definedName name="関数名_確定_状態遷移_4">#REF!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[17]設定!$C$3:$C$4</definedName>
    <definedName name="計画承認者">#REF!</definedName>
    <definedName name="計画承認日">#REF!</definedName>
    <definedName name="結合検査項目">'[22]パラメータ一覧(AXSS.AXCS)'!#REF!</definedName>
    <definedName name="検査業務の生産性">[4]生産性定義!#REF!</definedName>
    <definedName name="検査最大数">#REF!</definedName>
    <definedName name="原因">'[1]#REF'!$AN$3:$AN$23</definedName>
    <definedName name="言語">[23]データ取得!$B$50:$B$97</definedName>
    <definedName name="工程定義">#REF!</definedName>
    <definedName name="行数指定">[24]ListWork!$H$2:$H$10</definedName>
    <definedName name="今日">#REF!</definedName>
    <definedName name="最後">'[1]#REF'!$GJ$2:$GJ$7971</definedName>
    <definedName name="済">#N/A</definedName>
    <definedName name="作業情報">#REF!</definedName>
    <definedName name="作業状況">#REF!</definedName>
    <definedName name="残量">[25]エンジン型式!$E$1:$E$5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策状況">[1]選択肢!$J$2:$J$10</definedName>
    <definedName name="対象成果種別">[15]ユーザー選択肢定義!$G$4:$G$17</definedName>
    <definedName name="第5">#N/A</definedName>
    <definedName name="第6">#N/A</definedName>
    <definedName name="単位">[25]エンジン型式!$C$1:$C$2</definedName>
    <definedName name="担当者">[15]ユーザー選択肢定義!$D$4:$D$4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[18]設定値定義!#REF!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#REF!</definedName>
    <definedName name="不具合リスト">#REF!</definedName>
    <definedName name="不具合管理表種別">[15]表紙!$D$9</definedName>
    <definedName name="部品ID">[3]ツール!#REF!</definedName>
    <definedName name="部品略称">#REF!</definedName>
    <definedName name="部品略称一覧">#REF!</definedName>
    <definedName name="文字数指定">[24]ListWork!$G$2:$G$17</definedName>
    <definedName name="編集種別">#REF!</definedName>
    <definedName name="未">多言語翻訳リスト0321</definedName>
    <definedName name="未回答2">'[10]要求仕様Ｑ＆Ａ'!#REF!</definedName>
    <definedName name="名簿">'[1]#REF'!#REF!</definedName>
    <definedName name="優先度">'[1]#REF'!$B$2:$B$5</definedName>
    <definedName name="用語集">[26]用語集!#REF!</definedName>
    <definedName name="流出工程定義">[15]選択肢定義!$I$3:$I$20</definedName>
    <definedName name="流入工程定義">[15]ユーザー選択肢定義!$H$4:$H$35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9" i="14" l="1"/>
  <c r="C2" i="7"/>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Q104" i="8" l="1"/>
  <c r="AM163" i="8"/>
  <c r="AO189" i="8"/>
  <c r="AL182" i="8"/>
  <c r="AQ182" i="8" s="1"/>
  <c r="AS52" i="8" s="1"/>
  <c r="AM121" i="8"/>
  <c r="AN122" i="8"/>
  <c r="AO138" i="8"/>
  <c r="AM138" i="8"/>
  <c r="AM195" i="8"/>
  <c r="AM89" i="8"/>
  <c r="AR39" i="8"/>
  <c r="AN130" i="8"/>
  <c r="AN136" i="8"/>
  <c r="AN138" i="8"/>
  <c r="AL138" i="8"/>
  <c r="C110" i="8"/>
  <c r="AO196" i="8"/>
  <c r="AM196" i="8"/>
  <c r="AL196" i="8"/>
  <c r="AQ196" i="8" s="1"/>
  <c r="AS66" i="8" s="1"/>
  <c r="AO170" i="8"/>
  <c r="AN170" i="8"/>
  <c r="AM170" i="8"/>
  <c r="AL170" i="8"/>
  <c r="AQ170" i="8" s="1"/>
  <c r="AS40" i="8" s="1"/>
  <c r="AO78" i="8"/>
  <c r="AN104" i="8"/>
  <c r="AL192" i="8"/>
  <c r="AQ192" i="8" s="1"/>
  <c r="AS62" i="8" s="1"/>
  <c r="AN71" i="8"/>
  <c r="AM71" i="8"/>
  <c r="AM72" i="8"/>
  <c r="AO88" i="8"/>
  <c r="AO146" i="8"/>
  <c r="AN146" i="8"/>
  <c r="AM146" i="8"/>
  <c r="AL146" i="8"/>
  <c r="AQ146" i="8" s="1"/>
  <c r="AO179" i="8"/>
  <c r="AN179" i="8"/>
  <c r="AM179" i="8"/>
  <c r="AL179" i="8"/>
  <c r="AQ179" i="8" s="1"/>
  <c r="AS49" i="8" s="1"/>
  <c r="AM78" i="8"/>
  <c r="AO104" i="8"/>
  <c r="AL104" i="8"/>
  <c r="AM117" i="8"/>
  <c r="AN127" i="8"/>
  <c r="AL127" i="8"/>
  <c r="AQ127" i="8" s="1"/>
  <c r="AR62" i="8" s="1"/>
  <c r="AM159" i="8"/>
  <c r="AN78" i="8"/>
  <c r="C92" i="8"/>
  <c r="AM104" i="8"/>
  <c r="AO192" i="8"/>
  <c r="AO127" i="8"/>
  <c r="AM127" i="8"/>
  <c r="AO87" i="8"/>
  <c r="AO99" i="8"/>
  <c r="AO173" i="8"/>
  <c r="AO95" i="8"/>
  <c r="AM95" i="8"/>
  <c r="AM113" i="8"/>
  <c r="AO141" i="8"/>
  <c r="AN172" i="8"/>
  <c r="AL78" i="8"/>
  <c r="AQ78" i="8" s="1"/>
  <c r="AR13" i="8" s="1"/>
  <c r="AO156" i="8"/>
  <c r="AN156" i="8"/>
  <c r="AM156" i="8"/>
  <c r="AN77" i="8"/>
  <c r="AM77" i="8"/>
  <c r="AO121" i="8"/>
  <c r="AO122" i="8"/>
  <c r="AM122" i="8"/>
  <c r="AN164" i="8"/>
  <c r="AO171" i="8"/>
  <c r="AM171" i="8"/>
  <c r="AN90" i="8"/>
  <c r="AL90" i="8"/>
  <c r="AQ90" i="8" s="1"/>
  <c r="AR25" i="8" s="1"/>
  <c r="AM97" i="8"/>
  <c r="AN106" i="8"/>
  <c r="AO117" i="8"/>
  <c r="AN117" i="8"/>
  <c r="AL117" i="8"/>
  <c r="AQ117" i="8" s="1"/>
  <c r="AR52" i="8" s="1"/>
  <c r="AL122" i="8"/>
  <c r="AQ122" i="8" s="1"/>
  <c r="AR57" i="8" s="1"/>
  <c r="AM136" i="8"/>
  <c r="AO137" i="8"/>
  <c r="AN137" i="8"/>
  <c r="AM137" i="8"/>
  <c r="AN72" i="8"/>
  <c r="AO96" i="8"/>
  <c r="AN96" i="8"/>
  <c r="AM96" i="8"/>
  <c r="AL96" i="8"/>
  <c r="AQ96" i="8" s="1"/>
  <c r="AR31" i="8" s="1"/>
  <c r="AO107" i="8"/>
  <c r="AO115" i="8"/>
  <c r="C118" i="8"/>
  <c r="AO148" i="8"/>
  <c r="AN148" i="8"/>
  <c r="AM148" i="8"/>
  <c r="AO178" i="8"/>
  <c r="AN178" i="8"/>
  <c r="AM178" i="8"/>
  <c r="AL178" i="8"/>
  <c r="AQ178" i="8" s="1"/>
  <c r="AS48" i="8" s="1"/>
  <c r="AO197" i="8"/>
  <c r="AN197" i="8"/>
  <c r="AM197" i="8"/>
  <c r="AL197" i="8"/>
  <c r="AQ197" i="8" s="1"/>
  <c r="AS67" i="8" s="1"/>
  <c r="AM155" i="8"/>
  <c r="AN161" i="8"/>
  <c r="AL161" i="8"/>
  <c r="AQ161" i="8" s="1"/>
  <c r="AS31" i="8" s="1"/>
  <c r="AN82" i="8"/>
  <c r="AO113" i="8"/>
  <c r="AO114" i="8"/>
  <c r="AN114" i="8"/>
  <c r="AM114" i="8"/>
  <c r="AO126" i="8"/>
  <c r="AO132" i="8"/>
  <c r="AM132" i="8"/>
  <c r="AO181" i="8"/>
  <c r="AO149" i="8"/>
  <c r="AL156" i="8"/>
  <c r="AQ156" i="8" s="1"/>
  <c r="AS26" i="8" s="1"/>
  <c r="AO161" i="8"/>
  <c r="AM161" i="8"/>
  <c r="AO174" i="8"/>
  <c r="AN174" i="8"/>
  <c r="AM174" i="8"/>
  <c r="AO82" i="8"/>
  <c r="AM82" i="8"/>
  <c r="AL82" i="8"/>
  <c r="AQ82" i="8" s="1"/>
  <c r="AN98" i="8"/>
  <c r="AL77" i="8"/>
  <c r="AQ77" i="8" s="1"/>
  <c r="AN81" i="8"/>
  <c r="AO123" i="8"/>
  <c r="AM125" i="8"/>
  <c r="AN140" i="8"/>
  <c r="AM187" i="8"/>
  <c r="AN188" i="8"/>
  <c r="AO184" i="8"/>
  <c r="AL184" i="8"/>
  <c r="AQ184" i="8" s="1"/>
  <c r="AS54" i="8" s="1"/>
  <c r="AO79" i="8"/>
  <c r="AN79" i="8"/>
  <c r="AM79" i="8"/>
  <c r="AL79" i="8"/>
  <c r="AL83" i="8"/>
  <c r="AQ83" i="8" s="1"/>
  <c r="AN87" i="8"/>
  <c r="AO91" i="8"/>
  <c r="AN97" i="8"/>
  <c r="AL97" i="8"/>
  <c r="AQ97" i="8" s="1"/>
  <c r="AR32" i="8" s="1"/>
  <c r="AO105" i="8"/>
  <c r="AM105" i="8"/>
  <c r="AL106" i="8"/>
  <c r="AQ106" i="8" s="1"/>
  <c r="AR41" i="8" s="1"/>
  <c r="AM109" i="8"/>
  <c r="AO110" i="8"/>
  <c r="AL114" i="8"/>
  <c r="AQ114" i="8" s="1"/>
  <c r="AR49" i="8" s="1"/>
  <c r="AM118" i="8"/>
  <c r="AL118" i="8"/>
  <c r="AQ118" i="8" s="1"/>
  <c r="AR53" i="8" s="1"/>
  <c r="AN132" i="8"/>
  <c r="AL132" i="8"/>
  <c r="AQ132" i="8" s="1"/>
  <c r="AR67" i="8" s="1"/>
  <c r="AO139" i="8"/>
  <c r="AN139" i="8"/>
  <c r="AL139" i="8"/>
  <c r="AM147" i="8"/>
  <c r="AL148" i="8"/>
  <c r="AQ148" i="8" s="1"/>
  <c r="AM151" i="8"/>
  <c r="AO162" i="8"/>
  <c r="AN162" i="8"/>
  <c r="AM162" i="8"/>
  <c r="AL162" i="8"/>
  <c r="AQ162" i="8" s="1"/>
  <c r="AS32" i="8" s="1"/>
  <c r="AL166" i="8"/>
  <c r="AQ166" i="8" s="1"/>
  <c r="AS36" i="8" s="1"/>
  <c r="AN189" i="8"/>
  <c r="AM189" i="8"/>
  <c r="AL189" i="8"/>
  <c r="AQ189" i="8" s="1"/>
  <c r="AS59" i="8" s="1"/>
  <c r="AN192" i="8"/>
  <c r="AM192" i="8"/>
  <c r="AO193" i="8"/>
  <c r="AN193" i="8"/>
  <c r="AM193" i="8"/>
  <c r="AL193" i="8"/>
  <c r="AQ193" i="8" s="1"/>
  <c r="AS63" i="8" s="1"/>
  <c r="AN196" i="8"/>
  <c r="AO81" i="8"/>
  <c r="AO84" i="8"/>
  <c r="AN84" i="8"/>
  <c r="AM84" i="8"/>
  <c r="AL84" i="8"/>
  <c r="AQ84" i="8" s="1"/>
  <c r="AR19" i="8" s="1"/>
  <c r="AN92" i="8"/>
  <c r="AL92" i="8"/>
  <c r="AQ92" i="8" s="1"/>
  <c r="AR27" i="8" s="1"/>
  <c r="AO102" i="8"/>
  <c r="AM110" i="8"/>
  <c r="AL110" i="8"/>
  <c r="AQ110" i="8" s="1"/>
  <c r="AR45" i="8" s="1"/>
  <c r="AO119" i="8"/>
  <c r="AN119" i="8"/>
  <c r="AM119" i="8"/>
  <c r="AL119" i="8"/>
  <c r="AQ119" i="8" s="1"/>
  <c r="AR54" i="8" s="1"/>
  <c r="AO128" i="8"/>
  <c r="AN128" i="8"/>
  <c r="AM128" i="8"/>
  <c r="AL128" i="8"/>
  <c r="AQ128" i="8" s="1"/>
  <c r="AR63" i="8" s="1"/>
  <c r="AO144" i="8"/>
  <c r="AO153" i="8"/>
  <c r="AN153" i="8"/>
  <c r="AM153" i="8"/>
  <c r="AL153" i="8"/>
  <c r="AQ153" i="8" s="1"/>
  <c r="AS23" i="8" s="1"/>
  <c r="AO163" i="8"/>
  <c r="AN163" i="8"/>
  <c r="AL163" i="8"/>
  <c r="AQ163" i="8" s="1"/>
  <c r="AS33" i="8" s="1"/>
  <c r="AO167" i="8"/>
  <c r="AN167" i="8"/>
  <c r="AL167" i="8"/>
  <c r="AQ167" i="8" s="1"/>
  <c r="AS37" i="8" s="1"/>
  <c r="AN184" i="8"/>
  <c r="AM184" i="8"/>
  <c r="AO185" i="8"/>
  <c r="AN185" i="8"/>
  <c r="AM185" i="8"/>
  <c r="AL185" i="8"/>
  <c r="AQ185" i="8" s="1"/>
  <c r="AS55" i="8" s="1"/>
  <c r="AN194" i="8"/>
  <c r="AM194" i="8"/>
  <c r="AN171" i="8"/>
  <c r="AL174" i="8"/>
  <c r="AQ174" i="8" s="1"/>
  <c r="AS44" i="8" s="1"/>
  <c r="AO74" i="8"/>
  <c r="AN73" i="8"/>
  <c r="AL75" i="8"/>
  <c r="AQ75" i="8" s="1"/>
  <c r="AO98" i="8"/>
  <c r="AL98" i="8"/>
  <c r="AQ98" i="8" s="1"/>
  <c r="AM101" i="8"/>
  <c r="AM102" i="8"/>
  <c r="AL102" i="8"/>
  <c r="AQ102" i="8" s="1"/>
  <c r="AR37" i="8" s="1"/>
  <c r="AO111" i="8"/>
  <c r="AM111" i="8"/>
  <c r="AM143" i="8"/>
  <c r="AM144" i="8"/>
  <c r="AM149" i="8"/>
  <c r="AO165" i="8"/>
  <c r="AO172" i="8"/>
  <c r="AL172" i="8"/>
  <c r="AQ172" i="8" s="1"/>
  <c r="AS42" i="8" s="1"/>
  <c r="AN181" i="8"/>
  <c r="AL181" i="8"/>
  <c r="AQ181" i="8" s="1"/>
  <c r="AS51" i="8" s="1"/>
  <c r="AM186" i="8"/>
  <c r="AL194" i="8"/>
  <c r="AQ194" i="8" s="1"/>
  <c r="AS64" i="8" s="1"/>
  <c r="AN80" i="8"/>
  <c r="C81" i="8"/>
  <c r="AM85" i="8"/>
  <c r="AL85" i="8"/>
  <c r="AQ85" i="8" s="1"/>
  <c r="AR20" i="8" s="1"/>
  <c r="AO103" i="8"/>
  <c r="AN103" i="8"/>
  <c r="AM103" i="8"/>
  <c r="AL103" i="8"/>
  <c r="AQ103" i="8" s="1"/>
  <c r="AR38" i="8" s="1"/>
  <c r="AO120" i="8"/>
  <c r="AN120" i="8"/>
  <c r="AM120" i="8"/>
  <c r="AL120" i="8"/>
  <c r="AQ120" i="8" s="1"/>
  <c r="AR55" i="8" s="1"/>
  <c r="AN124" i="8"/>
  <c r="AL124" i="8"/>
  <c r="AQ124" i="8" s="1"/>
  <c r="AO130" i="8"/>
  <c r="AM130" i="8"/>
  <c r="AO145" i="8"/>
  <c r="AN145" i="8"/>
  <c r="AM145" i="8"/>
  <c r="AL145" i="8"/>
  <c r="AQ145" i="8" s="1"/>
  <c r="AO154" i="8"/>
  <c r="AN154" i="8"/>
  <c r="AM154" i="8"/>
  <c r="AL154" i="8"/>
  <c r="AQ154" i="8" s="1"/>
  <c r="AO159" i="8"/>
  <c r="AN159" i="8"/>
  <c r="AL159" i="8"/>
  <c r="AQ159" i="8" s="1"/>
  <c r="AS29" i="8" s="1"/>
  <c r="AO164" i="8"/>
  <c r="AM164" i="8"/>
  <c r="AM167" i="8"/>
  <c r="AO177" i="8"/>
  <c r="AN177" i="8"/>
  <c r="AM177" i="8"/>
  <c r="AL177" i="8"/>
  <c r="AQ177" i="8" s="1"/>
  <c r="AS47" i="8" s="1"/>
  <c r="AO186" i="8"/>
  <c r="AL186" i="8"/>
  <c r="AQ186" i="8" s="1"/>
  <c r="AS56" i="8" s="1"/>
  <c r="AL171" i="8"/>
  <c r="AQ171" i="8" s="1"/>
  <c r="AS41" i="8" s="1"/>
  <c r="AO73" i="8"/>
  <c r="AN85" i="8"/>
  <c r="AM93" i="8"/>
  <c r="AN107" i="8"/>
  <c r="AM107" i="8"/>
  <c r="AL107" i="8"/>
  <c r="AQ107" i="8" s="1"/>
  <c r="AR42" i="8" s="1"/>
  <c r="AN111" i="8"/>
  <c r="AL111" i="8"/>
  <c r="AQ111" i="8" s="1"/>
  <c r="AR46" i="8" s="1"/>
  <c r="AN129" i="8"/>
  <c r="AL129" i="8"/>
  <c r="AQ129" i="8" s="1"/>
  <c r="AR64" i="8" s="1"/>
  <c r="AO131" i="8"/>
  <c r="AM139" i="8"/>
  <c r="AL140" i="8"/>
  <c r="AQ140" i="8" s="1"/>
  <c r="AL144" i="8"/>
  <c r="AN149" i="8"/>
  <c r="AL149" i="8"/>
  <c r="AQ149" i="8" s="1"/>
  <c r="AS19" i="8" s="1"/>
  <c r="AM172" i="8"/>
  <c r="AM181" i="8"/>
  <c r="AN186" i="8"/>
  <c r="AO194" i="8"/>
  <c r="AM76" i="8"/>
  <c r="AL76" i="8"/>
  <c r="AQ76" i="8" s="1"/>
  <c r="AR11" i="8" s="1"/>
  <c r="AO80" i="8"/>
  <c r="AM80" i="8"/>
  <c r="AO86" i="8"/>
  <c r="AN86" i="8"/>
  <c r="AM86" i="8"/>
  <c r="AL86" i="8"/>
  <c r="AQ86" i="8" s="1"/>
  <c r="AN94" i="8"/>
  <c r="AM94" i="8"/>
  <c r="AL94" i="8"/>
  <c r="AQ94" i="8" s="1"/>
  <c r="AR29" i="8" s="1"/>
  <c r="AN99" i="8"/>
  <c r="AM99" i="8"/>
  <c r="AL99" i="8"/>
  <c r="AQ99" i="8" s="1"/>
  <c r="AN102" i="8"/>
  <c r="AO112" i="8"/>
  <c r="AN112" i="8"/>
  <c r="AM112" i="8"/>
  <c r="AL112" i="8"/>
  <c r="AQ112" i="8" s="1"/>
  <c r="AR47" i="8" s="1"/>
  <c r="AN121" i="8"/>
  <c r="AL121" i="8"/>
  <c r="AQ121" i="8" s="1"/>
  <c r="AR56" i="8" s="1"/>
  <c r="AO125" i="8"/>
  <c r="AN125" i="8"/>
  <c r="AL125" i="8"/>
  <c r="AQ125" i="8" s="1"/>
  <c r="AO129" i="8"/>
  <c r="AM129" i="8"/>
  <c r="AL130" i="8"/>
  <c r="AQ130" i="8" s="1"/>
  <c r="AR65" i="8" s="1"/>
  <c r="AN141" i="8"/>
  <c r="AM141" i="8"/>
  <c r="AL141" i="8"/>
  <c r="AQ141" i="8" s="1"/>
  <c r="AN144" i="8"/>
  <c r="AO157" i="8"/>
  <c r="AL164" i="8"/>
  <c r="AQ164" i="8" s="1"/>
  <c r="AS34" i="8" s="1"/>
  <c r="AO169" i="8"/>
  <c r="AN169" i="8"/>
  <c r="AM169" i="8"/>
  <c r="AL169" i="8"/>
  <c r="AQ169" i="8" s="1"/>
  <c r="AS3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AR23"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S60" i="8" s="1"/>
  <c r="AO100" i="8"/>
  <c r="AM100" i="8"/>
  <c r="AN110" i="8"/>
  <c r="AN115" i="8"/>
  <c r="AM115" i="8"/>
  <c r="AL115" i="8"/>
  <c r="AQ115" i="8" s="1"/>
  <c r="AR50" i="8" s="1"/>
  <c r="AM126" i="8"/>
  <c r="AL126" i="8"/>
  <c r="AQ126" i="8" s="1"/>
  <c r="AR61" i="8" s="1"/>
  <c r="AM133" i="8"/>
  <c r="AO134" i="8"/>
  <c r="AO142" i="8"/>
  <c r="AN142" i="8"/>
  <c r="AM142" i="8"/>
  <c r="AN152" i="8"/>
  <c r="AN157" i="8"/>
  <c r="AM157" i="8"/>
  <c r="AL157" i="8"/>
  <c r="AQ157" i="8" s="1"/>
  <c r="AS27" i="8" s="1"/>
  <c r="AM168" i="8"/>
  <c r="AL168" i="8"/>
  <c r="AQ168" i="8" s="1"/>
  <c r="AS38" i="8" s="1"/>
  <c r="AL175" i="8"/>
  <c r="AQ175" i="8" s="1"/>
  <c r="AS45" i="8" s="1"/>
  <c r="AO183" i="8"/>
  <c r="AN183" i="8"/>
  <c r="C91" i="8"/>
  <c r="AN95" i="8"/>
  <c r="AL95" i="8"/>
  <c r="AQ95" i="8" s="1"/>
  <c r="AR30" i="8" s="1"/>
  <c r="AN100" i="8"/>
  <c r="AL100" i="8"/>
  <c r="AQ100" i="8" s="1"/>
  <c r="AR35" i="8" s="1"/>
  <c r="AO108" i="8"/>
  <c r="AN108" i="8"/>
  <c r="AM108" i="8"/>
  <c r="AN118" i="8"/>
  <c r="AN123" i="8"/>
  <c r="AM123" i="8"/>
  <c r="AL123" i="8"/>
  <c r="AQ123" i="8" s="1"/>
  <c r="AR58" i="8" s="1"/>
  <c r="AM134" i="8"/>
  <c r="AL134" i="8"/>
  <c r="AQ134" i="8" s="1"/>
  <c r="AL142" i="8"/>
  <c r="AQ142" i="8" s="1"/>
  <c r="AO150" i="8"/>
  <c r="AN150" i="8"/>
  <c r="AM150" i="8"/>
  <c r="AN160" i="8"/>
  <c r="AN165" i="8"/>
  <c r="AM165" i="8"/>
  <c r="AL165" i="8"/>
  <c r="AQ165" i="8" s="1"/>
  <c r="AS35" i="8" s="1"/>
  <c r="AM175" i="8"/>
  <c r="AO176" i="8"/>
  <c r="AL176" i="8"/>
  <c r="AQ176" i="8" s="1"/>
  <c r="AS4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R36" i="8" s="1"/>
  <c r="AN105" i="8"/>
  <c r="AL105" i="8"/>
  <c r="AQ105" i="8" s="1"/>
  <c r="AR40" i="8" s="1"/>
  <c r="AL108" i="8"/>
  <c r="AQ108" i="8" s="1"/>
  <c r="AR43" i="8" s="1"/>
  <c r="AO116" i="8"/>
  <c r="AM116" i="8"/>
  <c r="AN126" i="8"/>
  <c r="AN131" i="8"/>
  <c r="AM131" i="8"/>
  <c r="AL131" i="8"/>
  <c r="AQ131" i="8" s="1"/>
  <c r="AR66" i="8" s="1"/>
  <c r="AO143" i="8"/>
  <c r="AN143" i="8"/>
  <c r="AL143" i="8"/>
  <c r="AQ143" i="8" s="1"/>
  <c r="AO147" i="8"/>
  <c r="AN147" i="8"/>
  <c r="AL147" i="8"/>
  <c r="AQ147" i="8" s="1"/>
  <c r="AL150" i="8"/>
  <c r="AQ15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R44"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L158" i="8"/>
  <c r="AQ158" i="8" s="1"/>
  <c r="AS28" i="8" s="1"/>
  <c r="AO166" i="8"/>
  <c r="AN166" i="8"/>
  <c r="AM166" i="8"/>
  <c r="AN173" i="8"/>
  <c r="AM173" i="8"/>
  <c r="AL173" i="8"/>
  <c r="AQ173" i="8" s="1"/>
  <c r="AS43" i="8" s="1"/>
  <c r="AM176" i="8"/>
  <c r="AL180" i="8"/>
  <c r="AQ180" i="8" s="1"/>
  <c r="AS50" i="8" s="1"/>
  <c r="AO188" i="8"/>
  <c r="AM188" i="8"/>
  <c r="AL188" i="8"/>
  <c r="AQ188" i="8" s="1"/>
  <c r="AS58" i="8" s="1"/>
  <c r="AO199" i="8"/>
  <c r="AN199" i="8"/>
  <c r="AM199" i="8"/>
  <c r="AL199" i="8"/>
  <c r="AQ199" i="8" s="1"/>
  <c r="AR60" i="8" l="1"/>
  <c r="AR59" i="8"/>
  <c r="AR70" i="8"/>
  <c r="AR69" i="8"/>
  <c r="AS70" i="8"/>
  <c r="AS69" i="8"/>
  <c r="AR34" i="8"/>
  <c r="AR33" i="8"/>
  <c r="AS25" i="8"/>
  <c r="AS24" i="8"/>
  <c r="AS20" i="8"/>
  <c r="AS12" i="8"/>
  <c r="AS13" i="8"/>
  <c r="AR12" i="8"/>
  <c r="AS17" i="8"/>
  <c r="AS11" i="8"/>
  <c r="AQ74" i="8"/>
  <c r="AQ139" i="8"/>
  <c r="AQ138" i="8"/>
  <c r="AQ73" i="8"/>
  <c r="AR17" i="8"/>
  <c r="AR16" i="8"/>
  <c r="AR18" i="8"/>
  <c r="AS16" i="8"/>
  <c r="AS18" i="8"/>
  <c r="AR22" i="8"/>
  <c r="AR21" i="8"/>
  <c r="AS21" i="8"/>
  <c r="AS22" i="8"/>
  <c r="AQ79" i="8"/>
  <c r="AR14" i="8" s="1"/>
  <c r="AQ144" i="8"/>
  <c r="AS14" i="8" s="1"/>
  <c r="AQ137" i="8"/>
  <c r="AQ72" i="8"/>
  <c r="AQ71" i="8"/>
  <c r="AR6" i="8" s="1"/>
  <c r="AQ136" i="8"/>
  <c r="AS6" i="8" s="1"/>
  <c r="B136" i="8"/>
  <c r="B71" i="8"/>
  <c r="D7" i="4"/>
  <c r="M13" i="4"/>
  <c r="N13" i="4" s="1"/>
  <c r="AS9" i="8" l="1"/>
  <c r="AS7" i="8"/>
  <c r="AS8" i="8"/>
  <c r="AR9" i="8"/>
  <c r="AR10"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W12" i="8" l="1"/>
  <c r="AU5" i="8" s="1"/>
  <c r="AL33" i="8"/>
  <c r="AT33" i="8" s="1"/>
  <c r="AL28" i="8"/>
  <c r="AT28" i="8" s="1"/>
  <c r="AW11" i="8"/>
  <c r="AU13" i="8" s="1"/>
  <c r="AL68" i="8"/>
  <c r="AT68" i="8" s="1"/>
  <c r="AL8" i="8"/>
  <c r="AT8" i="8" s="1"/>
  <c r="AL50" i="8"/>
  <c r="AT50" i="8" s="1"/>
  <c r="AL24" i="8"/>
  <c r="AT24" i="8" s="1"/>
  <c r="AW8" i="8"/>
  <c r="AU11" i="8" s="1"/>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U10" i="8" s="1"/>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51188CF1-B090-4C9A-BC9F-F4D6C94027F1}">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C3C1ED80-DAD3-4A4E-8967-4DB8FFF3296A}">
      <text>
        <r>
          <rPr>
            <b/>
            <sz val="9"/>
            <color indexed="81"/>
            <rFont val="MS P ゴシック"/>
            <family val="3"/>
            <charset val="128"/>
          </rPr>
          <t xml:space="preserve">リモート送信条件成立：IG ON 且つ PTS ONが15[s]以上
</t>
        </r>
      </text>
    </comment>
    <comment ref="E10" authorId="1" shapeId="0" xr:uid="{AEA4495F-0729-41F2-BAE9-426255AC957F}">
      <text>
        <r>
          <rPr>
            <b/>
            <sz val="9"/>
            <color indexed="81"/>
            <rFont val="MS P ゴシック"/>
            <family val="3"/>
            <charset val="128"/>
          </rPr>
          <t xml:space="preserve">IG ON 且つ ST OFF
</t>
        </r>
      </text>
    </comment>
    <comment ref="F10" authorId="1" shapeId="0" xr:uid="{18D0B4C4-4F5F-4B57-8CCA-7A81C360C538}">
      <text>
        <r>
          <rPr>
            <b/>
            <sz val="9"/>
            <color indexed="81"/>
            <rFont val="MS P ゴシック"/>
            <family val="3"/>
            <charset val="128"/>
          </rPr>
          <t>IG ON</t>
        </r>
      </text>
    </comment>
    <comment ref="G10" authorId="1" shapeId="0" xr:uid="{53F96025-3101-4AA0-B6FD-A6EAC17745F0}">
      <text>
        <r>
          <rPr>
            <b/>
            <sz val="9"/>
            <color indexed="81"/>
            <rFont val="MS P ゴシック"/>
            <family val="3"/>
            <charset val="128"/>
          </rPr>
          <t xml:space="preserve">IG OFF 且つ IG OFF後25[m]未満
</t>
        </r>
      </text>
    </comment>
    <comment ref="H10" authorId="1" shapeId="0" xr:uid="{7D7C7584-6B6F-4C07-A2A1-8C4D3F136D43}">
      <text>
        <r>
          <rPr>
            <b/>
            <sz val="9"/>
            <color indexed="81"/>
            <rFont val="MS P ゴシック"/>
            <family val="3"/>
            <charset val="128"/>
          </rPr>
          <t xml:space="preserve">IG OFF
</t>
        </r>
      </text>
    </comment>
    <comment ref="I10" authorId="1" shapeId="0" xr:uid="{DBEDEC32-FF20-42AE-947E-F90EFB6830C3}">
      <text>
        <r>
          <rPr>
            <b/>
            <sz val="9"/>
            <color indexed="81"/>
            <rFont val="MS P ゴシック"/>
            <family val="3"/>
            <charset val="128"/>
          </rPr>
          <t xml:space="preserve">IG ON 又は IG OFF後25[m]未満
</t>
        </r>
      </text>
    </comment>
    <comment ref="J10" authorId="1" shapeId="0" xr:uid="{D10FC1B7-E0AC-499A-9BEE-58D822780DA9}">
      <text>
        <r>
          <rPr>
            <b/>
            <sz val="9"/>
            <color indexed="81"/>
            <rFont val="MS P ゴシック"/>
            <family val="3"/>
            <charset val="128"/>
          </rPr>
          <t>+B ON 又は ACC ON</t>
        </r>
      </text>
    </comment>
  </commentList>
</comments>
</file>

<file path=xl/sharedStrings.xml><?xml version="1.0" encoding="utf-8"?>
<sst xmlns="http://schemas.openxmlformats.org/spreadsheetml/2006/main" count="2738" uniqueCount="301">
  <si>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</si>
  <si>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</si>
  <si>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</si>
  <si>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</si>
  <si>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</si>
  <si>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</si>
  <si>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</si>
  <si>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</si>
  <si>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</si>
  <si>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</si>
  <si>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</si>
  <si>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</si>
  <si>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</si>
  <si>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</si>
  <si>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</si>
  <si>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</si>
  <si>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</si>
  <si>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</si>
  <si>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</si>
  <si>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</si>
  <si>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</si>
  <si>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</si>
  <si>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</si>
  <si>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</si>
  <si>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</si>
  <si>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</si>
  <si>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</si>
  <si>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</si>
  <si>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</si>
  <si>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</si>
  <si>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</si>
  <si>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</si>
  <si>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</si>
  <si>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</si>
  <si>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</si>
  <si>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</si>
  <si>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</si>
  <si>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</si>
  <si>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</si>
  <si>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</si>
  <si>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</si>
  <si>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</si>
  <si>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</si>
  <si>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</si>
  <si>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</si>
  <si>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</si>
  <si>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</si>
  <si>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</si>
  <si>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</si>
  <si>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</si>
  <si>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</si>
  <si>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</si>
  <si>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</si>
  <si>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</si>
  <si>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</si>
  <si>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</si>
  <si>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</si>
  <si>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</si>
  <si>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</si>
  <si>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</si>
  <si>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</si>
  <si>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</si>
  <si>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</si>
  <si>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</si>
  <si>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</si>
  <si>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</si>
  <si>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</si>
  <si>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</si>
  <si>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</si>
  <si>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</si>
  <si>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</si>
  <si>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</si>
  <si>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</si>
  <si>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</si>
  <si>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</si>
  <si>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</si>
  <si>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</si>
  <si>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</si>
  <si>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</si>
  <si>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</si>
  <si>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</si>
  <si>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</si>
  <si>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</si>
  <si>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</si>
  <si>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</si>
  <si>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</si>
  <si>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</si>
  <si>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</si>
  <si>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</si>
  <si>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</si>
  <si>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</si>
  <si>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</si>
  <si>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</si>
  <si>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</si>
  <si>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</si>
  <si>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</si>
  <si>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</si>
  <si>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</si>
  <si>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</si>
  <si>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</si>
  <si>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</si>
  <si>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</si>
  <si>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</si>
  <si>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</si>
  <si>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</si>
  <si>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</si>
  <si>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</si>
  <si>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</si>
  <si>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</si>
  <si>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</si>
  <si>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</si>
  <si>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</si>
  <si>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</si>
  <si>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</si>
  <si>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</si>
  <si>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</si>
  <si>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</si>
  <si>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</si>
  <si>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</si>
  <si>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</si>
  <si>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</si>
  <si>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</si>
  <si>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</si>
  <si>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</si>
  <si>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</si>
  <si>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</si>
  <si>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</si>
  <si>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</si>
  <si>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</si>
  <si>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</si>
  <si>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</si>
  <si>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</si>
  <si>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</si>
  <si>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</si>
  <si>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</si>
  <si>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</si>
  <si>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</si>
  <si>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</si>
  <si>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</si>
  <si>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</si>
  <si>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</si>
  <si>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</si>
  <si>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</si>
  <si>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</si>
  <si>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</si>
  <si>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</si>
  <si>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</si>
  <si>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</si>
  <si>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</si>
  <si>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</si>
  <si>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</si>
  <si>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</si>
  <si>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</si>
  <si>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</si>
  <si>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</si>
  <si>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</si>
  <si>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</si>
  <si>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</si>
  <si>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</si>
  <si>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</si>
  <si>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</si>
  <si>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</si>
  <si>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</si>
  <si>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</si>
  <si>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</si>
  <si>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</si>
  <si>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</si>
  <si>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</si>
  <si>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</si>
  <si>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</si>
  <si>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</si>
  <si>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</si>
  <si>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</si>
  <si>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</si>
  <si>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</si>
  <si>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</si>
  <si>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</si>
  <si>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</si>
  <si>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</si>
  <si>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</si>
  <si>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</si>
  <si>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</si>
  <si>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</si>
  <si>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</si>
  <si>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</si>
  <si>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</si>
  <si>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</si>
  <si>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</si>
  <si>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</si>
  <si>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</si>
  <si>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</si>
  <si>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</si>
  <si>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</si>
  <si>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</si>
  <si>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</si>
  <si>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</si>
  <si>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</si>
  <si>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</si>
  <si>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</si>
  <si>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</si>
  <si>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</si>
  <si>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ALERT_VOM_IGN_ON</t>
    <phoneticPr fontId="2"/>
  </si>
  <si>
    <t>×</t>
    <phoneticPr fontId="2"/>
  </si>
  <si>
    <t>https://aip01.dndev.net/bitbucket/scm/aip_tp/tmcapp_ict1_alert.git</t>
    <phoneticPr fontId="2"/>
  </si>
  <si>
    <t>1b</t>
    <phoneticPr fontId="2"/>
  </si>
  <si>
    <t>*b</t>
    <phoneticPr fontId="2"/>
  </si>
  <si>
    <t>***b</t>
    <phoneticPr fontId="2"/>
  </si>
  <si>
    <t>ECT1S93/ECT1G92</t>
    <phoneticPr fontId="2"/>
  </si>
  <si>
    <t>001b</t>
  </si>
  <si>
    <t>010b</t>
  </si>
  <si>
    <t>011b</t>
  </si>
  <si>
    <t>100b</t>
  </si>
  <si>
    <t>101b</t>
  </si>
  <si>
    <t>110b</t>
  </si>
  <si>
    <t>111b</t>
  </si>
  <si>
    <t>000b</t>
  </si>
  <si>
    <t>0b</t>
  </si>
  <si>
    <t>5.5.0</t>
  </si>
  <si>
    <t>長島</t>
    <rPh sb="0" eb="2">
      <t>ナガシマ</t>
    </rPh>
    <phoneticPr fontId="2"/>
  </si>
  <si>
    <t>ECT1S93_STS/ECT1G92_STS</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</si>
  <si>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</si>
  <si>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</si>
  <si>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</si>
  <si>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IG-ON</t>
  </si>
  <si>
    <t>ENG1S99</t>
  </si>
  <si>
    <t>ENG1S99_STS</t>
    <phoneticPr fontId="2"/>
  </si>
  <si>
    <t>TMFL_IND_SIG</t>
    <phoneticPr fontId="2"/>
  </si>
  <si>
    <t>TMSYS_WM_SIG</t>
    <phoneticPr fontId="2"/>
  </si>
  <si>
    <t>Index</t>
  </si>
  <si>
    <t>0b</t>
    <phoneticPr fontId="2"/>
  </si>
  <si>
    <t>TMW2</t>
  </si>
  <si>
    <t>TMW2</t>
    <phoneticPr fontId="2"/>
  </si>
  <si>
    <t>1b</t>
  </si>
  <si>
    <t>***b</t>
  </si>
  <si>
    <t>BC</t>
    <phoneticPr fontId="2"/>
  </si>
  <si>
    <t>○</t>
  </si>
  <si>
    <t>伊藤</t>
    <rPh sb="0" eb="2">
      <t>イトウ</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</si>
  <si>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</si>
  <si>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</si>
  <si>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</si>
  <si>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1.0.0</t>
  </si>
  <si>
    <t>1.1.0</t>
  </si>
  <si>
    <t>840B MPT対応
[Matrix]シート
・ロケーション変更
[CH_Design]シート
・ALERT_REQ_D_ATMAL_MALFUNCのRW欄を　TMW2に変更
・RW送信削除（EG1W）に伴いALERT_REQ_D_ATMAL_RW削除
[D_ATMAL]シート
・RW送信削除（EG1W）に伴いB_ENGMSG_SIG削除及び真理値表変更
[Reference]シート
・RW（TMW2）を出力に追加
・RW送信削除（EG1W）に伴いB_ENGMSG_SIG削除及び真理値表変更
・RW仕様書(MET-M_REMWAR-CSTD-1-07-A-C0.xlsx)のキャプチャ貼り替え</t>
    <rPh sb="85" eb="87">
      <t>ヘンコウ</t>
    </rPh>
    <rPh sb="102" eb="103">
      <t>トモナ</t>
    </rPh>
    <rPh sb="124" eb="126">
      <t>サクジョ</t>
    </rPh>
    <rPh sb="168" eb="170">
      <t>サクジョ</t>
    </rPh>
    <rPh sb="170" eb="171">
      <t>オヨ</t>
    </rPh>
    <rPh sb="172" eb="176">
      <t>シンリチヒョウ</t>
    </rPh>
    <rPh sb="176" eb="178">
      <t>ヘンコウ</t>
    </rPh>
    <rPh sb="204" eb="206">
      <t>シュツリョク</t>
    </rPh>
    <rPh sb="207" eb="209">
      <t>ツイカ</t>
    </rPh>
    <rPh sb="252" eb="255">
      <t>シヨウショ</t>
    </rPh>
    <rPh sb="295" eb="296">
      <t>ハ</t>
    </rPh>
    <rPh sb="297" eb="298">
      <t>カ</t>
    </rPh>
    <phoneticPr fontId="2"/>
  </si>
  <si>
    <t>臼井</t>
    <rPh sb="0" eb="2">
      <t>ウスイ</t>
    </rPh>
    <phoneticPr fontId="2"/>
  </si>
  <si>
    <t>1.2.0</t>
  </si>
  <si>
    <t>MET-D_ATMAL-CSTD-0-00-A-C0.xlsm</t>
  </si>
  <si>
    <t>NULL</t>
  </si>
  <si>
    <t>ALERT_CH_D_ATMAL</t>
  </si>
  <si>
    <t>MALFUNC</t>
  </si>
  <si>
    <t>D_ATMAL-CSTD-0-MEF01-REQ02-</t>
  </si>
  <si>
    <t>×</t>
  </si>
  <si>
    <t>AT判定</t>
    <rPh sb="2" eb="4">
      <t>ハンテイ</t>
    </rPh>
    <phoneticPr fontId="2"/>
  </si>
  <si>
    <t>ALERT_CH_D_ATMAL</t>
    <phoneticPr fontId="2"/>
  </si>
  <si>
    <t>TT</t>
    <phoneticPr fontId="2"/>
  </si>
  <si>
    <t>IGON15秒後
機能有無：-</t>
    <rPh sb="9" eb="11">
      <t>キノウ</t>
    </rPh>
    <rPh sb="11" eb="13">
      <t>ウム</t>
    </rPh>
    <phoneticPr fontId="2"/>
  </si>
  <si>
    <t>MET1S35</t>
    <phoneticPr fontId="2"/>
  </si>
  <si>
    <t>ENG1S99_STS</t>
  </si>
  <si>
    <t>通常(0b)/
未受信(1b)</t>
    <rPh sb="0" eb="2">
      <t>ツウジョウ</t>
    </rPh>
    <phoneticPr fontId="0"/>
  </si>
  <si>
    <t>RW送信(010b)/
RW未送信(上記以外)</t>
    <rPh sb="2" eb="4">
      <t>ソウシン</t>
    </rPh>
    <rPh sb="14" eb="15">
      <t>ミ</t>
    </rPh>
    <rPh sb="15" eb="17">
      <t>ソウシン</t>
    </rPh>
    <rPh sb="18" eb="20">
      <t>ジョウキ</t>
    </rPh>
    <rPh sb="20" eb="22">
      <t>イガイ</t>
    </rPh>
    <phoneticPr fontId="2"/>
  </si>
  <si>
    <t>正常(0b)/
異常(1b)</t>
    <rPh sb="0" eb="2">
      <t>セイジョウ</t>
    </rPh>
    <phoneticPr fontId="2"/>
  </si>
  <si>
    <r>
      <t xml:space="preserve">UNKNOWN/
MALFUNC/
</t>
    </r>
    <r>
      <rPr>
        <sz val="11"/>
        <color rgb="FFFF0000"/>
        <rFont val="ＭＳ Ｐゴシック"/>
        <family val="3"/>
        <charset val="128"/>
        <scheme val="minor"/>
      </rPr>
      <t>RW</t>
    </r>
    <phoneticPr fontId="2"/>
  </si>
  <si>
    <t>D_ATMAL-CSTD-0-MEF01-REQ02-/
-</t>
    <phoneticPr fontId="2"/>
  </si>
  <si>
    <t>-/
要求あり</t>
    <phoneticPr fontId="2"/>
  </si>
  <si>
    <t>MALFUNC</t>
    <phoneticPr fontId="2"/>
  </si>
  <si>
    <t>D_ATMAL-CSTD-0-MEF01-REQ02-</t>
    <phoneticPr fontId="2"/>
  </si>
  <si>
    <t>要求あり</t>
    <rPh sb="0" eb="2">
      <t>ヨウキュウ</t>
    </rPh>
    <phoneticPr fontId="2"/>
  </si>
  <si>
    <t>010b</t>
    <phoneticPr fontId="2"/>
  </si>
  <si>
    <t>IG-OFF + * + * + * + *</t>
    <phoneticPr fontId="2"/>
  </si>
  <si>
    <t>000b</t>
    <phoneticPr fontId="2"/>
  </si>
  <si>
    <t>001b</t>
    <phoneticPr fontId="2"/>
  </si>
  <si>
    <t>011b</t>
    <phoneticPr fontId="2"/>
  </si>
  <si>
    <t>100b</t>
    <phoneticPr fontId="2"/>
  </si>
  <si>
    <t>101b</t>
    <phoneticPr fontId="2"/>
  </si>
  <si>
    <t>110b</t>
    <phoneticPr fontId="2"/>
  </si>
  <si>
    <t>111b</t>
    <phoneticPr fontId="2"/>
  </si>
  <si>
    <t>IG-ON + 通常 + RW未送信 + 通常 + 正常</t>
  </si>
  <si>
    <t>IG-ON + 通常 + RW未送信 + 通常 + 異常</t>
  </si>
  <si>
    <t>IG-ON + 通常 + RW未送信 + 未受信 + 正常</t>
  </si>
  <si>
    <t>IG-ON + 通常 + RW未送信 + 未受信 + 異常</t>
  </si>
  <si>
    <t>IG-ON + 通常 + RW送信 + 通常 + 正常</t>
  </si>
  <si>
    <t>IG-ON + 通常 + RW送信 + 通常 + 異常</t>
  </si>
  <si>
    <t>IG-ON + 通常 + RW送信 + 未受信 + 正常</t>
  </si>
  <si>
    <t>IG-ON + 通常 + RW送信 + 未受信 + 異常</t>
  </si>
  <si>
    <t>IG-ON + 未受信 + * + 通常 + 正常</t>
  </si>
  <si>
    <t>IG-ON + 未受信 + * + 通常 + 異常</t>
  </si>
  <si>
    <t>IG-ON + 未受信 + * + 未受信 + 正常</t>
  </si>
  <si>
    <t>IG-ON + 未受信 + * + 未受信 + 異常</t>
  </si>
  <si>
    <t>面企画#1 量確対応
汎用モジュールに移動する
[Matrix]シート
・ロケーション変更
[CH_Design]シート
・ALERT_REQ_D_ATMAL_RW追加
[D_ATMAL]シート
・TMFL_INDのRW条件追加に伴い、真理値表変更
[Reference]シート
AT判定　真理値表
・TMFL_INDのRW条件追加に伴い、真理値表変更</t>
    <rPh sb="0" eb="3">
      <t>メンキカク</t>
    </rPh>
    <rPh sb="6" eb="8">
      <t>リョウカク</t>
    </rPh>
    <rPh sb="19" eb="21">
      <t>イドウ</t>
    </rPh>
    <rPh sb="110" eb="112">
      <t>ジョウケン</t>
    </rPh>
    <rPh sb="112" eb="114">
      <t>ツイカ</t>
    </rPh>
    <rPh sb="115" eb="116">
      <t>トモナ</t>
    </rPh>
    <rPh sb="118" eb="122">
      <t>シンリチヒョウ</t>
    </rPh>
    <rPh sb="122" eb="124">
      <t>ヘンコウ</t>
    </rPh>
    <rPh sb="145" eb="149">
      <t>シンリチヒョウ</t>
    </rPh>
    <phoneticPr fontId="2"/>
  </si>
  <si>
    <t>(株)デンソー</t>
  </si>
  <si>
    <t>承認</t>
  </si>
  <si>
    <t>検討</t>
  </si>
  <si>
    <t>作成</t>
  </si>
  <si>
    <t>&lt;DN確認印&gt;</t>
  </si>
  <si>
    <t>&lt;DN検討印&gt;</t>
  </si>
  <si>
    <t>デンソーテクノ（株）　HMI3部2室</t>
    <phoneticPr fontId="2"/>
  </si>
  <si>
    <t>&lt;DT確認印&gt;</t>
  </si>
  <si>
    <t>&lt;DT検討印&gt;</t>
  </si>
  <si>
    <t>DENSO TECHNO PHIL. INC</t>
    <phoneticPr fontId="27"/>
  </si>
  <si>
    <t>https://aip01.dndev.net/svn/met/toyota/std/rd/spec/19PFver3/tags/00.Product/v0.0.d/制御仕様</t>
    <phoneticPr fontId="2"/>
  </si>
  <si>
    <t>■MET-M_REMWAR-CSTD-1-13-A-C0.xlsx</t>
    <phoneticPr fontId="2"/>
  </si>
  <si>
    <t>■MET-M_CONTDISP-CSTD-0045-C2.xlsx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</si>
</sst>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2"/>
      <color theme="1"/>
      <name val="ＭＳ Ｐゴシック"/>
      <family val="3"/>
      <charset val="128"/>
      <scheme val="minor"/>
    </font>
    <font>
      <sz val="11"/>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u/>
      <sz val="16"/>
      <color theme="1"/>
      <name val="Meiryo UI"/>
      <family val="3"/>
      <charset val="128"/>
    </font>
    <font>
      <sz val="16"/>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
      <sz val="6"/>
      <name val="ＭＳ Ｐゴシック"/>
      <family val="3"/>
      <charset val="128"/>
    </font>
    <font>
      <b/>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FFFF"/>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top style="thin">
        <color indexed="64"/>
      </top>
      <bottom style="double">
        <color indexed="64"/>
      </bottom>
      <diagonal/>
    </border>
    <border>
      <left style="thin">
        <color auto="1"/>
      </left>
      <right/>
      <top/>
      <bottom/>
      <diagonal/>
    </border>
    <border>
      <left/>
      <right style="thin">
        <color auto="1"/>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31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2"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3"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13" fillId="7" borderId="61" xfId="0" applyFont="1" applyFill="1" applyBorder="1" applyAlignment="1">
      <alignment vertical="center"/>
    </xf>
    <xf numFmtId="14" fontId="0" fillId="0" borderId="2" xfId="0" applyNumberFormat="1" applyBorder="1">
      <alignment vertical="center"/>
    </xf>
    <xf numFmtId="0" fontId="0" fillId="22" borderId="2" xfId="0" applyFill="1" applyBorder="1" applyAlignment="1">
      <alignment vertical="center" textRotation="90"/>
    </xf>
    <xf numFmtId="0" fontId="17" fillId="0" borderId="0" xfId="0" applyFont="1">
      <alignment vertical="center"/>
    </xf>
    <xf numFmtId="0" fontId="18" fillId="12" borderId="42" xfId="0" applyFont="1" applyFill="1" applyBorder="1">
      <alignment vertical="center"/>
    </xf>
    <xf numFmtId="0" fontId="0" fillId="12" borderId="73" xfId="0" applyFill="1" applyBorder="1">
      <alignment vertical="center"/>
    </xf>
    <xf numFmtId="0" fontId="0" fillId="12" borderId="4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6" xfId="0" applyFill="1" applyBorder="1">
      <alignment vertical="center"/>
    </xf>
    <xf numFmtId="0" fontId="0" fillId="12" borderId="23" xfId="0" applyFill="1" applyBorder="1">
      <alignment vertical="center"/>
    </xf>
    <xf numFmtId="0" fontId="0" fillId="12" borderId="22" xfId="0" applyFill="1" applyBorder="1">
      <alignment vertical="center"/>
    </xf>
    <xf numFmtId="0" fontId="0" fillId="13" borderId="35"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12" borderId="19" xfId="0" applyFill="1" applyBorder="1">
      <alignment vertical="center"/>
    </xf>
    <xf numFmtId="0" fontId="19" fillId="0" borderId="2" xfId="0" applyFont="1" applyBorder="1">
      <alignment vertical="center"/>
    </xf>
    <xf numFmtId="0" fontId="19" fillId="0" borderId="7" xfId="0" applyFont="1" applyBorder="1">
      <alignment vertical="center"/>
    </xf>
    <xf numFmtId="0" fontId="0" fillId="0" borderId="32" xfId="0" applyBorder="1" applyAlignment="1">
      <alignment vertical="center" wrapText="1"/>
    </xf>
    <xf numFmtId="0" fontId="0" fillId="15" borderId="30" xfId="0" applyFill="1" applyBorder="1">
      <alignment vertical="center"/>
    </xf>
    <xf numFmtId="0" fontId="0" fillId="0" borderId="30" xfId="0" applyBorder="1">
      <alignment vertical="center"/>
    </xf>
    <xf numFmtId="0" fontId="0" fillId="18" borderId="30" xfId="0" quotePrefix="1" applyFill="1" applyBorder="1">
      <alignment vertical="center"/>
    </xf>
    <xf numFmtId="0" fontId="0" fillId="20" borderId="30" xfId="0" applyFill="1" applyBorder="1">
      <alignment vertical="center"/>
    </xf>
    <xf numFmtId="0" fontId="0" fillId="14" borderId="30" xfId="0" applyFill="1" applyBorder="1">
      <alignment vertical="center"/>
    </xf>
    <xf numFmtId="0" fontId="16" fillId="23" borderId="7" xfId="0" applyFont="1" applyFill="1" applyBorder="1" applyAlignment="1">
      <alignment vertical="center" wrapText="1"/>
    </xf>
    <xf numFmtId="0" fontId="0" fillId="12" borderId="19" xfId="0" applyFill="1" applyBorder="1" applyAlignment="1">
      <alignment vertical="center" wrapText="1"/>
    </xf>
    <xf numFmtId="0" fontId="0" fillId="0" borderId="27" xfId="0" applyBorder="1">
      <alignment vertical="center"/>
    </xf>
    <xf numFmtId="0" fontId="0" fillId="14" borderId="32" xfId="0" applyFill="1" applyBorder="1">
      <alignment vertical="center"/>
    </xf>
    <xf numFmtId="0" fontId="16" fillId="0" borderId="7" xfId="0" applyFont="1" applyBorder="1">
      <alignment vertical="center"/>
    </xf>
    <xf numFmtId="0" fontId="0" fillId="18" borderId="30" xfId="0" applyFill="1" applyBorder="1" applyAlignment="1">
      <alignment vertical="center" textRotation="255"/>
    </xf>
    <xf numFmtId="0" fontId="0" fillId="12" borderId="47" xfId="0" applyFill="1" applyBorder="1">
      <alignment vertical="center"/>
    </xf>
    <xf numFmtId="0" fontId="0" fillId="18" borderId="31" xfId="0" applyFill="1" applyBorder="1" applyAlignment="1">
      <alignment vertical="center" wrapText="1"/>
    </xf>
    <xf numFmtId="0" fontId="19" fillId="0" borderId="80" xfId="0" applyFont="1" applyBorder="1" applyAlignment="1">
      <alignment vertical="center" wrapText="1"/>
    </xf>
    <xf numFmtId="0" fontId="0" fillId="0" borderId="80" xfId="0" applyBorder="1" applyAlignment="1">
      <alignment vertical="center" wrapText="1"/>
    </xf>
    <xf numFmtId="0" fontId="0" fillId="0" borderId="33" xfId="0" applyBorder="1" applyAlignment="1">
      <alignment vertical="center" wrapText="1"/>
    </xf>
    <xf numFmtId="0" fontId="0" fillId="15" borderId="31" xfId="0" quotePrefix="1" applyFill="1" applyBorder="1" applyAlignment="1">
      <alignment vertical="center" wrapText="1"/>
    </xf>
    <xf numFmtId="0" fontId="0" fillId="0" borderId="31" xfId="0" quotePrefix="1" applyBorder="1" applyAlignment="1">
      <alignment vertical="center" wrapText="1"/>
    </xf>
    <xf numFmtId="0" fontId="0" fillId="0" borderId="17" xfId="0" quotePrefix="1" applyBorder="1" applyAlignment="1">
      <alignment vertical="center" wrapText="1"/>
    </xf>
    <xf numFmtId="0" fontId="0" fillId="0" borderId="48" xfId="0" applyBorder="1">
      <alignment vertical="center"/>
    </xf>
    <xf numFmtId="0" fontId="0" fillId="15" borderId="25" xfId="0" applyFill="1"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25" xfId="0" quotePrefix="1" applyBorder="1" applyAlignment="1">
      <alignment horizontal="center" vertical="center"/>
    </xf>
    <xf numFmtId="0" fontId="0" fillId="0" borderId="15" xfId="0" applyBorder="1" applyAlignment="1">
      <alignment horizontal="center" vertical="center"/>
    </xf>
    <xf numFmtId="0" fontId="0" fillId="0" borderId="48" xfId="0" applyBorder="1" applyAlignment="1">
      <alignment vertical="center" wrapText="1"/>
    </xf>
    <xf numFmtId="0" fontId="0" fillId="15" borderId="30" xfId="0" applyFill="1" applyBorder="1" applyAlignment="1">
      <alignment horizontal="center" vertical="center"/>
    </xf>
    <xf numFmtId="0" fontId="0" fillId="0" borderId="32" xfId="0" applyBorder="1" applyAlignment="1">
      <alignment horizontal="center" vertical="center"/>
    </xf>
    <xf numFmtId="0" fontId="0" fillId="0" borderId="30" xfId="0" quotePrefix="1" applyBorder="1" applyAlignment="1">
      <alignment horizontal="center" vertical="center" wrapText="1"/>
    </xf>
    <xf numFmtId="0" fontId="0" fillId="0" borderId="0" xfId="0" quotePrefix="1" applyAlignment="1">
      <alignment horizontal="center" vertical="center" wrapText="1"/>
    </xf>
    <xf numFmtId="0" fontId="0" fillId="0" borderId="0" xfId="0" quotePrefix="1" applyAlignment="1">
      <alignment horizontal="center" vertical="center"/>
    </xf>
    <xf numFmtId="0" fontId="0" fillId="12" borderId="7" xfId="0" applyFill="1" applyBorder="1" applyProtection="1">
      <alignment vertical="center"/>
    </xf>
    <xf numFmtId="0" fontId="21" fillId="24" borderId="63" xfId="2" applyFont="1" applyFill="1" applyBorder="1">
      <alignment vertical="center"/>
    </xf>
    <xf numFmtId="0" fontId="21" fillId="24" borderId="65" xfId="2" applyFont="1" applyFill="1" applyBorder="1">
      <alignment vertical="center"/>
    </xf>
    <xf numFmtId="0" fontId="21" fillId="24" borderId="64" xfId="2" applyFont="1" applyFill="1" applyBorder="1">
      <alignment vertical="center"/>
    </xf>
    <xf numFmtId="0" fontId="21" fillId="0" borderId="0" xfId="2" applyFont="1">
      <alignment vertical="center"/>
    </xf>
    <xf numFmtId="0" fontId="21" fillId="24" borderId="81" xfId="2" applyFont="1" applyFill="1" applyBorder="1">
      <alignment vertical="center"/>
    </xf>
    <xf numFmtId="0" fontId="21" fillId="24" borderId="0" xfId="2" applyFont="1" applyFill="1">
      <alignment vertical="center"/>
    </xf>
    <xf numFmtId="0" fontId="21" fillId="24" borderId="82" xfId="2" applyFont="1" applyFill="1" applyBorder="1">
      <alignment vertical="center"/>
    </xf>
    <xf numFmtId="0" fontId="25" fillId="24" borderId="0" xfId="3" applyFont="1" applyFill="1">
      <alignment vertical="center"/>
    </xf>
    <xf numFmtId="0" fontId="21" fillId="24" borderId="0" xfId="3" applyFont="1" applyFill="1">
      <alignment vertical="center"/>
    </xf>
    <xf numFmtId="0" fontId="21" fillId="24" borderId="63" xfId="3" applyFont="1" applyFill="1" applyBorder="1">
      <alignment vertical="center"/>
    </xf>
    <xf numFmtId="0" fontId="21" fillId="24" borderId="65" xfId="3" applyFont="1" applyFill="1" applyBorder="1">
      <alignment vertical="center"/>
    </xf>
    <xf numFmtId="0" fontId="21" fillId="24" borderId="64" xfId="3" applyFont="1" applyFill="1" applyBorder="1">
      <alignment vertical="center"/>
    </xf>
    <xf numFmtId="0" fontId="21" fillId="24" borderId="83" xfId="3" applyFont="1" applyFill="1" applyBorder="1">
      <alignment vertical="center"/>
    </xf>
    <xf numFmtId="0" fontId="21" fillId="24" borderId="81" xfId="3" applyFont="1" applyFill="1" applyBorder="1">
      <alignment vertical="center"/>
    </xf>
    <xf numFmtId="0" fontId="21" fillId="24" borderId="82" xfId="3" applyFont="1" applyFill="1" applyBorder="1">
      <alignment vertical="center"/>
    </xf>
    <xf numFmtId="0" fontId="21" fillId="24" borderId="84" xfId="3" applyFont="1" applyFill="1" applyBorder="1">
      <alignment vertical="center"/>
    </xf>
    <xf numFmtId="0" fontId="26" fillId="24" borderId="0" xfId="3" applyFont="1" applyFill="1" applyAlignment="1">
      <alignment horizontal="center" vertical="center"/>
    </xf>
    <xf numFmtId="0" fontId="21" fillId="24" borderId="28" xfId="3" applyFont="1" applyFill="1" applyBorder="1">
      <alignment vertical="center"/>
    </xf>
    <xf numFmtId="0" fontId="21" fillId="24" borderId="11" xfId="3" applyFont="1" applyFill="1" applyBorder="1">
      <alignment vertical="center"/>
    </xf>
    <xf numFmtId="0" fontId="21" fillId="24" borderId="25" xfId="3" applyFont="1" applyFill="1" applyBorder="1">
      <alignment vertical="center"/>
    </xf>
    <xf numFmtId="0" fontId="21" fillId="24" borderId="85" xfId="3" applyFont="1" applyFill="1" applyBorder="1">
      <alignment vertical="center"/>
    </xf>
    <xf numFmtId="0" fontId="21" fillId="24" borderId="28" xfId="2" applyFont="1" applyFill="1" applyBorder="1">
      <alignment vertical="center"/>
    </xf>
    <xf numFmtId="0" fontId="21" fillId="24" borderId="11" xfId="2" applyFont="1" applyFill="1" applyBorder="1">
      <alignment vertical="center"/>
    </xf>
    <xf numFmtId="0" fontId="21" fillId="24" borderId="25" xfId="2" applyFont="1" applyFill="1" applyBorder="1">
      <alignment vertical="center"/>
    </xf>
    <xf numFmtId="0" fontId="21" fillId="24" borderId="0" xfId="3" applyFont="1" applyFill="1" applyBorder="1">
      <alignment vertical="center"/>
    </xf>
    <xf numFmtId="0" fontId="16" fillId="0" borderId="2" xfId="0" applyFont="1" applyBorder="1">
      <alignment vertical="center"/>
    </xf>
    <xf numFmtId="0" fontId="16" fillId="0" borderId="27" xfId="0" applyFont="1" applyBorder="1">
      <alignment vertical="center"/>
    </xf>
    <xf numFmtId="0" fontId="16" fillId="0" borderId="80" xfId="0" applyFont="1" applyBorder="1" applyAlignment="1">
      <alignment vertical="center" wrapText="1"/>
    </xf>
    <xf numFmtId="0" fontId="16" fillId="0" borderId="28" xfId="0" applyFont="1" applyBorder="1" applyAlignment="1">
      <alignment horizontal="center" vertical="center"/>
    </xf>
    <xf numFmtId="0" fontId="16" fillId="0" borderId="79" xfId="0" applyFont="1" applyBorder="1" applyAlignment="1">
      <alignment horizontal="center" vertical="center"/>
    </xf>
    <xf numFmtId="0" fontId="16" fillId="0" borderId="48" xfId="0" applyFont="1" applyBorder="1">
      <alignment vertical="center"/>
    </xf>
    <xf numFmtId="0" fontId="16" fillId="15" borderId="30" xfId="0" applyFont="1" applyFill="1" applyBorder="1" applyAlignment="1">
      <alignment horizontal="center" vertical="center"/>
    </xf>
    <xf numFmtId="0" fontId="16" fillId="0" borderId="24" xfId="0" applyFont="1" applyBorder="1" applyAlignment="1">
      <alignment horizontal="center" vertical="center"/>
    </xf>
    <xf numFmtId="0" fontId="16" fillId="15" borderId="25" xfId="0" applyFont="1" applyFill="1" applyBorder="1" applyAlignment="1">
      <alignment horizontal="center" vertical="center"/>
    </xf>
    <xf numFmtId="0" fontId="16" fillId="0" borderId="25" xfId="0" quotePrefix="1" applyFont="1" applyBorder="1" applyAlignment="1">
      <alignment horizontal="center" vertical="center"/>
    </xf>
    <xf numFmtId="0" fontId="16" fillId="0" borderId="15" xfId="0" applyFont="1" applyBorder="1" applyAlignment="1">
      <alignment horizontal="center" vertical="center"/>
    </xf>
    <xf numFmtId="0" fontId="16" fillId="0" borderId="48" xfId="0" applyFont="1" applyBorder="1" applyAlignment="1">
      <alignment vertical="center" wrapText="1"/>
    </xf>
    <xf numFmtId="0" fontId="16" fillId="0" borderId="32" xfId="0" applyFont="1" applyBorder="1" applyAlignment="1">
      <alignment horizontal="center" vertical="center"/>
    </xf>
    <xf numFmtId="0" fontId="16" fillId="0" borderId="30" xfId="0" quotePrefix="1" applyFont="1" applyBorder="1" applyAlignment="1">
      <alignment horizontal="center" vertical="center" wrapText="1"/>
    </xf>
    <xf numFmtId="0" fontId="16" fillId="0" borderId="76" xfId="0" applyFont="1" applyBorder="1">
      <alignment vertical="center"/>
    </xf>
    <xf numFmtId="0" fontId="16" fillId="15" borderId="77" xfId="0" applyFont="1" applyFill="1" applyBorder="1" applyAlignment="1">
      <alignment horizontal="center" vertical="center"/>
    </xf>
    <xf numFmtId="0" fontId="16" fillId="0" borderId="41" xfId="0" applyFont="1" applyBorder="1" applyAlignment="1">
      <alignment horizontal="center" vertical="center"/>
    </xf>
    <xf numFmtId="0" fontId="16" fillId="0" borderId="77" xfId="0" applyFont="1" applyBorder="1" applyAlignment="1">
      <alignment horizontal="center" vertical="center"/>
    </xf>
    <xf numFmtId="0" fontId="16" fillId="0" borderId="78" xfId="0" applyFont="1" applyBorder="1" applyAlignment="1">
      <alignment horizontal="center" vertical="center"/>
    </xf>
    <xf numFmtId="0" fontId="28" fillId="0" borderId="0" xfId="0" applyFont="1">
      <alignment vertical="center"/>
    </xf>
    <xf numFmtId="0" fontId="21" fillId="24" borderId="27" xfId="3" applyFont="1" applyFill="1" applyBorder="1" applyAlignment="1">
      <alignment horizontal="center" vertical="center"/>
    </xf>
    <xf numFmtId="0" fontId="21" fillId="24" borderId="12" xfId="3" applyFont="1" applyFill="1" applyBorder="1" applyAlignment="1">
      <alignment horizontal="center" vertical="center"/>
    </xf>
    <xf numFmtId="0" fontId="21" fillId="24" borderId="30" xfId="3" applyFont="1" applyFill="1" applyBorder="1" applyAlignment="1">
      <alignment horizontal="center" vertical="center"/>
    </xf>
    <xf numFmtId="0" fontId="22" fillId="24" borderId="81" xfId="2" applyFont="1" applyFill="1" applyBorder="1" applyAlignment="1">
      <alignment horizontal="center" vertical="center"/>
    </xf>
    <xf numFmtId="0" fontId="23" fillId="24" borderId="0" xfId="2" applyFont="1" applyFill="1" applyAlignment="1">
      <alignment horizontal="center" vertical="center"/>
    </xf>
    <xf numFmtId="0" fontId="23" fillId="24" borderId="82" xfId="2" applyFont="1" applyFill="1" applyBorder="1" applyAlignment="1">
      <alignment horizontal="center" vertical="center"/>
    </xf>
    <xf numFmtId="0" fontId="24" fillId="24" borderId="81" xfId="2" applyFont="1" applyFill="1" applyBorder="1" applyAlignment="1">
      <alignment horizontal="center" vertical="center"/>
    </xf>
    <xf numFmtId="0" fontId="21" fillId="24" borderId="0" xfId="2" applyFont="1" applyFill="1" applyAlignment="1">
      <alignment horizontal="center" vertical="center"/>
    </xf>
    <xf numFmtId="0" fontId="21" fillId="24" borderId="82" xfId="2" applyFont="1" applyFill="1" applyBorder="1" applyAlignment="1">
      <alignment horizontal="center" vertical="center"/>
    </xf>
    <xf numFmtId="0" fontId="21" fillId="24" borderId="63" xfId="3"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0" xfId="0" applyFill="1" applyBorder="1" applyAlignment="1">
      <alignment horizontal="center" vertical="center" textRotation="90"/>
    </xf>
    <xf numFmtId="0" fontId="19" fillId="0" borderId="72" xfId="0" applyFont="1" applyBorder="1" applyAlignment="1">
      <alignment horizontal="center"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cellXfs>
  <cellStyles count="4">
    <cellStyle name="ハイパーリンク" xfId="1" builtinId="8"/>
    <cellStyle name="標準" xfId="0" builtinId="0"/>
    <cellStyle name="標準 5" xfId="2" xr:uid="{4213AE18-4270-4960-9D1D-5D926CF09BAB}"/>
    <cellStyle name="標準 7" xfId="3" xr:uid="{77CF5331-94F7-431D-AC9E-725808CB94DA}"/>
  </cellStyles>
  <dxfs count="18">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26" Type="http://schemas.openxmlformats.org/officeDocument/2006/relationships/externalLink" Target="externalLinks/externalLink17.xml"/><Relationship Id="rId39" Type="http://schemas.openxmlformats.org/officeDocument/2006/relationships/calcChain" Target="calcChain.xml"/><Relationship Id="rId21" Type="http://schemas.openxmlformats.org/officeDocument/2006/relationships/externalLink" Target="externalLinks/externalLink12.xml"/><Relationship Id="rId34" Type="http://schemas.openxmlformats.org/officeDocument/2006/relationships/externalLink" Target="externalLinks/externalLink25.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25" Type="http://schemas.openxmlformats.org/officeDocument/2006/relationships/externalLink" Target="externalLinks/externalLink16.xml"/><Relationship Id="rId33" Type="http://schemas.openxmlformats.org/officeDocument/2006/relationships/externalLink" Target="externalLinks/externalLink24.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7.xml"/><Relationship Id="rId20" Type="http://schemas.openxmlformats.org/officeDocument/2006/relationships/externalLink" Target="externalLinks/externalLink11.xml"/><Relationship Id="rId29" Type="http://schemas.openxmlformats.org/officeDocument/2006/relationships/externalLink" Target="externalLinks/externalLink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24" Type="http://schemas.openxmlformats.org/officeDocument/2006/relationships/externalLink" Target="externalLinks/externalLink15.xml"/><Relationship Id="rId32" Type="http://schemas.openxmlformats.org/officeDocument/2006/relationships/externalLink" Target="externalLinks/externalLink23.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externalLink" Target="externalLinks/externalLink19.xml"/><Relationship Id="rId36" Type="http://schemas.openxmlformats.org/officeDocument/2006/relationships/theme" Target="theme/theme1.xml"/><Relationship Id="rId10" Type="http://schemas.openxmlformats.org/officeDocument/2006/relationships/externalLink" Target="externalLinks/externalLink1.xml"/><Relationship Id="rId19" Type="http://schemas.openxmlformats.org/officeDocument/2006/relationships/externalLink" Target="externalLinks/externalLink10.xml"/><Relationship Id="rId31" Type="http://schemas.openxmlformats.org/officeDocument/2006/relationships/externalLink" Target="externalLinks/externalLink2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 Id="rId22" Type="http://schemas.openxmlformats.org/officeDocument/2006/relationships/externalLink" Target="externalLinks/externalLink13.xml"/><Relationship Id="rId27" Type="http://schemas.openxmlformats.org/officeDocument/2006/relationships/externalLink" Target="externalLinks/externalLink18.xml"/><Relationship Id="rId30" Type="http://schemas.openxmlformats.org/officeDocument/2006/relationships/externalLink" Target="externalLinks/externalLink21.xml"/><Relationship Id="rId35" Type="http://schemas.openxmlformats.org/officeDocument/2006/relationships/externalLink" Target="externalLinks/externalLink26.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95250</xdr:colOff>
          <xdr:row>35</xdr:row>
          <xdr:rowOff>66675</xdr:rowOff>
        </xdr:from>
        <xdr:to>
          <xdr:col>38</xdr:col>
          <xdr:colOff>95250</xdr:colOff>
          <xdr:row>39</xdr:row>
          <xdr:rowOff>66675</xdr:rowOff>
        </xdr:to>
        <xdr:sp macro="" textlink="">
          <xdr:nvSpPr>
            <xdr:cNvPr id="22529" name="inei1_REYES DYAN" hidden="1">
              <a:extLst>
                <a:ext uri="{63B3BB69-23CF-44E3-9099-C40C66FF867C}">
                  <a14:compatExt spid="_x0000_s22529"/>
                </a:ext>
                <a:ext uri="{FF2B5EF4-FFF2-40B4-BE49-F238E27FC236}">
                  <a16:creationId xmlns:a16="http://schemas.microsoft.com/office/drawing/2014/main" id="{00000000-0008-0000-0000-0000015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47</xdr:col>
      <xdr:colOff>0</xdr:colOff>
      <xdr:row>16</xdr:row>
      <xdr:rowOff>0</xdr:rowOff>
    </xdr:from>
    <xdr:to>
      <xdr:col>67</xdr:col>
      <xdr:colOff>320056</xdr:colOff>
      <xdr:row>33</xdr:row>
      <xdr:rowOff>142500</xdr:rowOff>
    </xdr:to>
    <xdr:pic>
      <xdr:nvPicPr>
        <xdr:cNvPr id="59" name="図 58">
          <a:extLst>
            <a:ext uri="{FF2B5EF4-FFF2-40B4-BE49-F238E27FC236}">
              <a16:creationId xmlns:a16="http://schemas.microsoft.com/office/drawing/2014/main" id="{00000000-0008-0000-0700-00003B000000}"/>
            </a:ext>
          </a:extLst>
        </xdr:cNvPr>
        <xdr:cNvPicPr>
          <a:picLocks noChangeAspect="1"/>
        </xdr:cNvPicPr>
      </xdr:nvPicPr>
      <xdr:blipFill>
        <a:blip xmlns:r="http://schemas.openxmlformats.org/officeDocument/2006/relationships" r:embed="rId1"/>
        <a:stretch>
          <a:fillRect/>
        </a:stretch>
      </xdr:blipFill>
      <xdr:spPr>
        <a:xfrm>
          <a:off x="46190647" y="5031441"/>
          <a:ext cx="16904762" cy="3000000"/>
        </a:xfrm>
        <a:prstGeom prst="rect">
          <a:avLst/>
        </a:prstGeom>
      </xdr:spPr>
    </xdr:pic>
    <xdr:clientData/>
  </xdr:twoCellAnchor>
  <xdr:twoCellAnchor editAs="oneCell">
    <xdr:from>
      <xdr:col>46</xdr:col>
      <xdr:colOff>790575</xdr:colOff>
      <xdr:row>7</xdr:row>
      <xdr:rowOff>47625</xdr:rowOff>
    </xdr:from>
    <xdr:to>
      <xdr:col>67</xdr:col>
      <xdr:colOff>293162</xdr:colOff>
      <xdr:row>12</xdr:row>
      <xdr:rowOff>142494</xdr:rowOff>
    </xdr:to>
    <xdr:pic>
      <xdr:nvPicPr>
        <xdr:cNvPr id="58" name="図 57">
          <a:extLst>
            <a:ext uri="{FF2B5EF4-FFF2-40B4-BE49-F238E27FC236}">
              <a16:creationId xmlns:a16="http://schemas.microsoft.com/office/drawing/2014/main" id="{00000000-0008-0000-0700-00003A000000}"/>
            </a:ext>
          </a:extLst>
        </xdr:cNvPr>
        <xdr:cNvPicPr>
          <a:picLocks noChangeAspect="1"/>
        </xdr:cNvPicPr>
      </xdr:nvPicPr>
      <xdr:blipFill>
        <a:blip xmlns:r="http://schemas.openxmlformats.org/officeDocument/2006/relationships" r:embed="rId2"/>
        <a:stretch>
          <a:fillRect/>
        </a:stretch>
      </xdr:blipFill>
      <xdr:spPr>
        <a:xfrm>
          <a:off x="46129575" y="1457325"/>
          <a:ext cx="16904762" cy="3047619"/>
        </a:xfrm>
        <a:prstGeom prst="rect">
          <a:avLst/>
        </a:prstGeom>
      </xdr:spPr>
    </xdr:pic>
    <xdr:clientData/>
  </xdr:twoCellAnchor>
  <xdr:twoCellAnchor editAs="absolute">
    <xdr:from>
      <xdr:col>9</xdr:col>
      <xdr:colOff>56949</xdr:colOff>
      <xdr:row>0</xdr:row>
      <xdr:rowOff>83942</xdr:rowOff>
    </xdr:from>
    <xdr:to>
      <xdr:col>11</xdr:col>
      <xdr:colOff>1242785</xdr:colOff>
      <xdr:row>2</xdr:row>
      <xdr:rowOff>145143</xdr:rowOff>
    </xdr:to>
    <xdr:sp macro="" textlink="">
      <xdr:nvSpPr>
        <xdr:cNvPr id="2" name="線吹き出し 1 (枠付き) 95">
          <a:extLst>
            <a:ext uri="{FF2B5EF4-FFF2-40B4-BE49-F238E27FC236}">
              <a16:creationId xmlns:a16="http://schemas.microsoft.com/office/drawing/2014/main" id="{00000000-0008-0000-0700-000002000000}"/>
            </a:ext>
          </a:extLst>
        </xdr:cNvPr>
        <xdr:cNvSpPr/>
      </xdr:nvSpPr>
      <xdr:spPr>
        <a:xfrm>
          <a:off x="6648249" y="83942"/>
          <a:ext cx="3300386" cy="391401"/>
        </a:xfrm>
        <a:prstGeom prst="borderCallout1">
          <a:avLst>
            <a:gd name="adj1" fmla="val 38295"/>
            <a:gd name="adj2" fmla="val -1002"/>
            <a:gd name="adj3" fmla="val 119470"/>
            <a:gd name="adj4" fmla="val -174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入力信号が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6Bit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以下のため、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Index</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を使用する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xdr:col>
      <xdr:colOff>2372062</xdr:colOff>
      <xdr:row>50</xdr:row>
      <xdr:rowOff>58528</xdr:rowOff>
    </xdr:from>
    <xdr:to>
      <xdr:col>4</xdr:col>
      <xdr:colOff>215794</xdr:colOff>
      <xdr:row>54</xdr:row>
      <xdr:rowOff>1921</xdr:rowOff>
    </xdr:to>
    <xdr:sp macro="" textlink="">
      <xdr:nvSpPr>
        <xdr:cNvPr id="3" name="線吹き出し 1 (枠付き) 71">
          <a:extLst>
            <a:ext uri="{FF2B5EF4-FFF2-40B4-BE49-F238E27FC236}">
              <a16:creationId xmlns:a16="http://schemas.microsoft.com/office/drawing/2014/main" id="{00000000-0008-0000-0700-000003000000}"/>
            </a:ext>
          </a:extLst>
        </xdr:cNvPr>
        <xdr:cNvSpPr/>
      </xdr:nvSpPr>
      <xdr:spPr>
        <a:xfrm>
          <a:off x="2981662" y="6567278"/>
          <a:ext cx="2650682" cy="603793"/>
        </a:xfrm>
        <a:prstGeom prst="borderCallout1">
          <a:avLst>
            <a:gd name="adj1" fmla="val 2308"/>
            <a:gd name="adj2" fmla="val 85290"/>
            <a:gd name="adj3" fmla="val -91469"/>
            <a:gd name="adj4" fmla="val 94909"/>
          </a:avLst>
        </a:prstGeom>
        <a:solidFill>
          <a:schemeClr val="accent5">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rPr>
            <a:t>は通信状態</a:t>
          </a:r>
          <a:r>
            <a:rPr kumimoji="1" lang="en-US" altLang="ja-JP" sz="1200" b="1">
              <a:solidFill>
                <a:sysClr val="windowText" lastClr="000000"/>
              </a:solidFill>
              <a:latin typeface="Meiryo UI" panose="020B0604030504040204" pitchFamily="50" charset="-128"/>
              <a:ea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rPr>
            <a:t>に含まれる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rPr>
            <a:t>には使用しない</a:t>
          </a:r>
        </a:p>
      </xdr:txBody>
    </xdr:sp>
    <xdr:clientData/>
  </xdr:twoCellAnchor>
  <xdr:twoCellAnchor>
    <xdr:from>
      <xdr:col>18</xdr:col>
      <xdr:colOff>921535</xdr:colOff>
      <xdr:row>0</xdr:row>
      <xdr:rowOff>0</xdr:rowOff>
    </xdr:from>
    <xdr:to>
      <xdr:col>70</xdr:col>
      <xdr:colOff>115290</xdr:colOff>
      <xdr:row>117</xdr:row>
      <xdr:rowOff>79256</xdr:rowOff>
    </xdr:to>
    <xdr:grpSp>
      <xdr:nvGrpSpPr>
        <xdr:cNvPr id="5" name="グループ化 4">
          <a:extLst>
            <a:ext uri="{FF2B5EF4-FFF2-40B4-BE49-F238E27FC236}">
              <a16:creationId xmlns:a16="http://schemas.microsoft.com/office/drawing/2014/main" id="{00000000-0008-0000-0700-000005000000}"/>
            </a:ext>
          </a:extLst>
        </xdr:cNvPr>
        <xdr:cNvGrpSpPr/>
      </xdr:nvGrpSpPr>
      <xdr:grpSpPr>
        <a:xfrm>
          <a:off x="22941094" y="0"/>
          <a:ext cx="42437255" cy="22098815"/>
          <a:chOff x="21041429" y="124691"/>
          <a:chExt cx="39008255" cy="17473454"/>
        </a:xfrm>
      </xdr:grpSpPr>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840902" y="508098"/>
            <a:ext cx="12889451" cy="6810730"/>
          </a:xfrm>
          <a:prstGeom prst="rect">
            <a:avLst/>
          </a:prstGeom>
        </xdr:spPr>
      </xdr:pic>
      <xdr:sp macro="" textlink="">
        <xdr:nvSpPr>
          <xdr:cNvPr id="7" name="正方形/長方形 6">
            <a:extLst>
              <a:ext uri="{FF2B5EF4-FFF2-40B4-BE49-F238E27FC236}">
                <a16:creationId xmlns:a16="http://schemas.microsoft.com/office/drawing/2014/main" id="{00000000-0008-0000-0700-000007000000}"/>
              </a:ext>
            </a:extLst>
          </xdr:cNvPr>
          <xdr:cNvSpPr/>
        </xdr:nvSpPr>
        <xdr:spPr>
          <a:xfrm>
            <a:off x="24807476" y="3876869"/>
            <a:ext cx="12956387" cy="3304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4819640" y="7602549"/>
            <a:ext cx="16111944" cy="2446672"/>
          </a:xfrm>
          <a:prstGeom prst="rect">
            <a:avLst/>
          </a:prstGeom>
        </xdr:spPr>
      </xdr:pic>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4853915" y="10566308"/>
            <a:ext cx="13772743" cy="1634442"/>
          </a:xfrm>
          <a:prstGeom prst="rect">
            <a:avLst/>
          </a:prstGeom>
        </xdr:spPr>
      </xdr:pic>
      <xdr:pic>
        <xdr:nvPicPr>
          <xdr:cNvPr id="10" name="図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4864465" y="14849182"/>
            <a:ext cx="1958507" cy="418048"/>
          </a:xfrm>
          <a:prstGeom prst="rect">
            <a:avLst/>
          </a:prstGeom>
        </xdr:spPr>
      </xdr:pic>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4844134" y="16924673"/>
            <a:ext cx="3124464" cy="653204"/>
          </a:xfrm>
          <a:prstGeom prst="rect">
            <a:avLst/>
          </a:prstGeom>
        </xdr:spPr>
      </xdr:pic>
      <xdr:pic>
        <xdr:nvPicPr>
          <xdr:cNvPr id="12" name="図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877594" y="13174545"/>
            <a:ext cx="2533865" cy="432169"/>
          </a:xfrm>
          <a:prstGeom prst="rect">
            <a:avLst/>
          </a:prstGeom>
        </xdr:spPr>
      </xdr:pic>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4866229" y="13987453"/>
            <a:ext cx="1913903" cy="416928"/>
          </a:xfrm>
          <a:prstGeom prst="rect">
            <a:avLst/>
          </a:prstGeom>
        </xdr:spPr>
      </xdr:pic>
      <xdr:pic>
        <xdr:nvPicPr>
          <xdr:cNvPr id="14" name="図 13">
            <a:extLst>
              <a:ext uri="{FF2B5EF4-FFF2-40B4-BE49-F238E27FC236}">
                <a16:creationId xmlns:a16="http://schemas.microsoft.com/office/drawing/2014/main" id="{00000000-0008-0000-0700-00000E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4810041" y="13583721"/>
            <a:ext cx="1671610" cy="403386"/>
          </a:xfrm>
          <a:prstGeom prst="rect">
            <a:avLst/>
          </a:prstGeom>
        </xdr:spPr>
      </xdr:pic>
      <xdr:pic>
        <xdr:nvPicPr>
          <xdr:cNvPr id="15" name="図 14">
            <a:extLst>
              <a:ext uri="{FF2B5EF4-FFF2-40B4-BE49-F238E27FC236}">
                <a16:creationId xmlns:a16="http://schemas.microsoft.com/office/drawing/2014/main" id="{00000000-0008-0000-0700-00000F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24899530" y="15619992"/>
            <a:ext cx="2020593" cy="896521"/>
          </a:xfrm>
          <a:prstGeom prst="rect">
            <a:avLst/>
          </a:prstGeom>
        </xdr:spPr>
      </xdr:pic>
      <xdr:sp macro="" textlink="">
        <xdr:nvSpPr>
          <xdr:cNvPr id="16" name="正方形/長方形 15">
            <a:extLst>
              <a:ext uri="{FF2B5EF4-FFF2-40B4-BE49-F238E27FC236}">
                <a16:creationId xmlns:a16="http://schemas.microsoft.com/office/drawing/2014/main" id="{00000000-0008-0000-0700-000010000000}"/>
              </a:ext>
            </a:extLst>
          </xdr:cNvPr>
          <xdr:cNvSpPr/>
        </xdr:nvSpPr>
        <xdr:spPr>
          <a:xfrm>
            <a:off x="30214472" y="8431092"/>
            <a:ext cx="934252" cy="16091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17" name="線吹き出し 1 (枠付き) 54">
            <a:extLst>
              <a:ext uri="{FF2B5EF4-FFF2-40B4-BE49-F238E27FC236}">
                <a16:creationId xmlns:a16="http://schemas.microsoft.com/office/drawing/2014/main" id="{00000000-0008-0000-0700-000011000000}"/>
              </a:ext>
            </a:extLst>
          </xdr:cNvPr>
          <xdr:cNvSpPr/>
        </xdr:nvSpPr>
        <xdr:spPr>
          <a:xfrm>
            <a:off x="31550213" y="7686383"/>
            <a:ext cx="1697067" cy="352883"/>
          </a:xfrm>
          <a:prstGeom prst="borderCallout1">
            <a:avLst>
              <a:gd name="adj1" fmla="val 44823"/>
              <a:gd name="adj2" fmla="val -3207"/>
              <a:gd name="adj3" fmla="val 284036"/>
              <a:gd name="adj4" fmla="val -254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sp macro="" textlink="">
        <xdr:nvSpPr>
          <xdr:cNvPr id="18" name="正方形/長方形 17">
            <a:extLst>
              <a:ext uri="{FF2B5EF4-FFF2-40B4-BE49-F238E27FC236}">
                <a16:creationId xmlns:a16="http://schemas.microsoft.com/office/drawing/2014/main" id="{00000000-0008-0000-0700-000012000000}"/>
              </a:ext>
            </a:extLst>
          </xdr:cNvPr>
          <xdr:cNvSpPr/>
        </xdr:nvSpPr>
        <xdr:spPr>
          <a:xfrm>
            <a:off x="32599086" y="8440058"/>
            <a:ext cx="826673" cy="15733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19" name="線吹き出し 1 (枠付き) 56">
            <a:extLst>
              <a:ext uri="{FF2B5EF4-FFF2-40B4-BE49-F238E27FC236}">
                <a16:creationId xmlns:a16="http://schemas.microsoft.com/office/drawing/2014/main" id="{00000000-0008-0000-0700-000013000000}"/>
              </a:ext>
            </a:extLst>
          </xdr:cNvPr>
          <xdr:cNvSpPr/>
        </xdr:nvSpPr>
        <xdr:spPr>
          <a:xfrm>
            <a:off x="33809320" y="7867597"/>
            <a:ext cx="1425390" cy="400210"/>
          </a:xfrm>
          <a:prstGeom prst="borderCallout1">
            <a:avLst>
              <a:gd name="adj1" fmla="val 44823"/>
              <a:gd name="adj2" fmla="val -3207"/>
              <a:gd name="adj3" fmla="val 268819"/>
              <a:gd name="adj4" fmla="val -279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37197982" y="8466950"/>
            <a:ext cx="414295" cy="15841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1" name="線吹き出し 1 (枠付き) 58">
            <a:extLst>
              <a:ext uri="{FF2B5EF4-FFF2-40B4-BE49-F238E27FC236}">
                <a16:creationId xmlns:a16="http://schemas.microsoft.com/office/drawing/2014/main" id="{00000000-0008-0000-0700-000015000000}"/>
              </a:ext>
            </a:extLst>
          </xdr:cNvPr>
          <xdr:cNvSpPr/>
        </xdr:nvSpPr>
        <xdr:spPr>
          <a:xfrm>
            <a:off x="37951015" y="7822773"/>
            <a:ext cx="1586751" cy="407254"/>
          </a:xfrm>
          <a:prstGeom prst="borderCallout1">
            <a:avLst>
              <a:gd name="adj1" fmla="val 44823"/>
              <a:gd name="adj2" fmla="val -3207"/>
              <a:gd name="adj3" fmla="val 277515"/>
              <a:gd name="adj4" fmla="val -184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2" name="正方形/長方形 21">
            <a:extLst>
              <a:ext uri="{FF2B5EF4-FFF2-40B4-BE49-F238E27FC236}">
                <a16:creationId xmlns:a16="http://schemas.microsoft.com/office/drawing/2014/main" id="{00000000-0008-0000-0700-000016000000}"/>
              </a:ext>
            </a:extLst>
          </xdr:cNvPr>
          <xdr:cNvSpPr/>
        </xdr:nvSpPr>
        <xdr:spPr>
          <a:xfrm>
            <a:off x="24846533" y="7599934"/>
            <a:ext cx="2544056" cy="362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3" name="線吹き出し 1 (枠付き) 60">
            <a:extLst>
              <a:ext uri="{FF2B5EF4-FFF2-40B4-BE49-F238E27FC236}">
                <a16:creationId xmlns:a16="http://schemas.microsoft.com/office/drawing/2014/main" id="{00000000-0008-0000-0700-000017000000}"/>
              </a:ext>
            </a:extLst>
          </xdr:cNvPr>
          <xdr:cNvSpPr/>
        </xdr:nvSpPr>
        <xdr:spPr>
          <a:xfrm>
            <a:off x="28027083" y="7311144"/>
            <a:ext cx="1586752" cy="398289"/>
          </a:xfrm>
          <a:prstGeom prst="borderCallout1">
            <a:avLst>
              <a:gd name="adj1" fmla="val 44823"/>
              <a:gd name="adj2" fmla="val -3207"/>
              <a:gd name="adj3" fmla="val 120993"/>
              <a:gd name="adj4" fmla="val -421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4" name="正方形/長方形 23">
            <a:extLst>
              <a:ext uri="{FF2B5EF4-FFF2-40B4-BE49-F238E27FC236}">
                <a16:creationId xmlns:a16="http://schemas.microsoft.com/office/drawing/2014/main" id="{00000000-0008-0000-0700-000018000000}"/>
              </a:ext>
            </a:extLst>
          </xdr:cNvPr>
          <xdr:cNvSpPr/>
        </xdr:nvSpPr>
        <xdr:spPr>
          <a:xfrm>
            <a:off x="32493428" y="10865654"/>
            <a:ext cx="1326778" cy="13082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5" name="線吹き出し 1 (枠付き) 62">
            <a:extLst>
              <a:ext uri="{FF2B5EF4-FFF2-40B4-BE49-F238E27FC236}">
                <a16:creationId xmlns:a16="http://schemas.microsoft.com/office/drawing/2014/main" id="{00000000-0008-0000-0700-000019000000}"/>
              </a:ext>
            </a:extLst>
          </xdr:cNvPr>
          <xdr:cNvSpPr/>
        </xdr:nvSpPr>
        <xdr:spPr>
          <a:xfrm>
            <a:off x="32834085" y="12527329"/>
            <a:ext cx="1425390" cy="398290"/>
          </a:xfrm>
          <a:prstGeom prst="borderCallout1">
            <a:avLst>
              <a:gd name="adj1" fmla="val 44823"/>
              <a:gd name="adj2" fmla="val -3207"/>
              <a:gd name="adj3" fmla="val -83355"/>
              <a:gd name="adj4" fmla="val -79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6" name="正方形/長方形 25">
            <a:extLst>
              <a:ext uri="{FF2B5EF4-FFF2-40B4-BE49-F238E27FC236}">
                <a16:creationId xmlns:a16="http://schemas.microsoft.com/office/drawing/2014/main" id="{00000000-0008-0000-0700-00001A000000}"/>
              </a:ext>
            </a:extLst>
          </xdr:cNvPr>
          <xdr:cNvSpPr/>
        </xdr:nvSpPr>
        <xdr:spPr>
          <a:xfrm>
            <a:off x="33847096" y="10865651"/>
            <a:ext cx="2034992" cy="13171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7" name="線吹き出し 1 (枠付き) 64">
            <a:extLst>
              <a:ext uri="{FF2B5EF4-FFF2-40B4-BE49-F238E27FC236}">
                <a16:creationId xmlns:a16="http://schemas.microsoft.com/office/drawing/2014/main" id="{00000000-0008-0000-0700-00001B000000}"/>
              </a:ext>
            </a:extLst>
          </xdr:cNvPr>
          <xdr:cNvSpPr/>
        </xdr:nvSpPr>
        <xdr:spPr>
          <a:xfrm>
            <a:off x="34779426" y="12545258"/>
            <a:ext cx="1739150" cy="398290"/>
          </a:xfrm>
          <a:prstGeom prst="borderCallout1">
            <a:avLst>
              <a:gd name="adj1" fmla="val 44823"/>
              <a:gd name="adj2" fmla="val -3207"/>
              <a:gd name="adj3" fmla="val -76833"/>
              <a:gd name="adj4" fmla="val -11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途絶時、前回値保持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8" name="正方形/長方形 27">
            <a:extLst>
              <a:ext uri="{FF2B5EF4-FFF2-40B4-BE49-F238E27FC236}">
                <a16:creationId xmlns:a16="http://schemas.microsoft.com/office/drawing/2014/main" id="{00000000-0008-0000-0700-00001C000000}"/>
              </a:ext>
            </a:extLst>
          </xdr:cNvPr>
          <xdr:cNvSpPr/>
        </xdr:nvSpPr>
        <xdr:spPr>
          <a:xfrm>
            <a:off x="24783782" y="13162536"/>
            <a:ext cx="2752166" cy="12973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29" name="線吹き出し 1 (枠付き) 66">
            <a:extLst>
              <a:ext uri="{FF2B5EF4-FFF2-40B4-BE49-F238E27FC236}">
                <a16:creationId xmlns:a16="http://schemas.microsoft.com/office/drawing/2014/main" id="{00000000-0008-0000-0700-00001D000000}"/>
              </a:ext>
            </a:extLst>
          </xdr:cNvPr>
          <xdr:cNvSpPr/>
        </xdr:nvSpPr>
        <xdr:spPr>
          <a:xfrm>
            <a:off x="28118651" y="13070969"/>
            <a:ext cx="1453077" cy="587361"/>
          </a:xfrm>
          <a:prstGeom prst="borderCallout1">
            <a:avLst>
              <a:gd name="adj1" fmla="val 44823"/>
              <a:gd name="adj2" fmla="val -3207"/>
              <a:gd name="adj3" fmla="val 89860"/>
              <a:gd name="adj4" fmla="val -368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0" name="正方形/長方形 29">
            <a:extLst>
              <a:ext uri="{FF2B5EF4-FFF2-40B4-BE49-F238E27FC236}">
                <a16:creationId xmlns:a16="http://schemas.microsoft.com/office/drawing/2014/main" id="{00000000-0008-0000-0700-00001E000000}"/>
              </a:ext>
            </a:extLst>
          </xdr:cNvPr>
          <xdr:cNvSpPr/>
        </xdr:nvSpPr>
        <xdr:spPr>
          <a:xfrm>
            <a:off x="24810677" y="14822286"/>
            <a:ext cx="2008094" cy="4251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31" name="線吹き出し 1 (枠付き) 68">
            <a:extLst>
              <a:ext uri="{FF2B5EF4-FFF2-40B4-BE49-F238E27FC236}">
                <a16:creationId xmlns:a16="http://schemas.microsoft.com/office/drawing/2014/main" id="{00000000-0008-0000-0700-00001F000000}"/>
              </a:ext>
            </a:extLst>
          </xdr:cNvPr>
          <xdr:cNvSpPr/>
        </xdr:nvSpPr>
        <xdr:spPr>
          <a:xfrm>
            <a:off x="27338723" y="14623835"/>
            <a:ext cx="1453077" cy="593710"/>
          </a:xfrm>
          <a:prstGeom prst="borderCallout1">
            <a:avLst>
              <a:gd name="adj1" fmla="val 44823"/>
              <a:gd name="adj2" fmla="val -3207"/>
              <a:gd name="adj3" fmla="val 89860"/>
              <a:gd name="adj4" fmla="val -368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2" name="正方形/長方形 31">
            <a:extLst>
              <a:ext uri="{FF2B5EF4-FFF2-40B4-BE49-F238E27FC236}">
                <a16:creationId xmlns:a16="http://schemas.microsoft.com/office/drawing/2014/main" id="{00000000-0008-0000-0700-000020000000}"/>
              </a:ext>
            </a:extLst>
          </xdr:cNvPr>
          <xdr:cNvSpPr/>
        </xdr:nvSpPr>
        <xdr:spPr>
          <a:xfrm>
            <a:off x="24846536" y="15620786"/>
            <a:ext cx="2061882" cy="8343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33" name="線吹き出し 1 (枠付き) 70">
            <a:extLst>
              <a:ext uri="{FF2B5EF4-FFF2-40B4-BE49-F238E27FC236}">
                <a16:creationId xmlns:a16="http://schemas.microsoft.com/office/drawing/2014/main" id="{00000000-0008-0000-0700-000021000000}"/>
              </a:ext>
            </a:extLst>
          </xdr:cNvPr>
          <xdr:cNvSpPr/>
        </xdr:nvSpPr>
        <xdr:spPr>
          <a:xfrm>
            <a:off x="27464228" y="15428685"/>
            <a:ext cx="1453077" cy="587361"/>
          </a:xfrm>
          <a:prstGeom prst="borderCallout1">
            <a:avLst>
              <a:gd name="adj1" fmla="val 44823"/>
              <a:gd name="adj2" fmla="val -3207"/>
              <a:gd name="adj3" fmla="val 89860"/>
              <a:gd name="adj4" fmla="val -368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4" name="正方形/長方形 33">
            <a:extLst>
              <a:ext uri="{FF2B5EF4-FFF2-40B4-BE49-F238E27FC236}">
                <a16:creationId xmlns:a16="http://schemas.microsoft.com/office/drawing/2014/main" id="{00000000-0008-0000-0700-000022000000}"/>
              </a:ext>
            </a:extLst>
          </xdr:cNvPr>
          <xdr:cNvSpPr/>
        </xdr:nvSpPr>
        <xdr:spPr>
          <a:xfrm>
            <a:off x="24792747" y="16898256"/>
            <a:ext cx="3128684" cy="6998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35" name="線吹き出し 1 (枠付き) 77">
            <a:extLst>
              <a:ext uri="{FF2B5EF4-FFF2-40B4-BE49-F238E27FC236}">
                <a16:creationId xmlns:a16="http://schemas.microsoft.com/office/drawing/2014/main" id="{00000000-0008-0000-0700-000023000000}"/>
              </a:ext>
            </a:extLst>
          </xdr:cNvPr>
          <xdr:cNvSpPr/>
        </xdr:nvSpPr>
        <xdr:spPr>
          <a:xfrm>
            <a:off x="28459311" y="16699111"/>
            <a:ext cx="1453077" cy="587361"/>
          </a:xfrm>
          <a:prstGeom prst="borderCallout1">
            <a:avLst>
              <a:gd name="adj1" fmla="val 44823"/>
              <a:gd name="adj2" fmla="val -3207"/>
              <a:gd name="adj3" fmla="val 89860"/>
              <a:gd name="adj4" fmla="val -368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pic>
        <xdr:nvPicPr>
          <xdr:cNvPr id="36" name="図 35">
            <a:extLst>
              <a:ext uri="{FF2B5EF4-FFF2-40B4-BE49-F238E27FC236}">
                <a16:creationId xmlns:a16="http://schemas.microsoft.com/office/drawing/2014/main" id="{00000000-0008-0000-0700-000024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2363571" y="10405423"/>
            <a:ext cx="10291481" cy="1892914"/>
          </a:xfrm>
          <a:prstGeom prst="rect">
            <a:avLst/>
          </a:prstGeom>
        </xdr:spPr>
      </xdr:pic>
      <xdr:pic>
        <xdr:nvPicPr>
          <xdr:cNvPr id="37" name="図 36">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2661617" y="10393244"/>
            <a:ext cx="7344496" cy="1881260"/>
          </a:xfrm>
          <a:prstGeom prst="rect">
            <a:avLst/>
          </a:prstGeom>
        </xdr:spPr>
      </xdr:pic>
      <xdr:sp macro="" textlink="">
        <xdr:nvSpPr>
          <xdr:cNvPr id="38" name="正方形/長方形 37">
            <a:extLst>
              <a:ext uri="{FF2B5EF4-FFF2-40B4-BE49-F238E27FC236}">
                <a16:creationId xmlns:a16="http://schemas.microsoft.com/office/drawing/2014/main" id="{00000000-0008-0000-0700-000026000000}"/>
              </a:ext>
            </a:extLst>
          </xdr:cNvPr>
          <xdr:cNvSpPr/>
        </xdr:nvSpPr>
        <xdr:spPr>
          <a:xfrm>
            <a:off x="42343270" y="10212685"/>
            <a:ext cx="17706414" cy="21118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39" name="正方形/長方形 38">
            <a:extLst>
              <a:ext uri="{FF2B5EF4-FFF2-40B4-BE49-F238E27FC236}">
                <a16:creationId xmlns:a16="http://schemas.microsoft.com/office/drawing/2014/main" id="{00000000-0008-0000-0700-000027000000}"/>
              </a:ext>
            </a:extLst>
          </xdr:cNvPr>
          <xdr:cNvSpPr/>
        </xdr:nvSpPr>
        <xdr:spPr>
          <a:xfrm>
            <a:off x="31175617" y="9641969"/>
            <a:ext cx="1389530" cy="3713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xnSp macro="">
        <xdr:nvCxnSpPr>
          <xdr:cNvPr id="40" name="直線コネクタ 39">
            <a:extLst>
              <a:ext uri="{FF2B5EF4-FFF2-40B4-BE49-F238E27FC236}">
                <a16:creationId xmlns:a16="http://schemas.microsoft.com/office/drawing/2014/main" id="{00000000-0008-0000-0700-000028000000}"/>
              </a:ext>
            </a:extLst>
          </xdr:cNvPr>
          <xdr:cNvCxnSpPr>
            <a:stCxn id="39" idx="2"/>
            <a:endCxn id="38" idx="1"/>
          </xdr:cNvCxnSpPr>
        </xdr:nvCxnSpPr>
        <xdr:spPr>
          <a:xfrm>
            <a:off x="31870382" y="10013363"/>
            <a:ext cx="10472888" cy="1253752"/>
          </a:xfrm>
          <a:prstGeom prst="line">
            <a:avLst/>
          </a:prstGeom>
          <a:ln w="28575"/>
        </xdr:spPr>
        <xdr:style>
          <a:lnRef idx="1">
            <a:schemeClr val="accent1"/>
          </a:lnRef>
          <a:fillRef idx="0">
            <a:schemeClr val="accent1"/>
          </a:fillRef>
          <a:effectRef idx="0">
            <a:schemeClr val="accent1"/>
          </a:effectRef>
          <a:fontRef idx="minor">
            <a:schemeClr val="tx1"/>
          </a:fontRef>
        </xdr:style>
      </xdr:cxnSp>
      <xdr:cxnSp macro="">
        <xdr:nvCxnSpPr>
          <xdr:cNvPr id="41" name="直線コネクタ 40">
            <a:extLst>
              <a:ext uri="{FF2B5EF4-FFF2-40B4-BE49-F238E27FC236}">
                <a16:creationId xmlns:a16="http://schemas.microsoft.com/office/drawing/2014/main" id="{00000000-0008-0000-0700-000029000000}"/>
              </a:ext>
            </a:extLst>
          </xdr:cNvPr>
          <xdr:cNvCxnSpPr>
            <a:stCxn id="7" idx="1"/>
          </xdr:cNvCxnSpPr>
        </xdr:nvCxnSpPr>
        <xdr:spPr>
          <a:xfrm flipH="1" flipV="1">
            <a:off x="21041429" y="2384634"/>
            <a:ext cx="3766047" cy="1656557"/>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42" name="正方形/長方形 41">
            <a:extLst>
              <a:ext uri="{FF2B5EF4-FFF2-40B4-BE49-F238E27FC236}">
                <a16:creationId xmlns:a16="http://schemas.microsoft.com/office/drawing/2014/main" id="{00000000-0008-0000-0700-00002A000000}"/>
              </a:ext>
            </a:extLst>
          </xdr:cNvPr>
          <xdr:cNvSpPr/>
        </xdr:nvSpPr>
        <xdr:spPr>
          <a:xfrm>
            <a:off x="42363571" y="124691"/>
            <a:ext cx="15625483" cy="75464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44" name="線吹き出し 1 (枠付き) 74">
            <a:extLst>
              <a:ext uri="{FF2B5EF4-FFF2-40B4-BE49-F238E27FC236}">
                <a16:creationId xmlns:a16="http://schemas.microsoft.com/office/drawing/2014/main" id="{00000000-0008-0000-0700-00002C000000}"/>
              </a:ext>
            </a:extLst>
          </xdr:cNvPr>
          <xdr:cNvSpPr/>
        </xdr:nvSpPr>
        <xdr:spPr>
          <a:xfrm>
            <a:off x="38570320" y="2623063"/>
            <a:ext cx="3311207" cy="646874"/>
          </a:xfrm>
          <a:prstGeom prst="borderCallout1">
            <a:avLst>
              <a:gd name="adj1" fmla="val 61580"/>
              <a:gd name="adj2" fmla="val 103831"/>
              <a:gd name="adj3" fmla="val 123306"/>
              <a:gd name="adj4" fmla="val 1879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本機能にて</a:t>
            </a:r>
            <a:r>
              <a:rPr kumimoji="1" lang="en-US" altLang="ja-JP" sz="1200" b="1" strike="noStrike" baseline="0">
                <a:solidFill>
                  <a:sysClr val="windowText" lastClr="000000"/>
                </a:solidFill>
                <a:effectLst/>
                <a:latin typeface="Meiryo UI" panose="020B0604030504040204" pitchFamily="50" charset="-128"/>
                <a:ea typeface="Meiryo UI" panose="020B0604030504040204" pitchFamily="50" charset="-128"/>
                <a:cs typeface="+mn-cs"/>
              </a:rPr>
              <a:t>EG1W</a:t>
            </a:r>
            <a:r>
              <a:rPr kumimoji="1" lang="ja-JP" altLang="ja-JP" sz="1200" b="1" strike="noStrike" baseline="0">
                <a:solidFill>
                  <a:sysClr val="windowText" lastClr="000000"/>
                </a:solidFill>
                <a:effectLst/>
                <a:latin typeface="Meiryo UI" panose="020B0604030504040204" pitchFamily="50" charset="-128"/>
                <a:ea typeface="Meiryo UI" panose="020B0604030504040204" pitchFamily="50" charset="-128"/>
                <a:cs typeface="+mn-cs"/>
              </a:rPr>
              <a:t>の</a:t>
            </a:r>
            <a:r>
              <a:rPr kumimoji="1" lang="en-US" altLang="ja-JP" sz="1200" b="1" strike="noStrike" baseline="0">
                <a:solidFill>
                  <a:sysClr val="windowText" lastClr="000000"/>
                </a:solidFill>
                <a:effectLst/>
                <a:latin typeface="Meiryo UI" panose="020B0604030504040204" pitchFamily="50" charset="-128"/>
                <a:ea typeface="Meiryo UI" panose="020B0604030504040204" pitchFamily="50" charset="-128"/>
                <a:cs typeface="+mn-cs"/>
              </a:rPr>
              <a:t>RW</a:t>
            </a:r>
            <a:r>
              <a:rPr kumimoji="1" lang="ja-JP" altLang="ja-JP" sz="1200" b="1" strike="noStrike" baseline="0">
                <a:solidFill>
                  <a:sysClr val="windowText" lastClr="000000"/>
                </a:solidFill>
                <a:effectLst/>
                <a:latin typeface="Meiryo UI" panose="020B0604030504040204" pitchFamily="50" charset="-128"/>
                <a:ea typeface="Meiryo UI" panose="020B0604030504040204" pitchFamily="50" charset="-128"/>
                <a:cs typeface="+mn-cs"/>
              </a:rPr>
              <a:t>送信を行</a:t>
            </a:r>
            <a:r>
              <a:rPr kumimoji="1" lang="ja-JP" altLang="en-US" sz="1200" b="1" strike="noStrike" baseline="0">
                <a:solidFill>
                  <a:sysClr val="windowText" lastClr="000000"/>
                </a:solidFill>
                <a:effectLst/>
                <a:latin typeface="Meiryo UI" panose="020B0604030504040204" pitchFamily="50" charset="-128"/>
                <a:ea typeface="Meiryo UI" panose="020B0604030504040204" pitchFamily="50" charset="-128"/>
                <a:cs typeface="+mn-cs"/>
              </a:rPr>
              <a:t>わない。</a:t>
            </a:r>
            <a:endPar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45" name="直線コネクタ 44">
            <a:extLst>
              <a:ext uri="{FF2B5EF4-FFF2-40B4-BE49-F238E27FC236}">
                <a16:creationId xmlns:a16="http://schemas.microsoft.com/office/drawing/2014/main" id="{00000000-0008-0000-0700-00002D000000}"/>
              </a:ext>
            </a:extLst>
          </xdr:cNvPr>
          <xdr:cNvCxnSpPr>
            <a:cxnSpLocks/>
            <a:stCxn id="7" idx="3"/>
            <a:endCxn id="47" idx="2"/>
          </xdr:cNvCxnSpPr>
        </xdr:nvCxnSpPr>
        <xdr:spPr>
          <a:xfrm>
            <a:off x="37763862" y="4042099"/>
            <a:ext cx="5321043" cy="4960969"/>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47" name="線吹き出し 1 (枠付き) 82">
            <a:extLst>
              <a:ext uri="{FF2B5EF4-FFF2-40B4-BE49-F238E27FC236}">
                <a16:creationId xmlns:a16="http://schemas.microsoft.com/office/drawing/2014/main" id="{00000000-0008-0000-0700-00002F000000}"/>
              </a:ext>
            </a:extLst>
          </xdr:cNvPr>
          <xdr:cNvSpPr/>
        </xdr:nvSpPr>
        <xdr:spPr>
          <a:xfrm>
            <a:off x="43084906" y="8022097"/>
            <a:ext cx="5286540" cy="1961941"/>
          </a:xfrm>
          <a:prstGeom prst="borderCallout1">
            <a:avLst>
              <a:gd name="adj1" fmla="val -2350"/>
              <a:gd name="adj2" fmla="val 48293"/>
              <a:gd name="adj3" fmla="val -80914"/>
              <a:gd name="adj4" fmla="val 139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送信信号の有無が無しと記載されているが、</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RW_</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送信信号対応表にて記載有の為、本機能にて</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TMW2</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(1)MET-D_SFTPOS-CSTD-0-02-A-C0</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への改版により、</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TMFL_IND</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適用</a:t>
            </a:r>
            <a:endPar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条件を全て満たすため、汎用</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Md</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に変更</a:t>
            </a:r>
            <a:b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strike="no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※AT,CVT(</a:t>
            </a:r>
            <a:r>
              <a:rPr kumimoji="1" lang="ja-JP" altLang="en-US" sz="1200" b="1" strike="no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トランスミッション警告表示</a:t>
            </a:r>
            <a:r>
              <a:rPr kumimoji="1" lang="en-US" altLang="ja-JP" sz="1200" b="1" strike="no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strike="no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strike="no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MET-D_TMWRN-CSTD-A0-00-C-C0</a:t>
            </a:r>
            <a:r>
              <a:rPr kumimoji="1" lang="ja-JP" altLang="en-US" sz="1200" b="1" strike="no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仕様書にきさいされている。</a:t>
            </a:r>
            <a:endParaRPr kumimoji="1" lang="en-US" altLang="ja-JP" sz="1200" b="1" strike="noStrike"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(2)R/W</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送信タイミングは、</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48" name="正方形/長方形 47">
            <a:extLst>
              <a:ext uri="{FF2B5EF4-FFF2-40B4-BE49-F238E27FC236}">
                <a16:creationId xmlns:a16="http://schemas.microsoft.com/office/drawing/2014/main" id="{00000000-0008-0000-0700-000030000000}"/>
              </a:ext>
            </a:extLst>
          </xdr:cNvPr>
          <xdr:cNvSpPr/>
        </xdr:nvSpPr>
        <xdr:spPr>
          <a:xfrm>
            <a:off x="45607879" y="6183281"/>
            <a:ext cx="11125201" cy="2338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49" name="正方形/長方形 48">
            <a:extLst>
              <a:ext uri="{FF2B5EF4-FFF2-40B4-BE49-F238E27FC236}">
                <a16:creationId xmlns:a16="http://schemas.microsoft.com/office/drawing/2014/main" id="{00000000-0008-0000-0700-000031000000}"/>
              </a:ext>
            </a:extLst>
          </xdr:cNvPr>
          <xdr:cNvSpPr/>
        </xdr:nvSpPr>
        <xdr:spPr>
          <a:xfrm>
            <a:off x="44879590" y="3280230"/>
            <a:ext cx="11678953" cy="3428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grpSp>
    <xdr:clientData/>
  </xdr:twoCellAnchor>
  <xdr:twoCellAnchor>
    <xdr:from>
      <xdr:col>19</xdr:col>
      <xdr:colOff>432954</xdr:colOff>
      <xdr:row>6</xdr:row>
      <xdr:rowOff>173182</xdr:rowOff>
    </xdr:from>
    <xdr:to>
      <xdr:col>22</xdr:col>
      <xdr:colOff>145969</xdr:colOff>
      <xdr:row>8</xdr:row>
      <xdr:rowOff>53191</xdr:rowOff>
    </xdr:to>
    <xdr:sp macro="" textlink="">
      <xdr:nvSpPr>
        <xdr:cNvPr id="50" name="線吹き出し 1 (枠付き) 51">
          <a:extLst>
            <a:ext uri="{FF2B5EF4-FFF2-40B4-BE49-F238E27FC236}">
              <a16:creationId xmlns:a16="http://schemas.microsoft.com/office/drawing/2014/main" id="{00000000-0008-0000-0700-000032000000}"/>
            </a:ext>
          </a:extLst>
        </xdr:cNvPr>
        <xdr:cNvSpPr/>
      </xdr:nvSpPr>
      <xdr:spPr>
        <a:xfrm>
          <a:off x="21457804" y="1201882"/>
          <a:ext cx="1999015" cy="540409"/>
        </a:xfrm>
        <a:prstGeom prst="borderCallout1">
          <a:avLst>
            <a:gd name="adj1" fmla="val 48645"/>
            <a:gd name="adj2" fmla="val -635"/>
            <a:gd name="adj3" fmla="val 10017"/>
            <a:gd name="adj4" fmla="val -295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秒後、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1306820</xdr:colOff>
      <xdr:row>52</xdr:row>
      <xdr:rowOff>67235</xdr:rowOff>
    </xdr:from>
    <xdr:to>
      <xdr:col>14</xdr:col>
      <xdr:colOff>54962</xdr:colOff>
      <xdr:row>59</xdr:row>
      <xdr:rowOff>128601</xdr:rowOff>
    </xdr:to>
    <xdr:sp macro="" textlink="">
      <xdr:nvSpPr>
        <xdr:cNvPr id="51" name="線吹き出し 1 (枠付き) 51">
          <a:extLst>
            <a:ext uri="{FF2B5EF4-FFF2-40B4-BE49-F238E27FC236}">
              <a16:creationId xmlns:a16="http://schemas.microsoft.com/office/drawing/2014/main" id="{00000000-0008-0000-0700-000033000000}"/>
            </a:ext>
          </a:extLst>
        </xdr:cNvPr>
        <xdr:cNvSpPr/>
      </xdr:nvSpPr>
      <xdr:spPr>
        <a:xfrm>
          <a:off x="10012670" y="6906185"/>
          <a:ext cx="3980542" cy="1217066"/>
        </a:xfrm>
        <a:prstGeom prst="borderCallout1">
          <a:avLst>
            <a:gd name="adj1" fmla="val 48645"/>
            <a:gd name="adj2" fmla="val -635"/>
            <a:gd name="adj3" fmla="val -78589"/>
            <a:gd name="adj4" fmla="val -33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TMFL_IND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が適用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本機能の制御仕様には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TMFL_IND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の通信仕様の記載がないため、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D_TMWRN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の制御仕様の記載を参考に設計</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0</xdr:colOff>
      <xdr:row>5</xdr:row>
      <xdr:rowOff>0</xdr:rowOff>
    </xdr:from>
    <xdr:to>
      <xdr:col>12</xdr:col>
      <xdr:colOff>0</xdr:colOff>
      <xdr:row>46</xdr:row>
      <xdr:rowOff>172356</xdr:rowOff>
    </xdr:to>
    <xdr:sp macro="" textlink="">
      <xdr:nvSpPr>
        <xdr:cNvPr id="52" name="正方形/長方形 51">
          <a:extLst>
            <a:ext uri="{FF2B5EF4-FFF2-40B4-BE49-F238E27FC236}">
              <a16:creationId xmlns:a16="http://schemas.microsoft.com/office/drawing/2014/main" id="{00000000-0008-0000-0700-000034000000}"/>
            </a:ext>
          </a:extLst>
        </xdr:cNvPr>
        <xdr:cNvSpPr/>
      </xdr:nvSpPr>
      <xdr:spPr>
        <a:xfrm>
          <a:off x="6826250" y="863600"/>
          <a:ext cx="3556000" cy="51507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616860</xdr:colOff>
      <xdr:row>65</xdr:row>
      <xdr:rowOff>54421</xdr:rowOff>
    </xdr:from>
    <xdr:to>
      <xdr:col>12</xdr:col>
      <xdr:colOff>1470829</xdr:colOff>
      <xdr:row>67</xdr:row>
      <xdr:rowOff>35612</xdr:rowOff>
    </xdr:to>
    <xdr:sp macro="" textlink="">
      <xdr:nvSpPr>
        <xdr:cNvPr id="54" name="テキスト ボックス 53">
          <a:extLst>
            <a:ext uri="{FF2B5EF4-FFF2-40B4-BE49-F238E27FC236}">
              <a16:creationId xmlns:a16="http://schemas.microsoft.com/office/drawing/2014/main" id="{00000000-0008-0000-0700-000036000000}"/>
            </a:ext>
          </a:extLst>
        </xdr:cNvPr>
        <xdr:cNvSpPr txBox="1"/>
      </xdr:nvSpPr>
      <xdr:spPr>
        <a:xfrm>
          <a:off x="10141860" y="13333392"/>
          <a:ext cx="2680528" cy="317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MET-D_TMWRN-CSTD-A0-00-C-C0.xlsm</a:t>
          </a:r>
          <a:endParaRPr kumimoji="1" lang="ja-JP" altLang="en-US" sz="1100">
            <a:solidFill>
              <a:srgbClr val="FF0000"/>
            </a:solidFill>
          </a:endParaRPr>
        </a:p>
      </xdr:txBody>
    </xdr:sp>
    <xdr:clientData/>
  </xdr:twoCellAnchor>
  <xdr:twoCellAnchor>
    <xdr:from>
      <xdr:col>11</xdr:col>
      <xdr:colOff>680357</xdr:colOff>
      <xdr:row>65</xdr:row>
      <xdr:rowOff>54429</xdr:rowOff>
    </xdr:from>
    <xdr:to>
      <xdr:col>22</xdr:col>
      <xdr:colOff>734786</xdr:colOff>
      <xdr:row>77</xdr:row>
      <xdr:rowOff>9072</xdr:rowOff>
    </xdr:to>
    <xdr:sp macro="" textlink="">
      <xdr:nvSpPr>
        <xdr:cNvPr id="56" name="正方形/長方形 55">
          <a:extLst>
            <a:ext uri="{FF2B5EF4-FFF2-40B4-BE49-F238E27FC236}">
              <a16:creationId xmlns:a16="http://schemas.microsoft.com/office/drawing/2014/main" id="{00000000-0008-0000-0700-000038000000}"/>
            </a:ext>
          </a:extLst>
        </xdr:cNvPr>
        <xdr:cNvSpPr/>
      </xdr:nvSpPr>
      <xdr:spPr>
        <a:xfrm>
          <a:off x="9386207" y="9039679"/>
          <a:ext cx="14659429" cy="19358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844176</xdr:colOff>
      <xdr:row>59</xdr:row>
      <xdr:rowOff>128601</xdr:rowOff>
    </xdr:from>
    <xdr:to>
      <xdr:col>12</xdr:col>
      <xdr:colOff>1622185</xdr:colOff>
      <xdr:row>65</xdr:row>
      <xdr:rowOff>97118</xdr:rowOff>
    </xdr:to>
    <xdr:cxnSp macro="">
      <xdr:nvCxnSpPr>
        <xdr:cNvPr id="57" name="直線コネクタ 56">
          <a:extLst>
            <a:ext uri="{FF2B5EF4-FFF2-40B4-BE49-F238E27FC236}">
              <a16:creationId xmlns:a16="http://schemas.microsoft.com/office/drawing/2014/main" id="{00000000-0008-0000-0700-000039000000}"/>
            </a:ext>
          </a:extLst>
        </xdr:cNvPr>
        <xdr:cNvCxnSpPr>
          <a:endCxn id="51" idx="1"/>
        </xdr:cNvCxnSpPr>
      </xdr:nvCxnSpPr>
      <xdr:spPr>
        <a:xfrm flipV="1">
          <a:off x="11226426" y="8123251"/>
          <a:ext cx="778009" cy="959117"/>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11</xdr:col>
      <xdr:colOff>874058</xdr:colOff>
      <xdr:row>67</xdr:row>
      <xdr:rowOff>78442</xdr:rowOff>
    </xdr:from>
    <xdr:to>
      <xdr:col>22</xdr:col>
      <xdr:colOff>609354</xdr:colOff>
      <xdr:row>76</xdr:row>
      <xdr:rowOff>100853</xdr:rowOff>
    </xdr:to>
    <xdr:pic>
      <xdr:nvPicPr>
        <xdr:cNvPr id="61" name="図 60">
          <a:extLst>
            <a:ext uri="{FF2B5EF4-FFF2-40B4-BE49-F238E27FC236}">
              <a16:creationId xmlns:a16="http://schemas.microsoft.com/office/drawing/2014/main" id="{00000000-0008-0000-0700-00003D000000}"/>
            </a:ext>
          </a:extLst>
        </xdr:cNvPr>
        <xdr:cNvPicPr>
          <a:picLocks noChangeAspect="1"/>
        </xdr:cNvPicPr>
      </xdr:nvPicPr>
      <xdr:blipFill>
        <a:blip xmlns:r="http://schemas.openxmlformats.org/officeDocument/2006/relationships" r:embed="rId14"/>
        <a:stretch>
          <a:fillRect/>
        </a:stretch>
      </xdr:blipFill>
      <xdr:spPr>
        <a:xfrm>
          <a:off x="10399058" y="13693589"/>
          <a:ext cx="15670061" cy="153520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s>
    <sheetDataSet>
      <sheetData sheetId="0" refreshError="1"/>
      <sheetData sheetId="1" refreshError="1"/>
      <sheetData sheetId="2" refreshError="1"/>
      <sheetData sheetId="3"/>
      <sheetData sheetId="4"/>
      <sheetData sheetId="5"/>
      <sheetData sheetId="6">
        <row r="1">
          <cell r="B1" t="str">
            <v>1</v>
          </cell>
        </row>
      </sheetData>
      <sheetData sheetId="7"/>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sheetData sheetId="19"/>
      <sheetData sheetId="20"/>
      <sheetData sheetId="21"/>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ow r="1">
          <cell r="B1" t="str">
            <v>1</v>
          </cell>
        </row>
      </sheetData>
      <sheetData sheetId="33">
        <row r="1">
          <cell r="B1" t="str">
            <v>1</v>
          </cell>
        </row>
      </sheetData>
      <sheetData sheetId="34"/>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sheetData sheetId="63"/>
      <sheetData sheetId="64"/>
      <sheetData sheetId="65" refreshError="1"/>
      <sheetData sheetId="66" refreshError="1"/>
      <sheetData sheetId="67" refreshError="1"/>
      <sheetData sheetId="68" refreshError="1"/>
      <sheetData sheetId="69">
        <row r="1">
          <cell r="B1" t="str">
            <v>1</v>
          </cell>
        </row>
      </sheetData>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sheetData sheetId="367"/>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3">
          <cell r="B3" t="str">
            <v>TOYOTA   TSUSHO  PHILIPPINES CORPORATION</v>
          </cell>
        </row>
      </sheetData>
      <sheetData sheetId="482">
        <row r="3">
          <cell r="B3" t="str">
            <v>TOYOTA   TSUSHO  PHILIPPINES CORPORATION</v>
          </cell>
        </row>
      </sheetData>
      <sheetData sheetId="483">
        <row r="3">
          <cell r="B3" t="str">
            <v>TOYOTA   TSUSHO  PHILIPPINES CORPORATION</v>
          </cell>
        </row>
      </sheetData>
      <sheetData sheetId="484">
        <row r="3">
          <cell r="B3" t="str">
            <v>TOYOTA   TSUSHO  PHILIPPINES CORPORATION</v>
          </cell>
        </row>
      </sheetData>
      <sheetData sheetId="485">
        <row r="3">
          <cell r="B3" t="str">
            <v>TOYOTA   TSUSHO  PHILIPPINES CORPORATION</v>
          </cell>
        </row>
      </sheetData>
      <sheetData sheetId="486">
        <row r="3">
          <cell r="B3" t="str">
            <v>TOYOTA   TSUSHO  PHILIPPINES CORPORATION</v>
          </cell>
        </row>
      </sheetData>
      <sheetData sheetId="487">
        <row r="3">
          <cell r="B3" t="str">
            <v>TOYOTA   TSUSHO  PHILIPPINES CORPORATION</v>
          </cell>
        </row>
      </sheetData>
      <sheetData sheetId="488">
        <row r="3">
          <cell r="B3" t="str">
            <v>TOYOTA   TSUSHO  PHILIPPINES CORPORATION</v>
          </cell>
        </row>
      </sheetData>
      <sheetData sheetId="489">
        <row r="3">
          <cell r="B3" t="str">
            <v>TOYOTA   TSUSHO  PHILIPPINES CORPORATION</v>
          </cell>
        </row>
      </sheetData>
      <sheetData sheetId="490">
        <row r="3">
          <cell r="B3" t="str">
            <v>TOYOTA   TSUSHO  PHILIPPINES CORPORATION</v>
          </cell>
        </row>
      </sheetData>
      <sheetData sheetId="491">
        <row r="3">
          <cell r="B3" t="str">
            <v>TOYOTA   TSUSHO  PHILIPPINES CORPORATION</v>
          </cell>
        </row>
      </sheetData>
      <sheetData sheetId="492">
        <row r="3">
          <cell r="B3" t="str">
            <v>TOYOTA   TSUSHO  PHILIPPINES CORPORATION</v>
          </cell>
        </row>
      </sheetData>
      <sheetData sheetId="493">
        <row r="3">
          <cell r="B3" t="str">
            <v>TOYOTA   TSUSHO  PHILIPPINES CORPORATION</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3">
          <cell r="B3" t="str">
            <v>TOYOTA   TSUSHO  PHILIPPINES CORPORATION</v>
          </cell>
        </row>
      </sheetData>
      <sheetData sheetId="516">
        <row r="3">
          <cell r="B3" t="str">
            <v>TOYOTA   TSUSHO  PHILIPPINES CORPORATION</v>
          </cell>
        </row>
      </sheetData>
      <sheetData sheetId="517">
        <row r="3">
          <cell r="B3" t="str">
            <v>TOYOTA   TSUSHO  PHILIPPINES CORPORATION</v>
          </cell>
        </row>
      </sheetData>
      <sheetData sheetId="518">
        <row r="3">
          <cell r="B3" t="str">
            <v>TOYOTA   TSUSHO  PHILIPPINES CORPORATION</v>
          </cell>
        </row>
      </sheetData>
      <sheetData sheetId="519">
        <row r="3">
          <cell r="B3" t="str">
            <v>TOYOTA   TSUSHO  PHILIPPINES CORPORATION</v>
          </cell>
        </row>
      </sheetData>
      <sheetData sheetId="520">
        <row r="3">
          <cell r="B3" t="str">
            <v>TOYOTA   TSUSHO  PHILIPPINES CORPORATION</v>
          </cell>
        </row>
      </sheetData>
      <sheetData sheetId="521">
        <row r="3">
          <cell r="B3" t="str">
            <v>TOYOTA   TSUSHO  PHILIPPINES CORPORATION</v>
          </cell>
        </row>
      </sheetData>
      <sheetData sheetId="522">
        <row r="3">
          <cell r="B3" t="str">
            <v>TOYOTA   TSUSHO  PHILIPPINES CORPORATION</v>
          </cell>
        </row>
      </sheetData>
      <sheetData sheetId="523">
        <row r="3">
          <cell r="B3" t="str">
            <v>TOYOTA   TSUSHO  PHILIPPINES CORPORATION</v>
          </cell>
        </row>
      </sheetData>
      <sheetData sheetId="524">
        <row r="3">
          <cell r="B3" t="str">
            <v>TOYOTA   TSUSHO  PHILIPPINES CORPORATION</v>
          </cell>
        </row>
      </sheetData>
      <sheetData sheetId="525">
        <row r="3">
          <cell r="B3" t="str">
            <v>TOYOTA   TSUSHO  PHILIPPINES CORPORATION</v>
          </cell>
        </row>
      </sheetData>
      <sheetData sheetId="526">
        <row r="3">
          <cell r="B3" t="str">
            <v>TOYOTA   TSUSHO  PHILIPPINES CORPORATION</v>
          </cell>
        </row>
      </sheetData>
      <sheetData sheetId="527">
        <row r="3">
          <cell r="B3" t="str">
            <v>TOYOTA   TSUSHO  PHILIPPINES CORPORATION</v>
          </cell>
        </row>
      </sheetData>
      <sheetData sheetId="528">
        <row r="3">
          <cell r="B3" t="str">
            <v>TOYOTA   TSUSHO  PHILIPPINES CORPORATION</v>
          </cell>
        </row>
      </sheetData>
      <sheetData sheetId="529">
        <row r="3">
          <cell r="B3" t="str">
            <v>TOYOTA   TSUSHO  PHILIPPINES CORPORATION</v>
          </cell>
        </row>
      </sheetData>
      <sheetData sheetId="530">
        <row r="3">
          <cell r="B3" t="str">
            <v>TOYOTA   TSUSHO  PHILIPPINES CORPORATION</v>
          </cell>
        </row>
      </sheetData>
      <sheetData sheetId="531">
        <row r="3">
          <cell r="B3" t="str">
            <v>TOYOTA   TSUSHO  PHILIPPINES CORPORATION</v>
          </cell>
        </row>
      </sheetData>
      <sheetData sheetId="532">
        <row r="3">
          <cell r="B3" t="str">
            <v>TOYOTA   TSUSHO  PHILIPPINES CORPORATION</v>
          </cell>
        </row>
      </sheetData>
      <sheetData sheetId="533">
        <row r="3">
          <cell r="B3" t="str">
            <v>TOYOTA   TSUSHO  PHILIPPINES CORPORATION</v>
          </cell>
        </row>
      </sheetData>
      <sheetData sheetId="534">
        <row r="3">
          <cell r="B3" t="str">
            <v>TOYOTA   TSUSHO  PHILIPPINES CORPORATION</v>
          </cell>
        </row>
      </sheetData>
      <sheetData sheetId="535">
        <row r="3">
          <cell r="B3" t="str">
            <v>TOYOTA   TSUSHO  PHILIPPINES CORPORATION</v>
          </cell>
        </row>
      </sheetData>
      <sheetData sheetId="536">
        <row r="3">
          <cell r="B3" t="str">
            <v>TOYOTA   TSUSHO  PHILIPPINES CORPORATION</v>
          </cell>
        </row>
      </sheetData>
      <sheetData sheetId="537">
        <row r="3">
          <cell r="B3" t="str">
            <v>TOYOTA   TSUSHO  PHILIPPINES CORPORATION</v>
          </cell>
        </row>
      </sheetData>
      <sheetData sheetId="538">
        <row r="3">
          <cell r="B3" t="str">
            <v>TOYOTA   TSUSHO  PHILIPPINES CORPORATION</v>
          </cell>
        </row>
      </sheetData>
      <sheetData sheetId="539">
        <row r="3">
          <cell r="B3" t="str">
            <v>TOYOTA   TSUSHO  PHILIPPINES CORPORATION</v>
          </cell>
        </row>
      </sheetData>
      <sheetData sheetId="540">
        <row r="3">
          <cell r="B3" t="str">
            <v>TOYOTA   TSUSHO  PHILIPPINES CORPORATION</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sheetData sheetId="679">
        <row r="1">
          <cell r="B1" t="str">
            <v>1</v>
          </cell>
        </row>
      </sheetData>
      <sheetData sheetId="680"/>
      <sheetData sheetId="681">
        <row r="1">
          <cell r="B1" t="str">
            <v>1</v>
          </cell>
        </row>
      </sheetData>
      <sheetData sheetId="682"/>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sheetData sheetId="692"/>
      <sheetData sheetId="693"/>
      <sheetData sheetId="694"/>
      <sheetData sheetId="695"/>
      <sheetData sheetId="696"/>
      <sheetData sheetId="697"/>
      <sheetData sheetId="698"/>
      <sheetData sheetId="699">
        <row r="1">
          <cell r="B1" t="str">
            <v>1</v>
          </cell>
        </row>
      </sheetData>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row r="1">
          <cell r="B1" t="str">
            <v>1</v>
          </cell>
        </row>
      </sheetData>
      <sheetData sheetId="714">
        <row r="1">
          <cell r="B1" t="str">
            <v>1</v>
          </cell>
        </row>
      </sheetData>
      <sheetData sheetId="715"/>
      <sheetData sheetId="716"/>
      <sheetData sheetId="717">
        <row r="1">
          <cell r="B1" t="str">
            <v>1</v>
          </cell>
        </row>
      </sheetData>
      <sheetData sheetId="718"/>
      <sheetData sheetId="719"/>
      <sheetData sheetId="720"/>
      <sheetData sheetId="721"/>
      <sheetData sheetId="722">
        <row r="1">
          <cell r="B1" t="str">
            <v>1</v>
          </cell>
        </row>
      </sheetData>
      <sheetData sheetId="723">
        <row r="1">
          <cell r="B1" t="str">
            <v>1</v>
          </cell>
        </row>
      </sheetData>
      <sheetData sheetId="724"/>
      <sheetData sheetId="725"/>
      <sheetData sheetId="726">
        <row r="1">
          <cell r="B1" t="str">
            <v>1</v>
          </cell>
        </row>
      </sheetData>
      <sheetData sheetId="727"/>
      <sheetData sheetId="728"/>
      <sheetData sheetId="729"/>
      <sheetData sheetId="730"/>
      <sheetData sheetId="731"/>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sheetData sheetId="737"/>
      <sheetData sheetId="738"/>
      <sheetData sheetId="739"/>
      <sheetData sheetId="740"/>
      <sheetData sheetId="741"/>
      <sheetData sheetId="742"/>
      <sheetData sheetId="743"/>
      <sheetData sheetId="744">
        <row r="1">
          <cell r="B1" t="str">
            <v>1</v>
          </cell>
        </row>
      </sheetData>
      <sheetData sheetId="745"/>
      <sheetData sheetId="746"/>
      <sheetData sheetId="747"/>
      <sheetData sheetId="748"/>
      <sheetData sheetId="749">
        <row r="1">
          <cell r="B1" t="str">
            <v>1</v>
          </cell>
        </row>
      </sheetData>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row r="1">
          <cell r="B1" t="str">
            <v>1</v>
          </cell>
        </row>
      </sheetData>
      <sheetData sheetId="777"/>
      <sheetData sheetId="778"/>
      <sheetData sheetId="779"/>
      <sheetData sheetId="780"/>
      <sheetData sheetId="781"/>
      <sheetData sheetId="782">
        <row r="1">
          <cell r="B1" t="str">
            <v>1</v>
          </cell>
        </row>
      </sheetData>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sheetData sheetId="849"/>
      <sheetData sheetId="850"/>
      <sheetData sheetId="851"/>
      <sheetData sheetId="852"/>
      <sheetData sheetId="853">
        <row r="1">
          <cell r="B1" t="str">
            <v>1</v>
          </cell>
        </row>
      </sheetData>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row r="1">
          <cell r="B1" t="str">
            <v>1</v>
          </cell>
        </row>
      </sheetData>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row r="3">
          <cell r="B3" t="str">
            <v>TOYOTA   TSUSHO  PHILIPPINES CORPORATION</v>
          </cell>
        </row>
      </sheetData>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ドメインリスト"/>
      <sheetName val="XSSマイコン依存部 (基本設定)"/>
      <sheetName val="車両仕様"/>
      <sheetName val="Sheet1"/>
      <sheetName val="階層一覧"/>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 val="ListWork"/>
      <sheetName val="XSSマイコン依存部 (基本設定)"/>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 val="リスト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871DF-B9C7-4C19-B467-4F171FB16F17}">
  <dimension ref="A1:AN42"/>
  <sheetViews>
    <sheetView tabSelected="1" view="pageBreakPreview" topLeftCell="A10" zoomScaleNormal="100" zoomScaleSheetLayoutView="100" workbookViewId="0">
      <selection activeCell="V30" sqref="V30"/>
    </sheetView>
  </sheetViews>
  <sheetFormatPr defaultColWidth="9" defaultRowHeight="15.75"/>
  <cols>
    <col min="1" max="40" width="2.25" style="209" customWidth="1"/>
    <col min="41" max="16384" width="9" style="209"/>
  </cols>
  <sheetData>
    <row r="1" spans="1:40" ht="13.5" customHeight="1">
      <c r="A1" s="206"/>
      <c r="B1" s="207"/>
      <c r="C1" s="207"/>
      <c r="D1" s="207"/>
      <c r="E1" s="207"/>
      <c r="F1" s="207"/>
      <c r="G1" s="207"/>
      <c r="H1" s="207"/>
      <c r="I1" s="207"/>
      <c r="J1" s="207"/>
      <c r="K1" s="207"/>
      <c r="L1" s="207"/>
      <c r="M1" s="207"/>
      <c r="N1" s="207"/>
      <c r="O1" s="207"/>
      <c r="P1" s="207"/>
      <c r="Q1" s="207"/>
      <c r="R1" s="207"/>
      <c r="S1" s="207"/>
      <c r="T1" s="207"/>
      <c r="U1" s="207"/>
      <c r="V1" s="207"/>
      <c r="W1" s="207"/>
      <c r="X1" s="207"/>
      <c r="Y1" s="207"/>
      <c r="Z1" s="207"/>
      <c r="AA1" s="207"/>
      <c r="AB1" s="207"/>
      <c r="AC1" s="207"/>
      <c r="AD1" s="207"/>
      <c r="AE1" s="207"/>
      <c r="AF1" s="207"/>
      <c r="AG1" s="207"/>
      <c r="AH1" s="207"/>
      <c r="AI1" s="207"/>
      <c r="AJ1" s="207"/>
      <c r="AK1" s="207"/>
      <c r="AL1" s="207"/>
      <c r="AM1" s="207"/>
      <c r="AN1" s="208"/>
    </row>
    <row r="2" spans="1:40" ht="13.5" customHeight="1">
      <c r="A2" s="210"/>
      <c r="B2" s="211"/>
      <c r="C2" s="211"/>
      <c r="D2" s="211"/>
      <c r="E2" s="211"/>
      <c r="F2" s="211"/>
      <c r="G2" s="211"/>
      <c r="H2" s="211"/>
      <c r="I2" s="211"/>
      <c r="J2" s="211"/>
      <c r="K2" s="211"/>
      <c r="L2" s="211"/>
      <c r="M2" s="211"/>
      <c r="N2" s="211"/>
      <c r="O2" s="211"/>
      <c r="P2" s="211"/>
      <c r="Q2" s="211"/>
      <c r="R2" s="211"/>
      <c r="S2" s="211"/>
      <c r="T2" s="211"/>
      <c r="U2" s="211"/>
      <c r="V2" s="211"/>
      <c r="W2" s="211"/>
      <c r="X2" s="211"/>
      <c r="Y2" s="211"/>
      <c r="Z2" s="211"/>
      <c r="AA2" s="211"/>
      <c r="AB2" s="211"/>
      <c r="AC2" s="211"/>
      <c r="AD2" s="211"/>
      <c r="AE2" s="211"/>
      <c r="AF2" s="211"/>
      <c r="AG2" s="211"/>
      <c r="AH2" s="211"/>
      <c r="AI2" s="211"/>
      <c r="AJ2" s="211"/>
      <c r="AK2" s="211"/>
      <c r="AL2" s="211"/>
      <c r="AM2" s="211"/>
      <c r="AN2" s="212"/>
    </row>
    <row r="3" spans="1:40" ht="13.5" customHeight="1">
      <c r="A3" s="210"/>
      <c r="B3" s="211"/>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2"/>
    </row>
    <row r="4" spans="1:40" ht="13.5" customHeight="1">
      <c r="A4" s="210"/>
      <c r="B4" s="211"/>
      <c r="C4" s="211"/>
      <c r="D4" s="211"/>
      <c r="E4" s="211"/>
      <c r="F4" s="211"/>
      <c r="G4" s="211"/>
      <c r="H4" s="211"/>
      <c r="I4" s="211"/>
      <c r="J4" s="211"/>
      <c r="K4" s="211"/>
      <c r="L4" s="211"/>
      <c r="M4" s="211"/>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2"/>
    </row>
    <row r="5" spans="1:40" ht="13.5" customHeight="1">
      <c r="A5" s="210"/>
      <c r="B5" s="211"/>
      <c r="C5" s="211"/>
      <c r="D5" s="211"/>
      <c r="E5" s="211"/>
      <c r="F5" s="211"/>
      <c r="G5" s="211"/>
      <c r="H5" s="211"/>
      <c r="I5" s="211"/>
      <c r="J5" s="211"/>
      <c r="K5" s="211"/>
      <c r="L5" s="211"/>
      <c r="M5" s="211"/>
      <c r="N5" s="211"/>
      <c r="O5" s="211"/>
      <c r="P5" s="211"/>
      <c r="Q5" s="211"/>
      <c r="R5" s="211"/>
      <c r="S5" s="211"/>
      <c r="T5" s="211"/>
      <c r="U5" s="211"/>
      <c r="V5" s="211"/>
      <c r="W5" s="211"/>
      <c r="X5" s="211"/>
      <c r="Y5" s="211"/>
      <c r="Z5" s="211"/>
      <c r="AA5" s="211"/>
      <c r="AB5" s="211"/>
      <c r="AC5" s="211"/>
      <c r="AD5" s="211"/>
      <c r="AE5" s="211"/>
      <c r="AF5" s="211"/>
      <c r="AG5" s="211"/>
      <c r="AH5" s="211"/>
      <c r="AI5" s="211"/>
      <c r="AJ5" s="211"/>
      <c r="AK5" s="211"/>
      <c r="AL5" s="211"/>
      <c r="AM5" s="211"/>
      <c r="AN5" s="212"/>
    </row>
    <row r="6" spans="1:40" ht="13.5" customHeight="1">
      <c r="A6" s="210"/>
      <c r="B6" s="211"/>
      <c r="C6" s="211"/>
      <c r="D6" s="211"/>
      <c r="E6" s="211"/>
      <c r="F6" s="211"/>
      <c r="G6" s="211"/>
      <c r="H6" s="211"/>
      <c r="I6" s="211"/>
      <c r="J6" s="211"/>
      <c r="K6" s="211"/>
      <c r="L6" s="211"/>
      <c r="M6" s="211"/>
      <c r="N6" s="211"/>
      <c r="O6" s="211"/>
      <c r="P6" s="211"/>
      <c r="Q6" s="211"/>
      <c r="R6" s="211"/>
      <c r="S6" s="211"/>
      <c r="T6" s="211"/>
      <c r="U6" s="211"/>
      <c r="V6" s="211"/>
      <c r="W6" s="211"/>
      <c r="X6" s="211"/>
      <c r="Y6" s="211"/>
      <c r="Z6" s="211"/>
      <c r="AA6" s="211"/>
      <c r="AB6" s="211"/>
      <c r="AC6" s="211"/>
      <c r="AD6" s="211"/>
      <c r="AE6" s="211"/>
      <c r="AF6" s="211"/>
      <c r="AG6" s="211"/>
      <c r="AH6" s="211"/>
      <c r="AI6" s="211"/>
      <c r="AJ6" s="211"/>
      <c r="AK6" s="211"/>
      <c r="AL6" s="211"/>
      <c r="AM6" s="211"/>
      <c r="AN6" s="212"/>
    </row>
    <row r="7" spans="1:40" ht="13.5" customHeight="1">
      <c r="A7" s="210"/>
      <c r="B7" s="211"/>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2"/>
    </row>
    <row r="8" spans="1:40" ht="13.5" customHeight="1">
      <c r="A8" s="210"/>
      <c r="B8" s="211"/>
      <c r="C8" s="211"/>
      <c r="D8" s="211"/>
      <c r="E8" s="211"/>
      <c r="F8" s="211"/>
      <c r="G8" s="211"/>
      <c r="H8" s="211"/>
      <c r="I8" s="211"/>
      <c r="J8" s="211"/>
      <c r="K8" s="211"/>
      <c r="L8" s="211"/>
      <c r="M8" s="211"/>
      <c r="N8" s="211"/>
      <c r="O8" s="211"/>
      <c r="P8" s="211"/>
      <c r="Q8" s="211"/>
      <c r="R8" s="211"/>
      <c r="S8" s="211"/>
      <c r="T8" s="211"/>
      <c r="U8" s="211"/>
      <c r="V8" s="211"/>
      <c r="W8" s="211"/>
      <c r="X8" s="211"/>
      <c r="Y8" s="211"/>
      <c r="Z8" s="211"/>
      <c r="AA8" s="211"/>
      <c r="AB8" s="211"/>
      <c r="AC8" s="211"/>
      <c r="AD8" s="211"/>
      <c r="AE8" s="211"/>
      <c r="AF8" s="211"/>
      <c r="AG8" s="211"/>
      <c r="AH8" s="211"/>
      <c r="AI8" s="211"/>
      <c r="AJ8" s="211"/>
      <c r="AK8" s="211"/>
      <c r="AL8" s="211"/>
      <c r="AM8" s="211"/>
      <c r="AN8" s="212"/>
    </row>
    <row r="9" spans="1:40" ht="28.5" customHeight="1">
      <c r="A9" s="254" t="str">
        <f ca="1">MID(CELL("filename",A1), FIND("[",CELL("filename",A1))+1, FIND("]",CELL("filename",A1))-FIND("[",CELL("filename",A1))-6)</f>
        <v>alert_D_ATMAL-CSTD-0-00-A-C0</v>
      </c>
      <c r="B9" s="255"/>
      <c r="C9" s="255"/>
      <c r="D9" s="255"/>
      <c r="E9" s="255"/>
      <c r="F9" s="255"/>
      <c r="G9" s="255"/>
      <c r="H9" s="255"/>
      <c r="I9" s="255"/>
      <c r="J9" s="255"/>
      <c r="K9" s="255"/>
      <c r="L9" s="255"/>
      <c r="M9" s="255"/>
      <c r="N9" s="255"/>
      <c r="O9" s="255"/>
      <c r="P9" s="255"/>
      <c r="Q9" s="255"/>
      <c r="R9" s="255"/>
      <c r="S9" s="255"/>
      <c r="T9" s="255"/>
      <c r="U9" s="255"/>
      <c r="V9" s="255"/>
      <c r="W9" s="255"/>
      <c r="X9" s="255"/>
      <c r="Y9" s="255"/>
      <c r="Z9" s="255"/>
      <c r="AA9" s="255"/>
      <c r="AB9" s="255"/>
      <c r="AC9" s="255"/>
      <c r="AD9" s="255"/>
      <c r="AE9" s="255"/>
      <c r="AF9" s="255"/>
      <c r="AG9" s="255"/>
      <c r="AH9" s="255"/>
      <c r="AI9" s="255"/>
      <c r="AJ9" s="255"/>
      <c r="AK9" s="255"/>
      <c r="AL9" s="255"/>
      <c r="AM9" s="255"/>
      <c r="AN9" s="256"/>
    </row>
    <row r="10" spans="1:40" ht="28.5" customHeight="1">
      <c r="A10" s="257"/>
      <c r="B10" s="258"/>
      <c r="C10" s="258"/>
      <c r="D10" s="258"/>
      <c r="E10" s="258"/>
      <c r="F10" s="258"/>
      <c r="G10" s="258"/>
      <c r="H10" s="258"/>
      <c r="I10" s="258"/>
      <c r="J10" s="258"/>
      <c r="K10" s="258"/>
      <c r="L10" s="258"/>
      <c r="M10" s="258"/>
      <c r="N10" s="258"/>
      <c r="O10" s="258"/>
      <c r="P10" s="258"/>
      <c r="Q10" s="258"/>
      <c r="R10" s="258"/>
      <c r="S10" s="258"/>
      <c r="T10" s="258"/>
      <c r="U10" s="258"/>
      <c r="V10" s="258"/>
      <c r="W10" s="258"/>
      <c r="X10" s="258"/>
      <c r="Y10" s="258"/>
      <c r="Z10" s="258"/>
      <c r="AA10" s="258"/>
      <c r="AB10" s="258"/>
      <c r="AC10" s="258"/>
      <c r="AD10" s="258"/>
      <c r="AE10" s="258"/>
      <c r="AF10" s="258"/>
      <c r="AG10" s="258"/>
      <c r="AH10" s="258"/>
      <c r="AI10" s="258"/>
      <c r="AJ10" s="258"/>
      <c r="AK10" s="258"/>
      <c r="AL10" s="258"/>
      <c r="AM10" s="258"/>
      <c r="AN10" s="259"/>
    </row>
    <row r="11" spans="1:40" ht="13.5" customHeight="1">
      <c r="A11" s="210"/>
      <c r="B11" s="211"/>
      <c r="C11" s="211"/>
      <c r="D11" s="211"/>
      <c r="E11" s="211"/>
      <c r="F11" s="211"/>
      <c r="G11" s="211"/>
      <c r="H11" s="211"/>
      <c r="I11" s="211"/>
      <c r="J11" s="211"/>
      <c r="K11" s="211"/>
      <c r="L11" s="211"/>
      <c r="M11" s="211"/>
      <c r="N11" s="211"/>
      <c r="O11" s="211"/>
      <c r="P11" s="211"/>
      <c r="Q11" s="211"/>
      <c r="R11" s="211"/>
      <c r="S11" s="211"/>
      <c r="T11" s="211"/>
      <c r="U11" s="211"/>
      <c r="V11" s="211"/>
      <c r="W11" s="211"/>
      <c r="X11" s="211"/>
      <c r="Y11" s="211"/>
      <c r="Z11" s="211"/>
      <c r="AA11" s="211"/>
      <c r="AB11" s="211"/>
      <c r="AC11" s="211"/>
      <c r="AD11" s="211"/>
      <c r="AE11" s="211"/>
      <c r="AF11" s="211"/>
      <c r="AG11" s="211"/>
      <c r="AH11" s="211"/>
      <c r="AI11" s="211"/>
      <c r="AJ11" s="211"/>
      <c r="AK11" s="211"/>
      <c r="AL11" s="211"/>
      <c r="AM11" s="211"/>
      <c r="AN11" s="212"/>
    </row>
    <row r="12" spans="1:40" ht="13.5" customHeight="1">
      <c r="A12" s="210"/>
      <c r="B12" s="211"/>
      <c r="C12" s="211"/>
      <c r="D12" s="211"/>
      <c r="E12" s="211"/>
      <c r="F12" s="211"/>
      <c r="G12" s="211"/>
      <c r="H12" s="211"/>
      <c r="I12" s="211"/>
      <c r="J12" s="211"/>
      <c r="K12" s="211"/>
      <c r="L12" s="211"/>
      <c r="M12" s="211"/>
      <c r="N12" s="211"/>
      <c r="O12" s="211"/>
      <c r="P12" s="211"/>
      <c r="Q12" s="211"/>
      <c r="R12" s="211"/>
      <c r="S12" s="211"/>
      <c r="T12" s="211"/>
      <c r="U12" s="211"/>
      <c r="V12" s="211"/>
      <c r="W12" s="211"/>
      <c r="X12" s="211"/>
      <c r="Y12" s="211"/>
      <c r="Z12" s="211"/>
      <c r="AA12" s="211"/>
      <c r="AB12" s="211"/>
      <c r="AC12" s="211"/>
      <c r="AD12" s="211"/>
      <c r="AE12" s="211"/>
      <c r="AF12" s="211"/>
      <c r="AG12" s="211"/>
      <c r="AH12" s="211"/>
      <c r="AI12" s="211"/>
      <c r="AJ12" s="211"/>
      <c r="AK12" s="211"/>
      <c r="AL12" s="211"/>
      <c r="AM12" s="211"/>
      <c r="AN12" s="212"/>
    </row>
    <row r="13" spans="1:40" ht="13.5" customHeight="1">
      <c r="A13" s="210"/>
      <c r="B13" s="211"/>
      <c r="C13" s="211"/>
      <c r="D13" s="211"/>
      <c r="E13" s="211"/>
      <c r="F13" s="211"/>
      <c r="G13" s="211"/>
      <c r="H13" s="211"/>
      <c r="I13" s="211"/>
      <c r="J13" s="211"/>
      <c r="K13" s="211"/>
      <c r="L13" s="211"/>
      <c r="M13" s="211"/>
      <c r="N13" s="211"/>
      <c r="O13" s="211"/>
      <c r="P13" s="211"/>
      <c r="Q13" s="211"/>
      <c r="R13" s="211"/>
      <c r="S13" s="211"/>
      <c r="T13" s="211"/>
      <c r="U13" s="211"/>
      <c r="V13" s="211"/>
      <c r="W13" s="211"/>
      <c r="X13" s="211"/>
      <c r="Y13" s="211"/>
      <c r="Z13" s="211"/>
      <c r="AA13" s="211"/>
      <c r="AB13" s="211"/>
      <c r="AC13" s="211"/>
      <c r="AD13" s="211"/>
      <c r="AE13" s="211"/>
      <c r="AF13" s="211"/>
      <c r="AG13" s="211"/>
      <c r="AH13" s="211"/>
      <c r="AI13" s="211"/>
      <c r="AJ13" s="211"/>
      <c r="AK13" s="211"/>
      <c r="AL13" s="211"/>
      <c r="AM13" s="211"/>
      <c r="AN13" s="212"/>
    </row>
    <row r="14" spans="1:40" ht="13.5" customHeight="1">
      <c r="A14" s="210"/>
      <c r="B14" s="211"/>
      <c r="C14" s="211"/>
      <c r="D14" s="211"/>
      <c r="E14" s="211"/>
      <c r="F14" s="211"/>
      <c r="G14" s="211"/>
      <c r="H14" s="211"/>
      <c r="I14" s="211"/>
      <c r="J14" s="211"/>
      <c r="K14" s="211"/>
      <c r="L14" s="211"/>
      <c r="M14" s="211"/>
      <c r="N14" s="211"/>
      <c r="O14" s="211"/>
      <c r="P14" s="211"/>
      <c r="Q14" s="211"/>
      <c r="R14" s="211"/>
      <c r="S14" s="211"/>
      <c r="T14" s="211"/>
      <c r="U14" s="211"/>
      <c r="V14" s="211"/>
      <c r="W14" s="211"/>
      <c r="X14" s="211"/>
      <c r="Y14" s="211"/>
      <c r="Z14" s="211"/>
      <c r="AA14" s="211"/>
      <c r="AB14" s="211"/>
      <c r="AC14" s="211"/>
      <c r="AD14" s="211"/>
      <c r="AE14" s="211"/>
      <c r="AF14" s="211"/>
      <c r="AG14" s="211"/>
      <c r="AH14" s="211"/>
      <c r="AI14" s="211"/>
      <c r="AJ14" s="211"/>
      <c r="AK14" s="211"/>
      <c r="AL14" s="211"/>
      <c r="AM14" s="211"/>
      <c r="AN14" s="212"/>
    </row>
    <row r="15" spans="1:40" ht="13.5" customHeight="1">
      <c r="A15" s="210"/>
      <c r="B15" s="211"/>
      <c r="C15" s="211"/>
      <c r="D15" s="211"/>
      <c r="E15" s="211"/>
      <c r="F15" s="211"/>
      <c r="G15" s="211"/>
      <c r="H15" s="211"/>
      <c r="I15" s="211"/>
      <c r="J15" s="211"/>
      <c r="K15" s="211"/>
      <c r="L15" s="211"/>
      <c r="M15" s="211"/>
      <c r="N15" s="211"/>
      <c r="O15" s="211"/>
      <c r="P15" s="211"/>
      <c r="Q15" s="211"/>
      <c r="R15" s="211"/>
      <c r="S15" s="211"/>
      <c r="T15" s="211"/>
      <c r="U15" s="211"/>
      <c r="V15" s="211"/>
      <c r="W15" s="211"/>
      <c r="X15" s="211"/>
      <c r="Y15" s="211"/>
      <c r="Z15" s="211"/>
      <c r="AA15" s="211"/>
      <c r="AB15" s="211"/>
      <c r="AC15" s="211"/>
      <c r="AD15" s="211"/>
      <c r="AE15" s="211"/>
      <c r="AF15" s="211"/>
      <c r="AG15" s="211"/>
      <c r="AH15" s="211"/>
      <c r="AI15" s="211"/>
      <c r="AJ15" s="211"/>
      <c r="AK15" s="211"/>
      <c r="AL15" s="211"/>
      <c r="AM15" s="211"/>
      <c r="AN15" s="212"/>
    </row>
    <row r="16" spans="1:40" ht="13.5" customHeight="1">
      <c r="A16" s="210"/>
      <c r="B16" s="211"/>
      <c r="C16" s="211"/>
      <c r="D16" s="211"/>
      <c r="E16" s="211"/>
      <c r="F16" s="211"/>
      <c r="G16" s="211"/>
      <c r="H16" s="211"/>
      <c r="I16" s="211"/>
      <c r="J16" s="211"/>
      <c r="K16" s="211"/>
      <c r="L16" s="211"/>
      <c r="M16" s="211"/>
      <c r="N16" s="211"/>
      <c r="O16" s="211"/>
      <c r="P16" s="211"/>
      <c r="Q16" s="211"/>
      <c r="R16" s="211"/>
      <c r="S16" s="211"/>
      <c r="T16" s="211"/>
      <c r="U16" s="211"/>
      <c r="V16" s="211"/>
      <c r="W16" s="211"/>
      <c r="X16" s="211"/>
      <c r="Y16" s="211"/>
      <c r="Z16" s="211"/>
      <c r="AA16" s="211"/>
      <c r="AB16" s="211"/>
      <c r="AC16" s="211"/>
      <c r="AD16" s="211"/>
      <c r="AE16" s="211"/>
      <c r="AF16" s="211"/>
      <c r="AG16" s="211"/>
      <c r="AH16" s="211"/>
      <c r="AI16" s="211"/>
      <c r="AJ16" s="211"/>
      <c r="AK16" s="211"/>
      <c r="AL16" s="211"/>
      <c r="AM16" s="211"/>
      <c r="AN16" s="212"/>
    </row>
    <row r="17" spans="1:40" ht="13.5" customHeight="1">
      <c r="A17" s="210"/>
      <c r="B17" s="211"/>
      <c r="C17" s="211"/>
      <c r="D17" s="211"/>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11"/>
      <c r="AG17" s="211"/>
      <c r="AH17" s="211"/>
      <c r="AI17" s="211"/>
      <c r="AJ17" s="211"/>
      <c r="AK17" s="211"/>
      <c r="AL17" s="211"/>
      <c r="AM17" s="211"/>
      <c r="AN17" s="212"/>
    </row>
    <row r="18" spans="1:40" ht="13.5" customHeight="1">
      <c r="A18" s="210"/>
      <c r="B18" s="211"/>
      <c r="C18" s="211"/>
      <c r="D18" s="211"/>
      <c r="E18" s="211"/>
      <c r="F18" s="211"/>
      <c r="G18" s="211"/>
      <c r="H18" s="211"/>
      <c r="I18" s="211"/>
      <c r="J18" s="211"/>
      <c r="K18" s="211"/>
      <c r="L18" s="211"/>
      <c r="M18" s="211"/>
      <c r="N18" s="211"/>
      <c r="O18" s="211"/>
      <c r="P18" s="211"/>
      <c r="Q18" s="211"/>
      <c r="R18" s="211"/>
      <c r="S18" s="211"/>
      <c r="T18" s="211"/>
      <c r="U18" s="211"/>
      <c r="V18" s="211"/>
      <c r="W18" s="211"/>
      <c r="X18" s="211"/>
      <c r="Y18" s="213" t="s">
        <v>288</v>
      </c>
      <c r="Z18" s="214"/>
      <c r="AA18" s="214"/>
      <c r="AB18" s="214"/>
      <c r="AC18" s="214"/>
      <c r="AD18" s="214"/>
      <c r="AE18" s="214"/>
      <c r="AF18" s="214"/>
      <c r="AG18" s="214"/>
      <c r="AH18" s="214"/>
      <c r="AI18" s="214"/>
      <c r="AJ18" s="214"/>
      <c r="AK18" s="214"/>
      <c r="AL18" s="214"/>
      <c r="AM18" s="214"/>
      <c r="AN18" s="212"/>
    </row>
    <row r="19" spans="1:40" ht="13.5" customHeight="1">
      <c r="A19" s="210"/>
      <c r="B19" s="211"/>
      <c r="C19" s="211"/>
      <c r="D19" s="211"/>
      <c r="E19" s="211"/>
      <c r="F19" s="211"/>
      <c r="G19" s="211"/>
      <c r="H19" s="211"/>
      <c r="I19" s="211"/>
      <c r="J19" s="211"/>
      <c r="K19" s="211"/>
      <c r="L19" s="211"/>
      <c r="M19" s="211"/>
      <c r="N19" s="211"/>
      <c r="O19" s="211"/>
      <c r="P19" s="211"/>
      <c r="Q19" s="211"/>
      <c r="R19" s="211"/>
      <c r="S19" s="211"/>
      <c r="T19" s="211"/>
      <c r="U19" s="211"/>
      <c r="V19" s="211"/>
      <c r="W19" s="211"/>
      <c r="X19" s="211"/>
      <c r="Y19" s="251" t="s">
        <v>289</v>
      </c>
      <c r="Z19" s="252"/>
      <c r="AA19" s="252"/>
      <c r="AB19" s="252"/>
      <c r="AC19" s="253"/>
      <c r="AD19" s="251" t="s">
        <v>290</v>
      </c>
      <c r="AE19" s="252"/>
      <c r="AF19" s="252"/>
      <c r="AG19" s="252"/>
      <c r="AH19" s="253"/>
      <c r="AI19" s="260" t="s">
        <v>291</v>
      </c>
      <c r="AJ19" s="252"/>
      <c r="AK19" s="252"/>
      <c r="AL19" s="252"/>
      <c r="AM19" s="253"/>
      <c r="AN19" s="212"/>
    </row>
    <row r="20" spans="1:40" ht="13.5" customHeight="1">
      <c r="A20" s="210"/>
      <c r="B20" s="211"/>
      <c r="C20" s="211"/>
      <c r="D20" s="211"/>
      <c r="E20" s="211"/>
      <c r="F20" s="211"/>
      <c r="G20" s="211"/>
      <c r="H20" s="211"/>
      <c r="I20" s="211"/>
      <c r="J20" s="211"/>
      <c r="K20" s="211"/>
      <c r="L20" s="211"/>
      <c r="M20" s="211"/>
      <c r="N20" s="211"/>
      <c r="O20" s="211"/>
      <c r="P20" s="211"/>
      <c r="Q20" s="211"/>
      <c r="R20" s="211"/>
      <c r="S20" s="211"/>
      <c r="T20" s="211"/>
      <c r="U20" s="211"/>
      <c r="V20" s="211"/>
      <c r="W20" s="211"/>
      <c r="X20" s="211"/>
      <c r="Y20" s="215"/>
      <c r="Z20" s="216"/>
      <c r="AA20" s="216"/>
      <c r="AB20" s="216"/>
      <c r="AC20" s="217"/>
      <c r="AD20" s="215"/>
      <c r="AE20" s="216"/>
      <c r="AF20" s="216"/>
      <c r="AG20" s="216"/>
      <c r="AH20" s="216"/>
      <c r="AI20" s="218"/>
      <c r="AJ20" s="216"/>
      <c r="AK20" s="216"/>
      <c r="AL20" s="216"/>
      <c r="AM20" s="217"/>
      <c r="AN20" s="212"/>
    </row>
    <row r="21" spans="1:40" ht="13.5" customHeight="1">
      <c r="A21" s="210"/>
      <c r="B21" s="211"/>
      <c r="C21" s="211"/>
      <c r="D21" s="211"/>
      <c r="E21" s="211"/>
      <c r="F21" s="211"/>
      <c r="G21" s="211"/>
      <c r="H21" s="211"/>
      <c r="I21" s="211"/>
      <c r="J21" s="211"/>
      <c r="K21" s="211"/>
      <c r="L21" s="211"/>
      <c r="M21" s="211"/>
      <c r="N21" s="211"/>
      <c r="O21" s="211"/>
      <c r="P21" s="211"/>
      <c r="Q21" s="211"/>
      <c r="R21" s="211"/>
      <c r="S21" s="211"/>
      <c r="T21" s="211"/>
      <c r="U21" s="211"/>
      <c r="V21" s="211"/>
      <c r="W21" s="211"/>
      <c r="X21" s="211"/>
      <c r="Y21" s="219"/>
      <c r="Z21" s="214"/>
      <c r="AA21" s="214"/>
      <c r="AB21" s="214"/>
      <c r="AC21" s="220"/>
      <c r="AD21" s="219"/>
      <c r="AE21" s="214"/>
      <c r="AF21" s="214"/>
      <c r="AG21" s="214"/>
      <c r="AH21" s="220"/>
      <c r="AI21" s="219"/>
      <c r="AJ21" s="221"/>
      <c r="AK21" s="214"/>
      <c r="AL21" s="214"/>
      <c r="AM21" s="220"/>
      <c r="AN21" s="212"/>
    </row>
    <row r="22" spans="1:40" ht="13.5" customHeight="1">
      <c r="A22" s="210"/>
      <c r="B22" s="211"/>
      <c r="C22" s="211"/>
      <c r="D22" s="211"/>
      <c r="E22" s="211"/>
      <c r="F22" s="211"/>
      <c r="G22" s="211"/>
      <c r="H22" s="211"/>
      <c r="I22" s="211"/>
      <c r="J22" s="211"/>
      <c r="K22" s="211"/>
      <c r="L22" s="211"/>
      <c r="M22" s="211"/>
      <c r="N22" s="211"/>
      <c r="O22" s="211"/>
      <c r="P22" s="211"/>
      <c r="Q22" s="211"/>
      <c r="R22" s="211"/>
      <c r="S22" s="211"/>
      <c r="T22" s="211"/>
      <c r="U22" s="211"/>
      <c r="V22" s="211"/>
      <c r="W22" s="211"/>
      <c r="X22" s="211"/>
      <c r="Y22" s="219"/>
      <c r="Z22" s="214"/>
      <c r="AA22" s="222" t="s">
        <v>292</v>
      </c>
      <c r="AB22" s="214"/>
      <c r="AC22" s="220"/>
      <c r="AD22" s="219"/>
      <c r="AE22" s="214"/>
      <c r="AF22" s="222" t="s">
        <v>293</v>
      </c>
      <c r="AG22" s="214"/>
      <c r="AH22" s="220"/>
      <c r="AI22" s="219"/>
      <c r="AJ22" s="214"/>
      <c r="AK22" s="221"/>
      <c r="AL22" s="214"/>
      <c r="AM22" s="220"/>
      <c r="AN22" s="212"/>
    </row>
    <row r="23" spans="1:40" ht="13.5" customHeight="1">
      <c r="A23" s="210"/>
      <c r="B23" s="211"/>
      <c r="C23" s="211"/>
      <c r="D23" s="211"/>
      <c r="E23" s="211"/>
      <c r="F23" s="211"/>
      <c r="G23" s="211"/>
      <c r="H23" s="211"/>
      <c r="I23" s="211"/>
      <c r="J23" s="211"/>
      <c r="K23" s="211"/>
      <c r="L23" s="211"/>
      <c r="M23" s="211"/>
      <c r="N23" s="211"/>
      <c r="O23" s="211"/>
      <c r="P23" s="211"/>
      <c r="Q23" s="211"/>
      <c r="R23" s="211"/>
      <c r="S23" s="211"/>
      <c r="T23" s="211"/>
      <c r="U23" s="211"/>
      <c r="V23" s="211"/>
      <c r="W23" s="211"/>
      <c r="X23" s="211"/>
      <c r="Y23" s="219"/>
      <c r="Z23" s="214"/>
      <c r="AA23" s="214"/>
      <c r="AB23" s="214"/>
      <c r="AC23" s="220"/>
      <c r="AD23" s="219"/>
      <c r="AE23" s="214"/>
      <c r="AF23" s="214"/>
      <c r="AG23" s="214"/>
      <c r="AH23" s="220"/>
      <c r="AI23" s="219"/>
      <c r="AJ23" s="214"/>
      <c r="AK23" s="214"/>
      <c r="AL23" s="221"/>
      <c r="AM23" s="220"/>
      <c r="AN23" s="212"/>
    </row>
    <row r="24" spans="1:40" ht="13.5" customHeight="1">
      <c r="A24" s="210"/>
      <c r="B24" s="211"/>
      <c r="C24" s="211"/>
      <c r="D24" s="211"/>
      <c r="E24" s="211"/>
      <c r="F24" s="211"/>
      <c r="G24" s="211"/>
      <c r="H24" s="211"/>
      <c r="I24" s="211"/>
      <c r="J24" s="211"/>
      <c r="K24" s="211"/>
      <c r="L24" s="211"/>
      <c r="M24" s="211"/>
      <c r="N24" s="211"/>
      <c r="O24" s="211"/>
      <c r="P24" s="211"/>
      <c r="Q24" s="211"/>
      <c r="R24" s="211"/>
      <c r="S24" s="211"/>
      <c r="T24" s="211"/>
      <c r="U24" s="211"/>
      <c r="V24" s="211"/>
      <c r="W24" s="211"/>
      <c r="X24" s="211"/>
      <c r="Y24" s="223"/>
      <c r="Z24" s="224"/>
      <c r="AA24" s="224"/>
      <c r="AB24" s="224"/>
      <c r="AC24" s="225"/>
      <c r="AD24" s="223"/>
      <c r="AE24" s="224"/>
      <c r="AF24" s="224"/>
      <c r="AG24" s="224"/>
      <c r="AH24" s="225"/>
      <c r="AI24" s="223"/>
      <c r="AJ24" s="224"/>
      <c r="AK24" s="224"/>
      <c r="AL24" s="224"/>
      <c r="AM24" s="226"/>
      <c r="AN24" s="212"/>
    </row>
    <row r="25" spans="1:40" ht="13.5" customHeight="1">
      <c r="A25" s="210"/>
      <c r="B25" s="211"/>
      <c r="C25" s="211"/>
      <c r="D25" s="211"/>
      <c r="E25" s="211"/>
      <c r="F25" s="211"/>
      <c r="G25" s="211"/>
      <c r="H25" s="211"/>
      <c r="I25" s="211"/>
      <c r="J25" s="211"/>
      <c r="K25" s="211"/>
      <c r="L25" s="211"/>
      <c r="M25" s="211"/>
      <c r="N25" s="211"/>
      <c r="O25" s="211"/>
      <c r="P25" s="211"/>
      <c r="Q25" s="211"/>
      <c r="R25" s="211"/>
      <c r="S25" s="211"/>
      <c r="T25" s="211"/>
      <c r="U25" s="211"/>
      <c r="V25" s="211"/>
      <c r="W25" s="211"/>
      <c r="X25" s="211"/>
      <c r="Y25" s="214"/>
      <c r="Z25" s="214"/>
      <c r="AA25" s="214"/>
      <c r="AB25" s="214"/>
      <c r="AC25" s="214"/>
      <c r="AD25" s="214"/>
      <c r="AE25" s="214"/>
      <c r="AF25" s="214"/>
      <c r="AG25" s="214"/>
      <c r="AH25" s="214"/>
      <c r="AI25" s="214"/>
      <c r="AJ25" s="214"/>
      <c r="AK25" s="214"/>
      <c r="AL25" s="214"/>
      <c r="AM25" s="214"/>
      <c r="AN25" s="212"/>
    </row>
    <row r="26" spans="1:40" ht="13.5" customHeight="1">
      <c r="A26" s="210"/>
      <c r="B26" s="211"/>
      <c r="C26" s="211"/>
      <c r="D26" s="211"/>
      <c r="E26" s="211"/>
      <c r="F26" s="211"/>
      <c r="G26" s="211"/>
      <c r="H26" s="211"/>
      <c r="I26" s="211"/>
      <c r="J26" s="211"/>
      <c r="K26" s="211"/>
      <c r="L26" s="211"/>
      <c r="M26" s="211"/>
      <c r="N26" s="211"/>
      <c r="O26" s="211"/>
      <c r="P26" s="211"/>
      <c r="Q26" s="211"/>
      <c r="R26" s="211"/>
      <c r="S26" s="211"/>
      <c r="T26" s="211"/>
      <c r="U26" s="211"/>
      <c r="V26" s="211"/>
      <c r="W26" s="211"/>
      <c r="X26" s="211"/>
      <c r="Y26" s="213" t="s">
        <v>294</v>
      </c>
      <c r="Z26" s="214"/>
      <c r="AA26" s="214"/>
      <c r="AB26" s="214"/>
      <c r="AC26" s="214"/>
      <c r="AD26" s="214"/>
      <c r="AE26" s="214"/>
      <c r="AF26" s="214"/>
      <c r="AG26" s="214"/>
      <c r="AH26" s="214"/>
      <c r="AI26" s="214"/>
      <c r="AJ26" s="214"/>
      <c r="AK26" s="214"/>
      <c r="AL26" s="214"/>
      <c r="AM26" s="214"/>
      <c r="AN26" s="212"/>
    </row>
    <row r="27" spans="1:40" ht="13.5" customHeight="1">
      <c r="A27" s="210"/>
      <c r="B27" s="211"/>
      <c r="C27" s="211"/>
      <c r="D27" s="211"/>
      <c r="E27" s="211"/>
      <c r="F27" s="211"/>
      <c r="G27" s="211"/>
      <c r="H27" s="211"/>
      <c r="I27" s="211"/>
      <c r="J27" s="211"/>
      <c r="K27" s="211"/>
      <c r="L27" s="211"/>
      <c r="M27" s="211"/>
      <c r="N27" s="211"/>
      <c r="O27" s="211"/>
      <c r="P27" s="211"/>
      <c r="Q27" s="211"/>
      <c r="R27" s="211"/>
      <c r="S27" s="211"/>
      <c r="T27" s="211"/>
      <c r="U27" s="211"/>
      <c r="V27" s="211"/>
      <c r="W27" s="211"/>
      <c r="X27" s="211"/>
      <c r="Y27" s="251" t="s">
        <v>289</v>
      </c>
      <c r="Z27" s="252"/>
      <c r="AA27" s="252"/>
      <c r="AB27" s="252"/>
      <c r="AC27" s="253"/>
      <c r="AD27" s="251" t="s">
        <v>290</v>
      </c>
      <c r="AE27" s="252"/>
      <c r="AF27" s="252"/>
      <c r="AG27" s="252"/>
      <c r="AH27" s="253"/>
      <c r="AI27" s="260" t="s">
        <v>291</v>
      </c>
      <c r="AJ27" s="252"/>
      <c r="AK27" s="252"/>
      <c r="AL27" s="252"/>
      <c r="AM27" s="253"/>
      <c r="AN27" s="212"/>
    </row>
    <row r="28" spans="1:40" ht="13.5" customHeight="1">
      <c r="A28" s="210"/>
      <c r="B28" s="211"/>
      <c r="C28" s="211"/>
      <c r="D28" s="211"/>
      <c r="E28" s="211"/>
      <c r="F28" s="211"/>
      <c r="G28" s="211"/>
      <c r="H28" s="211"/>
      <c r="I28" s="211"/>
      <c r="J28" s="211"/>
      <c r="K28" s="211"/>
      <c r="L28" s="211"/>
      <c r="M28" s="211"/>
      <c r="N28" s="211"/>
      <c r="O28" s="211"/>
      <c r="P28" s="211"/>
      <c r="Q28" s="211"/>
      <c r="R28" s="211"/>
      <c r="S28" s="211"/>
      <c r="T28" s="211"/>
      <c r="U28" s="211"/>
      <c r="V28" s="211"/>
      <c r="W28" s="211"/>
      <c r="X28" s="211"/>
      <c r="Y28" s="215"/>
      <c r="Z28" s="216"/>
      <c r="AA28" s="216"/>
      <c r="AB28" s="216"/>
      <c r="AC28" s="217"/>
      <c r="AD28" s="215"/>
      <c r="AE28" s="216"/>
      <c r="AF28" s="216"/>
      <c r="AG28" s="216"/>
      <c r="AH28" s="216"/>
      <c r="AI28" s="215"/>
      <c r="AJ28" s="216"/>
      <c r="AK28" s="216"/>
      <c r="AL28" s="216"/>
      <c r="AM28" s="217"/>
      <c r="AN28" s="212"/>
    </row>
    <row r="29" spans="1:40" ht="13.5" customHeight="1">
      <c r="A29" s="210"/>
      <c r="B29" s="211"/>
      <c r="C29" s="211"/>
      <c r="D29" s="211"/>
      <c r="E29" s="211"/>
      <c r="F29" s="211"/>
      <c r="G29" s="211"/>
      <c r="H29" s="211"/>
      <c r="I29" s="211"/>
      <c r="J29" s="211"/>
      <c r="K29" s="211"/>
      <c r="L29" s="211"/>
      <c r="M29" s="211"/>
      <c r="N29" s="211"/>
      <c r="O29" s="211"/>
      <c r="P29" s="211"/>
      <c r="Q29" s="211"/>
      <c r="R29" s="211"/>
      <c r="S29" s="211"/>
      <c r="T29" s="211"/>
      <c r="U29" s="211"/>
      <c r="V29" s="211"/>
      <c r="W29" s="211"/>
      <c r="X29" s="211"/>
      <c r="Y29" s="219"/>
      <c r="Z29" s="214"/>
      <c r="AA29" s="214"/>
      <c r="AB29" s="214"/>
      <c r="AC29" s="220"/>
      <c r="AD29" s="219"/>
      <c r="AE29" s="214"/>
      <c r="AF29" s="214"/>
      <c r="AG29" s="214"/>
      <c r="AH29" s="220"/>
      <c r="AI29" s="219"/>
      <c r="AJ29" s="214"/>
      <c r="AK29" s="214"/>
      <c r="AL29" s="214"/>
      <c r="AM29" s="220"/>
      <c r="AN29" s="212"/>
    </row>
    <row r="30" spans="1:40" ht="13.5" customHeight="1">
      <c r="A30" s="210"/>
      <c r="B30" s="211"/>
      <c r="C30" s="211"/>
      <c r="D30" s="211"/>
      <c r="E30" s="211"/>
      <c r="F30" s="211"/>
      <c r="G30" s="211"/>
      <c r="H30" s="211"/>
      <c r="I30" s="211"/>
      <c r="J30" s="211"/>
      <c r="K30" s="211"/>
      <c r="L30" s="211"/>
      <c r="M30" s="211"/>
      <c r="N30" s="211"/>
      <c r="O30" s="211"/>
      <c r="P30" s="211"/>
      <c r="Q30" s="211"/>
      <c r="R30" s="211"/>
      <c r="S30" s="211"/>
      <c r="T30" s="211"/>
      <c r="U30" s="211"/>
      <c r="V30" s="211"/>
      <c r="W30" s="211"/>
      <c r="X30" s="211"/>
      <c r="Y30" s="219"/>
      <c r="Z30" s="214"/>
      <c r="AA30" s="222" t="s">
        <v>295</v>
      </c>
      <c r="AB30" s="214"/>
      <c r="AC30" s="220"/>
      <c r="AD30" s="219"/>
      <c r="AE30" s="214"/>
      <c r="AF30" s="222" t="s">
        <v>296</v>
      </c>
      <c r="AG30" s="214"/>
      <c r="AH30" s="220"/>
      <c r="AI30" s="219"/>
      <c r="AJ30" s="214"/>
      <c r="AK30" s="214"/>
      <c r="AL30" s="214"/>
      <c r="AM30" s="220"/>
      <c r="AN30" s="212"/>
    </row>
    <row r="31" spans="1:40" ht="13.5" customHeight="1">
      <c r="A31" s="210"/>
      <c r="B31" s="211"/>
      <c r="C31" s="211"/>
      <c r="D31" s="211"/>
      <c r="E31" s="211"/>
      <c r="F31" s="211"/>
      <c r="G31" s="211"/>
      <c r="H31" s="211"/>
      <c r="I31" s="211"/>
      <c r="J31" s="211"/>
      <c r="K31" s="211"/>
      <c r="L31" s="211"/>
      <c r="M31" s="211"/>
      <c r="N31" s="211"/>
      <c r="O31" s="211"/>
      <c r="P31" s="211"/>
      <c r="Q31" s="211"/>
      <c r="R31" s="211"/>
      <c r="S31" s="211"/>
      <c r="T31" s="211"/>
      <c r="U31" s="211"/>
      <c r="V31" s="211"/>
      <c r="W31" s="211"/>
      <c r="X31" s="211"/>
      <c r="Y31" s="219"/>
      <c r="Z31" s="214"/>
      <c r="AA31" s="214"/>
      <c r="AB31" s="214"/>
      <c r="AC31" s="220"/>
      <c r="AD31" s="219"/>
      <c r="AE31" s="214"/>
      <c r="AF31" s="214"/>
      <c r="AG31" s="214"/>
      <c r="AH31" s="220"/>
      <c r="AI31" s="219"/>
      <c r="AJ31" s="214"/>
      <c r="AK31" s="214"/>
      <c r="AL31" s="214"/>
      <c r="AM31" s="220"/>
      <c r="AN31" s="212"/>
    </row>
    <row r="32" spans="1:40" ht="13.5" customHeight="1">
      <c r="A32" s="210"/>
      <c r="B32" s="211"/>
      <c r="C32" s="211"/>
      <c r="D32" s="211"/>
      <c r="E32" s="211"/>
      <c r="F32" s="211"/>
      <c r="G32" s="211"/>
      <c r="H32" s="211"/>
      <c r="I32" s="211"/>
      <c r="J32" s="211"/>
      <c r="K32" s="211"/>
      <c r="L32" s="211"/>
      <c r="M32" s="211"/>
      <c r="N32" s="211"/>
      <c r="O32" s="211"/>
      <c r="P32" s="211"/>
      <c r="Q32" s="211"/>
      <c r="R32" s="211"/>
      <c r="S32" s="211"/>
      <c r="T32" s="211"/>
      <c r="U32" s="211"/>
      <c r="V32" s="211"/>
      <c r="W32" s="211"/>
      <c r="X32" s="211"/>
      <c r="Y32" s="223"/>
      <c r="Z32" s="224"/>
      <c r="AA32" s="224"/>
      <c r="AB32" s="224"/>
      <c r="AC32" s="225"/>
      <c r="AD32" s="223"/>
      <c r="AE32" s="224"/>
      <c r="AF32" s="224"/>
      <c r="AG32" s="224"/>
      <c r="AH32" s="225"/>
      <c r="AI32" s="223"/>
      <c r="AJ32" s="224"/>
      <c r="AK32" s="224"/>
      <c r="AL32" s="224"/>
      <c r="AM32" s="225"/>
      <c r="AN32" s="212"/>
    </row>
    <row r="33" spans="1:40" ht="13.5" customHeight="1">
      <c r="A33" s="210"/>
      <c r="B33" s="211"/>
      <c r="C33" s="211"/>
      <c r="D33" s="211"/>
      <c r="E33" s="211"/>
      <c r="F33" s="211"/>
      <c r="G33" s="211"/>
      <c r="H33" s="211"/>
      <c r="I33" s="211"/>
      <c r="J33" s="211"/>
      <c r="K33" s="211"/>
      <c r="L33" s="211"/>
      <c r="M33" s="211"/>
      <c r="N33" s="211"/>
      <c r="O33" s="211"/>
      <c r="P33" s="211"/>
      <c r="Q33" s="211"/>
      <c r="R33" s="211"/>
      <c r="S33" s="211"/>
      <c r="T33" s="211"/>
      <c r="U33" s="211"/>
      <c r="V33" s="211"/>
      <c r="W33" s="211"/>
      <c r="X33" s="211"/>
      <c r="Y33" s="214"/>
      <c r="Z33" s="214"/>
      <c r="AA33" s="214"/>
      <c r="AB33" s="214"/>
      <c r="AC33" s="214"/>
      <c r="AD33" s="214"/>
      <c r="AE33" s="214"/>
      <c r="AF33" s="214"/>
      <c r="AG33" s="214"/>
      <c r="AH33" s="214"/>
      <c r="AI33" s="214"/>
      <c r="AJ33" s="214"/>
      <c r="AK33" s="214"/>
      <c r="AL33" s="214"/>
      <c r="AM33" s="214"/>
      <c r="AN33" s="212"/>
    </row>
    <row r="34" spans="1:40" ht="13.5" customHeight="1">
      <c r="A34" s="210"/>
      <c r="B34" s="211"/>
      <c r="C34" s="211"/>
      <c r="D34" s="211"/>
      <c r="E34" s="211"/>
      <c r="F34" s="211"/>
      <c r="G34" s="211"/>
      <c r="H34" s="211"/>
      <c r="I34" s="211"/>
      <c r="J34" s="211"/>
      <c r="K34" s="211"/>
      <c r="L34" s="211"/>
      <c r="M34" s="211"/>
      <c r="N34" s="211"/>
      <c r="O34" s="211"/>
      <c r="P34" s="211"/>
      <c r="Q34" s="211"/>
      <c r="R34" s="211"/>
      <c r="S34" s="211"/>
      <c r="T34" s="211"/>
      <c r="U34" s="211"/>
      <c r="V34" s="211"/>
      <c r="W34" s="211"/>
      <c r="X34" s="211"/>
      <c r="Y34" s="213" t="s">
        <v>297</v>
      </c>
      <c r="Z34" s="214"/>
      <c r="AA34" s="214"/>
      <c r="AB34" s="214"/>
      <c r="AC34" s="214"/>
      <c r="AD34" s="214"/>
      <c r="AE34" s="214"/>
      <c r="AF34" s="214"/>
      <c r="AG34" s="214"/>
      <c r="AH34" s="214"/>
      <c r="AI34" s="214"/>
      <c r="AJ34" s="214"/>
      <c r="AK34" s="214"/>
      <c r="AL34" s="214"/>
      <c r="AM34" s="214"/>
      <c r="AN34" s="212"/>
    </row>
    <row r="35" spans="1:40" ht="13.5" customHeight="1">
      <c r="A35" s="210"/>
      <c r="B35" s="211"/>
      <c r="C35" s="211"/>
      <c r="D35" s="211"/>
      <c r="E35" s="211"/>
      <c r="F35" s="211"/>
      <c r="G35" s="211"/>
      <c r="H35" s="211"/>
      <c r="I35" s="211"/>
      <c r="J35" s="211"/>
      <c r="K35" s="211"/>
      <c r="L35" s="211"/>
      <c r="M35" s="211"/>
      <c r="N35" s="211"/>
      <c r="O35" s="211"/>
      <c r="P35" s="211"/>
      <c r="Q35" s="211"/>
      <c r="R35" s="211"/>
      <c r="S35" s="211"/>
      <c r="T35" s="211"/>
      <c r="U35" s="211"/>
      <c r="V35" s="211"/>
      <c r="W35" s="211"/>
      <c r="X35" s="211"/>
      <c r="Y35" s="251" t="s">
        <v>289</v>
      </c>
      <c r="Z35" s="252"/>
      <c r="AA35" s="252"/>
      <c r="AB35" s="252"/>
      <c r="AC35" s="253"/>
      <c r="AD35" s="251" t="s">
        <v>290</v>
      </c>
      <c r="AE35" s="252"/>
      <c r="AF35" s="252"/>
      <c r="AG35" s="252"/>
      <c r="AH35" s="253"/>
      <c r="AI35" s="251" t="s">
        <v>291</v>
      </c>
      <c r="AJ35" s="252"/>
      <c r="AK35" s="252"/>
      <c r="AL35" s="252"/>
      <c r="AM35" s="253"/>
      <c r="AN35" s="212"/>
    </row>
    <row r="36" spans="1:40" ht="13.5" customHeight="1">
      <c r="A36" s="210"/>
      <c r="B36" s="211"/>
      <c r="C36" s="211"/>
      <c r="D36" s="211"/>
      <c r="E36" s="211"/>
      <c r="F36" s="211"/>
      <c r="G36" s="211"/>
      <c r="H36" s="211"/>
      <c r="I36" s="211"/>
      <c r="J36" s="211"/>
      <c r="K36" s="211"/>
      <c r="L36" s="211"/>
      <c r="M36" s="211"/>
      <c r="N36" s="211"/>
      <c r="O36" s="211"/>
      <c r="P36" s="211"/>
      <c r="Q36" s="211"/>
      <c r="R36" s="211"/>
      <c r="S36" s="211"/>
      <c r="T36" s="211"/>
      <c r="U36" s="211"/>
      <c r="V36" s="211"/>
      <c r="W36" s="211"/>
      <c r="X36" s="211"/>
      <c r="Y36" s="218"/>
      <c r="Z36" s="216"/>
      <c r="AA36" s="216"/>
      <c r="AB36" s="216"/>
      <c r="AC36" s="217"/>
      <c r="AD36" s="218"/>
      <c r="AE36" s="216"/>
      <c r="AF36" s="216"/>
      <c r="AG36" s="216"/>
      <c r="AH36" s="217"/>
      <c r="AI36" s="215"/>
      <c r="AJ36" s="216"/>
      <c r="AK36" s="216"/>
      <c r="AL36" s="216"/>
      <c r="AM36" s="217"/>
      <c r="AN36" s="212"/>
    </row>
    <row r="37" spans="1:40" ht="13.5" customHeight="1">
      <c r="A37" s="210"/>
      <c r="B37" s="211"/>
      <c r="C37" s="211"/>
      <c r="D37" s="211"/>
      <c r="E37" s="211"/>
      <c r="F37" s="211"/>
      <c r="G37" s="211"/>
      <c r="H37" s="211"/>
      <c r="I37" s="211"/>
      <c r="J37" s="211"/>
      <c r="K37" s="211"/>
      <c r="L37" s="211"/>
      <c r="M37" s="211"/>
      <c r="N37" s="211"/>
      <c r="O37" s="211"/>
      <c r="P37" s="211"/>
      <c r="Q37" s="211"/>
      <c r="R37" s="211"/>
      <c r="S37" s="211"/>
      <c r="T37" s="211"/>
      <c r="U37" s="211"/>
      <c r="V37" s="211"/>
      <c r="W37" s="211"/>
      <c r="X37" s="211"/>
      <c r="Y37" s="219"/>
      <c r="Z37" s="221"/>
      <c r="AA37" s="214"/>
      <c r="AB37" s="214"/>
      <c r="AC37" s="220"/>
      <c r="AD37" s="219"/>
      <c r="AE37" s="221"/>
      <c r="AF37" s="214"/>
      <c r="AG37" s="214"/>
      <c r="AH37" s="220"/>
      <c r="AI37" s="219"/>
      <c r="AJ37" s="230"/>
      <c r="AK37" s="230"/>
      <c r="AL37" s="230"/>
      <c r="AM37" s="220"/>
      <c r="AN37" s="212"/>
    </row>
    <row r="38" spans="1:40" ht="13.5" customHeight="1">
      <c r="A38" s="210"/>
      <c r="B38" s="211"/>
      <c r="C38" s="211"/>
      <c r="D38" s="211"/>
      <c r="E38" s="211"/>
      <c r="F38" s="211"/>
      <c r="G38" s="211"/>
      <c r="H38" s="211"/>
      <c r="I38" s="211"/>
      <c r="J38" s="211"/>
      <c r="K38" s="211"/>
      <c r="L38" s="211"/>
      <c r="M38" s="211"/>
      <c r="N38" s="211"/>
      <c r="O38" s="211"/>
      <c r="P38" s="211"/>
      <c r="Q38" s="211"/>
      <c r="R38" s="211"/>
      <c r="S38" s="211"/>
      <c r="T38" s="211"/>
      <c r="U38" s="211"/>
      <c r="V38" s="211"/>
      <c r="W38" s="211"/>
      <c r="X38" s="211"/>
      <c r="Y38" s="219"/>
      <c r="Z38" s="214"/>
      <c r="AA38" s="221"/>
      <c r="AB38" s="214"/>
      <c r="AC38" s="220"/>
      <c r="AD38" s="219"/>
      <c r="AE38" s="214"/>
      <c r="AF38" s="221"/>
      <c r="AG38" s="214"/>
      <c r="AH38" s="220"/>
      <c r="AI38" s="219"/>
      <c r="AJ38" s="230"/>
      <c r="AK38" s="230"/>
      <c r="AL38" s="230"/>
      <c r="AM38" s="220"/>
      <c r="AN38" s="212"/>
    </row>
    <row r="39" spans="1:40" ht="13.5" customHeight="1">
      <c r="A39" s="210"/>
      <c r="B39" s="211"/>
      <c r="C39" s="211"/>
      <c r="D39" s="211"/>
      <c r="E39" s="211"/>
      <c r="F39" s="211"/>
      <c r="G39" s="211"/>
      <c r="H39" s="211"/>
      <c r="I39" s="211"/>
      <c r="J39" s="211"/>
      <c r="K39" s="211"/>
      <c r="L39" s="211"/>
      <c r="M39" s="211"/>
      <c r="N39" s="211"/>
      <c r="O39" s="211"/>
      <c r="P39" s="211"/>
      <c r="Q39" s="211"/>
      <c r="R39" s="211"/>
      <c r="S39" s="211"/>
      <c r="T39" s="211"/>
      <c r="U39" s="211"/>
      <c r="V39" s="211"/>
      <c r="W39" s="211"/>
      <c r="X39" s="211"/>
      <c r="Y39" s="219"/>
      <c r="Z39" s="214"/>
      <c r="AA39" s="214"/>
      <c r="AB39" s="221"/>
      <c r="AC39" s="220"/>
      <c r="AD39" s="219"/>
      <c r="AE39" s="214"/>
      <c r="AF39" s="214"/>
      <c r="AG39" s="221"/>
      <c r="AH39" s="220"/>
      <c r="AI39" s="219"/>
      <c r="AJ39" s="230"/>
      <c r="AK39" s="230"/>
      <c r="AL39" s="230"/>
      <c r="AM39" s="220"/>
      <c r="AN39" s="212"/>
    </row>
    <row r="40" spans="1:40" ht="13.5" customHeight="1">
      <c r="A40" s="210"/>
      <c r="B40" s="211"/>
      <c r="C40" s="211"/>
      <c r="D40" s="211"/>
      <c r="E40" s="211"/>
      <c r="F40" s="211"/>
      <c r="G40" s="211"/>
      <c r="H40" s="211"/>
      <c r="I40" s="211"/>
      <c r="J40" s="211"/>
      <c r="K40" s="211"/>
      <c r="L40" s="211"/>
      <c r="M40" s="211"/>
      <c r="N40" s="211"/>
      <c r="O40" s="211"/>
      <c r="P40" s="211"/>
      <c r="Q40" s="211"/>
      <c r="R40" s="211"/>
      <c r="S40" s="211"/>
      <c r="T40" s="211"/>
      <c r="U40" s="211"/>
      <c r="V40" s="211"/>
      <c r="W40" s="211"/>
      <c r="X40" s="211"/>
      <c r="Y40" s="223"/>
      <c r="Z40" s="224"/>
      <c r="AA40" s="224"/>
      <c r="AB40" s="224"/>
      <c r="AC40" s="226"/>
      <c r="AD40" s="223"/>
      <c r="AE40" s="224"/>
      <c r="AF40" s="224"/>
      <c r="AG40" s="224"/>
      <c r="AH40" s="226"/>
      <c r="AI40" s="223"/>
      <c r="AJ40" s="224"/>
      <c r="AK40" s="224"/>
      <c r="AL40" s="224"/>
      <c r="AM40" s="225"/>
      <c r="AN40" s="212"/>
    </row>
    <row r="41" spans="1:40" ht="13.5" customHeight="1">
      <c r="A41" s="210"/>
      <c r="B41" s="211"/>
      <c r="C41" s="211"/>
      <c r="D41" s="211"/>
      <c r="E41" s="211"/>
      <c r="F41" s="211"/>
      <c r="G41" s="211"/>
      <c r="H41" s="211"/>
      <c r="I41" s="211"/>
      <c r="J41" s="211"/>
      <c r="K41" s="211"/>
      <c r="L41" s="211"/>
      <c r="M41" s="211"/>
      <c r="N41" s="211"/>
      <c r="O41" s="211"/>
      <c r="P41" s="211"/>
      <c r="Q41" s="211"/>
      <c r="R41" s="211"/>
      <c r="S41" s="211"/>
      <c r="T41" s="211"/>
      <c r="U41" s="211"/>
      <c r="V41" s="211"/>
      <c r="W41" s="211"/>
      <c r="X41" s="211"/>
      <c r="Y41" s="211"/>
      <c r="Z41" s="211"/>
      <c r="AA41" s="211"/>
      <c r="AB41" s="211"/>
      <c r="AC41" s="211"/>
      <c r="AD41" s="211"/>
      <c r="AE41" s="211"/>
      <c r="AF41" s="211"/>
      <c r="AG41" s="211"/>
      <c r="AH41" s="211"/>
      <c r="AI41" s="211"/>
      <c r="AJ41" s="211"/>
      <c r="AK41" s="211"/>
      <c r="AL41" s="211"/>
      <c r="AM41" s="211"/>
      <c r="AN41" s="212"/>
    </row>
    <row r="42" spans="1:40" ht="13.5" customHeight="1">
      <c r="A42" s="227"/>
      <c r="B42" s="228"/>
      <c r="C42" s="228"/>
      <c r="D42" s="228"/>
      <c r="E42" s="228"/>
      <c r="F42" s="228"/>
      <c r="G42" s="228"/>
      <c r="H42" s="228"/>
      <c r="I42" s="228"/>
      <c r="J42" s="228"/>
      <c r="K42" s="228"/>
      <c r="L42" s="228"/>
      <c r="M42" s="228"/>
      <c r="N42" s="228"/>
      <c r="O42" s="228"/>
      <c r="P42" s="228"/>
      <c r="Q42" s="228"/>
      <c r="R42" s="228"/>
      <c r="S42" s="228"/>
      <c r="T42" s="228"/>
      <c r="U42" s="228"/>
      <c r="V42" s="228"/>
      <c r="W42" s="228"/>
      <c r="X42" s="228"/>
      <c r="Y42" s="228"/>
      <c r="Z42" s="228"/>
      <c r="AA42" s="228"/>
      <c r="AB42" s="228"/>
      <c r="AC42" s="228"/>
      <c r="AD42" s="228"/>
      <c r="AE42" s="228"/>
      <c r="AF42" s="228"/>
      <c r="AG42" s="228"/>
      <c r="AH42" s="228"/>
      <c r="AI42" s="228"/>
      <c r="AJ42" s="228"/>
      <c r="AK42" s="228"/>
      <c r="AL42" s="228"/>
      <c r="AM42" s="228"/>
      <c r="AN42" s="229"/>
    </row>
  </sheetData>
  <mergeCells count="11">
    <mergeCell ref="Y35:AC35"/>
    <mergeCell ref="AD35:AH35"/>
    <mergeCell ref="AI35:AM35"/>
    <mergeCell ref="A9:AN9"/>
    <mergeCell ref="A10:AN10"/>
    <mergeCell ref="Y19:AC19"/>
    <mergeCell ref="AD19:AH19"/>
    <mergeCell ref="AI19:AM19"/>
    <mergeCell ref="Y27:AC27"/>
    <mergeCell ref="AD27:AH27"/>
    <mergeCell ref="AI27:AM27"/>
  </mergeCells>
  <phoneticPr fontId="2"/>
  <pageMargins left="0.7" right="0.7" top="0.75" bottom="0.75" header="0.3" footer="0.3"/>
  <pageSetup paperSize="9" scale="89" orientation="portrait" r:id="rId1"/>
  <drawing r:id="rId2"/>
  <legacyDrawing r:id="rId3"/>
  <oleObjects>
    <mc:AlternateContent xmlns:mc="http://schemas.openxmlformats.org/markup-compatibility/2006">
      <mc:Choice Requires="x14">
        <oleObject progId="Dstmp.StampObject.7" shapeId="22529" r:id="rId4">
          <objectPr defaultSize="0" r:id="rId5">
            <anchor>
              <from>
                <xdr:col>34</xdr:col>
                <xdr:colOff>95250</xdr:colOff>
                <xdr:row>35</xdr:row>
                <xdr:rowOff>66675</xdr:rowOff>
              </from>
              <to>
                <xdr:col>38</xdr:col>
                <xdr:colOff>95250</xdr:colOff>
                <xdr:row>39</xdr:row>
                <xdr:rowOff>66675</xdr:rowOff>
              </to>
            </anchor>
          </objectPr>
        </oleObject>
      </mc:Choice>
      <mc:Fallback>
        <oleObject progId="Dstmp.StampObject.7" shapeId="2252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267" t="s">
        <v>14</v>
      </c>
      <c r="J2" s="267"/>
      <c r="K2" s="267"/>
      <c r="L2" s="267"/>
      <c r="M2" s="267"/>
      <c r="N2" s="267"/>
      <c r="O2" s="267"/>
      <c r="P2" s="267"/>
      <c r="Q2" s="267"/>
      <c r="R2" s="267"/>
    </row>
    <row r="3" spans="2:18" ht="25.5" customHeight="1">
      <c r="C3" s="6"/>
      <c r="D3" s="10" t="str">
        <f ca="1">REPLACE(LEFT(CELL("filename",$B$1),FIND(".xls",CELL("filename",$B$1))-1),1,FIND("[",CELL("filename",$B$1)),)</f>
        <v>alert_D_ATMAL-CSTD-0-00-A-C0</v>
      </c>
      <c r="E3" s="6"/>
      <c r="F3" s="6"/>
      <c r="H3" s="8" t="s">
        <v>179</v>
      </c>
      <c r="I3" s="268" t="s">
        <v>203</v>
      </c>
      <c r="J3" s="269"/>
      <c r="K3" s="269"/>
      <c r="L3" s="269"/>
      <c r="M3" s="269"/>
      <c r="N3" s="269"/>
      <c r="O3" s="269"/>
      <c r="P3" s="269"/>
      <c r="Q3" s="269"/>
      <c r="R3" s="269"/>
    </row>
    <row r="4" spans="2:18" ht="25.5" customHeight="1">
      <c r="C4" s="6"/>
      <c r="D4" s="6"/>
      <c r="E4" s="22" t="str">
        <f>DGET(B8:C14,"Ver.",H4:H5)</f>
        <v>1.2.0</v>
      </c>
      <c r="F4" s="6"/>
      <c r="H4" s="9" t="s">
        <v>15</v>
      </c>
    </row>
    <row r="5" spans="2:18" ht="25.5" customHeight="1">
      <c r="C5" s="6"/>
      <c r="D5" s="6"/>
      <c r="E5" s="6"/>
      <c r="F5" s="6"/>
      <c r="H5" s="11">
        <f>MAX(B9:B14)</f>
        <v>3</v>
      </c>
    </row>
    <row r="6" spans="2:18" ht="14.25" thickBot="1"/>
    <row r="7" spans="2:18">
      <c r="C7" s="261" t="s">
        <v>0</v>
      </c>
      <c r="D7" s="262"/>
      <c r="E7" s="263" t="s">
        <v>2</v>
      </c>
      <c r="F7" s="263"/>
      <c r="G7" s="264" t="s">
        <v>5</v>
      </c>
      <c r="H7" s="264"/>
      <c r="I7" s="264"/>
      <c r="J7" s="264"/>
      <c r="K7" s="264"/>
      <c r="L7" s="264"/>
      <c r="M7" s="265" t="s">
        <v>12</v>
      </c>
      <c r="N7" s="265"/>
      <c r="O7" s="265"/>
      <c r="P7" s="265"/>
      <c r="Q7" s="265"/>
      <c r="R7" s="266"/>
    </row>
    <row r="8" spans="2:18" ht="27.75"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4.25" thickTop="1">
      <c r="B9" s="9">
        <f>IF(C9=0,0,ROW()-ROW($B$8))</f>
        <v>1</v>
      </c>
      <c r="C9" s="12" t="s">
        <v>240</v>
      </c>
      <c r="D9" s="13" t="s">
        <v>19</v>
      </c>
      <c r="E9" s="13" t="s">
        <v>31</v>
      </c>
      <c r="F9" s="13" t="s">
        <v>217</v>
      </c>
      <c r="G9" s="13" t="s">
        <v>31</v>
      </c>
      <c r="H9" s="13" t="s">
        <v>31</v>
      </c>
      <c r="I9" s="13" t="s">
        <v>31</v>
      </c>
      <c r="J9" s="13" t="s">
        <v>31</v>
      </c>
      <c r="K9" s="13" t="s">
        <v>31</v>
      </c>
      <c r="L9" s="13" t="s">
        <v>31</v>
      </c>
      <c r="M9" s="13"/>
      <c r="N9" s="152"/>
      <c r="O9" s="13"/>
      <c r="P9" s="152"/>
      <c r="Q9" s="13" t="s">
        <v>218</v>
      </c>
      <c r="R9" s="151">
        <v>44258</v>
      </c>
    </row>
    <row r="10" spans="2:18" ht="162">
      <c r="B10" s="9">
        <f t="shared" ref="B10:B13" si="0">IF(C10=0,0,ROW()-ROW($B$8))</f>
        <v>2</v>
      </c>
      <c r="C10" s="2" t="s">
        <v>241</v>
      </c>
      <c r="D10" s="153" t="s">
        <v>242</v>
      </c>
      <c r="E10" s="1" t="s">
        <v>31</v>
      </c>
      <c r="F10" s="1" t="s">
        <v>217</v>
      </c>
      <c r="G10" s="1" t="s">
        <v>31</v>
      </c>
      <c r="H10" s="1" t="s">
        <v>31</v>
      </c>
      <c r="I10" s="1" t="s">
        <v>31</v>
      </c>
      <c r="J10" s="1" t="s">
        <v>31</v>
      </c>
      <c r="K10" s="1" t="s">
        <v>31</v>
      </c>
      <c r="L10" s="1" t="s">
        <v>31</v>
      </c>
      <c r="M10" s="1"/>
      <c r="N10" s="156"/>
      <c r="O10" s="1"/>
      <c r="P10" s="156"/>
      <c r="Q10" s="1" t="s">
        <v>243</v>
      </c>
      <c r="R10" s="154">
        <v>44557</v>
      </c>
    </row>
    <row r="11" spans="2:18" ht="148.5">
      <c r="B11" s="9">
        <f t="shared" si="0"/>
        <v>3</v>
      </c>
      <c r="C11" s="2" t="s">
        <v>244</v>
      </c>
      <c r="D11" s="153" t="s">
        <v>287</v>
      </c>
      <c r="E11" s="1" t="s">
        <v>31</v>
      </c>
      <c r="F11" s="1" t="s">
        <v>217</v>
      </c>
      <c r="G11" s="1" t="s">
        <v>31</v>
      </c>
      <c r="H11" s="1" t="s">
        <v>31</v>
      </c>
      <c r="I11" s="1" t="s">
        <v>31</v>
      </c>
      <c r="J11" s="1" t="s">
        <v>31</v>
      </c>
      <c r="K11" s="1" t="s">
        <v>31</v>
      </c>
      <c r="L11" s="1" t="s">
        <v>31</v>
      </c>
      <c r="M11" s="1"/>
      <c r="N11" s="156"/>
      <c r="O11" s="1"/>
      <c r="P11" s="156"/>
      <c r="Q11" s="1" t="s">
        <v>236</v>
      </c>
      <c r="R11" s="154">
        <v>44658</v>
      </c>
    </row>
    <row r="12" spans="2:18">
      <c r="B12" s="9">
        <f t="shared" si="0"/>
        <v>0</v>
      </c>
      <c r="C12" s="2"/>
      <c r="D12" s="153"/>
      <c r="E12" s="1"/>
      <c r="F12" s="1"/>
      <c r="G12" s="1"/>
      <c r="H12" s="1"/>
      <c r="I12" s="1"/>
      <c r="J12" s="1"/>
      <c r="K12" s="1"/>
      <c r="L12" s="1"/>
      <c r="M12" s="1"/>
      <c r="N12" s="1"/>
      <c r="O12" s="1"/>
      <c r="P12" s="1"/>
      <c r="Q12" s="1"/>
      <c r="R12" s="154"/>
    </row>
    <row r="13" spans="2:18" ht="14.25" thickBot="1">
      <c r="B13" s="9">
        <f t="shared" si="0"/>
        <v>0</v>
      </c>
      <c r="C13" s="3"/>
      <c r="D13" s="4"/>
      <c r="E13" s="4"/>
      <c r="F13" s="4"/>
      <c r="G13" s="4"/>
      <c r="H13" s="4"/>
      <c r="I13" s="4"/>
      <c r="J13" s="4"/>
      <c r="K13" s="4"/>
      <c r="L13" s="4"/>
      <c r="M13" s="4"/>
      <c r="N13" s="4"/>
      <c r="O13" s="4"/>
      <c r="P13" s="4"/>
      <c r="Q13" s="4"/>
      <c r="R13"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3" t="s">
        <v>129</v>
      </c>
    </row>
    <row r="3" spans="2:5">
      <c r="C3" t="s">
        <v>139</v>
      </c>
    </row>
    <row r="6" spans="2:5" ht="14.25" thickBot="1">
      <c r="B6" s="123" t="s">
        <v>130</v>
      </c>
      <c r="C6" s="123"/>
    </row>
    <row r="7" spans="2:5" ht="14.25" thickBot="1">
      <c r="C7" s="51" t="s">
        <v>132</v>
      </c>
      <c r="D7" s="59"/>
      <c r="E7" s="52" t="s">
        <v>140</v>
      </c>
    </row>
    <row r="8" spans="2:5" ht="20.25" customHeight="1" thickTop="1">
      <c r="C8" s="127">
        <v>0</v>
      </c>
      <c r="D8" s="60" t="s">
        <v>141</v>
      </c>
      <c r="E8" s="126" t="s">
        <v>237</v>
      </c>
    </row>
    <row r="9" spans="2:5">
      <c r="C9" s="133"/>
      <c r="D9" s="135"/>
      <c r="E9" s="134"/>
    </row>
    <row r="10" spans="2:5" ht="14.25" thickBot="1">
      <c r="C10" s="131"/>
      <c r="D10" s="62"/>
      <c r="E10" s="5"/>
    </row>
    <row r="11" spans="2:5">
      <c r="C11" s="129"/>
    </row>
    <row r="12" spans="2:5" ht="14.25" thickBot="1">
      <c r="B12" s="124" t="s">
        <v>131</v>
      </c>
      <c r="C12" s="58"/>
      <c r="D12" s="58"/>
    </row>
    <row r="13" spans="2:5" ht="14.25" thickBot="1">
      <c r="B13" s="125"/>
      <c r="C13" s="130" t="s">
        <v>132</v>
      </c>
      <c r="D13" s="59" t="s">
        <v>133</v>
      </c>
      <c r="E13" s="52" t="s">
        <v>134</v>
      </c>
    </row>
    <row r="14" spans="2:5" ht="14.25" thickTop="1">
      <c r="C14" s="127">
        <v>0</v>
      </c>
      <c r="D14" s="60" t="s">
        <v>146</v>
      </c>
      <c r="E14" s="132" t="s">
        <v>147</v>
      </c>
    </row>
    <row r="15" spans="2:5">
      <c r="C15" s="128">
        <v>1</v>
      </c>
      <c r="D15" s="61" t="s">
        <v>23</v>
      </c>
      <c r="E15" s="50" t="s">
        <v>135</v>
      </c>
    </row>
    <row r="16" spans="2:5">
      <c r="C16" s="128">
        <v>2</v>
      </c>
      <c r="D16" s="61" t="s">
        <v>24</v>
      </c>
      <c r="E16" s="50" t="s">
        <v>136</v>
      </c>
    </row>
    <row r="17" spans="2:5">
      <c r="C17" s="128">
        <v>3</v>
      </c>
      <c r="D17" s="61" t="s">
        <v>25</v>
      </c>
      <c r="E17" s="50" t="s">
        <v>137</v>
      </c>
    </row>
    <row r="18" spans="2:5">
      <c r="C18" s="128">
        <v>4</v>
      </c>
      <c r="D18" s="61" t="s">
        <v>26</v>
      </c>
      <c r="E18" s="50" t="s">
        <v>138</v>
      </c>
    </row>
    <row r="19" spans="2:5">
      <c r="C19" s="128">
        <v>5</v>
      </c>
      <c r="D19" s="61" t="s">
        <v>148</v>
      </c>
      <c r="E19" s="50" t="s">
        <v>150</v>
      </c>
    </row>
    <row r="20" spans="2:5">
      <c r="C20" s="128">
        <v>6</v>
      </c>
      <c r="D20" s="61" t="s">
        <v>154</v>
      </c>
      <c r="E20" s="50" t="s">
        <v>174</v>
      </c>
    </row>
    <row r="21" spans="2:5" ht="14.25" thickBot="1">
      <c r="C21" s="131"/>
      <c r="D21" s="62"/>
      <c r="E21" s="5"/>
    </row>
    <row r="24" spans="2:5" ht="14.25" thickBot="1">
      <c r="B24" s="123" t="s">
        <v>142</v>
      </c>
    </row>
    <row r="25" spans="2:5" ht="14.25" thickBot="1">
      <c r="C25" s="130" t="s">
        <v>132</v>
      </c>
      <c r="D25" s="59" t="s">
        <v>133</v>
      </c>
      <c r="E25" s="52" t="s">
        <v>134</v>
      </c>
    </row>
    <row r="26" spans="2:5" ht="30.75" customHeight="1" thickTop="1">
      <c r="C26" s="127">
        <v>0</v>
      </c>
      <c r="D26" s="60" t="s">
        <v>143</v>
      </c>
      <c r="E26" s="132" t="s">
        <v>151</v>
      </c>
    </row>
    <row r="27" spans="2:5" ht="120" customHeight="1">
      <c r="C27" s="128">
        <v>1</v>
      </c>
      <c r="D27" s="61" t="s">
        <v>176</v>
      </c>
      <c r="E27" s="63" t="s">
        <v>178</v>
      </c>
    </row>
    <row r="28" spans="2:5" ht="81" customHeight="1">
      <c r="C28" s="128">
        <v>2</v>
      </c>
      <c r="D28" s="61" t="s">
        <v>173</v>
      </c>
      <c r="E28" s="63" t="s">
        <v>183</v>
      </c>
    </row>
    <row r="29" spans="2:5" ht="45" customHeight="1">
      <c r="C29" s="128">
        <v>3</v>
      </c>
      <c r="D29" s="61" t="s">
        <v>149</v>
      </c>
      <c r="E29" s="63" t="s">
        <v>152</v>
      </c>
    </row>
    <row r="30" spans="2:5" ht="16.5" customHeight="1">
      <c r="C30" s="128">
        <v>4</v>
      </c>
      <c r="D30" s="61" t="s">
        <v>144</v>
      </c>
      <c r="E30" s="50" t="s">
        <v>158</v>
      </c>
    </row>
    <row r="31" spans="2:5" ht="16.5" customHeight="1">
      <c r="C31" s="128">
        <v>5</v>
      </c>
      <c r="D31" s="61" t="s">
        <v>145</v>
      </c>
      <c r="E31" s="50" t="s">
        <v>153</v>
      </c>
    </row>
    <row r="32" spans="2:5">
      <c r="C32" s="128"/>
      <c r="D32" s="61"/>
      <c r="E32" s="50"/>
    </row>
    <row r="33" spans="2:5">
      <c r="C33" s="128"/>
      <c r="D33" s="61"/>
      <c r="E33" s="50"/>
    </row>
    <row r="34" spans="2:5" ht="14.25" thickBot="1">
      <c r="C34" s="131"/>
      <c r="D34" s="62"/>
      <c r="E34" s="5"/>
    </row>
    <row r="37" spans="2:5" ht="14.25" thickBot="1">
      <c r="B37" s="123" t="s">
        <v>170</v>
      </c>
    </row>
    <row r="38" spans="2:5">
      <c r="C38" s="270"/>
      <c r="D38" s="271"/>
      <c r="E38" s="86" t="s">
        <v>118</v>
      </c>
    </row>
    <row r="39" spans="2:5" ht="14.25" thickBot="1">
      <c r="C39" s="272"/>
      <c r="D39" s="273"/>
      <c r="E39" s="5"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130" zoomScaleNormal="130" workbookViewId="0">
      <selection activeCell="H13" sqref="H1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4" t="s">
        <v>18</v>
      </c>
      <c r="C2" s="275"/>
      <c r="D2" s="280" t="s">
        <v>245</v>
      </c>
      <c r="E2" s="281"/>
      <c r="F2" s="281"/>
      <c r="G2" s="281"/>
      <c r="H2" s="282"/>
    </row>
    <row r="3" spans="2:14">
      <c r="B3" s="276" t="s">
        <v>116</v>
      </c>
      <c r="C3" s="277"/>
      <c r="D3" s="283" t="s">
        <v>298</v>
      </c>
      <c r="E3" s="284"/>
      <c r="F3" s="284"/>
      <c r="G3" s="284"/>
      <c r="H3" s="285"/>
    </row>
    <row r="4" spans="2:14" ht="14.25" thickBot="1">
      <c r="B4" s="278" t="s">
        <v>17</v>
      </c>
      <c r="C4" s="279"/>
      <c r="D4" s="286" t="str">
        <f ca="1">_表紙!D3&amp;".c"</f>
        <v>alert_D_ATMAL-CSTD-0-00-A-C0.c</v>
      </c>
      <c r="E4" s="287"/>
      <c r="F4" s="287"/>
      <c r="G4" s="287"/>
      <c r="H4" s="288"/>
    </row>
    <row r="5" spans="2:14" ht="14.25" thickBot="1">
      <c r="D5" t="str">
        <f ca="1">IF(LEN(_表紙!D3&amp;".c") = LENB(_表紙!D3&amp;".c"),"※モジュール名 全角チェックOK","※モジュール名 全角チェックNG：ファイル名に全角文字が使用されています！")</f>
        <v>※モジュール名 全角チェックOK</v>
      </c>
    </row>
    <row r="6" spans="2:14">
      <c r="B6" s="274" t="s">
        <v>36</v>
      </c>
      <c r="C6" s="275"/>
      <c r="D6" s="289" t="str">
        <f ca="1">MID(D4, LEN("alert_") + 1, FIND("-",D4,1) - LEN("alert_") - 1)</f>
        <v>D_ATMAL</v>
      </c>
      <c r="E6" s="290"/>
      <c r="F6" s="290"/>
      <c r="G6" s="290"/>
      <c r="H6" s="291"/>
    </row>
    <row r="7" spans="2:14">
      <c r="B7" s="276" t="s">
        <v>37</v>
      </c>
      <c r="C7" s="277"/>
      <c r="D7" s="292">
        <f>COUNTA($D$13:$D$37)</f>
        <v>1</v>
      </c>
      <c r="E7" s="293"/>
      <c r="F7" s="293"/>
      <c r="G7" s="293"/>
      <c r="H7" s="294"/>
    </row>
    <row r="8" spans="2:14">
      <c r="B8" s="276" t="s">
        <v>95</v>
      </c>
      <c r="C8" s="277"/>
      <c r="D8" s="292" t="str">
        <f ca="1">"st_gp_ALERT_"&amp;UPPER(D6)&amp;"_MTRX"</f>
        <v>st_gp_ALERT_D_ATMAL_MTRX</v>
      </c>
      <c r="E8" s="293"/>
      <c r="F8" s="293"/>
      <c r="G8" s="293"/>
      <c r="H8" s="294"/>
    </row>
    <row r="9" spans="2:14">
      <c r="B9" s="276" t="s">
        <v>38</v>
      </c>
      <c r="C9" s="277"/>
      <c r="D9" s="295" t="s">
        <v>246</v>
      </c>
      <c r="E9" s="296"/>
      <c r="F9" s="296"/>
      <c r="G9" s="296"/>
      <c r="H9" s="297"/>
    </row>
    <row r="10" spans="2:14" ht="14.25" thickBot="1">
      <c r="B10" s="278" t="s">
        <v>44</v>
      </c>
      <c r="C10" s="279"/>
      <c r="D10" s="298"/>
      <c r="E10" s="299"/>
      <c r="F10" s="299"/>
      <c r="G10" s="299"/>
      <c r="H10" s="300"/>
    </row>
    <row r="11" spans="2:14" ht="14.25" thickBot="1"/>
    <row r="12" spans="2:14" ht="14.25" thickBot="1">
      <c r="B12" s="114" t="s">
        <v>34</v>
      </c>
      <c r="C12" s="76" t="s">
        <v>43</v>
      </c>
      <c r="D12" s="77" t="s">
        <v>35</v>
      </c>
      <c r="E12" s="77" t="s">
        <v>39</v>
      </c>
      <c r="F12" s="77" t="s">
        <v>40</v>
      </c>
      <c r="G12" s="77" t="s">
        <v>41</v>
      </c>
      <c r="H12" s="78" t="s">
        <v>42</v>
      </c>
      <c r="I12" s="119" t="s">
        <v>51</v>
      </c>
      <c r="K12" s="26" t="s">
        <v>45</v>
      </c>
      <c r="L12" s="26" t="s">
        <v>38</v>
      </c>
      <c r="M12" t="s">
        <v>87</v>
      </c>
    </row>
    <row r="13" spans="2:14" ht="14.25" thickTop="1">
      <c r="B13" s="79">
        <v>1</v>
      </c>
      <c r="C13" s="84" t="s">
        <v>31</v>
      </c>
      <c r="D13" s="85" t="s">
        <v>48</v>
      </c>
      <c r="E13" s="85" t="s">
        <v>235</v>
      </c>
      <c r="F13" s="32" t="str">
        <f t="shared" ref="F13:F37" ca="1" si="0">IF($D13&lt;&gt;"","u4_s_Alert"&amp;UPPER(LEFT($D$6,1))&amp;LOWER(MID($D$6,2,100))&amp;IF($D$7=1,"",N13)&amp;"Srcchk","")</f>
        <v>u4_s_AlertD_atmalSrcchk</v>
      </c>
      <c r="G13" s="32" t="str">
        <f t="shared" ref="G13:G37" ca="1" si="1">IF($D13&lt;&gt;"",IF($E13="○","vd_s_Alert"&amp;UPPER(LEFT($D$6,1))&amp;LOWER(MID($D$6,2,100))&amp;IF($D$7=1,"",N13)&amp;"RwTx","NULL"),"")</f>
        <v>vd_s_AlertD_atmalRwTx</v>
      </c>
      <c r="H13" s="83" t="str">
        <f ca="1">IF($D13&lt;&gt;"","ALERT_CH_"&amp;UPPER($D$6)&amp;IF($D$7=1,"","_"&amp;UPPER($C13)),"")</f>
        <v>ALERT_CH_D_ATMAL</v>
      </c>
      <c r="I13" s="120" t="str">
        <f ca="1">IF($D13&lt;&gt;"","ALERT_REQ_"&amp;UPPER($D$6)&amp;IF($D$7=1,"","_"&amp;UPPER($C13)),"")</f>
        <v>ALERT_REQ_D_ATMAL</v>
      </c>
      <c r="K13" t="s">
        <v>46</v>
      </c>
      <c r="L13" t="s">
        <v>50</v>
      </c>
      <c r="M13" t="e">
        <f t="shared" ref="M13:M37" si="2">FIND("_",C13,1)</f>
        <v>#VALUE!</v>
      </c>
      <c r="N13" t="str">
        <f t="shared" ref="N13:N37" si="3">IF(IFERROR(M13,0),UPPER(LEFT(C13,1))&amp;LOWER(MID(C13,2,M13-2))&amp;UPPER(MID(C13,M13+1,1))&amp;LOWER(MID(C13,M13+2,100)),UPPER(LEFT(C13,1))&amp;LOWER(MID(C13,2,100)))</f>
        <v>-</v>
      </c>
    </row>
    <row r="14" spans="2:14">
      <c r="B14" s="69">
        <v>2</v>
      </c>
      <c r="C14" s="117"/>
      <c r="D14" s="118"/>
      <c r="E14" s="118"/>
      <c r="F14" s="27" t="str">
        <f t="shared" si="0"/>
        <v/>
      </c>
      <c r="G14" s="27" t="str">
        <f t="shared" si="1"/>
        <v/>
      </c>
      <c r="H14" s="48" t="str">
        <f t="shared" ref="H14:H37" si="4">IF($D14&lt;&gt;"","ALERT_CH_"&amp;UPPER($D$6)&amp;IF($D$7=1,"","_"&amp;UPPER($C14)),"")</f>
        <v/>
      </c>
      <c r="I14" s="121" t="str">
        <f t="shared" ref="I14:I37" si="5">IF($D14&lt;&gt;"","ALERT_REQ_"&amp;UPPER($D$6)&amp;IF($D$7=1,"","_"&amp;UPPER($C14)),"")</f>
        <v/>
      </c>
      <c r="K14" t="s">
        <v>47</v>
      </c>
      <c r="L14" t="str">
        <f ca="1">"vd_g_Alert"&amp;UPPER(LEFT(D6,1))&amp;LOWER(MID(D6,2,100))&amp;"Init"</f>
        <v>vd_g_AlertD_atmalInit</v>
      </c>
      <c r="M14" t="e">
        <f t="shared" si="2"/>
        <v>#VALUE!</v>
      </c>
      <c r="N14" t="str">
        <f t="shared" si="3"/>
        <v/>
      </c>
    </row>
    <row r="15" spans="2:14">
      <c r="B15" s="69">
        <v>3</v>
      </c>
      <c r="C15" s="117"/>
      <c r="D15" s="118"/>
      <c r="E15" s="118"/>
      <c r="F15" s="27" t="str">
        <f t="shared" si="0"/>
        <v/>
      </c>
      <c r="G15" s="27" t="str">
        <f t="shared" si="1"/>
        <v/>
      </c>
      <c r="H15" s="48" t="str">
        <f t="shared" si="4"/>
        <v/>
      </c>
      <c r="I15" s="121" t="str">
        <f t="shared" si="5"/>
        <v/>
      </c>
      <c r="K15" t="s">
        <v>120</v>
      </c>
      <c r="M15" t="e">
        <f t="shared" si="2"/>
        <v>#VALUE!</v>
      </c>
      <c r="N15" t="str">
        <f t="shared" si="3"/>
        <v/>
      </c>
    </row>
    <row r="16" spans="2:14">
      <c r="B16" s="69">
        <v>4</v>
      </c>
      <c r="C16" s="117"/>
      <c r="D16" s="118"/>
      <c r="E16" s="118"/>
      <c r="F16" s="27" t="str">
        <f t="shared" si="0"/>
        <v/>
      </c>
      <c r="G16" s="27" t="str">
        <f t="shared" si="1"/>
        <v/>
      </c>
      <c r="H16" s="48" t="str">
        <f t="shared" si="4"/>
        <v/>
      </c>
      <c r="I16" s="121" t="str">
        <f t="shared" si="5"/>
        <v/>
      </c>
      <c r="K16" t="s">
        <v>121</v>
      </c>
      <c r="M16" t="e">
        <f t="shared" si="2"/>
        <v>#VALUE!</v>
      </c>
      <c r="N16" t="str">
        <f t="shared" si="3"/>
        <v/>
      </c>
    </row>
    <row r="17" spans="2:14">
      <c r="B17" s="69">
        <v>5</v>
      </c>
      <c r="C17" s="117"/>
      <c r="D17" s="118"/>
      <c r="E17" s="118"/>
      <c r="F17" s="27" t="str">
        <f t="shared" si="0"/>
        <v/>
      </c>
      <c r="G17" s="27" t="str">
        <f t="shared" si="1"/>
        <v/>
      </c>
      <c r="H17" s="48" t="str">
        <f t="shared" si="4"/>
        <v/>
      </c>
      <c r="I17" s="121" t="str">
        <f t="shared" si="5"/>
        <v/>
      </c>
      <c r="K17" t="s">
        <v>48</v>
      </c>
      <c r="M17" t="e">
        <f t="shared" si="2"/>
        <v>#VALUE!</v>
      </c>
      <c r="N17" t="str">
        <f t="shared" si="3"/>
        <v/>
      </c>
    </row>
    <row r="18" spans="2:14">
      <c r="B18" s="69">
        <v>6</v>
      </c>
      <c r="C18" s="117"/>
      <c r="D18" s="118"/>
      <c r="E18" s="118"/>
      <c r="F18" s="27" t="str">
        <f t="shared" si="0"/>
        <v/>
      </c>
      <c r="G18" s="27" t="str">
        <f t="shared" si="1"/>
        <v/>
      </c>
      <c r="H18" s="48" t="str">
        <f t="shared" si="4"/>
        <v/>
      </c>
      <c r="I18" s="121" t="str">
        <f t="shared" si="5"/>
        <v/>
      </c>
      <c r="K18" t="s">
        <v>49</v>
      </c>
      <c r="M18" t="e">
        <f t="shared" si="2"/>
        <v>#VALUE!</v>
      </c>
      <c r="N18" t="str">
        <f t="shared" si="3"/>
        <v/>
      </c>
    </row>
    <row r="19" spans="2:14">
      <c r="B19" s="69">
        <v>7</v>
      </c>
      <c r="C19" s="117"/>
      <c r="D19" s="118"/>
      <c r="E19" s="118"/>
      <c r="F19" s="27" t="str">
        <f t="shared" si="0"/>
        <v/>
      </c>
      <c r="G19" s="27" t="str">
        <f t="shared" si="1"/>
        <v/>
      </c>
      <c r="H19" s="48" t="str">
        <f t="shared" si="4"/>
        <v/>
      </c>
      <c r="I19" s="121" t="str">
        <f t="shared" si="5"/>
        <v/>
      </c>
      <c r="K19" t="s">
        <v>49</v>
      </c>
      <c r="M19" t="e">
        <f t="shared" si="2"/>
        <v>#VALUE!</v>
      </c>
      <c r="N19" t="str">
        <f t="shared" si="3"/>
        <v/>
      </c>
    </row>
    <row r="20" spans="2:14">
      <c r="B20" s="69">
        <v>8</v>
      </c>
      <c r="C20" s="117"/>
      <c r="D20" s="118"/>
      <c r="E20" s="118"/>
      <c r="F20" s="27" t="str">
        <f t="shared" si="0"/>
        <v/>
      </c>
      <c r="G20" s="27" t="str">
        <f t="shared" si="1"/>
        <v/>
      </c>
      <c r="H20" s="48" t="str">
        <f t="shared" si="4"/>
        <v/>
      </c>
      <c r="I20" s="121" t="str">
        <f t="shared" si="5"/>
        <v/>
      </c>
      <c r="K20" t="s">
        <v>49</v>
      </c>
      <c r="M20" t="e">
        <f t="shared" si="2"/>
        <v>#VALUE!</v>
      </c>
      <c r="N20" t="str">
        <f t="shared" si="3"/>
        <v/>
      </c>
    </row>
    <row r="21" spans="2:14">
      <c r="B21" s="69">
        <v>9</v>
      </c>
      <c r="C21" s="117"/>
      <c r="D21" s="118"/>
      <c r="E21" s="118"/>
      <c r="F21" s="27" t="str">
        <f t="shared" si="0"/>
        <v/>
      </c>
      <c r="G21" s="27" t="str">
        <f t="shared" si="1"/>
        <v/>
      </c>
      <c r="H21" s="48" t="str">
        <f t="shared" si="4"/>
        <v/>
      </c>
      <c r="I21" s="121" t="str">
        <f t="shared" si="5"/>
        <v/>
      </c>
      <c r="K21" t="s">
        <v>49</v>
      </c>
      <c r="M21" t="e">
        <f t="shared" si="2"/>
        <v>#VALUE!</v>
      </c>
      <c r="N21" t="str">
        <f t="shared" si="3"/>
        <v/>
      </c>
    </row>
    <row r="22" spans="2:14">
      <c r="B22" s="69">
        <v>10</v>
      </c>
      <c r="C22" s="117"/>
      <c r="D22" s="118"/>
      <c r="E22" s="118"/>
      <c r="F22" s="27" t="str">
        <f t="shared" si="0"/>
        <v/>
      </c>
      <c r="G22" s="27" t="str">
        <f t="shared" si="1"/>
        <v/>
      </c>
      <c r="H22" s="48" t="str">
        <f t="shared" si="4"/>
        <v/>
      </c>
      <c r="I22" s="121" t="str">
        <f t="shared" si="5"/>
        <v/>
      </c>
      <c r="K22" t="s">
        <v>49</v>
      </c>
      <c r="M22" t="e">
        <f t="shared" si="2"/>
        <v>#VALUE!</v>
      </c>
      <c r="N22" t="str">
        <f t="shared" si="3"/>
        <v/>
      </c>
    </row>
    <row r="23" spans="2:14">
      <c r="B23" s="69">
        <v>11</v>
      </c>
      <c r="C23" s="117"/>
      <c r="D23" s="118"/>
      <c r="E23" s="118"/>
      <c r="F23" s="27" t="str">
        <f t="shared" si="0"/>
        <v/>
      </c>
      <c r="G23" s="27" t="str">
        <f t="shared" si="1"/>
        <v/>
      </c>
      <c r="H23" s="48" t="str">
        <f t="shared" si="4"/>
        <v/>
      </c>
      <c r="I23" s="121" t="str">
        <f t="shared" si="5"/>
        <v/>
      </c>
      <c r="K23" t="s">
        <v>49</v>
      </c>
      <c r="M23" t="e">
        <f t="shared" si="2"/>
        <v>#VALUE!</v>
      </c>
      <c r="N23" t="str">
        <f t="shared" si="3"/>
        <v/>
      </c>
    </row>
    <row r="24" spans="2:14">
      <c r="B24" s="69">
        <v>12</v>
      </c>
      <c r="C24" s="117"/>
      <c r="D24" s="118"/>
      <c r="E24" s="118"/>
      <c r="F24" s="27" t="str">
        <f t="shared" si="0"/>
        <v/>
      </c>
      <c r="G24" s="27" t="str">
        <f t="shared" si="1"/>
        <v/>
      </c>
      <c r="H24" s="48" t="str">
        <f t="shared" si="4"/>
        <v/>
      </c>
      <c r="I24" s="121" t="str">
        <f t="shared" si="5"/>
        <v/>
      </c>
      <c r="K24" t="s">
        <v>49</v>
      </c>
      <c r="M24" t="e">
        <f t="shared" si="2"/>
        <v>#VALUE!</v>
      </c>
      <c r="N24" t="str">
        <f t="shared" si="3"/>
        <v/>
      </c>
    </row>
    <row r="25" spans="2:14">
      <c r="B25" s="69">
        <v>13</v>
      </c>
      <c r="C25" s="117"/>
      <c r="D25" s="118"/>
      <c r="E25" s="118"/>
      <c r="F25" s="27" t="str">
        <f t="shared" si="0"/>
        <v/>
      </c>
      <c r="G25" s="27" t="str">
        <f t="shared" si="1"/>
        <v/>
      </c>
      <c r="H25" s="48" t="str">
        <f t="shared" si="4"/>
        <v/>
      </c>
      <c r="I25" s="121" t="str">
        <f t="shared" si="5"/>
        <v/>
      </c>
      <c r="K25" t="s">
        <v>49</v>
      </c>
      <c r="M25" t="e">
        <f t="shared" si="2"/>
        <v>#VALUE!</v>
      </c>
      <c r="N25" t="str">
        <f t="shared" si="3"/>
        <v/>
      </c>
    </row>
    <row r="26" spans="2:14">
      <c r="B26" s="69">
        <v>14</v>
      </c>
      <c r="C26" s="117"/>
      <c r="D26" s="118"/>
      <c r="E26" s="118"/>
      <c r="F26" s="27" t="str">
        <f t="shared" si="0"/>
        <v/>
      </c>
      <c r="G26" s="27" t="str">
        <f t="shared" si="1"/>
        <v/>
      </c>
      <c r="H26" s="48" t="str">
        <f t="shared" si="4"/>
        <v/>
      </c>
      <c r="I26" s="121" t="str">
        <f t="shared" si="5"/>
        <v/>
      </c>
      <c r="K26" t="s">
        <v>49</v>
      </c>
      <c r="M26" t="e">
        <f t="shared" si="2"/>
        <v>#VALUE!</v>
      </c>
      <c r="N26" t="str">
        <f t="shared" si="3"/>
        <v/>
      </c>
    </row>
    <row r="27" spans="2:14">
      <c r="B27" s="69">
        <v>15</v>
      </c>
      <c r="C27" s="117"/>
      <c r="D27" s="118"/>
      <c r="E27" s="118"/>
      <c r="F27" s="27" t="str">
        <f t="shared" si="0"/>
        <v/>
      </c>
      <c r="G27" s="27" t="str">
        <f t="shared" si="1"/>
        <v/>
      </c>
      <c r="H27" s="48" t="str">
        <f t="shared" si="4"/>
        <v/>
      </c>
      <c r="I27" s="121" t="str">
        <f t="shared" si="5"/>
        <v/>
      </c>
      <c r="K27" t="s">
        <v>49</v>
      </c>
      <c r="M27" t="e">
        <f t="shared" si="2"/>
        <v>#VALUE!</v>
      </c>
      <c r="N27" t="str">
        <f t="shared" si="3"/>
        <v/>
      </c>
    </row>
    <row r="28" spans="2:14">
      <c r="B28" s="69">
        <v>16</v>
      </c>
      <c r="C28" s="117"/>
      <c r="D28" s="118"/>
      <c r="E28" s="118"/>
      <c r="F28" s="27" t="str">
        <f t="shared" si="0"/>
        <v/>
      </c>
      <c r="G28" s="27" t="str">
        <f t="shared" si="1"/>
        <v/>
      </c>
      <c r="H28" s="48" t="str">
        <f t="shared" si="4"/>
        <v/>
      </c>
      <c r="I28" s="121" t="str">
        <f t="shared" si="5"/>
        <v/>
      </c>
      <c r="K28" t="s">
        <v>49</v>
      </c>
      <c r="M28" t="e">
        <f t="shared" si="2"/>
        <v>#VALUE!</v>
      </c>
      <c r="N28" t="str">
        <f t="shared" si="3"/>
        <v/>
      </c>
    </row>
    <row r="29" spans="2:14">
      <c r="B29" s="69">
        <v>17</v>
      </c>
      <c r="C29" s="117"/>
      <c r="D29" s="118"/>
      <c r="E29" s="118"/>
      <c r="F29" s="27" t="str">
        <f t="shared" si="0"/>
        <v/>
      </c>
      <c r="G29" s="27" t="str">
        <f t="shared" si="1"/>
        <v/>
      </c>
      <c r="H29" s="48" t="str">
        <f t="shared" si="4"/>
        <v/>
      </c>
      <c r="I29" s="121" t="str">
        <f t="shared" si="5"/>
        <v/>
      </c>
      <c r="K29" t="s">
        <v>49</v>
      </c>
      <c r="M29" t="e">
        <f t="shared" si="2"/>
        <v>#VALUE!</v>
      </c>
      <c r="N29" t="str">
        <f t="shared" si="3"/>
        <v/>
      </c>
    </row>
    <row r="30" spans="2:14">
      <c r="B30" s="69">
        <v>18</v>
      </c>
      <c r="C30" s="117"/>
      <c r="D30" s="118"/>
      <c r="E30" s="118"/>
      <c r="F30" s="27" t="str">
        <f t="shared" si="0"/>
        <v/>
      </c>
      <c r="G30" s="27" t="str">
        <f t="shared" si="1"/>
        <v/>
      </c>
      <c r="H30" s="48" t="str">
        <f t="shared" si="4"/>
        <v/>
      </c>
      <c r="I30" s="121" t="str">
        <f t="shared" si="5"/>
        <v/>
      </c>
      <c r="K30" t="s">
        <v>49</v>
      </c>
      <c r="M30" t="e">
        <f t="shared" si="2"/>
        <v>#VALUE!</v>
      </c>
      <c r="N30" t="str">
        <f t="shared" si="3"/>
        <v/>
      </c>
    </row>
    <row r="31" spans="2:14">
      <c r="B31" s="69">
        <v>19</v>
      </c>
      <c r="C31" s="117"/>
      <c r="D31" s="118"/>
      <c r="E31" s="118"/>
      <c r="F31" s="27" t="str">
        <f t="shared" si="0"/>
        <v/>
      </c>
      <c r="G31" s="27" t="str">
        <f t="shared" si="1"/>
        <v/>
      </c>
      <c r="H31" s="48" t="str">
        <f t="shared" si="4"/>
        <v/>
      </c>
      <c r="I31" s="121" t="str">
        <f t="shared" si="5"/>
        <v/>
      </c>
      <c r="K31" t="s">
        <v>49</v>
      </c>
      <c r="M31" t="e">
        <f t="shared" si="2"/>
        <v>#VALUE!</v>
      </c>
      <c r="N31" t="str">
        <f t="shared" si="3"/>
        <v/>
      </c>
    </row>
    <row r="32" spans="2:14">
      <c r="B32" s="69">
        <v>20</v>
      </c>
      <c r="C32" s="117"/>
      <c r="D32" s="118"/>
      <c r="E32" s="118"/>
      <c r="F32" s="27" t="str">
        <f t="shared" si="0"/>
        <v/>
      </c>
      <c r="G32" s="27" t="str">
        <f t="shared" si="1"/>
        <v/>
      </c>
      <c r="H32" s="48" t="str">
        <f t="shared" si="4"/>
        <v/>
      </c>
      <c r="I32" s="121" t="str">
        <f t="shared" si="5"/>
        <v/>
      </c>
      <c r="K32" t="s">
        <v>49</v>
      </c>
      <c r="M32" t="e">
        <f t="shared" si="2"/>
        <v>#VALUE!</v>
      </c>
      <c r="N32" t="str">
        <f t="shared" si="3"/>
        <v/>
      </c>
    </row>
    <row r="33" spans="2:14">
      <c r="B33" s="69">
        <v>21</v>
      </c>
      <c r="C33" s="117"/>
      <c r="D33" s="118"/>
      <c r="E33" s="118"/>
      <c r="F33" s="27" t="str">
        <f t="shared" si="0"/>
        <v/>
      </c>
      <c r="G33" s="27" t="str">
        <f t="shared" si="1"/>
        <v/>
      </c>
      <c r="H33" s="48" t="str">
        <f t="shared" si="4"/>
        <v/>
      </c>
      <c r="I33" s="121" t="str">
        <f t="shared" si="5"/>
        <v/>
      </c>
      <c r="K33" t="s">
        <v>49</v>
      </c>
      <c r="M33" t="e">
        <f t="shared" si="2"/>
        <v>#VALUE!</v>
      </c>
      <c r="N33" t="str">
        <f t="shared" si="3"/>
        <v/>
      </c>
    </row>
    <row r="34" spans="2:14">
      <c r="B34" s="69">
        <v>22</v>
      </c>
      <c r="C34" s="117"/>
      <c r="D34" s="118"/>
      <c r="E34" s="118"/>
      <c r="F34" s="27" t="str">
        <f t="shared" si="0"/>
        <v/>
      </c>
      <c r="G34" s="27" t="str">
        <f t="shared" si="1"/>
        <v/>
      </c>
      <c r="H34" s="48" t="str">
        <f t="shared" si="4"/>
        <v/>
      </c>
      <c r="I34" s="121" t="str">
        <f t="shared" si="5"/>
        <v/>
      </c>
      <c r="K34" t="s">
        <v>49</v>
      </c>
      <c r="M34" t="e">
        <f t="shared" si="2"/>
        <v>#VALUE!</v>
      </c>
      <c r="N34" t="str">
        <f t="shared" si="3"/>
        <v/>
      </c>
    </row>
    <row r="35" spans="2:14">
      <c r="B35" s="69">
        <v>23</v>
      </c>
      <c r="C35" s="117"/>
      <c r="D35" s="118"/>
      <c r="E35" s="118"/>
      <c r="F35" s="27" t="str">
        <f t="shared" si="0"/>
        <v/>
      </c>
      <c r="G35" s="27" t="str">
        <f t="shared" si="1"/>
        <v/>
      </c>
      <c r="H35" s="48" t="str">
        <f t="shared" si="4"/>
        <v/>
      </c>
      <c r="I35" s="121" t="str">
        <f t="shared" si="5"/>
        <v/>
      </c>
      <c r="K35" t="s">
        <v>49</v>
      </c>
      <c r="M35" t="e">
        <f t="shared" si="2"/>
        <v>#VALUE!</v>
      </c>
      <c r="N35" t="str">
        <f t="shared" si="3"/>
        <v/>
      </c>
    </row>
    <row r="36" spans="2:14">
      <c r="B36" s="69">
        <v>24</v>
      </c>
      <c r="C36" s="117"/>
      <c r="D36" s="118"/>
      <c r="E36" s="118"/>
      <c r="F36" s="27" t="str">
        <f t="shared" si="0"/>
        <v/>
      </c>
      <c r="G36" s="27" t="str">
        <f t="shared" si="1"/>
        <v/>
      </c>
      <c r="H36" s="48" t="str">
        <f t="shared" si="4"/>
        <v/>
      </c>
      <c r="I36" s="121" t="str">
        <f t="shared" si="5"/>
        <v/>
      </c>
      <c r="K36" t="s">
        <v>49</v>
      </c>
      <c r="M36" t="e">
        <f t="shared" si="2"/>
        <v>#VALUE!</v>
      </c>
      <c r="N36" t="str">
        <f t="shared" si="3"/>
        <v/>
      </c>
    </row>
    <row r="37" spans="2:14" ht="14.25" thickBot="1">
      <c r="B37" s="70">
        <v>25</v>
      </c>
      <c r="C37" s="115"/>
      <c r="D37" s="116"/>
      <c r="E37" s="116"/>
      <c r="F37" s="35" t="str">
        <f t="shared" si="0"/>
        <v/>
      </c>
      <c r="G37" s="35" t="str">
        <f t="shared" si="1"/>
        <v/>
      </c>
      <c r="H37" s="49" t="str">
        <f t="shared" si="4"/>
        <v/>
      </c>
      <c r="I37" s="12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7" priority="4">
      <formula>14&lt;LEN($D$6)+LEN($C13)</formula>
    </cfRule>
  </conditionalFormatting>
  <conditionalFormatting sqref="D6">
    <cfRule type="expression" dxfId="16" priority="3">
      <formula>14 &lt; LEN($D$6)</formula>
    </cfRule>
  </conditionalFormatting>
  <conditionalFormatting sqref="D5">
    <cfRule type="containsText" dxfId="15"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195</v>
      </c>
      <c r="O2" t="s">
        <v>197</v>
      </c>
    </row>
    <row r="3" spans="2:18" ht="14.25" thickBot="1">
      <c r="B3" s="114" t="s">
        <v>34</v>
      </c>
      <c r="C3" s="77" t="s">
        <v>185</v>
      </c>
      <c r="D3" s="77" t="s">
        <v>191</v>
      </c>
      <c r="E3" s="78" t="s">
        <v>192</v>
      </c>
      <c r="F3" s="148" t="s">
        <v>187</v>
      </c>
      <c r="G3" s="145" t="s">
        <v>200</v>
      </c>
      <c r="H3" s="26"/>
      <c r="I3" s="26"/>
      <c r="J3" s="26"/>
      <c r="K3" s="26"/>
      <c r="L3" s="26"/>
      <c r="M3" s="26"/>
      <c r="O3" s="114" t="s">
        <v>34</v>
      </c>
      <c r="P3" s="144" t="s">
        <v>181</v>
      </c>
      <c r="Q3" s="144" t="s">
        <v>194</v>
      </c>
      <c r="R3" s="145" t="s">
        <v>187</v>
      </c>
    </row>
    <row r="4" spans="2:18" ht="14.25" hidden="1" thickTop="1">
      <c r="B4" s="136">
        <v>0</v>
      </c>
      <c r="C4" s="137" t="s">
        <v>171</v>
      </c>
      <c r="D4" s="137"/>
      <c r="E4" s="138"/>
      <c r="F4" s="149"/>
      <c r="G4" s="150"/>
      <c r="H4" s="26"/>
      <c r="I4" s="26"/>
      <c r="J4" s="26"/>
      <c r="K4" s="26"/>
      <c r="L4" s="26"/>
      <c r="M4" s="26"/>
      <c r="O4" s="146">
        <v>0</v>
      </c>
      <c r="P4" s="143" t="s">
        <v>171</v>
      </c>
      <c r="Q4" s="143" t="s">
        <v>171</v>
      </c>
      <c r="R4" s="113"/>
    </row>
    <row r="5" spans="2:18" ht="14.25" thickTop="1">
      <c r="B5" s="139">
        <v>1</v>
      </c>
      <c r="C5" s="118"/>
      <c r="D5" s="23"/>
      <c r="E5" s="48" t="str">
        <f>IF($C5&lt;&gt;"","ALERT_" &amp; D5 &amp; "_ID_"&amp;UPPER(Matrix!$D$6) &amp; "_" &amp; $C5,"")</f>
        <v/>
      </c>
      <c r="F5" s="90"/>
      <c r="G5" s="48" t="str">
        <f>IF(E5&lt;&gt;"",LEN(E5),"")</f>
        <v/>
      </c>
      <c r="O5" s="139">
        <v>1</v>
      </c>
      <c r="P5" s="118"/>
      <c r="Q5" s="118"/>
      <c r="R5" s="91"/>
    </row>
    <row r="6" spans="2:18">
      <c r="B6" s="139">
        <v>2</v>
      </c>
      <c r="C6" s="118"/>
      <c r="D6" s="23"/>
      <c r="E6" s="48" t="str">
        <f>IF($C6&lt;&gt;"","ALERT_" &amp; D6 &amp; "_ID_"&amp;UPPER(Matrix!$D$6) &amp; "_" &amp; $C6,"")</f>
        <v/>
      </c>
      <c r="F6" s="90"/>
      <c r="G6" s="48" t="str">
        <f t="shared" ref="G6:G29" si="0">IF(E6&lt;&gt;"",LEN(E6),"")</f>
        <v/>
      </c>
      <c r="O6" s="139">
        <v>2</v>
      </c>
      <c r="P6" s="118"/>
      <c r="Q6" s="118"/>
      <c r="R6" s="91"/>
    </row>
    <row r="7" spans="2:18">
      <c r="B7" s="139">
        <v>3</v>
      </c>
      <c r="C7" s="118"/>
      <c r="D7" s="23"/>
      <c r="E7" s="48" t="str">
        <f>IF($C7&lt;&gt;"","ALERT_" &amp; D7 &amp; "_ID_"&amp;UPPER(Matrix!$D$6) &amp; "_" &amp; $C7,"")</f>
        <v/>
      </c>
      <c r="F7" s="90"/>
      <c r="G7" s="48" t="str">
        <f t="shared" si="0"/>
        <v/>
      </c>
      <c r="O7" s="139">
        <v>3</v>
      </c>
      <c r="P7" s="118"/>
      <c r="Q7" s="118"/>
      <c r="R7" s="91"/>
    </row>
    <row r="8" spans="2:18">
      <c r="B8" s="139">
        <v>4</v>
      </c>
      <c r="C8" s="118"/>
      <c r="D8" s="23"/>
      <c r="E8" s="48" t="str">
        <f>IF($C8&lt;&gt;"","ALERT_" &amp; D8 &amp; "_ID_"&amp;UPPER(Matrix!$D$6) &amp; "_" &amp; $C8,"")</f>
        <v/>
      </c>
      <c r="F8" s="90"/>
      <c r="G8" s="48" t="str">
        <f t="shared" si="0"/>
        <v/>
      </c>
      <c r="O8" s="139">
        <v>4</v>
      </c>
      <c r="P8" s="118"/>
      <c r="Q8" s="118"/>
      <c r="R8" s="91"/>
    </row>
    <row r="9" spans="2:18">
      <c r="B9" s="139">
        <v>5</v>
      </c>
      <c r="C9" s="118"/>
      <c r="D9" s="23"/>
      <c r="E9" s="48" t="str">
        <f>IF($C9&lt;&gt;"","ALERT_" &amp; D9 &amp; "_ID_"&amp;UPPER(Matrix!$D$6) &amp; "_" &amp; $C9,"")</f>
        <v/>
      </c>
      <c r="F9" s="90"/>
      <c r="G9" s="48" t="str">
        <f t="shared" si="0"/>
        <v/>
      </c>
      <c r="O9" s="139">
        <v>5</v>
      </c>
      <c r="P9" s="118"/>
      <c r="Q9" s="118"/>
      <c r="R9" s="91"/>
    </row>
    <row r="10" spans="2:18">
      <c r="B10" s="139">
        <v>6</v>
      </c>
      <c r="C10" s="118"/>
      <c r="D10" s="23"/>
      <c r="E10" s="48" t="str">
        <f>IF($C10&lt;&gt;"","ALERT_" &amp; D10 &amp; "_ID_"&amp;UPPER(Matrix!$D$6) &amp; "_" &amp; $C10,"")</f>
        <v/>
      </c>
      <c r="F10" s="90"/>
      <c r="G10" s="48" t="str">
        <f t="shared" si="0"/>
        <v/>
      </c>
      <c r="O10" s="139">
        <v>6</v>
      </c>
      <c r="P10" s="118"/>
      <c r="Q10" s="118"/>
      <c r="R10" s="91"/>
    </row>
    <row r="11" spans="2:18">
      <c r="B11" s="139">
        <v>7</v>
      </c>
      <c r="C11" s="118"/>
      <c r="D11" s="23"/>
      <c r="E11" s="48" t="str">
        <f>IF($C11&lt;&gt;"","ALERT_" &amp; D11 &amp; "_ID_"&amp;UPPER(Matrix!$D$6) &amp; "_" &amp; $C11,"")</f>
        <v/>
      </c>
      <c r="F11" s="90"/>
      <c r="G11" s="48" t="str">
        <f t="shared" si="0"/>
        <v/>
      </c>
      <c r="O11" s="139">
        <v>7</v>
      </c>
      <c r="P11" s="118"/>
      <c r="Q11" s="118"/>
      <c r="R11" s="91"/>
    </row>
    <row r="12" spans="2:18">
      <c r="B12" s="139">
        <v>8</v>
      </c>
      <c r="C12" s="118"/>
      <c r="D12" s="23"/>
      <c r="E12" s="48" t="str">
        <f>IF($C12&lt;&gt;"","ALERT_" &amp; D12 &amp; "_ID_"&amp;UPPER(Matrix!$D$6) &amp; "_" &amp; $C12,"")</f>
        <v/>
      </c>
      <c r="F12" s="90"/>
      <c r="G12" s="48" t="str">
        <f t="shared" si="0"/>
        <v/>
      </c>
      <c r="O12" s="139">
        <v>8</v>
      </c>
      <c r="P12" s="118"/>
      <c r="Q12" s="118"/>
      <c r="R12" s="91"/>
    </row>
    <row r="13" spans="2:18">
      <c r="B13" s="139">
        <v>9</v>
      </c>
      <c r="C13" s="118"/>
      <c r="D13" s="23"/>
      <c r="E13" s="48" t="str">
        <f>IF($C13&lt;&gt;"","ALERT_" &amp; D13 &amp; "_ID_"&amp;UPPER(Matrix!$D$6) &amp; "_" &amp; $C13,"")</f>
        <v/>
      </c>
      <c r="F13" s="90"/>
      <c r="G13" s="48" t="str">
        <f t="shared" si="0"/>
        <v/>
      </c>
      <c r="O13" s="139">
        <v>9</v>
      </c>
      <c r="P13" s="118"/>
      <c r="Q13" s="118"/>
      <c r="R13" s="91"/>
    </row>
    <row r="14" spans="2:18">
      <c r="B14" s="139">
        <v>10</v>
      </c>
      <c r="C14" s="118"/>
      <c r="D14" s="23"/>
      <c r="E14" s="48" t="str">
        <f>IF($C14&lt;&gt;"","ALERT_" &amp; D14 &amp; "_ID_"&amp;UPPER(Matrix!$D$6) &amp; "_" &amp; $C14,"")</f>
        <v/>
      </c>
      <c r="F14" s="90"/>
      <c r="G14" s="48" t="str">
        <f t="shared" si="0"/>
        <v/>
      </c>
      <c r="O14" s="139">
        <v>10</v>
      </c>
      <c r="P14" s="118"/>
      <c r="Q14" s="118"/>
      <c r="R14" s="91"/>
    </row>
    <row r="15" spans="2:18">
      <c r="B15" s="139">
        <v>11</v>
      </c>
      <c r="C15" s="118"/>
      <c r="D15" s="23"/>
      <c r="E15" s="48" t="str">
        <f>IF($C15&lt;&gt;"","ALERT_" &amp; D15 &amp; "_ID_"&amp;UPPER(Matrix!$D$6) &amp; "_" &amp; $C15,"")</f>
        <v/>
      </c>
      <c r="F15" s="90"/>
      <c r="G15" s="48" t="str">
        <f t="shared" si="0"/>
        <v/>
      </c>
      <c r="O15" s="139">
        <v>11</v>
      </c>
      <c r="P15" s="118"/>
      <c r="Q15" s="118"/>
      <c r="R15" s="91"/>
    </row>
    <row r="16" spans="2:18">
      <c r="B16" s="139">
        <v>12</v>
      </c>
      <c r="C16" s="118"/>
      <c r="D16" s="23"/>
      <c r="E16" s="48" t="str">
        <f>IF($C16&lt;&gt;"","ALERT_" &amp; D16 &amp; "_ID_"&amp;UPPER(Matrix!$D$6) &amp; "_" &amp; $C16,"")</f>
        <v/>
      </c>
      <c r="F16" s="90"/>
      <c r="G16" s="48" t="str">
        <f t="shared" si="0"/>
        <v/>
      </c>
      <c r="O16" s="139">
        <v>12</v>
      </c>
      <c r="P16" s="118"/>
      <c r="Q16" s="118"/>
      <c r="R16" s="91"/>
    </row>
    <row r="17" spans="2:18">
      <c r="B17" s="139">
        <v>13</v>
      </c>
      <c r="C17" s="118"/>
      <c r="D17" s="23"/>
      <c r="E17" s="48" t="str">
        <f>IF($C17&lt;&gt;"","ALERT_" &amp; D17 &amp; "_ID_"&amp;UPPER(Matrix!$D$6) &amp; "_" &amp; $C17,"")</f>
        <v/>
      </c>
      <c r="F17" s="90"/>
      <c r="G17" s="48" t="str">
        <f t="shared" si="0"/>
        <v/>
      </c>
      <c r="O17" s="139">
        <v>13</v>
      </c>
      <c r="P17" s="118"/>
      <c r="Q17" s="118"/>
      <c r="R17" s="91"/>
    </row>
    <row r="18" spans="2:18">
      <c r="B18" s="139">
        <v>14</v>
      </c>
      <c r="C18" s="118"/>
      <c r="D18" s="23"/>
      <c r="E18" s="48" t="str">
        <f>IF($C18&lt;&gt;"","ALERT_" &amp; D18 &amp; "_ID_"&amp;UPPER(Matrix!$D$6) &amp; "_" &amp; $C18,"")</f>
        <v/>
      </c>
      <c r="F18" s="90"/>
      <c r="G18" s="48" t="str">
        <f t="shared" si="0"/>
        <v/>
      </c>
      <c r="O18" s="139">
        <v>14</v>
      </c>
      <c r="P18" s="118"/>
      <c r="Q18" s="118"/>
      <c r="R18" s="91"/>
    </row>
    <row r="19" spans="2:18">
      <c r="B19" s="139">
        <v>15</v>
      </c>
      <c r="C19" s="118"/>
      <c r="D19" s="23"/>
      <c r="E19" s="48" t="str">
        <f>IF($C19&lt;&gt;"","ALERT_" &amp; D19 &amp; "_ID_"&amp;UPPER(Matrix!$D$6) &amp; "_" &amp; $C19,"")</f>
        <v/>
      </c>
      <c r="F19" s="90"/>
      <c r="G19" s="48" t="str">
        <f t="shared" si="0"/>
        <v/>
      </c>
      <c r="O19" s="139">
        <v>15</v>
      </c>
      <c r="P19" s="118"/>
      <c r="Q19" s="118"/>
      <c r="R19" s="91"/>
    </row>
    <row r="20" spans="2:18">
      <c r="B20" s="139">
        <v>16</v>
      </c>
      <c r="C20" s="118"/>
      <c r="D20" s="23"/>
      <c r="E20" s="48" t="str">
        <f>IF($C20&lt;&gt;"","ALERT_" &amp; D20 &amp; "_ID_"&amp;UPPER(Matrix!$D$6) &amp; "_" &amp; $C20,"")</f>
        <v/>
      </c>
      <c r="F20" s="90"/>
      <c r="G20" s="48" t="str">
        <f t="shared" si="0"/>
        <v/>
      </c>
      <c r="O20" s="139">
        <v>16</v>
      </c>
      <c r="P20" s="118"/>
      <c r="Q20" s="118"/>
      <c r="R20" s="91"/>
    </row>
    <row r="21" spans="2:18">
      <c r="B21" s="139">
        <v>17</v>
      </c>
      <c r="C21" s="118"/>
      <c r="D21" s="23"/>
      <c r="E21" s="48" t="str">
        <f>IF($C21&lt;&gt;"","ALERT_" &amp; D21 &amp; "_ID_"&amp;UPPER(Matrix!$D$6) &amp; "_" &amp; $C21,"")</f>
        <v/>
      </c>
      <c r="F21" s="90"/>
      <c r="G21" s="48" t="str">
        <f t="shared" si="0"/>
        <v/>
      </c>
      <c r="O21" s="139">
        <v>17</v>
      </c>
      <c r="P21" s="118"/>
      <c r="Q21" s="118"/>
      <c r="R21" s="91"/>
    </row>
    <row r="22" spans="2:18">
      <c r="B22" s="139">
        <v>18</v>
      </c>
      <c r="C22" s="118"/>
      <c r="D22" s="23"/>
      <c r="E22" s="48" t="str">
        <f>IF($C22&lt;&gt;"","ALERT_" &amp; D22 &amp; "_ID_"&amp;UPPER(Matrix!$D$6) &amp; "_" &amp; $C22,"")</f>
        <v/>
      </c>
      <c r="F22" s="90"/>
      <c r="G22" s="48" t="str">
        <f t="shared" si="0"/>
        <v/>
      </c>
      <c r="O22" s="139">
        <v>18</v>
      </c>
      <c r="P22" s="118"/>
      <c r="Q22" s="118"/>
      <c r="R22" s="91"/>
    </row>
    <row r="23" spans="2:18">
      <c r="B23" s="139">
        <v>19</v>
      </c>
      <c r="C23" s="118"/>
      <c r="D23" s="23"/>
      <c r="E23" s="48" t="str">
        <f>IF($C23&lt;&gt;"","ALERT_" &amp; D23 &amp; "_ID_"&amp;UPPER(Matrix!$D$6) &amp; "_" &amp; $C23,"")</f>
        <v/>
      </c>
      <c r="F23" s="90"/>
      <c r="G23" s="48" t="str">
        <f t="shared" si="0"/>
        <v/>
      </c>
      <c r="O23" s="139">
        <v>19</v>
      </c>
      <c r="P23" s="118"/>
      <c r="Q23" s="118"/>
      <c r="R23" s="91"/>
    </row>
    <row r="24" spans="2:18">
      <c r="B24" s="139">
        <v>20</v>
      </c>
      <c r="C24" s="118"/>
      <c r="D24" s="23"/>
      <c r="E24" s="48" t="str">
        <f>IF($C24&lt;&gt;"","ALERT_" &amp; D24 &amp; "_ID_"&amp;UPPER(Matrix!$D$6) &amp; "_" &amp; $C24,"")</f>
        <v/>
      </c>
      <c r="F24" s="90"/>
      <c r="G24" s="48" t="str">
        <f t="shared" si="0"/>
        <v/>
      </c>
      <c r="O24" s="139">
        <v>20</v>
      </c>
      <c r="P24" s="118"/>
      <c r="Q24" s="118"/>
      <c r="R24" s="91"/>
    </row>
    <row r="25" spans="2:18">
      <c r="B25" s="139">
        <v>21</v>
      </c>
      <c r="C25" s="118"/>
      <c r="D25" s="23"/>
      <c r="E25" s="48" t="str">
        <f>IF($C25&lt;&gt;"","ALERT_" &amp; D25 &amp; "_ID_"&amp;UPPER(Matrix!$D$6) &amp; "_" &amp; $C25,"")</f>
        <v/>
      </c>
      <c r="F25" s="90"/>
      <c r="G25" s="48" t="str">
        <f t="shared" si="0"/>
        <v/>
      </c>
      <c r="O25" s="139">
        <v>21</v>
      </c>
      <c r="P25" s="118"/>
      <c r="Q25" s="118"/>
      <c r="R25" s="91"/>
    </row>
    <row r="26" spans="2:18">
      <c r="B26" s="139">
        <v>22</v>
      </c>
      <c r="C26" s="118"/>
      <c r="D26" s="23"/>
      <c r="E26" s="48" t="str">
        <f>IF($C26&lt;&gt;"","ALERT_" &amp; D26 &amp; "_ID_"&amp;UPPER(Matrix!$D$6) &amp; "_" &amp; $C26,"")</f>
        <v/>
      </c>
      <c r="F26" s="90"/>
      <c r="G26" s="48" t="str">
        <f t="shared" si="0"/>
        <v/>
      </c>
      <c r="O26" s="139">
        <v>22</v>
      </c>
      <c r="P26" s="118"/>
      <c r="Q26" s="118"/>
      <c r="R26" s="91"/>
    </row>
    <row r="27" spans="2:18">
      <c r="B27" s="139">
        <v>23</v>
      </c>
      <c r="C27" s="118"/>
      <c r="D27" s="23"/>
      <c r="E27" s="48" t="str">
        <f>IF($C27&lt;&gt;"","ALERT_" &amp; D27 &amp; "_ID_"&amp;UPPER(Matrix!$D$6) &amp; "_" &amp; $C27,"")</f>
        <v/>
      </c>
      <c r="F27" s="90"/>
      <c r="G27" s="48" t="str">
        <f t="shared" si="0"/>
        <v/>
      </c>
      <c r="O27" s="139">
        <v>23</v>
      </c>
      <c r="P27" s="118"/>
      <c r="Q27" s="118"/>
      <c r="R27" s="91"/>
    </row>
    <row r="28" spans="2:18">
      <c r="B28" s="139">
        <v>24</v>
      </c>
      <c r="C28" s="118"/>
      <c r="D28" s="23"/>
      <c r="E28" s="48" t="str">
        <f>IF($C28&lt;&gt;"","ALERT_" &amp; D28 &amp; "_ID_"&amp;UPPER(Matrix!$D$6) &amp; "_" &amp; $C28,"")</f>
        <v/>
      </c>
      <c r="F28" s="90"/>
      <c r="G28" s="48" t="str">
        <f t="shared" si="0"/>
        <v/>
      </c>
      <c r="O28" s="139">
        <v>24</v>
      </c>
      <c r="P28" s="118"/>
      <c r="Q28" s="118"/>
      <c r="R28" s="91"/>
    </row>
    <row r="29" spans="2:18" ht="14.25" thickBot="1">
      <c r="B29" s="140">
        <v>25</v>
      </c>
      <c r="C29" s="116"/>
      <c r="D29" s="34"/>
      <c r="E29" s="49" t="str">
        <f>IF($C29&lt;&gt;"","ALERT_" &amp; D29 &amp; "_ID_"&amp;UPPER(Matrix!$D$6) &amp; "_" &amp; $C29,"")</f>
        <v/>
      </c>
      <c r="F29" s="92"/>
      <c r="G29" s="49" t="str">
        <f t="shared" si="0"/>
        <v/>
      </c>
      <c r="O29" s="140">
        <v>25</v>
      </c>
      <c r="P29" s="116"/>
      <c r="Q29" s="116"/>
      <c r="R29" s="93"/>
    </row>
    <row r="32" spans="2:18" ht="14.25" thickBot="1">
      <c r="B32" t="s">
        <v>196</v>
      </c>
      <c r="O32" t="s">
        <v>193</v>
      </c>
    </row>
    <row r="33" spans="2:18" ht="14.25" thickBot="1">
      <c r="B33" s="114" t="s">
        <v>34</v>
      </c>
      <c r="C33" s="77" t="s">
        <v>185</v>
      </c>
      <c r="D33" s="77" t="s">
        <v>190</v>
      </c>
      <c r="E33" s="78" t="s">
        <v>188</v>
      </c>
      <c r="F33" s="145" t="s">
        <v>189</v>
      </c>
      <c r="G33" s="145" t="s">
        <v>200</v>
      </c>
      <c r="O33" s="114" t="s">
        <v>34</v>
      </c>
      <c r="P33" s="144" t="s">
        <v>182</v>
      </c>
      <c r="Q33" s="144" t="s">
        <v>198</v>
      </c>
      <c r="R33" s="145" t="s">
        <v>186</v>
      </c>
    </row>
    <row r="34" spans="2:18" ht="14.25" hidden="1" thickTop="1">
      <c r="B34" s="136">
        <v>0</v>
      </c>
      <c r="C34" s="137" t="s">
        <v>171</v>
      </c>
      <c r="D34" s="137"/>
      <c r="E34" s="138"/>
      <c r="F34" s="147" t="s">
        <v>171</v>
      </c>
      <c r="G34" s="150"/>
      <c r="O34" s="146">
        <v>0</v>
      </c>
      <c r="P34" s="143" t="s">
        <v>171</v>
      </c>
      <c r="Q34" s="143" t="s">
        <v>171</v>
      </c>
      <c r="R34" s="147" t="s">
        <v>171</v>
      </c>
    </row>
    <row r="35" spans="2:18" ht="14.25" thickTop="1">
      <c r="B35" s="139">
        <v>1</v>
      </c>
      <c r="C35" s="118"/>
      <c r="D35" s="23"/>
      <c r="E35" s="48" t="str">
        <f>IF($C35&lt;&gt;"","ALERT_" &amp; UPPER(Matrix!$D$6) &amp; "_" &amp; $C35,"")</f>
        <v/>
      </c>
      <c r="F35" s="141"/>
      <c r="G35" s="48" t="str">
        <f>IF(E35&lt;&gt;"",LEN(E35),"")</f>
        <v/>
      </c>
      <c r="O35" s="139">
        <v>1</v>
      </c>
      <c r="P35" s="118"/>
      <c r="Q35" s="118"/>
      <c r="R35" s="141"/>
    </row>
    <row r="36" spans="2:18">
      <c r="B36" s="139">
        <v>2</v>
      </c>
      <c r="C36" s="118"/>
      <c r="D36" s="23"/>
      <c r="E36" s="48" t="str">
        <f>IF($C36&lt;&gt;"","ALERT_" &amp; UPPER(Matrix!$D$6) &amp; "_" &amp; $C36,"")</f>
        <v/>
      </c>
      <c r="F36" s="141"/>
      <c r="G36" s="48" t="str">
        <f>IF(E36&lt;&gt;"",LEN(E36),"")</f>
        <v/>
      </c>
      <c r="O36" s="139">
        <v>2</v>
      </c>
      <c r="P36" s="118"/>
      <c r="Q36" s="118"/>
      <c r="R36" s="141"/>
    </row>
    <row r="37" spans="2:18">
      <c r="B37" s="139">
        <v>3</v>
      </c>
      <c r="C37" s="118"/>
      <c r="D37" s="23"/>
      <c r="E37" s="48" t="str">
        <f>IF($C37&lt;&gt;"","ALERT_" &amp; UPPER(Matrix!$D$6) &amp; "_" &amp; $C37,"")</f>
        <v/>
      </c>
      <c r="F37" s="141"/>
      <c r="G37" s="48" t="str">
        <f>IF(E37&lt;&gt;"",LEN(E37),"")</f>
        <v/>
      </c>
      <c r="O37" s="139">
        <v>3</v>
      </c>
      <c r="P37" s="118"/>
      <c r="Q37" s="118"/>
      <c r="R37" s="141"/>
    </row>
    <row r="38" spans="2:18">
      <c r="B38" s="139">
        <v>4</v>
      </c>
      <c r="C38" s="118"/>
      <c r="D38" s="23"/>
      <c r="E38" s="48" t="str">
        <f>IF($C38&lt;&gt;"","ALERT_" &amp; UPPER(Matrix!$D$6) &amp; "_" &amp; $C38,"")</f>
        <v/>
      </c>
      <c r="F38" s="141"/>
      <c r="G38" s="48" t="str">
        <f t="shared" ref="G38:G59" si="1">IF(E38&lt;&gt;"",LEN(E38),"")</f>
        <v/>
      </c>
      <c r="O38" s="139">
        <v>4</v>
      </c>
      <c r="P38" s="118"/>
      <c r="Q38" s="118"/>
      <c r="R38" s="141"/>
    </row>
    <row r="39" spans="2:18">
      <c r="B39" s="139">
        <v>5</v>
      </c>
      <c r="C39" s="118"/>
      <c r="D39" s="23"/>
      <c r="E39" s="48" t="str">
        <f>IF($C39&lt;&gt;"","ALERT_" &amp; UPPER(Matrix!$D$6) &amp; "_" &amp; $C39,"")</f>
        <v/>
      </c>
      <c r="F39" s="141"/>
      <c r="G39" s="48" t="str">
        <f t="shared" si="1"/>
        <v/>
      </c>
      <c r="O39" s="139">
        <v>5</v>
      </c>
      <c r="P39" s="118"/>
      <c r="Q39" s="118"/>
      <c r="R39" s="141"/>
    </row>
    <row r="40" spans="2:18">
      <c r="B40" s="139">
        <v>6</v>
      </c>
      <c r="C40" s="118"/>
      <c r="D40" s="23"/>
      <c r="E40" s="48" t="str">
        <f>IF($C40&lt;&gt;"","ALERT_" &amp; UPPER(Matrix!$D$6) &amp; "_" &amp; $C40,"")</f>
        <v/>
      </c>
      <c r="F40" s="141"/>
      <c r="G40" s="48" t="str">
        <f t="shared" si="1"/>
        <v/>
      </c>
      <c r="O40" s="139">
        <v>6</v>
      </c>
      <c r="P40" s="118"/>
      <c r="Q40" s="118"/>
      <c r="R40" s="141"/>
    </row>
    <row r="41" spans="2:18">
      <c r="B41" s="139">
        <v>7</v>
      </c>
      <c r="C41" s="118"/>
      <c r="D41" s="23"/>
      <c r="E41" s="48" t="str">
        <f>IF($C41&lt;&gt;"","ALERT_" &amp; UPPER(Matrix!$D$6) &amp; "_" &amp; $C41,"")</f>
        <v/>
      </c>
      <c r="F41" s="141"/>
      <c r="G41" s="48" t="str">
        <f t="shared" si="1"/>
        <v/>
      </c>
      <c r="O41" s="139">
        <v>7</v>
      </c>
      <c r="P41" s="118"/>
      <c r="Q41" s="118"/>
      <c r="R41" s="141"/>
    </row>
    <row r="42" spans="2:18">
      <c r="B42" s="139">
        <v>8</v>
      </c>
      <c r="C42" s="118"/>
      <c r="D42" s="23"/>
      <c r="E42" s="48" t="str">
        <f>IF($C42&lt;&gt;"","ALERT_" &amp; UPPER(Matrix!$D$6) &amp; "_" &amp; $C42,"")</f>
        <v/>
      </c>
      <c r="F42" s="141"/>
      <c r="G42" s="48" t="str">
        <f t="shared" si="1"/>
        <v/>
      </c>
      <c r="O42" s="139">
        <v>8</v>
      </c>
      <c r="P42" s="118"/>
      <c r="Q42" s="118"/>
      <c r="R42" s="141"/>
    </row>
    <row r="43" spans="2:18">
      <c r="B43" s="139">
        <v>9</v>
      </c>
      <c r="C43" s="118"/>
      <c r="D43" s="23"/>
      <c r="E43" s="48" t="str">
        <f>IF($C43&lt;&gt;"","ALERT_" &amp; UPPER(Matrix!$D$6) &amp; "_" &amp; $C43,"")</f>
        <v/>
      </c>
      <c r="F43" s="141"/>
      <c r="G43" s="48" t="str">
        <f t="shared" si="1"/>
        <v/>
      </c>
      <c r="O43" s="139">
        <v>9</v>
      </c>
      <c r="P43" s="118"/>
      <c r="Q43" s="118"/>
      <c r="R43" s="141"/>
    </row>
    <row r="44" spans="2:18">
      <c r="B44" s="139">
        <v>10</v>
      </c>
      <c r="C44" s="118"/>
      <c r="D44" s="23"/>
      <c r="E44" s="48" t="str">
        <f>IF($C44&lt;&gt;"","ALERT_" &amp; UPPER(Matrix!$D$6) &amp; "_" &amp; $C44,"")</f>
        <v/>
      </c>
      <c r="F44" s="141"/>
      <c r="G44" s="48" t="str">
        <f t="shared" si="1"/>
        <v/>
      </c>
      <c r="O44" s="139">
        <v>10</v>
      </c>
      <c r="P44" s="118"/>
      <c r="Q44" s="118"/>
      <c r="R44" s="141"/>
    </row>
    <row r="45" spans="2:18">
      <c r="B45" s="139">
        <v>11</v>
      </c>
      <c r="C45" s="118"/>
      <c r="D45" s="23"/>
      <c r="E45" s="48" t="str">
        <f>IF($C45&lt;&gt;"","ALERT_" &amp; UPPER(Matrix!$D$6) &amp; "_" &amp; $C45,"")</f>
        <v/>
      </c>
      <c r="F45" s="141"/>
      <c r="G45" s="48" t="str">
        <f t="shared" si="1"/>
        <v/>
      </c>
      <c r="O45" s="139">
        <v>11</v>
      </c>
      <c r="P45" s="118"/>
      <c r="Q45" s="118"/>
      <c r="R45" s="141"/>
    </row>
    <row r="46" spans="2:18">
      <c r="B46" s="139">
        <v>12</v>
      </c>
      <c r="C46" s="118"/>
      <c r="D46" s="23"/>
      <c r="E46" s="48" t="str">
        <f>IF($C46&lt;&gt;"","ALERT_" &amp; UPPER(Matrix!$D$6) &amp; "_" &amp; $C46,"")</f>
        <v/>
      </c>
      <c r="F46" s="141"/>
      <c r="G46" s="48" t="str">
        <f t="shared" si="1"/>
        <v/>
      </c>
      <c r="O46" s="139">
        <v>12</v>
      </c>
      <c r="P46" s="118"/>
      <c r="Q46" s="118"/>
      <c r="R46" s="141"/>
    </row>
    <row r="47" spans="2:18">
      <c r="B47" s="139">
        <v>13</v>
      </c>
      <c r="C47" s="118"/>
      <c r="D47" s="23"/>
      <c r="E47" s="48" t="str">
        <f>IF($C47&lt;&gt;"","ALERT_" &amp; UPPER(Matrix!$D$6) &amp; "_" &amp; $C47,"")</f>
        <v/>
      </c>
      <c r="F47" s="141"/>
      <c r="G47" s="48" t="str">
        <f t="shared" si="1"/>
        <v/>
      </c>
      <c r="O47" s="139">
        <v>13</v>
      </c>
      <c r="P47" s="118"/>
      <c r="Q47" s="118"/>
      <c r="R47" s="141"/>
    </row>
    <row r="48" spans="2:18">
      <c r="B48" s="139">
        <v>14</v>
      </c>
      <c r="C48" s="118"/>
      <c r="D48" s="23"/>
      <c r="E48" s="48" t="str">
        <f>IF($C48&lt;&gt;"","ALERT_" &amp; UPPER(Matrix!$D$6) &amp; "_" &amp; $C48,"")</f>
        <v/>
      </c>
      <c r="F48" s="141"/>
      <c r="G48" s="48" t="str">
        <f t="shared" si="1"/>
        <v/>
      </c>
      <c r="O48" s="139">
        <v>14</v>
      </c>
      <c r="P48" s="118"/>
      <c r="Q48" s="118"/>
      <c r="R48" s="141"/>
    </row>
    <row r="49" spans="2:18">
      <c r="B49" s="139">
        <v>15</v>
      </c>
      <c r="C49" s="118"/>
      <c r="D49" s="23"/>
      <c r="E49" s="48" t="str">
        <f>IF($C49&lt;&gt;"","ALERT_" &amp; UPPER(Matrix!$D$6) &amp; "_" &amp; $C49,"")</f>
        <v/>
      </c>
      <c r="F49" s="141"/>
      <c r="G49" s="48" t="str">
        <f t="shared" si="1"/>
        <v/>
      </c>
      <c r="O49" s="139">
        <v>15</v>
      </c>
      <c r="P49" s="118"/>
      <c r="Q49" s="118"/>
      <c r="R49" s="141"/>
    </row>
    <row r="50" spans="2:18">
      <c r="B50" s="139">
        <v>16</v>
      </c>
      <c r="C50" s="118"/>
      <c r="D50" s="23"/>
      <c r="E50" s="48" t="str">
        <f>IF($C50&lt;&gt;"","ALERT_" &amp; UPPER(Matrix!$D$6) &amp; "_" &amp; $C50,"")</f>
        <v/>
      </c>
      <c r="F50" s="141"/>
      <c r="G50" s="48" t="str">
        <f t="shared" si="1"/>
        <v/>
      </c>
      <c r="O50" s="139">
        <v>16</v>
      </c>
      <c r="P50" s="118"/>
      <c r="Q50" s="118"/>
      <c r="R50" s="141"/>
    </row>
    <row r="51" spans="2:18">
      <c r="B51" s="139">
        <v>17</v>
      </c>
      <c r="C51" s="118"/>
      <c r="D51" s="23"/>
      <c r="E51" s="48" t="str">
        <f>IF($C51&lt;&gt;"","ALERT_" &amp; UPPER(Matrix!$D$6) &amp; "_" &amp; $C51,"")</f>
        <v/>
      </c>
      <c r="F51" s="141"/>
      <c r="G51" s="48" t="str">
        <f t="shared" si="1"/>
        <v/>
      </c>
      <c r="O51" s="139">
        <v>17</v>
      </c>
      <c r="P51" s="118"/>
      <c r="Q51" s="118"/>
      <c r="R51" s="141"/>
    </row>
    <row r="52" spans="2:18">
      <c r="B52" s="139">
        <v>18</v>
      </c>
      <c r="C52" s="118"/>
      <c r="D52" s="23"/>
      <c r="E52" s="48" t="str">
        <f>IF($C52&lt;&gt;"","ALERT_" &amp; UPPER(Matrix!$D$6) &amp; "_" &amp; $C52,"")</f>
        <v/>
      </c>
      <c r="F52" s="141"/>
      <c r="G52" s="48" t="str">
        <f t="shared" si="1"/>
        <v/>
      </c>
      <c r="O52" s="139">
        <v>18</v>
      </c>
      <c r="P52" s="118"/>
      <c r="Q52" s="118"/>
      <c r="R52" s="141"/>
    </row>
    <row r="53" spans="2:18">
      <c r="B53" s="139">
        <v>19</v>
      </c>
      <c r="C53" s="118"/>
      <c r="D53" s="23"/>
      <c r="E53" s="48" t="str">
        <f>IF($C53&lt;&gt;"","ALERT_" &amp; UPPER(Matrix!$D$6) &amp; "_" &amp; $C53,"")</f>
        <v/>
      </c>
      <c r="F53" s="141"/>
      <c r="G53" s="48" t="str">
        <f t="shared" si="1"/>
        <v/>
      </c>
      <c r="O53" s="139">
        <v>19</v>
      </c>
      <c r="P53" s="118"/>
      <c r="Q53" s="118"/>
      <c r="R53" s="141"/>
    </row>
    <row r="54" spans="2:18">
      <c r="B54" s="139">
        <v>20</v>
      </c>
      <c r="C54" s="118"/>
      <c r="D54" s="23"/>
      <c r="E54" s="48" t="str">
        <f>IF($C54&lt;&gt;"","ALERT_" &amp; UPPER(Matrix!$D$6) &amp; "_" &amp; $C54,"")</f>
        <v/>
      </c>
      <c r="F54" s="141"/>
      <c r="G54" s="48" t="str">
        <f t="shared" si="1"/>
        <v/>
      </c>
      <c r="O54" s="139">
        <v>20</v>
      </c>
      <c r="P54" s="118"/>
      <c r="Q54" s="118"/>
      <c r="R54" s="141"/>
    </row>
    <row r="55" spans="2:18">
      <c r="B55" s="139">
        <v>21</v>
      </c>
      <c r="C55" s="118"/>
      <c r="D55" s="23"/>
      <c r="E55" s="48" t="str">
        <f>IF($C55&lt;&gt;"","ALERT_" &amp; UPPER(Matrix!$D$6) &amp; "_" &amp; $C55,"")</f>
        <v/>
      </c>
      <c r="F55" s="141"/>
      <c r="G55" s="48" t="str">
        <f t="shared" si="1"/>
        <v/>
      </c>
      <c r="O55" s="139">
        <v>21</v>
      </c>
      <c r="P55" s="118"/>
      <c r="Q55" s="118"/>
      <c r="R55" s="141"/>
    </row>
    <row r="56" spans="2:18">
      <c r="B56" s="139">
        <v>22</v>
      </c>
      <c r="C56" s="118"/>
      <c r="D56" s="23"/>
      <c r="E56" s="48" t="str">
        <f>IF($C56&lt;&gt;"","ALERT_" &amp; UPPER(Matrix!$D$6) &amp; "_" &amp; $C56,"")</f>
        <v/>
      </c>
      <c r="F56" s="141"/>
      <c r="G56" s="48" t="str">
        <f t="shared" si="1"/>
        <v/>
      </c>
      <c r="O56" s="139">
        <v>22</v>
      </c>
      <c r="P56" s="118"/>
      <c r="Q56" s="118"/>
      <c r="R56" s="141"/>
    </row>
    <row r="57" spans="2:18">
      <c r="B57" s="139">
        <v>23</v>
      </c>
      <c r="C57" s="118"/>
      <c r="D57" s="23"/>
      <c r="E57" s="48" t="str">
        <f>IF($C57&lt;&gt;"","ALERT_" &amp; UPPER(Matrix!$D$6) &amp; "_" &amp; $C57,"")</f>
        <v/>
      </c>
      <c r="F57" s="141"/>
      <c r="G57" s="48" t="str">
        <f t="shared" si="1"/>
        <v/>
      </c>
      <c r="O57" s="139">
        <v>23</v>
      </c>
      <c r="P57" s="118"/>
      <c r="Q57" s="118"/>
      <c r="R57" s="141"/>
    </row>
    <row r="58" spans="2:18">
      <c r="B58" s="139">
        <v>24</v>
      </c>
      <c r="C58" s="118"/>
      <c r="D58" s="23"/>
      <c r="E58" s="48" t="str">
        <f>IF($C58&lt;&gt;"","ALERT_" &amp; UPPER(Matrix!$D$6) &amp; "_" &amp; $C58,"")</f>
        <v/>
      </c>
      <c r="F58" s="141"/>
      <c r="G58" s="48" t="str">
        <f t="shared" si="1"/>
        <v/>
      </c>
      <c r="O58" s="139">
        <v>24</v>
      </c>
      <c r="P58" s="118"/>
      <c r="Q58" s="118"/>
      <c r="R58" s="141"/>
    </row>
    <row r="59" spans="2:18" ht="14.25" thickBot="1">
      <c r="B59" s="140">
        <v>25</v>
      </c>
      <c r="C59" s="116"/>
      <c r="D59" s="34"/>
      <c r="E59" s="49" t="str">
        <f>IF($C59&lt;&gt;"","ALERT_" &amp; UPPER(Matrix!$D$6) &amp; "_" &amp; $C59,"")</f>
        <v/>
      </c>
      <c r="F59" s="142"/>
      <c r="G59" s="49" t="str">
        <f t="shared" si="1"/>
        <v/>
      </c>
      <c r="O59" s="140">
        <v>25</v>
      </c>
      <c r="P59" s="116"/>
      <c r="Q59" s="116"/>
      <c r="R59" s="14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C1" zoomScale="115" zoomScaleNormal="115" workbookViewId="0">
      <pane ySplit="2" topLeftCell="A4" activePane="bottomLeft" state="frozen"/>
      <selection pane="bottomLeft" activeCell="K5" sqref="K5:L5"/>
    </sheetView>
  </sheetViews>
  <sheetFormatPr defaultRowHeight="13.5"/>
  <cols>
    <col min="2" max="2" width="28.375" customWidth="1"/>
    <col min="3" max="3" width="15.875" customWidth="1"/>
    <col min="5" max="5" width="12.375" customWidth="1"/>
    <col min="6" max="6" width="19.75" customWidth="1"/>
    <col min="7" max="7" width="12.375" customWidth="1"/>
    <col min="8" max="8" width="33.5" customWidth="1"/>
    <col min="9" max="9" width="12.375" customWidth="1"/>
    <col min="10" max="10" width="32.8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4" t="s">
        <v>104</v>
      </c>
    </row>
    <row r="2" spans="2:21" ht="14.25" thickBot="1">
      <c r="B2" s="71" t="s">
        <v>58</v>
      </c>
      <c r="C2" s="72" t="s">
        <v>122</v>
      </c>
      <c r="D2" s="73" t="s">
        <v>52</v>
      </c>
      <c r="E2" s="74" t="s">
        <v>53</v>
      </c>
      <c r="F2" s="75" t="s">
        <v>23</v>
      </c>
      <c r="G2" s="74" t="s">
        <v>54</v>
      </c>
      <c r="H2" s="75" t="s">
        <v>25</v>
      </c>
      <c r="I2" s="74" t="s">
        <v>55</v>
      </c>
      <c r="J2" s="75" t="s">
        <v>169</v>
      </c>
      <c r="K2" s="74" t="s">
        <v>56</v>
      </c>
      <c r="L2" s="75" t="s">
        <v>26</v>
      </c>
      <c r="M2" s="72" t="s">
        <v>57</v>
      </c>
      <c r="N2" s="75" t="s">
        <v>117</v>
      </c>
      <c r="O2" s="96" t="s">
        <v>83</v>
      </c>
    </row>
    <row r="3" spans="2:21" ht="15" hidden="1" thickTop="1" thickBot="1">
      <c r="B3" s="24"/>
      <c r="C3" s="31" t="s">
        <v>108</v>
      </c>
      <c r="D3" s="87"/>
      <c r="E3" s="12"/>
      <c r="F3" s="14"/>
      <c r="G3" s="12"/>
      <c r="H3" s="14"/>
      <c r="I3" s="12"/>
      <c r="J3" s="14"/>
      <c r="K3" s="12"/>
      <c r="L3" s="14"/>
      <c r="M3" s="32"/>
      <c r="N3" s="83"/>
      <c r="O3" s="97"/>
      <c r="U3" s="68" t="s">
        <v>98</v>
      </c>
    </row>
    <row r="4" spans="2:21" ht="14.25" thickTop="1">
      <c r="B4" s="24" t="s">
        <v>247</v>
      </c>
      <c r="C4" s="31" t="s">
        <v>248</v>
      </c>
      <c r="D4" s="87">
        <v>0</v>
      </c>
      <c r="E4" s="88" t="s">
        <v>126</v>
      </c>
      <c r="F4" s="89" t="s">
        <v>31</v>
      </c>
      <c r="G4" s="88" t="s">
        <v>126</v>
      </c>
      <c r="H4" s="205" t="s">
        <v>31</v>
      </c>
      <c r="I4" s="88" t="s">
        <v>126</v>
      </c>
      <c r="J4" s="89" t="s">
        <v>249</v>
      </c>
      <c r="K4" s="88" t="s">
        <v>126</v>
      </c>
      <c r="L4" s="89" t="s">
        <v>230</v>
      </c>
      <c r="M4" s="32">
        <f ca="1">LEN(N4)</f>
        <v>25</v>
      </c>
      <c r="N4" s="83" t="str">
        <f ca="1">VLOOKUP($B4,Matrix!$H$13:$I$37,2,FALSE)&amp;"_"&amp;C4</f>
        <v>ALERT_REQ_D_ATMAL_MALFUNC</v>
      </c>
      <c r="O4" s="97" t="str">
        <f t="shared" ref="O4:O35" ca="1" si="0">"#define "&amp;N4&amp;REPT(" ",48-M4)&amp;"("&amp;D4&amp;"U)"</f>
        <v>#define ALERT_REQ_D_ATMAL_MALFUNC                       (0U)</v>
      </c>
      <c r="U4" s="68" t="s">
        <v>98</v>
      </c>
    </row>
    <row r="5" spans="2:21">
      <c r="B5" s="24" t="s">
        <v>247</v>
      </c>
      <c r="C5" s="23" t="s">
        <v>26</v>
      </c>
      <c r="D5" s="90">
        <v>1</v>
      </c>
      <c r="E5" s="24" t="s">
        <v>126</v>
      </c>
      <c r="F5" s="91" t="s">
        <v>31</v>
      </c>
      <c r="G5" s="24" t="s">
        <v>126</v>
      </c>
      <c r="H5" s="91" t="s">
        <v>31</v>
      </c>
      <c r="I5" s="24" t="s">
        <v>126</v>
      </c>
      <c r="J5" s="91" t="s">
        <v>31</v>
      </c>
      <c r="K5" s="24" t="s">
        <v>126</v>
      </c>
      <c r="L5" s="91" t="s">
        <v>230</v>
      </c>
      <c r="M5" s="27">
        <f t="shared" ref="M5:M68" ca="1" si="1">LEN(N5)</f>
        <v>20</v>
      </c>
      <c r="N5" s="83" t="str">
        <f ca="1">VLOOKUP($B5,Matrix!$H$13:$I$37,2,FALSE)&amp;"_"&amp;C5</f>
        <v>ALERT_REQ_D_ATMAL_RW</v>
      </c>
      <c r="O5" s="98" t="str">
        <f t="shared" ca="1" si="0"/>
        <v>#define ALERT_REQ_D_ATMAL_RW                            (1U)</v>
      </c>
      <c r="U5" s="66" t="s">
        <v>99</v>
      </c>
    </row>
    <row r="6" spans="2:21">
      <c r="B6" s="24"/>
      <c r="C6" s="80"/>
      <c r="D6" s="94"/>
      <c r="E6" s="24"/>
      <c r="F6" s="91"/>
      <c r="G6" s="24"/>
      <c r="H6" s="91"/>
      <c r="I6" s="24"/>
      <c r="J6" s="91"/>
      <c r="K6" s="24"/>
      <c r="L6" s="91"/>
      <c r="M6" s="27" t="e">
        <f t="shared" ca="1" si="1"/>
        <v>#N/A</v>
      </c>
      <c r="N6" s="83" t="e">
        <f ca="1">VLOOKUP($B6,Matrix!$H$13:$I$37,2,FALSE)&amp;"_"&amp;C6</f>
        <v>#N/A</v>
      </c>
      <c r="O6" s="98" t="e">
        <f t="shared" ca="1" si="0"/>
        <v>#N/A</v>
      </c>
      <c r="U6" s="25" t="s">
        <v>100</v>
      </c>
    </row>
    <row r="7" spans="2:21">
      <c r="B7" s="82"/>
      <c r="C7" s="81"/>
      <c r="D7" s="95"/>
      <c r="E7" s="24"/>
      <c r="F7" s="91"/>
      <c r="G7" s="24"/>
      <c r="H7" s="91"/>
      <c r="I7" s="24"/>
      <c r="J7" s="91"/>
      <c r="K7" s="24"/>
      <c r="L7" s="91"/>
      <c r="M7" s="27" t="e">
        <f t="shared" ca="1" si="1"/>
        <v>#N/A</v>
      </c>
      <c r="N7" s="83" t="e">
        <f ca="1">VLOOKUP($B7,Matrix!$H$13:$I$37,2,FALSE)&amp;"_"&amp;C7</f>
        <v>#N/A</v>
      </c>
      <c r="O7" s="98" t="e">
        <f t="shared" ca="1" si="0"/>
        <v>#N/A</v>
      </c>
      <c r="U7" s="25" t="s">
        <v>101</v>
      </c>
    </row>
    <row r="8" spans="2:21">
      <c r="B8" s="82"/>
      <c r="C8" s="81"/>
      <c r="D8" s="94"/>
      <c r="E8" s="24"/>
      <c r="F8" s="91"/>
      <c r="G8" s="24"/>
      <c r="H8" s="91"/>
      <c r="I8" s="24"/>
      <c r="J8" s="91"/>
      <c r="K8" s="24"/>
      <c r="L8" s="91"/>
      <c r="M8" s="27" t="e">
        <f t="shared" ca="1" si="1"/>
        <v>#N/A</v>
      </c>
      <c r="N8" s="83" t="e">
        <f ca="1">VLOOKUP($B8,Matrix!$H$13:$I$37,2,FALSE)&amp;"_"&amp;C8</f>
        <v>#N/A</v>
      </c>
      <c r="O8" s="98" t="e">
        <f t="shared" ca="1" si="0"/>
        <v>#N/A</v>
      </c>
      <c r="U8" s="25" t="s">
        <v>102</v>
      </c>
    </row>
    <row r="9" spans="2:21">
      <c r="B9" s="24"/>
      <c r="C9" s="23"/>
      <c r="D9" s="95"/>
      <c r="E9" s="24"/>
      <c r="F9" s="91"/>
      <c r="G9" s="24"/>
      <c r="H9" s="91"/>
      <c r="I9" s="24"/>
      <c r="J9" s="91"/>
      <c r="K9" s="24"/>
      <c r="L9" s="91"/>
      <c r="M9" s="27" t="e">
        <f t="shared" ca="1" si="1"/>
        <v>#N/A</v>
      </c>
      <c r="N9" s="83" t="e">
        <f ca="1">VLOOKUP($B9,Matrix!$H$13:$I$37,2,FALSE)&amp;"_"&amp;C9</f>
        <v>#N/A</v>
      </c>
      <c r="O9" s="98" t="e">
        <f t="shared" ca="1" si="0"/>
        <v>#N/A</v>
      </c>
      <c r="U9" s="25" t="s">
        <v>103</v>
      </c>
    </row>
    <row r="10" spans="2:21">
      <c r="B10" s="24"/>
      <c r="C10" s="23"/>
      <c r="D10" s="94"/>
      <c r="E10" s="24"/>
      <c r="F10" s="91"/>
      <c r="G10" s="24"/>
      <c r="H10" s="91"/>
      <c r="I10" s="24"/>
      <c r="J10" s="91"/>
      <c r="K10" s="24"/>
      <c r="L10" s="91"/>
      <c r="M10" s="27" t="e">
        <f t="shared" ca="1" si="1"/>
        <v>#N/A</v>
      </c>
      <c r="N10" s="83" t="e">
        <f ca="1">VLOOKUP($B10,Matrix!$H$13:$I$37,2,FALSE)&amp;"_"&amp;C10</f>
        <v>#N/A</v>
      </c>
      <c r="O10" s="98" t="e">
        <f t="shared" ca="1" si="0"/>
        <v>#N/A</v>
      </c>
      <c r="U10" s="25"/>
    </row>
    <row r="11" spans="2:21">
      <c r="B11" s="24"/>
      <c r="C11" s="23"/>
      <c r="D11" s="90"/>
      <c r="E11" s="24"/>
      <c r="F11" s="91"/>
      <c r="G11" s="24"/>
      <c r="H11" s="91"/>
      <c r="I11" s="24"/>
      <c r="J11" s="91"/>
      <c r="K11" s="24"/>
      <c r="L11" s="91"/>
      <c r="M11" s="27" t="e">
        <f t="shared" ca="1" si="1"/>
        <v>#N/A</v>
      </c>
      <c r="N11" s="83" t="e">
        <f ca="1">VLOOKUP($B11,Matrix!$H$13:$I$37,2,FALSE)&amp;"_"&amp;C11</f>
        <v>#N/A</v>
      </c>
      <c r="O11" s="98" t="e">
        <f t="shared" ca="1" si="0"/>
        <v>#N/A</v>
      </c>
      <c r="U11" s="25"/>
    </row>
    <row r="12" spans="2:21">
      <c r="B12" s="24"/>
      <c r="C12" s="23"/>
      <c r="D12" s="90"/>
      <c r="E12" s="24"/>
      <c r="F12" s="91"/>
      <c r="G12" s="24"/>
      <c r="H12" s="91"/>
      <c r="I12" s="24"/>
      <c r="J12" s="91"/>
      <c r="K12" s="24"/>
      <c r="L12" s="91"/>
      <c r="M12" s="27" t="e">
        <f t="shared" ca="1" si="1"/>
        <v>#N/A</v>
      </c>
      <c r="N12" s="83" t="e">
        <f ca="1">VLOOKUP($B12,Matrix!$H$13:$I$37,2,FALSE)&amp;"_"&amp;C12</f>
        <v>#N/A</v>
      </c>
      <c r="O12" s="98" t="e">
        <f t="shared" ca="1" si="0"/>
        <v>#N/A</v>
      </c>
      <c r="U12" s="25"/>
    </row>
    <row r="13" spans="2:21" ht="14.25" thickBot="1">
      <c r="B13" s="24"/>
      <c r="C13" s="23"/>
      <c r="D13" s="90"/>
      <c r="E13" s="24"/>
      <c r="F13" s="91"/>
      <c r="G13" s="24"/>
      <c r="H13" s="91"/>
      <c r="I13" s="24"/>
      <c r="J13" s="91"/>
      <c r="K13" s="24"/>
      <c r="L13" s="91"/>
      <c r="M13" s="27" t="e">
        <f t="shared" ca="1" si="1"/>
        <v>#N/A</v>
      </c>
      <c r="N13" s="83" t="e">
        <f ca="1">VLOOKUP($B13,Matrix!$H$13:$I$37,2,FALSE)&amp;"_"&amp;C13</f>
        <v>#N/A</v>
      </c>
      <c r="O13" s="98" t="e">
        <f t="shared" ca="1" si="0"/>
        <v>#N/A</v>
      </c>
      <c r="U13" s="67"/>
    </row>
    <row r="14" spans="2:21">
      <c r="B14" s="24"/>
      <c r="C14" s="23"/>
      <c r="D14" s="90"/>
      <c r="E14" s="24"/>
      <c r="F14" s="91"/>
      <c r="G14" s="24"/>
      <c r="H14" s="91"/>
      <c r="I14" s="24"/>
      <c r="J14" s="91"/>
      <c r="K14" s="24"/>
      <c r="L14" s="91"/>
      <c r="M14" s="27" t="e">
        <f t="shared" ca="1" si="1"/>
        <v>#N/A</v>
      </c>
      <c r="N14" s="83" t="e">
        <f ca="1">VLOOKUP($B14,Matrix!$H$13:$I$37,2,FALSE)&amp;"_"&amp;C14</f>
        <v>#N/A</v>
      </c>
      <c r="O14" s="98" t="e">
        <f t="shared" ca="1" si="0"/>
        <v>#N/A</v>
      </c>
    </row>
    <row r="15" spans="2:21">
      <c r="B15" s="24"/>
      <c r="C15" s="23"/>
      <c r="D15" s="90"/>
      <c r="E15" s="24"/>
      <c r="F15" s="91"/>
      <c r="G15" s="24"/>
      <c r="H15" s="91"/>
      <c r="I15" s="24"/>
      <c r="J15" s="91"/>
      <c r="K15" s="24"/>
      <c r="L15" s="91"/>
      <c r="M15" s="27" t="e">
        <f t="shared" ca="1" si="1"/>
        <v>#N/A</v>
      </c>
      <c r="N15" s="83" t="e">
        <f ca="1">VLOOKUP($B15,Matrix!$H$13:$I$37,2,FALSE)&amp;"_"&amp;C15</f>
        <v>#N/A</v>
      </c>
      <c r="O15" s="98" t="e">
        <f t="shared" ca="1" si="0"/>
        <v>#N/A</v>
      </c>
    </row>
    <row r="16" spans="2:21">
      <c r="B16" s="24"/>
      <c r="C16" s="23"/>
      <c r="D16" s="90"/>
      <c r="E16" s="24"/>
      <c r="F16" s="91"/>
      <c r="G16" s="24"/>
      <c r="H16" s="91"/>
      <c r="I16" s="24"/>
      <c r="J16" s="91"/>
      <c r="K16" s="24"/>
      <c r="L16" s="91"/>
      <c r="M16" s="27" t="e">
        <f t="shared" ca="1" si="1"/>
        <v>#N/A</v>
      </c>
      <c r="N16" s="83" t="e">
        <f ca="1">VLOOKUP($B16,Matrix!$H$13:$I$37,2,FALSE)&amp;"_"&amp;C16</f>
        <v>#N/A</v>
      </c>
      <c r="O16" s="98" t="e">
        <f t="shared" ca="1" si="0"/>
        <v>#N/A</v>
      </c>
    </row>
    <row r="17" spans="2:15">
      <c r="B17" s="24"/>
      <c r="C17" s="23"/>
      <c r="D17" s="90"/>
      <c r="E17" s="24"/>
      <c r="F17" s="91"/>
      <c r="G17" s="24"/>
      <c r="H17" s="91"/>
      <c r="I17" s="24"/>
      <c r="J17" s="91"/>
      <c r="K17" s="24"/>
      <c r="L17" s="91"/>
      <c r="M17" s="27" t="e">
        <f t="shared" ca="1" si="1"/>
        <v>#N/A</v>
      </c>
      <c r="N17" s="83" t="e">
        <f ca="1">VLOOKUP($B17,Matrix!$H$13:$I$37,2,FALSE)&amp;"_"&amp;C17</f>
        <v>#N/A</v>
      </c>
      <c r="O17" s="98" t="e">
        <f t="shared" ca="1" si="0"/>
        <v>#N/A</v>
      </c>
    </row>
    <row r="18" spans="2:15">
      <c r="B18" s="24"/>
      <c r="C18" s="23"/>
      <c r="D18" s="90"/>
      <c r="E18" s="24"/>
      <c r="F18" s="91"/>
      <c r="G18" s="24"/>
      <c r="H18" s="91"/>
      <c r="I18" s="24"/>
      <c r="J18" s="91"/>
      <c r="K18" s="24"/>
      <c r="L18" s="91"/>
      <c r="M18" s="27" t="e">
        <f t="shared" ca="1" si="1"/>
        <v>#N/A</v>
      </c>
      <c r="N18" s="83" t="e">
        <f ca="1">VLOOKUP($B18,Matrix!$H$13:$I$37,2,FALSE)&amp;"_"&amp;C18</f>
        <v>#N/A</v>
      </c>
      <c r="O18" s="98" t="e">
        <f t="shared" ca="1" si="0"/>
        <v>#N/A</v>
      </c>
    </row>
    <row r="19" spans="2:15">
      <c r="B19" s="24"/>
      <c r="C19" s="23"/>
      <c r="D19" s="90"/>
      <c r="E19" s="24"/>
      <c r="F19" s="91"/>
      <c r="G19" s="24"/>
      <c r="H19" s="91"/>
      <c r="I19" s="24"/>
      <c r="J19" s="91"/>
      <c r="K19" s="24"/>
      <c r="L19" s="91"/>
      <c r="M19" s="27" t="e">
        <f t="shared" ca="1" si="1"/>
        <v>#N/A</v>
      </c>
      <c r="N19" s="83" t="e">
        <f ca="1">VLOOKUP($B19,Matrix!$H$13:$I$37,2,FALSE)&amp;"_"&amp;C19</f>
        <v>#N/A</v>
      </c>
      <c r="O19" s="98" t="e">
        <f t="shared" ca="1" si="0"/>
        <v>#N/A</v>
      </c>
    </row>
    <row r="20" spans="2:15">
      <c r="B20" s="24"/>
      <c r="C20" s="23"/>
      <c r="D20" s="90"/>
      <c r="E20" s="24"/>
      <c r="F20" s="91"/>
      <c r="G20" s="24"/>
      <c r="H20" s="91"/>
      <c r="I20" s="24"/>
      <c r="J20" s="91"/>
      <c r="K20" s="24"/>
      <c r="L20" s="91"/>
      <c r="M20" s="27" t="e">
        <f t="shared" ca="1" si="1"/>
        <v>#N/A</v>
      </c>
      <c r="N20" s="83" t="e">
        <f ca="1">VLOOKUP($B20,Matrix!$H$13:$I$37,2,FALSE)&amp;"_"&amp;C20</f>
        <v>#N/A</v>
      </c>
      <c r="O20" s="98" t="e">
        <f t="shared" ca="1" si="0"/>
        <v>#N/A</v>
      </c>
    </row>
    <row r="21" spans="2:15">
      <c r="B21" s="24"/>
      <c r="C21" s="23"/>
      <c r="D21" s="90"/>
      <c r="E21" s="24"/>
      <c r="F21" s="91"/>
      <c r="G21" s="24"/>
      <c r="H21" s="91"/>
      <c r="I21" s="24"/>
      <c r="J21" s="91"/>
      <c r="K21" s="24"/>
      <c r="L21" s="91"/>
      <c r="M21" s="27" t="e">
        <f t="shared" ca="1" si="1"/>
        <v>#N/A</v>
      </c>
      <c r="N21" s="83" t="e">
        <f ca="1">VLOOKUP($B21,Matrix!$H$13:$I$37,2,FALSE)&amp;"_"&amp;C21</f>
        <v>#N/A</v>
      </c>
      <c r="O21" s="98" t="e">
        <f t="shared" ca="1" si="0"/>
        <v>#N/A</v>
      </c>
    </row>
    <row r="22" spans="2:15">
      <c r="B22" s="24"/>
      <c r="C22" s="23"/>
      <c r="D22" s="90"/>
      <c r="E22" s="24"/>
      <c r="F22" s="91"/>
      <c r="G22" s="24"/>
      <c r="H22" s="91"/>
      <c r="I22" s="24"/>
      <c r="J22" s="91"/>
      <c r="K22" s="24"/>
      <c r="L22" s="91"/>
      <c r="M22" s="27" t="e">
        <f t="shared" ca="1" si="1"/>
        <v>#N/A</v>
      </c>
      <c r="N22" s="83" t="e">
        <f ca="1">VLOOKUP($B22,Matrix!$H$13:$I$37,2,FALSE)&amp;"_"&amp;C22</f>
        <v>#N/A</v>
      </c>
      <c r="O22" s="98" t="e">
        <f t="shared" ca="1" si="0"/>
        <v>#N/A</v>
      </c>
    </row>
    <row r="23" spans="2:15">
      <c r="B23" s="24"/>
      <c r="C23" s="23"/>
      <c r="D23" s="90"/>
      <c r="E23" s="24"/>
      <c r="F23" s="91"/>
      <c r="G23" s="24"/>
      <c r="H23" s="91"/>
      <c r="I23" s="24"/>
      <c r="J23" s="91"/>
      <c r="K23" s="24"/>
      <c r="L23" s="91"/>
      <c r="M23" s="27" t="e">
        <f t="shared" ca="1" si="1"/>
        <v>#N/A</v>
      </c>
      <c r="N23" s="83" t="e">
        <f ca="1">VLOOKUP($B23,Matrix!$H$13:$I$37,2,FALSE)&amp;"_"&amp;C23</f>
        <v>#N/A</v>
      </c>
      <c r="O23" s="98" t="e">
        <f t="shared" ca="1" si="0"/>
        <v>#N/A</v>
      </c>
    </row>
    <row r="24" spans="2:15">
      <c r="B24" s="24"/>
      <c r="C24" s="23"/>
      <c r="D24" s="90"/>
      <c r="E24" s="24"/>
      <c r="F24" s="91"/>
      <c r="G24" s="24"/>
      <c r="H24" s="91"/>
      <c r="I24" s="24"/>
      <c r="J24" s="91"/>
      <c r="K24" s="24"/>
      <c r="L24" s="91"/>
      <c r="M24" s="27" t="e">
        <f t="shared" ca="1" si="1"/>
        <v>#N/A</v>
      </c>
      <c r="N24" s="83" t="e">
        <f ca="1">VLOOKUP($B24,Matrix!$H$13:$I$37,2,FALSE)&amp;"_"&amp;C24</f>
        <v>#N/A</v>
      </c>
      <c r="O24" s="98" t="e">
        <f t="shared" ca="1" si="0"/>
        <v>#N/A</v>
      </c>
    </row>
    <row r="25" spans="2:15">
      <c r="B25" s="24"/>
      <c r="C25" s="23"/>
      <c r="D25" s="90"/>
      <c r="E25" s="24"/>
      <c r="F25" s="91"/>
      <c r="G25" s="24"/>
      <c r="H25" s="91"/>
      <c r="I25" s="24"/>
      <c r="J25" s="91"/>
      <c r="K25" s="24"/>
      <c r="L25" s="91"/>
      <c r="M25" s="27" t="e">
        <f t="shared" ca="1" si="1"/>
        <v>#N/A</v>
      </c>
      <c r="N25" s="83" t="e">
        <f ca="1">VLOOKUP($B25,Matrix!$H$13:$I$37,2,FALSE)&amp;"_"&amp;C25</f>
        <v>#N/A</v>
      </c>
      <c r="O25" s="98" t="e">
        <f t="shared" ca="1" si="0"/>
        <v>#N/A</v>
      </c>
    </row>
    <row r="26" spans="2:15">
      <c r="B26" s="24"/>
      <c r="C26" s="23"/>
      <c r="D26" s="90"/>
      <c r="E26" s="24"/>
      <c r="F26" s="91"/>
      <c r="G26" s="24"/>
      <c r="H26" s="91"/>
      <c r="I26" s="24"/>
      <c r="J26" s="91"/>
      <c r="K26" s="24"/>
      <c r="L26" s="91"/>
      <c r="M26" s="27" t="e">
        <f t="shared" ca="1" si="1"/>
        <v>#N/A</v>
      </c>
      <c r="N26" s="83" t="e">
        <f ca="1">VLOOKUP($B26,Matrix!$H$13:$I$37,2,FALSE)&amp;"_"&amp;C26</f>
        <v>#N/A</v>
      </c>
      <c r="O26" s="98" t="e">
        <f t="shared" ca="1" si="0"/>
        <v>#N/A</v>
      </c>
    </row>
    <row r="27" spans="2:15">
      <c r="B27" s="24"/>
      <c r="C27" s="23"/>
      <c r="D27" s="90"/>
      <c r="E27" s="24"/>
      <c r="F27" s="91"/>
      <c r="G27" s="24"/>
      <c r="H27" s="91"/>
      <c r="I27" s="24"/>
      <c r="J27" s="91"/>
      <c r="K27" s="24"/>
      <c r="L27" s="91"/>
      <c r="M27" s="27" t="e">
        <f t="shared" ca="1" si="1"/>
        <v>#N/A</v>
      </c>
      <c r="N27" s="83" t="e">
        <f ca="1">VLOOKUP($B27,Matrix!$H$13:$I$37,2,FALSE)&amp;"_"&amp;C27</f>
        <v>#N/A</v>
      </c>
      <c r="O27" s="98" t="e">
        <f t="shared" ca="1" si="0"/>
        <v>#N/A</v>
      </c>
    </row>
    <row r="28" spans="2:15">
      <c r="B28" s="24"/>
      <c r="C28" s="23"/>
      <c r="D28" s="90"/>
      <c r="E28" s="24"/>
      <c r="F28" s="91"/>
      <c r="G28" s="24"/>
      <c r="H28" s="91"/>
      <c r="I28" s="24"/>
      <c r="J28" s="91"/>
      <c r="K28" s="24"/>
      <c r="L28" s="91"/>
      <c r="M28" s="27" t="e">
        <f t="shared" ca="1" si="1"/>
        <v>#N/A</v>
      </c>
      <c r="N28" s="83" t="e">
        <f ca="1">VLOOKUP($B28,Matrix!$H$13:$I$37,2,FALSE)&amp;"_"&amp;C28</f>
        <v>#N/A</v>
      </c>
      <c r="O28" s="98" t="e">
        <f t="shared" ca="1" si="0"/>
        <v>#N/A</v>
      </c>
    </row>
    <row r="29" spans="2:15">
      <c r="B29" s="24"/>
      <c r="C29" s="23"/>
      <c r="D29" s="90"/>
      <c r="E29" s="24"/>
      <c r="F29" s="91"/>
      <c r="G29" s="24"/>
      <c r="H29" s="91"/>
      <c r="I29" s="24"/>
      <c r="J29" s="91"/>
      <c r="K29" s="24"/>
      <c r="L29" s="91"/>
      <c r="M29" s="27" t="e">
        <f t="shared" ca="1" si="1"/>
        <v>#N/A</v>
      </c>
      <c r="N29" s="83" t="e">
        <f ca="1">VLOOKUP($B29,Matrix!$H$13:$I$37,2,FALSE)&amp;"_"&amp;C29</f>
        <v>#N/A</v>
      </c>
      <c r="O29" s="98" t="e">
        <f t="shared" ca="1" si="0"/>
        <v>#N/A</v>
      </c>
    </row>
    <row r="30" spans="2:15">
      <c r="B30" s="24"/>
      <c r="C30" s="23"/>
      <c r="D30" s="90"/>
      <c r="E30" s="24"/>
      <c r="F30" s="91"/>
      <c r="G30" s="24"/>
      <c r="H30" s="91"/>
      <c r="I30" s="24"/>
      <c r="J30" s="91"/>
      <c r="K30" s="24"/>
      <c r="L30" s="91"/>
      <c r="M30" s="27" t="e">
        <f t="shared" ca="1" si="1"/>
        <v>#N/A</v>
      </c>
      <c r="N30" s="83" t="e">
        <f ca="1">VLOOKUP($B30,Matrix!$H$13:$I$37,2,FALSE)&amp;"_"&amp;C30</f>
        <v>#N/A</v>
      </c>
      <c r="O30" s="98" t="e">
        <f t="shared" ca="1" si="0"/>
        <v>#N/A</v>
      </c>
    </row>
    <row r="31" spans="2:15">
      <c r="B31" s="24"/>
      <c r="C31" s="23"/>
      <c r="D31" s="90"/>
      <c r="E31" s="24"/>
      <c r="F31" s="91"/>
      <c r="G31" s="24"/>
      <c r="H31" s="91"/>
      <c r="I31" s="24"/>
      <c r="J31" s="91"/>
      <c r="K31" s="24"/>
      <c r="L31" s="91"/>
      <c r="M31" s="27" t="e">
        <f t="shared" ca="1" si="1"/>
        <v>#N/A</v>
      </c>
      <c r="N31" s="83" t="e">
        <f ca="1">VLOOKUP($B31,Matrix!$H$13:$I$37,2,FALSE)&amp;"_"&amp;C31</f>
        <v>#N/A</v>
      </c>
      <c r="O31" s="98" t="e">
        <f t="shared" ca="1" si="0"/>
        <v>#N/A</v>
      </c>
    </row>
    <row r="32" spans="2:15">
      <c r="B32" s="24"/>
      <c r="C32" s="23"/>
      <c r="D32" s="90"/>
      <c r="E32" s="24"/>
      <c r="F32" s="91"/>
      <c r="G32" s="24"/>
      <c r="H32" s="91"/>
      <c r="I32" s="24"/>
      <c r="J32" s="91"/>
      <c r="K32" s="24"/>
      <c r="L32" s="91"/>
      <c r="M32" s="27" t="e">
        <f t="shared" ca="1" si="1"/>
        <v>#N/A</v>
      </c>
      <c r="N32" s="83" t="e">
        <f ca="1">VLOOKUP($B32,Matrix!$H$13:$I$37,2,FALSE)&amp;"_"&amp;C32</f>
        <v>#N/A</v>
      </c>
      <c r="O32" s="98" t="e">
        <f t="shared" ca="1" si="0"/>
        <v>#N/A</v>
      </c>
    </row>
    <row r="33" spans="2:15">
      <c r="B33" s="24"/>
      <c r="C33" s="23"/>
      <c r="D33" s="90"/>
      <c r="E33" s="24"/>
      <c r="F33" s="91"/>
      <c r="G33" s="24"/>
      <c r="H33" s="91"/>
      <c r="I33" s="24"/>
      <c r="J33" s="91"/>
      <c r="K33" s="24"/>
      <c r="L33" s="91"/>
      <c r="M33" s="27" t="e">
        <f t="shared" ca="1" si="1"/>
        <v>#N/A</v>
      </c>
      <c r="N33" s="83" t="e">
        <f ca="1">VLOOKUP($B33,Matrix!$H$13:$I$37,2,FALSE)&amp;"_"&amp;C33</f>
        <v>#N/A</v>
      </c>
      <c r="O33" s="98" t="e">
        <f t="shared" ca="1" si="0"/>
        <v>#N/A</v>
      </c>
    </row>
    <row r="34" spans="2:15">
      <c r="B34" s="24"/>
      <c r="C34" s="23"/>
      <c r="D34" s="90"/>
      <c r="E34" s="24"/>
      <c r="F34" s="91"/>
      <c r="G34" s="24"/>
      <c r="H34" s="91"/>
      <c r="I34" s="24"/>
      <c r="J34" s="91"/>
      <c r="K34" s="24"/>
      <c r="L34" s="91"/>
      <c r="M34" s="27" t="e">
        <f t="shared" ca="1" si="1"/>
        <v>#N/A</v>
      </c>
      <c r="N34" s="83" t="e">
        <f ca="1">VLOOKUP($B34,Matrix!$H$13:$I$37,2,FALSE)&amp;"_"&amp;C34</f>
        <v>#N/A</v>
      </c>
      <c r="O34" s="98" t="e">
        <f t="shared" ca="1" si="0"/>
        <v>#N/A</v>
      </c>
    </row>
    <row r="35" spans="2:15">
      <c r="B35" s="24"/>
      <c r="C35" s="23"/>
      <c r="D35" s="90"/>
      <c r="E35" s="24"/>
      <c r="F35" s="91"/>
      <c r="G35" s="24"/>
      <c r="H35" s="91"/>
      <c r="I35" s="24"/>
      <c r="J35" s="91"/>
      <c r="K35" s="24"/>
      <c r="L35" s="91"/>
      <c r="M35" s="27" t="e">
        <f t="shared" ca="1" si="1"/>
        <v>#N/A</v>
      </c>
      <c r="N35" s="83" t="e">
        <f ca="1">VLOOKUP($B35,Matrix!$H$13:$I$37,2,FALSE)&amp;"_"&amp;C35</f>
        <v>#N/A</v>
      </c>
      <c r="O35" s="98" t="e">
        <f t="shared" ca="1" si="0"/>
        <v>#N/A</v>
      </c>
    </row>
    <row r="36" spans="2:15">
      <c r="B36" s="24"/>
      <c r="C36" s="23"/>
      <c r="D36" s="90"/>
      <c r="E36" s="24"/>
      <c r="F36" s="91"/>
      <c r="G36" s="24"/>
      <c r="H36" s="91"/>
      <c r="I36" s="24"/>
      <c r="J36" s="91"/>
      <c r="K36" s="24"/>
      <c r="L36" s="91"/>
      <c r="M36" s="27" t="e">
        <f t="shared" ca="1" si="1"/>
        <v>#N/A</v>
      </c>
      <c r="N36" s="83" t="e">
        <f ca="1">VLOOKUP($B36,Matrix!$H$13:$I$37,2,FALSE)&amp;"_"&amp;C36</f>
        <v>#N/A</v>
      </c>
      <c r="O36" s="98" t="e">
        <f t="shared" ref="O36:O67" ca="1" si="2">"#define "&amp;N36&amp;REPT(" ",48-M36)&amp;"("&amp;D36&amp;"U)"</f>
        <v>#N/A</v>
      </c>
    </row>
    <row r="37" spans="2:15">
      <c r="B37" s="24"/>
      <c r="C37" s="23"/>
      <c r="D37" s="90"/>
      <c r="E37" s="24"/>
      <c r="F37" s="91"/>
      <c r="G37" s="24"/>
      <c r="H37" s="91"/>
      <c r="I37" s="24"/>
      <c r="J37" s="91"/>
      <c r="K37" s="24"/>
      <c r="L37" s="91"/>
      <c r="M37" s="27" t="e">
        <f t="shared" ca="1" si="1"/>
        <v>#N/A</v>
      </c>
      <c r="N37" s="83" t="e">
        <f ca="1">VLOOKUP($B37,Matrix!$H$13:$I$37,2,FALSE)&amp;"_"&amp;C37</f>
        <v>#N/A</v>
      </c>
      <c r="O37" s="98" t="e">
        <f t="shared" ca="1" si="2"/>
        <v>#N/A</v>
      </c>
    </row>
    <row r="38" spans="2:15">
      <c r="B38" s="24"/>
      <c r="C38" s="23"/>
      <c r="D38" s="90"/>
      <c r="E38" s="24"/>
      <c r="F38" s="91"/>
      <c r="G38" s="24"/>
      <c r="H38" s="91"/>
      <c r="I38" s="24"/>
      <c r="J38" s="91"/>
      <c r="K38" s="24"/>
      <c r="L38" s="91"/>
      <c r="M38" s="27" t="e">
        <f t="shared" ca="1" si="1"/>
        <v>#N/A</v>
      </c>
      <c r="N38" s="83" t="e">
        <f ca="1">VLOOKUP($B38,Matrix!$H$13:$I$37,2,FALSE)&amp;"_"&amp;C38</f>
        <v>#N/A</v>
      </c>
      <c r="O38" s="98" t="e">
        <f t="shared" ca="1" si="2"/>
        <v>#N/A</v>
      </c>
    </row>
    <row r="39" spans="2:15">
      <c r="B39" s="24"/>
      <c r="C39" s="23"/>
      <c r="D39" s="90"/>
      <c r="E39" s="24"/>
      <c r="F39" s="91"/>
      <c r="G39" s="24"/>
      <c r="H39" s="91"/>
      <c r="I39" s="24"/>
      <c r="J39" s="91"/>
      <c r="K39" s="24"/>
      <c r="L39" s="91"/>
      <c r="M39" s="27" t="e">
        <f t="shared" ca="1" si="1"/>
        <v>#N/A</v>
      </c>
      <c r="N39" s="83" t="e">
        <f ca="1">VLOOKUP($B39,Matrix!$H$13:$I$37,2,FALSE)&amp;"_"&amp;C39</f>
        <v>#N/A</v>
      </c>
      <c r="O39" s="98" t="e">
        <f t="shared" ca="1" si="2"/>
        <v>#N/A</v>
      </c>
    </row>
    <row r="40" spans="2:15">
      <c r="B40" s="24"/>
      <c r="C40" s="23"/>
      <c r="D40" s="90"/>
      <c r="E40" s="24"/>
      <c r="F40" s="91"/>
      <c r="G40" s="24"/>
      <c r="H40" s="91"/>
      <c r="I40" s="24"/>
      <c r="J40" s="91"/>
      <c r="K40" s="24"/>
      <c r="L40" s="91"/>
      <c r="M40" s="27" t="e">
        <f t="shared" ca="1" si="1"/>
        <v>#N/A</v>
      </c>
      <c r="N40" s="83" t="e">
        <f ca="1">VLOOKUP($B40,Matrix!$H$13:$I$37,2,FALSE)&amp;"_"&amp;C40</f>
        <v>#N/A</v>
      </c>
      <c r="O40" s="98" t="e">
        <f t="shared" ca="1" si="2"/>
        <v>#N/A</v>
      </c>
    </row>
    <row r="41" spans="2:15">
      <c r="B41" s="24"/>
      <c r="C41" s="23"/>
      <c r="D41" s="90"/>
      <c r="E41" s="24"/>
      <c r="F41" s="91"/>
      <c r="G41" s="24"/>
      <c r="H41" s="91"/>
      <c r="I41" s="24"/>
      <c r="J41" s="91"/>
      <c r="K41" s="24"/>
      <c r="L41" s="91"/>
      <c r="M41" s="27" t="e">
        <f t="shared" ca="1" si="1"/>
        <v>#N/A</v>
      </c>
      <c r="N41" s="83" t="e">
        <f ca="1">VLOOKUP($B41,Matrix!$H$13:$I$37,2,FALSE)&amp;"_"&amp;C41</f>
        <v>#N/A</v>
      </c>
      <c r="O41" s="98" t="e">
        <f t="shared" ca="1" si="2"/>
        <v>#N/A</v>
      </c>
    </row>
    <row r="42" spans="2:15">
      <c r="B42" s="24"/>
      <c r="C42" s="23"/>
      <c r="D42" s="90"/>
      <c r="E42" s="24"/>
      <c r="F42" s="91"/>
      <c r="G42" s="24"/>
      <c r="H42" s="91"/>
      <c r="I42" s="24"/>
      <c r="J42" s="91"/>
      <c r="K42" s="24"/>
      <c r="L42" s="91"/>
      <c r="M42" s="27" t="e">
        <f t="shared" ca="1" si="1"/>
        <v>#N/A</v>
      </c>
      <c r="N42" s="83" t="e">
        <f ca="1">VLOOKUP($B42,Matrix!$H$13:$I$37,2,FALSE)&amp;"_"&amp;C42</f>
        <v>#N/A</v>
      </c>
      <c r="O42" s="98" t="e">
        <f t="shared" ca="1" si="2"/>
        <v>#N/A</v>
      </c>
    </row>
    <row r="43" spans="2:15">
      <c r="B43" s="24"/>
      <c r="C43" s="23"/>
      <c r="D43" s="90"/>
      <c r="E43" s="24"/>
      <c r="F43" s="91"/>
      <c r="G43" s="24"/>
      <c r="H43" s="91"/>
      <c r="I43" s="24"/>
      <c r="J43" s="91"/>
      <c r="K43" s="24"/>
      <c r="L43" s="91"/>
      <c r="M43" s="27" t="e">
        <f t="shared" ca="1" si="1"/>
        <v>#N/A</v>
      </c>
      <c r="N43" s="83" t="e">
        <f ca="1">VLOOKUP($B43,Matrix!$H$13:$I$37,2,FALSE)&amp;"_"&amp;C43</f>
        <v>#N/A</v>
      </c>
      <c r="O43" s="98" t="e">
        <f t="shared" ca="1" si="2"/>
        <v>#N/A</v>
      </c>
    </row>
    <row r="44" spans="2:15">
      <c r="B44" s="24"/>
      <c r="C44" s="23"/>
      <c r="D44" s="90"/>
      <c r="E44" s="24"/>
      <c r="F44" s="91"/>
      <c r="G44" s="24"/>
      <c r="H44" s="91"/>
      <c r="I44" s="24"/>
      <c r="J44" s="91"/>
      <c r="K44" s="24"/>
      <c r="L44" s="91"/>
      <c r="M44" s="27" t="e">
        <f t="shared" ca="1" si="1"/>
        <v>#N/A</v>
      </c>
      <c r="N44" s="83" t="e">
        <f ca="1">VLOOKUP($B44,Matrix!$H$13:$I$37,2,FALSE)&amp;"_"&amp;C44</f>
        <v>#N/A</v>
      </c>
      <c r="O44" s="98" t="e">
        <f t="shared" ca="1" si="2"/>
        <v>#N/A</v>
      </c>
    </row>
    <row r="45" spans="2:15">
      <c r="B45" s="24"/>
      <c r="C45" s="23"/>
      <c r="D45" s="90"/>
      <c r="E45" s="24"/>
      <c r="F45" s="91"/>
      <c r="G45" s="24"/>
      <c r="H45" s="91"/>
      <c r="I45" s="24"/>
      <c r="J45" s="91"/>
      <c r="K45" s="24"/>
      <c r="L45" s="91"/>
      <c r="M45" s="27" t="e">
        <f t="shared" ca="1" si="1"/>
        <v>#N/A</v>
      </c>
      <c r="N45" s="83" t="e">
        <f ca="1">VLOOKUP($B45,Matrix!$H$13:$I$37,2,FALSE)&amp;"_"&amp;C45</f>
        <v>#N/A</v>
      </c>
      <c r="O45" s="98" t="e">
        <f t="shared" ca="1" si="2"/>
        <v>#N/A</v>
      </c>
    </row>
    <row r="46" spans="2:15">
      <c r="B46" s="24"/>
      <c r="C46" s="23"/>
      <c r="D46" s="90"/>
      <c r="E46" s="24"/>
      <c r="F46" s="91"/>
      <c r="G46" s="24"/>
      <c r="H46" s="91"/>
      <c r="I46" s="24"/>
      <c r="J46" s="91"/>
      <c r="K46" s="24"/>
      <c r="L46" s="91"/>
      <c r="M46" s="27" t="e">
        <f t="shared" ca="1" si="1"/>
        <v>#N/A</v>
      </c>
      <c r="N46" s="83" t="e">
        <f ca="1">VLOOKUP($B46,Matrix!$H$13:$I$37,2,FALSE)&amp;"_"&amp;C46</f>
        <v>#N/A</v>
      </c>
      <c r="O46" s="98" t="e">
        <f t="shared" ca="1" si="2"/>
        <v>#N/A</v>
      </c>
    </row>
    <row r="47" spans="2:15">
      <c r="B47" s="24"/>
      <c r="C47" s="23"/>
      <c r="D47" s="90"/>
      <c r="E47" s="24"/>
      <c r="F47" s="91"/>
      <c r="G47" s="24"/>
      <c r="H47" s="91"/>
      <c r="I47" s="24"/>
      <c r="J47" s="91"/>
      <c r="K47" s="24"/>
      <c r="L47" s="91"/>
      <c r="M47" s="27" t="e">
        <f t="shared" ca="1" si="1"/>
        <v>#N/A</v>
      </c>
      <c r="N47" s="83" t="e">
        <f ca="1">VLOOKUP($B47,Matrix!$H$13:$I$37,2,FALSE)&amp;"_"&amp;C47</f>
        <v>#N/A</v>
      </c>
      <c r="O47" s="98" t="e">
        <f t="shared" ca="1" si="2"/>
        <v>#N/A</v>
      </c>
    </row>
    <row r="48" spans="2:15">
      <c r="B48" s="24"/>
      <c r="C48" s="23"/>
      <c r="D48" s="90"/>
      <c r="E48" s="24"/>
      <c r="F48" s="91"/>
      <c r="G48" s="24"/>
      <c r="H48" s="91"/>
      <c r="I48" s="24"/>
      <c r="J48" s="91"/>
      <c r="K48" s="24"/>
      <c r="L48" s="91"/>
      <c r="M48" s="27" t="e">
        <f t="shared" ca="1" si="1"/>
        <v>#N/A</v>
      </c>
      <c r="N48" s="83" t="e">
        <f ca="1">VLOOKUP($B48,Matrix!$H$13:$I$37,2,FALSE)&amp;"_"&amp;C48</f>
        <v>#N/A</v>
      </c>
      <c r="O48" s="98" t="e">
        <f t="shared" ca="1" si="2"/>
        <v>#N/A</v>
      </c>
    </row>
    <row r="49" spans="2:15">
      <c r="B49" s="24"/>
      <c r="C49" s="23"/>
      <c r="D49" s="90"/>
      <c r="E49" s="24"/>
      <c r="F49" s="91"/>
      <c r="G49" s="24"/>
      <c r="H49" s="91"/>
      <c r="I49" s="24"/>
      <c r="J49" s="91"/>
      <c r="K49" s="24"/>
      <c r="L49" s="91"/>
      <c r="M49" s="27" t="e">
        <f t="shared" ca="1" si="1"/>
        <v>#N/A</v>
      </c>
      <c r="N49" s="83" t="e">
        <f ca="1">VLOOKUP($B49,Matrix!$H$13:$I$37,2,FALSE)&amp;"_"&amp;C49</f>
        <v>#N/A</v>
      </c>
      <c r="O49" s="98" t="e">
        <f t="shared" ca="1" si="2"/>
        <v>#N/A</v>
      </c>
    </row>
    <row r="50" spans="2:15">
      <c r="B50" s="24"/>
      <c r="C50" s="23"/>
      <c r="D50" s="90"/>
      <c r="E50" s="24"/>
      <c r="F50" s="91"/>
      <c r="G50" s="24"/>
      <c r="H50" s="91"/>
      <c r="I50" s="24"/>
      <c r="J50" s="91"/>
      <c r="K50" s="24"/>
      <c r="L50" s="91"/>
      <c r="M50" s="27" t="e">
        <f t="shared" ca="1" si="1"/>
        <v>#N/A</v>
      </c>
      <c r="N50" s="83" t="e">
        <f ca="1">VLOOKUP($B50,Matrix!$H$13:$I$37,2,FALSE)&amp;"_"&amp;C50</f>
        <v>#N/A</v>
      </c>
      <c r="O50" s="98" t="e">
        <f t="shared" ca="1" si="2"/>
        <v>#N/A</v>
      </c>
    </row>
    <row r="51" spans="2:15">
      <c r="B51" s="24"/>
      <c r="C51" s="23"/>
      <c r="D51" s="90"/>
      <c r="E51" s="24"/>
      <c r="F51" s="91"/>
      <c r="G51" s="24"/>
      <c r="H51" s="91"/>
      <c r="I51" s="24"/>
      <c r="J51" s="91"/>
      <c r="K51" s="24"/>
      <c r="L51" s="91"/>
      <c r="M51" s="27" t="e">
        <f t="shared" ca="1" si="1"/>
        <v>#N/A</v>
      </c>
      <c r="N51" s="83" t="e">
        <f ca="1">VLOOKUP($B51,Matrix!$H$13:$I$37,2,FALSE)&amp;"_"&amp;C51</f>
        <v>#N/A</v>
      </c>
      <c r="O51" s="98" t="e">
        <f t="shared" ca="1" si="2"/>
        <v>#N/A</v>
      </c>
    </row>
    <row r="52" spans="2:15">
      <c r="B52" s="24"/>
      <c r="C52" s="23"/>
      <c r="D52" s="90"/>
      <c r="E52" s="24"/>
      <c r="F52" s="91"/>
      <c r="G52" s="24"/>
      <c r="H52" s="91"/>
      <c r="I52" s="24"/>
      <c r="J52" s="91"/>
      <c r="K52" s="24"/>
      <c r="L52" s="91"/>
      <c r="M52" s="27" t="e">
        <f t="shared" ca="1" si="1"/>
        <v>#N/A</v>
      </c>
      <c r="N52" s="83" t="e">
        <f ca="1">VLOOKUP($B52,Matrix!$H$13:$I$37,2,FALSE)&amp;"_"&amp;C52</f>
        <v>#N/A</v>
      </c>
      <c r="O52" s="98" t="e">
        <f t="shared" ca="1" si="2"/>
        <v>#N/A</v>
      </c>
    </row>
    <row r="53" spans="2:15">
      <c r="B53" s="24"/>
      <c r="C53" s="23"/>
      <c r="D53" s="90"/>
      <c r="E53" s="24"/>
      <c r="F53" s="91"/>
      <c r="G53" s="24"/>
      <c r="H53" s="91"/>
      <c r="I53" s="24"/>
      <c r="J53" s="91"/>
      <c r="K53" s="24"/>
      <c r="L53" s="91"/>
      <c r="M53" s="27" t="e">
        <f t="shared" ca="1" si="1"/>
        <v>#N/A</v>
      </c>
      <c r="N53" s="83" t="e">
        <f ca="1">VLOOKUP($B53,Matrix!$H$13:$I$37,2,FALSE)&amp;"_"&amp;C53</f>
        <v>#N/A</v>
      </c>
      <c r="O53" s="98" t="e">
        <f t="shared" ca="1" si="2"/>
        <v>#N/A</v>
      </c>
    </row>
    <row r="54" spans="2:15">
      <c r="B54" s="24"/>
      <c r="C54" s="23"/>
      <c r="D54" s="90"/>
      <c r="E54" s="24"/>
      <c r="F54" s="91"/>
      <c r="G54" s="24"/>
      <c r="H54" s="91"/>
      <c r="I54" s="24"/>
      <c r="J54" s="91"/>
      <c r="K54" s="24"/>
      <c r="L54" s="91"/>
      <c r="M54" s="27" t="e">
        <f t="shared" ca="1" si="1"/>
        <v>#N/A</v>
      </c>
      <c r="N54" s="83" t="e">
        <f ca="1">VLOOKUP($B54,Matrix!$H$13:$I$37,2,FALSE)&amp;"_"&amp;C54</f>
        <v>#N/A</v>
      </c>
      <c r="O54" s="98" t="e">
        <f t="shared" ca="1" si="2"/>
        <v>#N/A</v>
      </c>
    </row>
    <row r="55" spans="2:15">
      <c r="B55" s="24"/>
      <c r="C55" s="23"/>
      <c r="D55" s="90"/>
      <c r="E55" s="24"/>
      <c r="F55" s="91"/>
      <c r="G55" s="24"/>
      <c r="H55" s="91"/>
      <c r="I55" s="24"/>
      <c r="J55" s="91"/>
      <c r="K55" s="24"/>
      <c r="L55" s="91"/>
      <c r="M55" s="27" t="e">
        <f t="shared" ca="1" si="1"/>
        <v>#N/A</v>
      </c>
      <c r="N55" s="83" t="e">
        <f ca="1">VLOOKUP($B55,Matrix!$H$13:$I$37,2,FALSE)&amp;"_"&amp;C55</f>
        <v>#N/A</v>
      </c>
      <c r="O55" s="98" t="e">
        <f t="shared" ca="1" si="2"/>
        <v>#N/A</v>
      </c>
    </row>
    <row r="56" spans="2:15">
      <c r="B56" s="24"/>
      <c r="C56" s="23"/>
      <c r="D56" s="90"/>
      <c r="E56" s="24"/>
      <c r="F56" s="91"/>
      <c r="G56" s="24"/>
      <c r="H56" s="91"/>
      <c r="I56" s="24"/>
      <c r="J56" s="91"/>
      <c r="K56" s="24"/>
      <c r="L56" s="91"/>
      <c r="M56" s="27" t="e">
        <f t="shared" ca="1" si="1"/>
        <v>#N/A</v>
      </c>
      <c r="N56" s="83" t="e">
        <f ca="1">VLOOKUP($B56,Matrix!$H$13:$I$37,2,FALSE)&amp;"_"&amp;C56</f>
        <v>#N/A</v>
      </c>
      <c r="O56" s="98" t="e">
        <f t="shared" ca="1" si="2"/>
        <v>#N/A</v>
      </c>
    </row>
    <row r="57" spans="2:15">
      <c r="B57" s="24"/>
      <c r="C57" s="23"/>
      <c r="D57" s="90"/>
      <c r="E57" s="24"/>
      <c r="F57" s="91"/>
      <c r="G57" s="24"/>
      <c r="H57" s="91"/>
      <c r="I57" s="24"/>
      <c r="J57" s="91"/>
      <c r="K57" s="24"/>
      <c r="L57" s="91"/>
      <c r="M57" s="27" t="e">
        <f t="shared" ca="1" si="1"/>
        <v>#N/A</v>
      </c>
      <c r="N57" s="83" t="e">
        <f ca="1">VLOOKUP($B57,Matrix!$H$13:$I$37,2,FALSE)&amp;"_"&amp;C57</f>
        <v>#N/A</v>
      </c>
      <c r="O57" s="98" t="e">
        <f t="shared" ca="1" si="2"/>
        <v>#N/A</v>
      </c>
    </row>
    <row r="58" spans="2:15">
      <c r="B58" s="24"/>
      <c r="C58" s="23"/>
      <c r="D58" s="90"/>
      <c r="E58" s="24"/>
      <c r="F58" s="91"/>
      <c r="G58" s="24"/>
      <c r="H58" s="91"/>
      <c r="I58" s="24"/>
      <c r="J58" s="91"/>
      <c r="K58" s="24"/>
      <c r="L58" s="91"/>
      <c r="M58" s="27" t="e">
        <f t="shared" ca="1" si="1"/>
        <v>#N/A</v>
      </c>
      <c r="N58" s="83" t="e">
        <f ca="1">VLOOKUP($B58,Matrix!$H$13:$I$37,2,FALSE)&amp;"_"&amp;C58</f>
        <v>#N/A</v>
      </c>
      <c r="O58" s="98" t="e">
        <f t="shared" ca="1" si="2"/>
        <v>#N/A</v>
      </c>
    </row>
    <row r="59" spans="2:15">
      <c r="B59" s="24"/>
      <c r="C59" s="23"/>
      <c r="D59" s="90"/>
      <c r="E59" s="24"/>
      <c r="F59" s="91"/>
      <c r="G59" s="24"/>
      <c r="H59" s="91"/>
      <c r="I59" s="24"/>
      <c r="J59" s="91"/>
      <c r="K59" s="24"/>
      <c r="L59" s="91"/>
      <c r="M59" s="27" t="e">
        <f t="shared" ca="1" si="1"/>
        <v>#N/A</v>
      </c>
      <c r="N59" s="83" t="e">
        <f ca="1">VLOOKUP($B59,Matrix!$H$13:$I$37,2,FALSE)&amp;"_"&amp;C59</f>
        <v>#N/A</v>
      </c>
      <c r="O59" s="98" t="e">
        <f t="shared" ca="1" si="2"/>
        <v>#N/A</v>
      </c>
    </row>
    <row r="60" spans="2:15">
      <c r="B60" s="24"/>
      <c r="C60" s="23"/>
      <c r="D60" s="90"/>
      <c r="E60" s="24"/>
      <c r="F60" s="91"/>
      <c r="G60" s="24"/>
      <c r="H60" s="91"/>
      <c r="I60" s="24"/>
      <c r="J60" s="91"/>
      <c r="K60" s="24"/>
      <c r="L60" s="91"/>
      <c r="M60" s="27" t="e">
        <f t="shared" ca="1" si="1"/>
        <v>#N/A</v>
      </c>
      <c r="N60" s="83" t="e">
        <f ca="1">VLOOKUP($B60,Matrix!$H$13:$I$37,2,FALSE)&amp;"_"&amp;C60</f>
        <v>#N/A</v>
      </c>
      <c r="O60" s="98" t="e">
        <f t="shared" ca="1" si="2"/>
        <v>#N/A</v>
      </c>
    </row>
    <row r="61" spans="2:15">
      <c r="B61" s="24"/>
      <c r="C61" s="23"/>
      <c r="D61" s="90"/>
      <c r="E61" s="24"/>
      <c r="F61" s="91"/>
      <c r="G61" s="24"/>
      <c r="H61" s="91"/>
      <c r="I61" s="24"/>
      <c r="J61" s="91"/>
      <c r="K61" s="24"/>
      <c r="L61" s="91"/>
      <c r="M61" s="27" t="e">
        <f t="shared" ca="1" si="1"/>
        <v>#N/A</v>
      </c>
      <c r="N61" s="83" t="e">
        <f ca="1">VLOOKUP($B61,Matrix!$H$13:$I$37,2,FALSE)&amp;"_"&amp;C61</f>
        <v>#N/A</v>
      </c>
      <c r="O61" s="98" t="e">
        <f t="shared" ca="1" si="2"/>
        <v>#N/A</v>
      </c>
    </row>
    <row r="62" spans="2:15">
      <c r="B62" s="24"/>
      <c r="C62" s="23"/>
      <c r="D62" s="90"/>
      <c r="E62" s="24"/>
      <c r="F62" s="91"/>
      <c r="G62" s="24"/>
      <c r="H62" s="91"/>
      <c r="I62" s="24"/>
      <c r="J62" s="91"/>
      <c r="K62" s="24"/>
      <c r="L62" s="91"/>
      <c r="M62" s="27" t="e">
        <f t="shared" ca="1" si="1"/>
        <v>#N/A</v>
      </c>
      <c r="N62" s="83" t="e">
        <f ca="1">VLOOKUP($B62,Matrix!$H$13:$I$37,2,FALSE)&amp;"_"&amp;C62</f>
        <v>#N/A</v>
      </c>
      <c r="O62" s="98" t="e">
        <f t="shared" ca="1" si="2"/>
        <v>#N/A</v>
      </c>
    </row>
    <row r="63" spans="2:15">
      <c r="B63" s="24"/>
      <c r="C63" s="23"/>
      <c r="D63" s="90"/>
      <c r="E63" s="24"/>
      <c r="F63" s="91"/>
      <c r="G63" s="24"/>
      <c r="H63" s="91"/>
      <c r="I63" s="24"/>
      <c r="J63" s="91"/>
      <c r="K63" s="24"/>
      <c r="L63" s="91"/>
      <c r="M63" s="27" t="e">
        <f t="shared" ca="1" si="1"/>
        <v>#N/A</v>
      </c>
      <c r="N63" s="83" t="e">
        <f ca="1">VLOOKUP($B63,Matrix!$H$13:$I$37,2,FALSE)&amp;"_"&amp;C63</f>
        <v>#N/A</v>
      </c>
      <c r="O63" s="98" t="e">
        <f t="shared" ca="1" si="2"/>
        <v>#N/A</v>
      </c>
    </row>
    <row r="64" spans="2:15">
      <c r="B64" s="24"/>
      <c r="C64" s="23"/>
      <c r="D64" s="90"/>
      <c r="E64" s="24"/>
      <c r="F64" s="91"/>
      <c r="G64" s="24"/>
      <c r="H64" s="91"/>
      <c r="I64" s="24"/>
      <c r="J64" s="91"/>
      <c r="K64" s="24"/>
      <c r="L64" s="91"/>
      <c r="M64" s="27" t="e">
        <f t="shared" ca="1" si="1"/>
        <v>#N/A</v>
      </c>
      <c r="N64" s="83" t="e">
        <f ca="1">VLOOKUP($B64,Matrix!$H$13:$I$37,2,FALSE)&amp;"_"&amp;C64</f>
        <v>#N/A</v>
      </c>
      <c r="O64" s="98" t="e">
        <f t="shared" ca="1" si="2"/>
        <v>#N/A</v>
      </c>
    </row>
    <row r="65" spans="2:15">
      <c r="B65" s="24"/>
      <c r="C65" s="23"/>
      <c r="D65" s="90"/>
      <c r="E65" s="24"/>
      <c r="F65" s="91"/>
      <c r="G65" s="24"/>
      <c r="H65" s="91"/>
      <c r="I65" s="24"/>
      <c r="J65" s="91"/>
      <c r="K65" s="24"/>
      <c r="L65" s="91"/>
      <c r="M65" s="27" t="e">
        <f t="shared" ca="1" si="1"/>
        <v>#N/A</v>
      </c>
      <c r="N65" s="83" t="e">
        <f ca="1">VLOOKUP($B65,Matrix!$H$13:$I$37,2,FALSE)&amp;"_"&amp;C65</f>
        <v>#N/A</v>
      </c>
      <c r="O65" s="98" t="e">
        <f t="shared" ca="1" si="2"/>
        <v>#N/A</v>
      </c>
    </row>
    <row r="66" spans="2:15">
      <c r="B66" s="24"/>
      <c r="C66" s="23"/>
      <c r="D66" s="90"/>
      <c r="E66" s="24"/>
      <c r="F66" s="91"/>
      <c r="G66" s="24"/>
      <c r="H66" s="91"/>
      <c r="I66" s="24"/>
      <c r="J66" s="91"/>
      <c r="K66" s="24"/>
      <c r="L66" s="91"/>
      <c r="M66" s="27" t="e">
        <f t="shared" ca="1" si="1"/>
        <v>#N/A</v>
      </c>
      <c r="N66" s="83" t="e">
        <f ca="1">VLOOKUP($B66,Matrix!$H$13:$I$37,2,FALSE)&amp;"_"&amp;C66</f>
        <v>#N/A</v>
      </c>
      <c r="O66" s="98" t="e">
        <f t="shared" ca="1" si="2"/>
        <v>#N/A</v>
      </c>
    </row>
    <row r="67" spans="2:15">
      <c r="B67" s="24"/>
      <c r="C67" s="23"/>
      <c r="D67" s="90"/>
      <c r="E67" s="24"/>
      <c r="F67" s="91"/>
      <c r="G67" s="24"/>
      <c r="H67" s="91"/>
      <c r="I67" s="24"/>
      <c r="J67" s="91"/>
      <c r="K67" s="24"/>
      <c r="L67" s="91"/>
      <c r="M67" s="27" t="e">
        <f t="shared" ca="1" si="1"/>
        <v>#N/A</v>
      </c>
      <c r="N67" s="83" t="e">
        <f ca="1">VLOOKUP($B67,Matrix!$H$13:$I$37,2,FALSE)&amp;"_"&amp;C67</f>
        <v>#N/A</v>
      </c>
      <c r="O67" s="98" t="e">
        <f t="shared" ca="1" si="2"/>
        <v>#N/A</v>
      </c>
    </row>
    <row r="68" spans="2:15">
      <c r="B68" s="24"/>
      <c r="C68" s="23"/>
      <c r="D68" s="90"/>
      <c r="E68" s="24"/>
      <c r="F68" s="91"/>
      <c r="G68" s="24"/>
      <c r="H68" s="91"/>
      <c r="I68" s="24"/>
      <c r="J68" s="91"/>
      <c r="K68" s="24"/>
      <c r="L68" s="91"/>
      <c r="M68" s="27" t="e">
        <f t="shared" ca="1" si="1"/>
        <v>#N/A</v>
      </c>
      <c r="N68" s="83" t="e">
        <f ca="1">VLOOKUP($B68,Matrix!$H$13:$I$37,2,FALSE)&amp;"_"&amp;C68</f>
        <v>#N/A</v>
      </c>
      <c r="O68" s="98" t="e">
        <f t="shared" ref="O68:O99" ca="1" si="3">"#define "&amp;N68&amp;REPT(" ",48-M68)&amp;"("&amp;D68&amp;"U)"</f>
        <v>#N/A</v>
      </c>
    </row>
    <row r="69" spans="2:15">
      <c r="B69" s="24"/>
      <c r="C69" s="23"/>
      <c r="D69" s="90"/>
      <c r="E69" s="24"/>
      <c r="F69" s="91"/>
      <c r="G69" s="24"/>
      <c r="H69" s="91"/>
      <c r="I69" s="24"/>
      <c r="J69" s="91"/>
      <c r="K69" s="24"/>
      <c r="L69" s="91"/>
      <c r="M69" s="27" t="e">
        <f t="shared" ref="M69:M103" ca="1" si="4">LEN(N69)</f>
        <v>#N/A</v>
      </c>
      <c r="N69" s="83" t="e">
        <f ca="1">VLOOKUP($B69,Matrix!$H$13:$I$37,2,FALSE)&amp;"_"&amp;C69</f>
        <v>#N/A</v>
      </c>
      <c r="O69" s="98" t="e">
        <f t="shared" ca="1" si="3"/>
        <v>#N/A</v>
      </c>
    </row>
    <row r="70" spans="2:15">
      <c r="B70" s="24"/>
      <c r="C70" s="23"/>
      <c r="D70" s="90"/>
      <c r="E70" s="24"/>
      <c r="F70" s="91"/>
      <c r="G70" s="24"/>
      <c r="H70" s="91"/>
      <c r="I70" s="24"/>
      <c r="J70" s="91"/>
      <c r="K70" s="24"/>
      <c r="L70" s="91"/>
      <c r="M70" s="27" t="e">
        <f t="shared" ca="1" si="4"/>
        <v>#N/A</v>
      </c>
      <c r="N70" s="83" t="e">
        <f ca="1">VLOOKUP($B70,Matrix!$H$13:$I$37,2,FALSE)&amp;"_"&amp;C70</f>
        <v>#N/A</v>
      </c>
      <c r="O70" s="98" t="e">
        <f t="shared" ca="1" si="3"/>
        <v>#N/A</v>
      </c>
    </row>
    <row r="71" spans="2:15">
      <c r="B71" s="24"/>
      <c r="C71" s="23"/>
      <c r="D71" s="90"/>
      <c r="E71" s="24"/>
      <c r="F71" s="91"/>
      <c r="G71" s="24"/>
      <c r="H71" s="91"/>
      <c r="I71" s="24"/>
      <c r="J71" s="91"/>
      <c r="K71" s="24"/>
      <c r="L71" s="91"/>
      <c r="M71" s="27" t="e">
        <f t="shared" ca="1" si="4"/>
        <v>#N/A</v>
      </c>
      <c r="N71" s="83" t="e">
        <f ca="1">VLOOKUP($B71,Matrix!$H$13:$I$37,2,FALSE)&amp;"_"&amp;C71</f>
        <v>#N/A</v>
      </c>
      <c r="O71" s="98" t="e">
        <f t="shared" ca="1" si="3"/>
        <v>#N/A</v>
      </c>
    </row>
    <row r="72" spans="2:15">
      <c r="B72" s="24"/>
      <c r="C72" s="23"/>
      <c r="D72" s="90"/>
      <c r="E72" s="24"/>
      <c r="F72" s="91"/>
      <c r="G72" s="24"/>
      <c r="H72" s="91"/>
      <c r="I72" s="24"/>
      <c r="J72" s="91"/>
      <c r="K72" s="24"/>
      <c r="L72" s="91"/>
      <c r="M72" s="27" t="e">
        <f t="shared" ca="1" si="4"/>
        <v>#N/A</v>
      </c>
      <c r="N72" s="83" t="e">
        <f ca="1">VLOOKUP($B72,Matrix!$H$13:$I$37,2,FALSE)&amp;"_"&amp;C72</f>
        <v>#N/A</v>
      </c>
      <c r="O72" s="98" t="e">
        <f t="shared" ca="1" si="3"/>
        <v>#N/A</v>
      </c>
    </row>
    <row r="73" spans="2:15">
      <c r="B73" s="24"/>
      <c r="C73" s="23"/>
      <c r="D73" s="90"/>
      <c r="E73" s="24"/>
      <c r="F73" s="91"/>
      <c r="G73" s="24"/>
      <c r="H73" s="91"/>
      <c r="I73" s="24"/>
      <c r="J73" s="91"/>
      <c r="K73" s="24"/>
      <c r="L73" s="91"/>
      <c r="M73" s="27" t="e">
        <f t="shared" ca="1" si="4"/>
        <v>#N/A</v>
      </c>
      <c r="N73" s="83" t="e">
        <f ca="1">VLOOKUP($B73,Matrix!$H$13:$I$37,2,FALSE)&amp;"_"&amp;C73</f>
        <v>#N/A</v>
      </c>
      <c r="O73" s="98" t="e">
        <f t="shared" ca="1" si="3"/>
        <v>#N/A</v>
      </c>
    </row>
    <row r="74" spans="2:15">
      <c r="B74" s="24"/>
      <c r="C74" s="23"/>
      <c r="D74" s="90"/>
      <c r="E74" s="24"/>
      <c r="F74" s="91"/>
      <c r="G74" s="24"/>
      <c r="H74" s="91"/>
      <c r="I74" s="24"/>
      <c r="J74" s="91"/>
      <c r="K74" s="24"/>
      <c r="L74" s="91"/>
      <c r="M74" s="27" t="e">
        <f t="shared" ca="1" si="4"/>
        <v>#N/A</v>
      </c>
      <c r="N74" s="83" t="e">
        <f ca="1">VLOOKUP($B74,Matrix!$H$13:$I$37,2,FALSE)&amp;"_"&amp;C74</f>
        <v>#N/A</v>
      </c>
      <c r="O74" s="98" t="e">
        <f t="shared" ca="1" si="3"/>
        <v>#N/A</v>
      </c>
    </row>
    <row r="75" spans="2:15">
      <c r="B75" s="24"/>
      <c r="C75" s="23"/>
      <c r="D75" s="90"/>
      <c r="E75" s="24"/>
      <c r="F75" s="91"/>
      <c r="G75" s="24"/>
      <c r="H75" s="91"/>
      <c r="I75" s="24"/>
      <c r="J75" s="91"/>
      <c r="K75" s="24"/>
      <c r="L75" s="91"/>
      <c r="M75" s="27" t="e">
        <f t="shared" ca="1" si="4"/>
        <v>#N/A</v>
      </c>
      <c r="N75" s="83" t="e">
        <f ca="1">VLOOKUP($B75,Matrix!$H$13:$I$37,2,FALSE)&amp;"_"&amp;C75</f>
        <v>#N/A</v>
      </c>
      <c r="O75" s="98" t="e">
        <f t="shared" ca="1" si="3"/>
        <v>#N/A</v>
      </c>
    </row>
    <row r="76" spans="2:15">
      <c r="B76" s="24"/>
      <c r="C76" s="23"/>
      <c r="D76" s="90"/>
      <c r="E76" s="24"/>
      <c r="F76" s="91"/>
      <c r="G76" s="24"/>
      <c r="H76" s="91"/>
      <c r="I76" s="24"/>
      <c r="J76" s="91"/>
      <c r="K76" s="24"/>
      <c r="L76" s="91"/>
      <c r="M76" s="27" t="e">
        <f t="shared" ca="1" si="4"/>
        <v>#N/A</v>
      </c>
      <c r="N76" s="83" t="e">
        <f ca="1">VLOOKUP($B76,Matrix!$H$13:$I$37,2,FALSE)&amp;"_"&amp;C76</f>
        <v>#N/A</v>
      </c>
      <c r="O76" s="98" t="e">
        <f t="shared" ca="1" si="3"/>
        <v>#N/A</v>
      </c>
    </row>
    <row r="77" spans="2:15">
      <c r="B77" s="24"/>
      <c r="C77" s="23"/>
      <c r="D77" s="90"/>
      <c r="E77" s="24"/>
      <c r="F77" s="91"/>
      <c r="G77" s="24"/>
      <c r="H77" s="91"/>
      <c r="I77" s="24"/>
      <c r="J77" s="91"/>
      <c r="K77" s="24"/>
      <c r="L77" s="91"/>
      <c r="M77" s="27" t="e">
        <f t="shared" ca="1" si="4"/>
        <v>#N/A</v>
      </c>
      <c r="N77" s="83" t="e">
        <f ca="1">VLOOKUP($B77,Matrix!$H$13:$I$37,2,FALSE)&amp;"_"&amp;C77</f>
        <v>#N/A</v>
      </c>
      <c r="O77" s="98" t="e">
        <f t="shared" ca="1" si="3"/>
        <v>#N/A</v>
      </c>
    </row>
    <row r="78" spans="2:15">
      <c r="B78" s="24"/>
      <c r="C78" s="23"/>
      <c r="D78" s="90"/>
      <c r="E78" s="24"/>
      <c r="F78" s="91"/>
      <c r="G78" s="24"/>
      <c r="H78" s="91"/>
      <c r="I78" s="24"/>
      <c r="J78" s="91"/>
      <c r="K78" s="24"/>
      <c r="L78" s="91"/>
      <c r="M78" s="27" t="e">
        <f t="shared" ca="1" si="4"/>
        <v>#N/A</v>
      </c>
      <c r="N78" s="83" t="e">
        <f ca="1">VLOOKUP($B78,Matrix!$H$13:$I$37,2,FALSE)&amp;"_"&amp;C78</f>
        <v>#N/A</v>
      </c>
      <c r="O78" s="98" t="e">
        <f t="shared" ca="1" si="3"/>
        <v>#N/A</v>
      </c>
    </row>
    <row r="79" spans="2:15">
      <c r="B79" s="24"/>
      <c r="C79" s="23"/>
      <c r="D79" s="90"/>
      <c r="E79" s="24"/>
      <c r="F79" s="91"/>
      <c r="G79" s="24"/>
      <c r="H79" s="91"/>
      <c r="I79" s="24"/>
      <c r="J79" s="91"/>
      <c r="K79" s="24"/>
      <c r="L79" s="91"/>
      <c r="M79" s="27" t="e">
        <f t="shared" ca="1" si="4"/>
        <v>#N/A</v>
      </c>
      <c r="N79" s="83" t="e">
        <f ca="1">VLOOKUP($B79,Matrix!$H$13:$I$37,2,FALSE)&amp;"_"&amp;C79</f>
        <v>#N/A</v>
      </c>
      <c r="O79" s="98" t="e">
        <f t="shared" ca="1" si="3"/>
        <v>#N/A</v>
      </c>
    </row>
    <row r="80" spans="2:15">
      <c r="B80" s="24"/>
      <c r="C80" s="23"/>
      <c r="D80" s="90"/>
      <c r="E80" s="24"/>
      <c r="F80" s="91"/>
      <c r="G80" s="24"/>
      <c r="H80" s="91"/>
      <c r="I80" s="24"/>
      <c r="J80" s="91"/>
      <c r="K80" s="24"/>
      <c r="L80" s="91"/>
      <c r="M80" s="27" t="e">
        <f t="shared" ca="1" si="4"/>
        <v>#N/A</v>
      </c>
      <c r="N80" s="83" t="e">
        <f ca="1">VLOOKUP($B80,Matrix!$H$13:$I$37,2,FALSE)&amp;"_"&amp;C80</f>
        <v>#N/A</v>
      </c>
      <c r="O80" s="98" t="e">
        <f t="shared" ca="1" si="3"/>
        <v>#N/A</v>
      </c>
    </row>
    <row r="81" spans="2:15">
      <c r="B81" s="24"/>
      <c r="C81" s="23"/>
      <c r="D81" s="90"/>
      <c r="E81" s="24"/>
      <c r="F81" s="91"/>
      <c r="G81" s="24"/>
      <c r="H81" s="91"/>
      <c r="I81" s="24"/>
      <c r="J81" s="91"/>
      <c r="K81" s="24"/>
      <c r="L81" s="91"/>
      <c r="M81" s="27" t="e">
        <f t="shared" ca="1" si="4"/>
        <v>#N/A</v>
      </c>
      <c r="N81" s="83" t="e">
        <f ca="1">VLOOKUP($B81,Matrix!$H$13:$I$37,2,FALSE)&amp;"_"&amp;C81</f>
        <v>#N/A</v>
      </c>
      <c r="O81" s="98" t="e">
        <f t="shared" ca="1" si="3"/>
        <v>#N/A</v>
      </c>
    </row>
    <row r="82" spans="2:15">
      <c r="B82" s="24"/>
      <c r="C82" s="23"/>
      <c r="D82" s="90"/>
      <c r="E82" s="24"/>
      <c r="F82" s="91"/>
      <c r="G82" s="24"/>
      <c r="H82" s="91"/>
      <c r="I82" s="24"/>
      <c r="J82" s="91"/>
      <c r="K82" s="24"/>
      <c r="L82" s="91"/>
      <c r="M82" s="27" t="e">
        <f t="shared" ca="1" si="4"/>
        <v>#N/A</v>
      </c>
      <c r="N82" s="83" t="e">
        <f ca="1">VLOOKUP($B82,Matrix!$H$13:$I$37,2,FALSE)&amp;"_"&amp;C82</f>
        <v>#N/A</v>
      </c>
      <c r="O82" s="98" t="e">
        <f t="shared" ca="1" si="3"/>
        <v>#N/A</v>
      </c>
    </row>
    <row r="83" spans="2:15">
      <c r="B83" s="24"/>
      <c r="C83" s="23"/>
      <c r="D83" s="90"/>
      <c r="E83" s="24"/>
      <c r="F83" s="91"/>
      <c r="G83" s="24"/>
      <c r="H83" s="91"/>
      <c r="I83" s="24"/>
      <c r="J83" s="91"/>
      <c r="K83" s="24"/>
      <c r="L83" s="91"/>
      <c r="M83" s="27" t="e">
        <f t="shared" ca="1" si="4"/>
        <v>#N/A</v>
      </c>
      <c r="N83" s="83" t="e">
        <f ca="1">VLOOKUP($B83,Matrix!$H$13:$I$37,2,FALSE)&amp;"_"&amp;C83</f>
        <v>#N/A</v>
      </c>
      <c r="O83" s="98" t="e">
        <f t="shared" ca="1" si="3"/>
        <v>#N/A</v>
      </c>
    </row>
    <row r="84" spans="2:15">
      <c r="B84" s="24"/>
      <c r="C84" s="23"/>
      <c r="D84" s="90"/>
      <c r="E84" s="24"/>
      <c r="F84" s="91"/>
      <c r="G84" s="24"/>
      <c r="H84" s="91"/>
      <c r="I84" s="24"/>
      <c r="J84" s="91"/>
      <c r="K84" s="24"/>
      <c r="L84" s="91"/>
      <c r="M84" s="27" t="e">
        <f t="shared" ca="1" si="4"/>
        <v>#N/A</v>
      </c>
      <c r="N84" s="83" t="e">
        <f ca="1">VLOOKUP($B84,Matrix!$H$13:$I$37,2,FALSE)&amp;"_"&amp;C84</f>
        <v>#N/A</v>
      </c>
      <c r="O84" s="98" t="e">
        <f t="shared" ca="1" si="3"/>
        <v>#N/A</v>
      </c>
    </row>
    <row r="85" spans="2:15">
      <c r="B85" s="24"/>
      <c r="C85" s="23"/>
      <c r="D85" s="90"/>
      <c r="E85" s="24"/>
      <c r="F85" s="91"/>
      <c r="G85" s="24"/>
      <c r="H85" s="91"/>
      <c r="I85" s="24"/>
      <c r="J85" s="91"/>
      <c r="K85" s="24"/>
      <c r="L85" s="91"/>
      <c r="M85" s="27" t="e">
        <f t="shared" ca="1" si="4"/>
        <v>#N/A</v>
      </c>
      <c r="N85" s="83" t="e">
        <f ca="1">VLOOKUP($B85,Matrix!$H$13:$I$37,2,FALSE)&amp;"_"&amp;C85</f>
        <v>#N/A</v>
      </c>
      <c r="O85" s="98" t="e">
        <f t="shared" ca="1" si="3"/>
        <v>#N/A</v>
      </c>
    </row>
    <row r="86" spans="2:15">
      <c r="B86" s="24"/>
      <c r="C86" s="23"/>
      <c r="D86" s="90"/>
      <c r="E86" s="24"/>
      <c r="F86" s="91"/>
      <c r="G86" s="24"/>
      <c r="H86" s="91"/>
      <c r="I86" s="24"/>
      <c r="J86" s="91"/>
      <c r="K86" s="24"/>
      <c r="L86" s="91"/>
      <c r="M86" s="27" t="e">
        <f t="shared" ca="1" si="4"/>
        <v>#N/A</v>
      </c>
      <c r="N86" s="83" t="e">
        <f ca="1">VLOOKUP($B86,Matrix!$H$13:$I$37,2,FALSE)&amp;"_"&amp;C86</f>
        <v>#N/A</v>
      </c>
      <c r="O86" s="98" t="e">
        <f t="shared" ca="1" si="3"/>
        <v>#N/A</v>
      </c>
    </row>
    <row r="87" spans="2:15">
      <c r="B87" s="24"/>
      <c r="C87" s="23"/>
      <c r="D87" s="90"/>
      <c r="E87" s="24"/>
      <c r="F87" s="91"/>
      <c r="G87" s="24"/>
      <c r="H87" s="91"/>
      <c r="I87" s="24"/>
      <c r="J87" s="91"/>
      <c r="K87" s="24"/>
      <c r="L87" s="91"/>
      <c r="M87" s="27" t="e">
        <f t="shared" ca="1" si="4"/>
        <v>#N/A</v>
      </c>
      <c r="N87" s="48" t="e">
        <f ca="1">VLOOKUP($B87,Matrix!$H$13:$I$37,2,FALSE)&amp;"_"&amp;C87</f>
        <v>#N/A</v>
      </c>
      <c r="O87" s="98" t="e">
        <f t="shared" ca="1" si="3"/>
        <v>#N/A</v>
      </c>
    </row>
    <row r="88" spans="2:15">
      <c r="B88" s="24"/>
      <c r="C88" s="23"/>
      <c r="D88" s="90"/>
      <c r="E88" s="24"/>
      <c r="F88" s="91"/>
      <c r="G88" s="24"/>
      <c r="H88" s="91"/>
      <c r="I88" s="24"/>
      <c r="J88" s="91"/>
      <c r="K88" s="24"/>
      <c r="L88" s="91"/>
      <c r="M88" s="27" t="e">
        <f t="shared" ca="1" si="4"/>
        <v>#N/A</v>
      </c>
      <c r="N88" s="48" t="e">
        <f ca="1">VLOOKUP($B88,Matrix!$H$13:$I$37,2,FALSE)&amp;"_"&amp;C88</f>
        <v>#N/A</v>
      </c>
      <c r="O88" s="98" t="e">
        <f t="shared" ca="1" si="3"/>
        <v>#N/A</v>
      </c>
    </row>
    <row r="89" spans="2:15">
      <c r="B89" s="24"/>
      <c r="C89" s="23"/>
      <c r="D89" s="90"/>
      <c r="E89" s="24"/>
      <c r="F89" s="91"/>
      <c r="G89" s="24"/>
      <c r="H89" s="91"/>
      <c r="I89" s="24"/>
      <c r="J89" s="91"/>
      <c r="K89" s="24"/>
      <c r="L89" s="91"/>
      <c r="M89" s="27" t="e">
        <f t="shared" ca="1" si="4"/>
        <v>#N/A</v>
      </c>
      <c r="N89" s="48" t="e">
        <f ca="1">VLOOKUP($B89,Matrix!$H$13:$I$37,2,FALSE)&amp;"_"&amp;C89</f>
        <v>#N/A</v>
      </c>
      <c r="O89" s="98" t="e">
        <f t="shared" ca="1" si="3"/>
        <v>#N/A</v>
      </c>
    </row>
    <row r="90" spans="2:15">
      <c r="B90" s="24"/>
      <c r="C90" s="23"/>
      <c r="D90" s="90"/>
      <c r="E90" s="24"/>
      <c r="F90" s="91"/>
      <c r="G90" s="24"/>
      <c r="H90" s="91"/>
      <c r="I90" s="24"/>
      <c r="J90" s="91"/>
      <c r="K90" s="24"/>
      <c r="L90" s="91"/>
      <c r="M90" s="27" t="e">
        <f t="shared" ca="1" si="4"/>
        <v>#N/A</v>
      </c>
      <c r="N90" s="48" t="e">
        <f ca="1">VLOOKUP($B90,Matrix!$H$13:$I$37,2,FALSE)&amp;"_"&amp;C90</f>
        <v>#N/A</v>
      </c>
      <c r="O90" s="98" t="e">
        <f t="shared" ca="1" si="3"/>
        <v>#N/A</v>
      </c>
    </row>
    <row r="91" spans="2:15">
      <c r="B91" s="24"/>
      <c r="C91" s="23"/>
      <c r="D91" s="90"/>
      <c r="E91" s="24"/>
      <c r="F91" s="91"/>
      <c r="G91" s="24"/>
      <c r="H91" s="91"/>
      <c r="I91" s="24"/>
      <c r="J91" s="91"/>
      <c r="K91" s="24"/>
      <c r="L91" s="91"/>
      <c r="M91" s="27" t="e">
        <f t="shared" ca="1" si="4"/>
        <v>#N/A</v>
      </c>
      <c r="N91" s="48" t="e">
        <f ca="1">VLOOKUP($B91,Matrix!$H$13:$I$37,2,FALSE)&amp;"_"&amp;C91</f>
        <v>#N/A</v>
      </c>
      <c r="O91" s="98" t="e">
        <f t="shared" ca="1" si="3"/>
        <v>#N/A</v>
      </c>
    </row>
    <row r="92" spans="2:15">
      <c r="B92" s="24"/>
      <c r="C92" s="23"/>
      <c r="D92" s="90"/>
      <c r="E92" s="24"/>
      <c r="F92" s="91"/>
      <c r="G92" s="24"/>
      <c r="H92" s="91"/>
      <c r="I92" s="24"/>
      <c r="J92" s="91"/>
      <c r="K92" s="24"/>
      <c r="L92" s="91"/>
      <c r="M92" s="27" t="e">
        <f t="shared" ca="1" si="4"/>
        <v>#N/A</v>
      </c>
      <c r="N92" s="48" t="e">
        <f ca="1">VLOOKUP($B92,Matrix!$H$13:$I$37,2,FALSE)&amp;"_"&amp;C92</f>
        <v>#N/A</v>
      </c>
      <c r="O92" s="98" t="e">
        <f t="shared" ca="1" si="3"/>
        <v>#N/A</v>
      </c>
    </row>
    <row r="93" spans="2:15">
      <c r="B93" s="24"/>
      <c r="C93" s="23"/>
      <c r="D93" s="90"/>
      <c r="E93" s="24"/>
      <c r="F93" s="91"/>
      <c r="G93" s="24"/>
      <c r="H93" s="91"/>
      <c r="I93" s="24"/>
      <c r="J93" s="91"/>
      <c r="K93" s="24"/>
      <c r="L93" s="91"/>
      <c r="M93" s="27" t="e">
        <f t="shared" ca="1" si="4"/>
        <v>#N/A</v>
      </c>
      <c r="N93" s="48" t="e">
        <f ca="1">VLOOKUP($B93,Matrix!$H$13:$I$37,2,FALSE)&amp;"_"&amp;C93</f>
        <v>#N/A</v>
      </c>
      <c r="O93" s="98" t="e">
        <f t="shared" ca="1" si="3"/>
        <v>#N/A</v>
      </c>
    </row>
    <row r="94" spans="2:15">
      <c r="B94" s="24"/>
      <c r="C94" s="23"/>
      <c r="D94" s="90"/>
      <c r="E94" s="24"/>
      <c r="F94" s="91"/>
      <c r="G94" s="24"/>
      <c r="H94" s="91"/>
      <c r="I94" s="24"/>
      <c r="J94" s="91"/>
      <c r="K94" s="24"/>
      <c r="L94" s="91"/>
      <c r="M94" s="27" t="e">
        <f t="shared" ca="1" si="4"/>
        <v>#N/A</v>
      </c>
      <c r="N94" s="48" t="e">
        <f ca="1">VLOOKUP($B94,Matrix!$H$13:$I$37,2,FALSE)&amp;"_"&amp;C94</f>
        <v>#N/A</v>
      </c>
      <c r="O94" s="98" t="e">
        <f t="shared" ca="1" si="3"/>
        <v>#N/A</v>
      </c>
    </row>
    <row r="95" spans="2:15">
      <c r="B95" s="24"/>
      <c r="C95" s="23"/>
      <c r="D95" s="90"/>
      <c r="E95" s="24"/>
      <c r="F95" s="91"/>
      <c r="G95" s="24"/>
      <c r="H95" s="91"/>
      <c r="I95" s="24"/>
      <c r="J95" s="91"/>
      <c r="K95" s="24"/>
      <c r="L95" s="91"/>
      <c r="M95" s="27" t="e">
        <f t="shared" ca="1" si="4"/>
        <v>#N/A</v>
      </c>
      <c r="N95" s="48" t="e">
        <f ca="1">VLOOKUP($B95,Matrix!$H$13:$I$37,2,FALSE)&amp;"_"&amp;C95</f>
        <v>#N/A</v>
      </c>
      <c r="O95" s="98" t="e">
        <f t="shared" ca="1" si="3"/>
        <v>#N/A</v>
      </c>
    </row>
    <row r="96" spans="2:15">
      <c r="B96" s="24"/>
      <c r="C96" s="23"/>
      <c r="D96" s="90"/>
      <c r="E96" s="24"/>
      <c r="F96" s="91"/>
      <c r="G96" s="24"/>
      <c r="H96" s="91"/>
      <c r="I96" s="24"/>
      <c r="J96" s="91"/>
      <c r="K96" s="24"/>
      <c r="L96" s="91"/>
      <c r="M96" s="27" t="e">
        <f t="shared" ca="1" si="4"/>
        <v>#N/A</v>
      </c>
      <c r="N96" s="48" t="e">
        <f ca="1">VLOOKUP($B96,Matrix!$H$13:$I$37,2,FALSE)&amp;"_"&amp;C96</f>
        <v>#N/A</v>
      </c>
      <c r="O96" s="98" t="e">
        <f t="shared" ca="1" si="3"/>
        <v>#N/A</v>
      </c>
    </row>
    <row r="97" spans="2:15">
      <c r="B97" s="24"/>
      <c r="C97" s="23"/>
      <c r="D97" s="90"/>
      <c r="E97" s="24"/>
      <c r="F97" s="91"/>
      <c r="G97" s="24"/>
      <c r="H97" s="91"/>
      <c r="I97" s="24"/>
      <c r="J97" s="91"/>
      <c r="K97" s="24"/>
      <c r="L97" s="91"/>
      <c r="M97" s="27" t="e">
        <f t="shared" ca="1" si="4"/>
        <v>#N/A</v>
      </c>
      <c r="N97" s="48" t="e">
        <f ca="1">VLOOKUP($B97,Matrix!$H$13:$I$37,2,FALSE)&amp;"_"&amp;C97</f>
        <v>#N/A</v>
      </c>
      <c r="O97" s="98" t="e">
        <f t="shared" ca="1" si="3"/>
        <v>#N/A</v>
      </c>
    </row>
    <row r="98" spans="2:15">
      <c r="B98" s="24"/>
      <c r="C98" s="23"/>
      <c r="D98" s="90"/>
      <c r="E98" s="24"/>
      <c r="F98" s="91"/>
      <c r="G98" s="24"/>
      <c r="H98" s="91"/>
      <c r="I98" s="24"/>
      <c r="J98" s="91"/>
      <c r="K98" s="24"/>
      <c r="L98" s="91"/>
      <c r="M98" s="27" t="e">
        <f t="shared" ca="1" si="4"/>
        <v>#N/A</v>
      </c>
      <c r="N98" s="48" t="e">
        <f ca="1">VLOOKUP($B98,Matrix!$H$13:$I$37,2,FALSE)&amp;"_"&amp;C98</f>
        <v>#N/A</v>
      </c>
      <c r="O98" s="98" t="e">
        <f t="shared" ca="1" si="3"/>
        <v>#N/A</v>
      </c>
    </row>
    <row r="99" spans="2:15">
      <c r="B99" s="24"/>
      <c r="C99" s="23"/>
      <c r="D99" s="90"/>
      <c r="E99" s="24"/>
      <c r="F99" s="91"/>
      <c r="G99" s="24"/>
      <c r="H99" s="91"/>
      <c r="I99" s="24"/>
      <c r="J99" s="91"/>
      <c r="K99" s="24"/>
      <c r="L99" s="91"/>
      <c r="M99" s="27" t="e">
        <f t="shared" ca="1" si="4"/>
        <v>#N/A</v>
      </c>
      <c r="N99" s="48" t="e">
        <f ca="1">VLOOKUP($B99,Matrix!$H$13:$I$37,2,FALSE)&amp;"_"&amp;C99</f>
        <v>#N/A</v>
      </c>
      <c r="O99" s="98" t="e">
        <f t="shared" ca="1" si="3"/>
        <v>#N/A</v>
      </c>
    </row>
    <row r="100" spans="2:15">
      <c r="B100" s="24"/>
      <c r="C100" s="23"/>
      <c r="D100" s="90"/>
      <c r="E100" s="24"/>
      <c r="F100" s="91"/>
      <c r="G100" s="24"/>
      <c r="H100" s="91"/>
      <c r="I100" s="24"/>
      <c r="J100" s="91"/>
      <c r="K100" s="24"/>
      <c r="L100" s="91"/>
      <c r="M100" s="27" t="e">
        <f t="shared" ca="1" si="4"/>
        <v>#N/A</v>
      </c>
      <c r="N100" s="48" t="e">
        <f ca="1">VLOOKUP($B100,Matrix!$H$13:$I$37,2,FALSE)&amp;"_"&amp;C100</f>
        <v>#N/A</v>
      </c>
      <c r="O100" s="98" t="e">
        <f t="shared" ref="O100:O103" ca="1" si="5">"#define "&amp;N100&amp;REPT(" ",48-M100)&amp;"("&amp;D100&amp;"U)"</f>
        <v>#N/A</v>
      </c>
    </row>
    <row r="101" spans="2:15">
      <c r="B101" s="24"/>
      <c r="C101" s="23"/>
      <c r="D101" s="90"/>
      <c r="E101" s="24"/>
      <c r="F101" s="91"/>
      <c r="G101" s="24"/>
      <c r="H101" s="91"/>
      <c r="I101" s="24"/>
      <c r="J101" s="91"/>
      <c r="K101" s="24"/>
      <c r="L101" s="91"/>
      <c r="M101" s="27" t="e">
        <f t="shared" ca="1" si="4"/>
        <v>#N/A</v>
      </c>
      <c r="N101" s="48" t="e">
        <f ca="1">VLOOKUP($B101,Matrix!$H$13:$I$37,2,FALSE)&amp;"_"&amp;C101</f>
        <v>#N/A</v>
      </c>
      <c r="O101" s="98" t="e">
        <f t="shared" ca="1" si="5"/>
        <v>#N/A</v>
      </c>
    </row>
    <row r="102" spans="2:15">
      <c r="B102" s="24"/>
      <c r="C102" s="23"/>
      <c r="D102" s="90"/>
      <c r="E102" s="24"/>
      <c r="F102" s="91"/>
      <c r="G102" s="24"/>
      <c r="H102" s="91"/>
      <c r="I102" s="24"/>
      <c r="J102" s="91"/>
      <c r="K102" s="24"/>
      <c r="L102" s="91"/>
      <c r="M102" s="27" t="e">
        <f t="shared" ca="1" si="4"/>
        <v>#N/A</v>
      </c>
      <c r="N102" s="48" t="e">
        <f ca="1">VLOOKUP($B102,Matrix!$H$13:$I$37,2,FALSE)&amp;"_"&amp;C102</f>
        <v>#N/A</v>
      </c>
      <c r="O102" s="98" t="e">
        <f t="shared" ca="1" si="5"/>
        <v>#N/A</v>
      </c>
    </row>
    <row r="103" spans="2:15" ht="14.25" thickBot="1">
      <c r="B103" s="33"/>
      <c r="C103" s="34"/>
      <c r="D103" s="92"/>
      <c r="E103" s="33"/>
      <c r="F103" s="93"/>
      <c r="G103" s="33"/>
      <c r="H103" s="93"/>
      <c r="I103" s="33"/>
      <c r="J103" s="93"/>
      <c r="K103" s="33"/>
      <c r="L103" s="93"/>
      <c r="M103" s="35" t="e">
        <f t="shared" ca="1" si="4"/>
        <v>#N/A</v>
      </c>
      <c r="N103" s="49" t="e">
        <f ca="1">VLOOKUP($B103,Matrix!$H$13:$I$37,2,FALSE)&amp;"_"&amp;C103</f>
        <v>#N/A</v>
      </c>
      <c r="O103" s="99" t="e">
        <f t="shared" ca="1" si="5"/>
        <v>#N/A</v>
      </c>
    </row>
  </sheetData>
  <sheetProtection sheet="1" objects="1" scenarios="1"/>
  <protectedRanges>
    <protectedRange sqref="B4:L103" name="範囲1"/>
  </protectedRanges>
  <phoneticPr fontId="2"/>
  <conditionalFormatting sqref="M4:M103">
    <cfRule type="cellIs" dxfId="14" priority="2" operator="greaterThan">
      <formula>32</formula>
    </cfRule>
  </conditionalFormatting>
  <conditionalFormatting sqref="M3">
    <cfRule type="cellIs" dxfId="1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70" zoomScaleNormal="70" workbookViewId="0">
      <pane ySplit="3" topLeftCell="A4" activePane="bottomLeft" state="frozen"/>
      <selection pane="bottomLeft" activeCell="AD3" sqref="AD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0" t="s">
        <v>123</v>
      </c>
      <c r="C2" s="301"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03" t="s">
        <v>155</v>
      </c>
    </row>
    <row r="3" spans="1:49" ht="213" customHeight="1" thickBot="1">
      <c r="B3" s="155" t="str">
        <f>IF(OR(IF(COUNTIF(D6:AC69,"0")&lt;&gt;0,TRUE,FALSE),IF(COUNTIF(D6:AC69,"1")&lt;&gt;0,TRUE,FALSE)),"Search Table","Index Table")</f>
        <v>Index Table</v>
      </c>
      <c r="C3" s="302"/>
      <c r="D3" s="102" t="s">
        <v>61</v>
      </c>
      <c r="E3" s="102" t="s">
        <v>66</v>
      </c>
      <c r="F3" s="102" t="s">
        <v>49</v>
      </c>
      <c r="G3" s="102" t="s">
        <v>48</v>
      </c>
      <c r="H3" s="102" t="s">
        <v>121</v>
      </c>
      <c r="I3" s="102" t="s">
        <v>120</v>
      </c>
      <c r="J3" s="102" t="s">
        <v>125</v>
      </c>
      <c r="K3" s="102" t="s">
        <v>124</v>
      </c>
      <c r="L3" s="103" t="s">
        <v>66</v>
      </c>
      <c r="M3" s="103" t="s">
        <v>62</v>
      </c>
      <c r="N3" s="103" t="s">
        <v>62</v>
      </c>
      <c r="O3" s="103" t="s">
        <v>62</v>
      </c>
      <c r="P3" s="103" t="s">
        <v>62</v>
      </c>
      <c r="Q3" s="103" t="s">
        <v>62</v>
      </c>
      <c r="R3" s="103" t="s">
        <v>62</v>
      </c>
      <c r="S3" s="103" t="s">
        <v>62</v>
      </c>
      <c r="T3" s="103" t="s">
        <v>62</v>
      </c>
      <c r="U3" s="103" t="s">
        <v>62</v>
      </c>
      <c r="V3" s="103" t="s">
        <v>62</v>
      </c>
      <c r="W3" s="103" t="s">
        <v>62</v>
      </c>
      <c r="X3" s="103" t="s">
        <v>62</v>
      </c>
      <c r="Y3" s="103" t="s">
        <v>62</v>
      </c>
      <c r="Z3" s="103" t="s">
        <v>62</v>
      </c>
      <c r="AA3" s="103" t="s">
        <v>62</v>
      </c>
      <c r="AB3" s="103" t="s">
        <v>157</v>
      </c>
      <c r="AC3" s="103" t="s">
        <v>66</v>
      </c>
      <c r="AD3" s="157" t="s">
        <v>225</v>
      </c>
      <c r="AE3" s="309" t="s">
        <v>226</v>
      </c>
      <c r="AF3" s="310"/>
      <c r="AG3" s="311"/>
      <c r="AH3" s="157" t="s">
        <v>219</v>
      </c>
      <c r="AI3" s="157" t="s">
        <v>227</v>
      </c>
      <c r="AJ3" s="304"/>
      <c r="AR3" s="65" t="s">
        <v>96</v>
      </c>
    </row>
    <row r="4" spans="1:49" ht="14.25" thickBot="1">
      <c r="A4" s="305" t="s">
        <v>63</v>
      </c>
      <c r="B4" s="306"/>
      <c r="C4" s="111"/>
      <c r="D4" s="111"/>
      <c r="E4" s="111"/>
      <c r="F4" s="111"/>
      <c r="G4" s="111"/>
      <c r="H4" s="111"/>
      <c r="I4" s="111"/>
      <c r="J4" s="111"/>
      <c r="K4" s="111"/>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05"/>
      <c r="AR4" s="53" t="s">
        <v>82</v>
      </c>
      <c r="AS4" s="54"/>
      <c r="AT4" s="54"/>
      <c r="AU4" s="54"/>
      <c r="AV4" s="54"/>
      <c r="AW4" s="55"/>
    </row>
    <row r="5" spans="1:49" ht="14.25" thickBot="1">
      <c r="A5" s="307"/>
      <c r="B5" s="308"/>
      <c r="C5" s="112"/>
      <c r="D5" s="112"/>
      <c r="E5" s="112"/>
      <c r="F5" s="112"/>
      <c r="G5" s="112"/>
      <c r="H5" s="112"/>
      <c r="I5" s="112"/>
      <c r="J5" s="112"/>
      <c r="K5" s="112"/>
      <c r="L5" s="112"/>
      <c r="M5" s="112"/>
      <c r="N5" s="112"/>
      <c r="O5" s="112"/>
      <c r="P5" s="112"/>
      <c r="Q5" s="112"/>
      <c r="R5" s="112"/>
      <c r="S5" s="112"/>
      <c r="T5" s="112"/>
      <c r="U5" s="112"/>
      <c r="V5" s="112"/>
      <c r="W5" s="112"/>
      <c r="X5" s="112"/>
      <c r="Y5" s="112"/>
      <c r="Z5" s="112"/>
      <c r="AA5" s="112"/>
      <c r="AB5" s="112"/>
      <c r="AC5" s="112"/>
      <c r="AD5" s="112"/>
      <c r="AE5" s="112"/>
      <c r="AF5" s="112"/>
      <c r="AG5" s="112"/>
      <c r="AH5" s="112"/>
      <c r="AI5" s="112"/>
      <c r="AJ5" s="106"/>
      <c r="AR5" s="56" t="str">
        <f ca="1">"static const U4  "&amp;AW8&amp;"["&amp;AW10&amp;"]"&amp;" = {"</f>
        <v>static const U4  u4_sp_ALERT_D_ATMAL_CRIT[ALERT_D_ATMAL_NUM_DST] = {</v>
      </c>
      <c r="AS5" s="56" t="str">
        <f ca="1">"static const U4  "&amp;$AW$9&amp;"["&amp;$AW$10&amp;"] = {"</f>
        <v>static const U4  u4_sp_ALERT_D_ATMAL_MASK[ALERT_D_ATMAL_NUM_DST] = {</v>
      </c>
      <c r="AT5" s="56" t="str">
        <f ca="1">"static const U1  "&amp;$AW$11&amp;"["&amp;$AW$10&amp;"] = {"</f>
        <v>static const U1  u1_sp_ALERT_D_ATMAL_DST[ALERT_D_ATMAL_NUM_DST] = {</v>
      </c>
      <c r="AU5" s="56" t="str">
        <f ca="1">"const ST_ALERT_MTRX "&amp;$AW$12&amp;" = {"</f>
        <v>const ST_ALERT_MTRX st_gp_ALERT_D_ATMAL_MTRX[1] = {</v>
      </c>
      <c r="AV5" s="45" t="str">
        <f ca="1">"#define "&amp;AW10&amp;REPT(" ",41-LEN(AW10))&amp;"("&amp;AW13&amp;"U)"</f>
        <v>#define ALERT_D_ATMAL_NUM_DST                    (64U)</v>
      </c>
      <c r="AW5" s="46"/>
    </row>
    <row r="6" spans="1:49">
      <c r="B6" s="108" t="str">
        <f ca="1">"Table "&amp;$AW$6</f>
        <v>Table D_ATMAL</v>
      </c>
      <c r="C6" s="32">
        <f>ROW()-ROW($C$6)</f>
        <v>0</v>
      </c>
      <c r="D6" s="104" t="s">
        <v>67</v>
      </c>
      <c r="E6" s="104" t="s">
        <v>67</v>
      </c>
      <c r="F6" s="104" t="s">
        <v>67</v>
      </c>
      <c r="G6" s="104" t="s">
        <v>67</v>
      </c>
      <c r="H6" s="104" t="s">
        <v>67</v>
      </c>
      <c r="I6" s="104" t="s">
        <v>67</v>
      </c>
      <c r="J6" s="104" t="s">
        <v>67</v>
      </c>
      <c r="K6" s="41"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41" t="s">
        <v>250</v>
      </c>
      <c r="AD6" s="41">
        <v>0</v>
      </c>
      <c r="AE6" s="41">
        <v>0</v>
      </c>
      <c r="AF6" s="41">
        <v>0</v>
      </c>
      <c r="AG6" s="41">
        <v>0</v>
      </c>
      <c r="AH6" s="41">
        <v>0</v>
      </c>
      <c r="AI6" s="41">
        <v>0</v>
      </c>
      <c r="AJ6" s="31"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(U4)0x0000003FU,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D_ATMAL</v>
      </c>
    </row>
    <row r="7" spans="1:49">
      <c r="B7" s="108"/>
      <c r="C7" s="27">
        <f t="shared" ref="C7:C69" si="2">ROW()-ROW($C$6)</f>
        <v>1</v>
      </c>
      <c r="D7" s="41" t="s">
        <v>67</v>
      </c>
      <c r="E7" s="41" t="s">
        <v>67</v>
      </c>
      <c r="F7" s="41" t="s">
        <v>67</v>
      </c>
      <c r="G7" s="104"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104">
        <v>0</v>
      </c>
      <c r="AE7" s="104">
        <v>0</v>
      </c>
      <c r="AF7" s="104">
        <v>0</v>
      </c>
      <c r="AG7" s="104">
        <v>0</v>
      </c>
      <c r="AH7" s="104">
        <v>0</v>
      </c>
      <c r="AI7" s="104">
        <v>1</v>
      </c>
      <c r="AJ7" s="23" t="s">
        <v>248</v>
      </c>
      <c r="AL7" t="str">
        <f t="shared" ca="1" si="0"/>
        <v xml:space="preserve">    (U1)ALERT_REQ_D_ATMAL_MALFUNC</v>
      </c>
      <c r="AR7" s="43" t="str">
        <f t="shared" ref="AR7:AR70" si="3">IF(AQ72&lt;&gt;"",AQ72,IF(AQ71&lt;&gt;"","};",""))</f>
        <v xml:space="preserve">    (U4)0x00000001U,                                                           /* 01 MALFUNC                                         */</v>
      </c>
      <c r="AS7" s="43" t="str">
        <f t="shared" ref="AS7:AS70" si="4">IF(AQ137&lt;&gt;"",AQ137,IF(AQ136&lt;&gt;"","};",""))</f>
        <v xml:space="preserve">    (U4)0x0000003FU,                                                           /* 01 MALFUNC                                         */</v>
      </c>
      <c r="AT7" s="43" t="str">
        <f t="shared" ca="1" si="1"/>
        <v xml:space="preserve">    (U1)ALERT_REQ_D_ATMAL_MALFUNC,                                             /* 01 MALFUNC                                         */</v>
      </c>
      <c r="AU7" s="43" t="str">
        <f ca="1">"        &amp;"&amp;$AW$14&amp;","&amp;REPT(" ",69-LEN($AW$14))&amp;"/* fp_u4_SRC_CHK                                      */"</f>
        <v xml:space="preserve">        &amp;u4_s_AlertD_atmalSrcchk,                                              /* fp_u4_SRC_CHK                                      */</v>
      </c>
      <c r="AV7" s="29" t="s">
        <v>71</v>
      </c>
      <c r="AW7" s="107">
        <f>IF(B3="Search Table",1,0)</f>
        <v>0</v>
      </c>
    </row>
    <row r="8" spans="1:49">
      <c r="B8" s="108"/>
      <c r="C8" s="27">
        <f t="shared" si="2"/>
        <v>2</v>
      </c>
      <c r="D8" s="41" t="s">
        <v>67</v>
      </c>
      <c r="E8" s="41" t="s">
        <v>67</v>
      </c>
      <c r="F8" s="41" t="s">
        <v>67</v>
      </c>
      <c r="G8" s="104"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v>0</v>
      </c>
      <c r="AE8" s="41">
        <v>0</v>
      </c>
      <c r="AF8" s="104">
        <v>0</v>
      </c>
      <c r="AG8" s="104">
        <v>0</v>
      </c>
      <c r="AH8" s="104">
        <v>1</v>
      </c>
      <c r="AI8" s="104">
        <v>0</v>
      </c>
      <c r="AJ8" s="23" t="s">
        <v>32</v>
      </c>
      <c r="AL8" t="str">
        <f t="shared" si="0"/>
        <v xml:space="preserve">    (U1)ALERT_REQ_UNKNOWN</v>
      </c>
      <c r="AR8" s="43" t="str">
        <f t="shared" si="3"/>
        <v xml:space="preserve">    (U4)0x00000002U,                                                           /* 02 UNKNOWN                                         */</v>
      </c>
      <c r="AS8" s="43" t="str">
        <f t="shared" si="4"/>
        <v xml:space="preserve">    (U4)0x0000003FU,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&amp;vd_s_AlertD_atmalRwTx,                                                /* fp_vd_XDST                                         */</v>
      </c>
      <c r="AV8" s="29" t="s">
        <v>72</v>
      </c>
      <c r="AW8" s="48" t="str">
        <f ca="1">"u4_sp_ALERT_"&amp;IF(AW6&lt;&gt;AW17,$AW$17&amp;"_"&amp;$AW$6,AW17)&amp;"_CRIT"</f>
        <v>u4_sp_ALERT_D_ATMAL_CRIT</v>
      </c>
    </row>
    <row r="9" spans="1:49">
      <c r="B9" s="108"/>
      <c r="C9" s="27">
        <f t="shared" si="2"/>
        <v>3</v>
      </c>
      <c r="D9" s="41" t="s">
        <v>67</v>
      </c>
      <c r="E9" s="41" t="s">
        <v>67</v>
      </c>
      <c r="F9" s="41" t="s">
        <v>67</v>
      </c>
      <c r="G9" s="104"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v>0</v>
      </c>
      <c r="AE9" s="41">
        <v>0</v>
      </c>
      <c r="AF9" s="104">
        <v>0</v>
      </c>
      <c r="AG9" s="104">
        <v>0</v>
      </c>
      <c r="AH9" s="104">
        <v>1</v>
      </c>
      <c r="AI9" s="104">
        <v>1</v>
      </c>
      <c r="AJ9" s="23" t="s">
        <v>32</v>
      </c>
      <c r="AL9" t="str">
        <f t="shared" si="0"/>
        <v xml:space="preserve">    (U1)ALERT_REQ_UNKNOWN</v>
      </c>
      <c r="AR9" s="43" t="str">
        <f t="shared" si="3"/>
        <v xml:space="preserve">    (U4)0x00000003U,                                                           /* 03 UNKNOWN                                         */</v>
      </c>
      <c r="AS9" s="43" t="str">
        <f t="shared" si="4"/>
        <v xml:space="preserve">    (U4)0x0000003FU,                                                           /* 03 UNKNOWN                                         */</v>
      </c>
      <c r="AT9" s="43" t="str">
        <f t="shared" si="1"/>
        <v xml:space="preserve">    (U1)ALERT_REQ_UNKNOWN,                                                     /* 03 UNKNOWN                                         */</v>
      </c>
      <c r="AU9" s="43"/>
      <c r="AV9" s="29" t="s">
        <v>73</v>
      </c>
      <c r="AW9" s="48" t="str">
        <f ca="1">"u4_sp_ALERT_"&amp;IF(AW6&lt;&gt;AW17,$AW$17&amp;"_"&amp;$AW$6,AW17)&amp;"_MASK"</f>
        <v>u4_sp_ALERT_D_ATMAL_MASK</v>
      </c>
    </row>
    <row r="10" spans="1:49">
      <c r="B10" s="108"/>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v>0</v>
      </c>
      <c r="AE10" s="41">
        <v>0</v>
      </c>
      <c r="AF10" s="104">
        <v>0</v>
      </c>
      <c r="AG10" s="104">
        <v>1</v>
      </c>
      <c r="AH10" s="104">
        <v>0</v>
      </c>
      <c r="AI10" s="104">
        <v>0</v>
      </c>
      <c r="AJ10" s="23" t="s">
        <v>32</v>
      </c>
      <c r="AL10" t="str">
        <f t="shared" si="0"/>
        <v xml:space="preserve">    (U1)ALERT_REQ_UNKNOWN</v>
      </c>
      <c r="AR10" s="43" t="str">
        <f t="shared" si="3"/>
        <v xml:space="preserve">    (U4)0x00000004U,                                                           /* 04 UNKNOWN                                         */</v>
      </c>
      <c r="AS10" s="43" t="str">
        <f t="shared" si="4"/>
        <v xml:space="preserve">    (U4)0x0000003FU,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ALERT_D_ATMAL_NUM_DST</v>
      </c>
    </row>
    <row r="11" spans="1:49">
      <c r="B11" s="108"/>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v>0</v>
      </c>
      <c r="AE11" s="41">
        <v>0</v>
      </c>
      <c r="AF11" s="104">
        <v>0</v>
      </c>
      <c r="AG11" s="104">
        <v>1</v>
      </c>
      <c r="AH11" s="104">
        <v>0</v>
      </c>
      <c r="AI11" s="104">
        <v>1</v>
      </c>
      <c r="AJ11" s="23" t="s">
        <v>248</v>
      </c>
      <c r="AL11" t="str">
        <f t="shared" ca="1" si="0"/>
        <v xml:space="preserve">    (U1)ALERT_REQ_D_ATMAL_MALFUNC</v>
      </c>
      <c r="AR11" s="43" t="str">
        <f t="shared" si="3"/>
        <v xml:space="preserve">    (U4)0x00000005U,                                                           /* 05 MALFUNC                                         */</v>
      </c>
      <c r="AS11" s="43" t="str">
        <f t="shared" si="4"/>
        <v xml:space="preserve">    (U4)0x0000003FU,                                                           /* 05 MALFUNC                                         */</v>
      </c>
      <c r="AT11" s="43" t="str">
        <f t="shared" ca="1" si="1"/>
        <v xml:space="preserve">    (U1)ALERT_REQ_D_ATMAL_MALFUNC,                                             /* 05 MALFUNC                                         */</v>
      </c>
      <c r="AU11" s="43" t="str">
        <f>IF($AW$7=1,"        &amp;"&amp;$AW$8&amp;"[0],"&amp;REPT(" ",66-LEN($AW$8))&amp;"/* u4p_CRIT                                           */","        (const U4 *)vdp_PTR_NA,                                                /* u4p_CRIT                                           */")</f>
        <v xml:space="preserve">        (const U4 *)vdp_PTR_NA,                                                /* u4p_CRIT                                           */</v>
      </c>
      <c r="AV11" s="29" t="s">
        <v>75</v>
      </c>
      <c r="AW11" s="48" t="str">
        <f ca="1">"u1_sp_ALERT_"&amp;IF(AW6&lt;&gt;AW17,$AW$17&amp;"_"&amp;$AW$6,AW17)&amp;"_DST"</f>
        <v>u1_sp_ALERT_D_ATMAL_DST</v>
      </c>
    </row>
    <row r="12" spans="1:49">
      <c r="B12" s="108"/>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v>0</v>
      </c>
      <c r="AE12" s="104">
        <v>0</v>
      </c>
      <c r="AF12" s="104">
        <v>0</v>
      </c>
      <c r="AG12" s="104">
        <v>1</v>
      </c>
      <c r="AH12" s="104">
        <v>1</v>
      </c>
      <c r="AI12" s="104">
        <v>0</v>
      </c>
      <c r="AJ12" s="23" t="s">
        <v>32</v>
      </c>
      <c r="AL12" t="str">
        <f t="shared" si="0"/>
        <v xml:space="preserve">    (U1)ALERT_REQ_UNKNOWN</v>
      </c>
      <c r="AR12" s="43" t="str">
        <f t="shared" si="3"/>
        <v xml:space="preserve">    (U4)0x00000006U,                                                           /* 06 UNKNOWN                                         */</v>
      </c>
      <c r="AS12" s="43" t="str">
        <f t="shared" si="4"/>
        <v xml:space="preserve">    (U4)0x0000003FU,                                                           /* 06 UNKNOWN                                         */</v>
      </c>
      <c r="AT12" s="43" t="str">
        <f t="shared" si="1"/>
        <v xml:space="preserve">    (U1)ALERT_REQ_UNKNOWN,                                                     /* 06 UNKNOWN                                         */</v>
      </c>
      <c r="AU12" s="43"/>
      <c r="AV12" s="29" t="s">
        <v>88</v>
      </c>
      <c r="AW12" s="48" t="str">
        <f ca="1">Matrix!D8&amp;"["&amp;Matrix!D7&amp;"]"</f>
        <v>st_gp_ALERT_D_ATMAL_MTRX[1]</v>
      </c>
    </row>
    <row r="13" spans="1:49">
      <c r="B13" s="108"/>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v>0</v>
      </c>
      <c r="AE13" s="41">
        <v>0</v>
      </c>
      <c r="AF13" s="104">
        <v>0</v>
      </c>
      <c r="AG13" s="104">
        <v>1</v>
      </c>
      <c r="AH13" s="104">
        <v>1</v>
      </c>
      <c r="AI13" s="104">
        <v>1</v>
      </c>
      <c r="AJ13" s="23" t="s">
        <v>32</v>
      </c>
      <c r="AL13" t="str">
        <f t="shared" si="0"/>
        <v xml:space="preserve">    (U1)ALERT_REQ_UNKNOWN</v>
      </c>
      <c r="AR13" s="43" t="str">
        <f t="shared" si="3"/>
        <v xml:space="preserve">    (U4)0x00000007U,                                                           /* 07 UNKNOWN                                         */</v>
      </c>
      <c r="AS13" s="43" t="str">
        <f t="shared" si="4"/>
        <v xml:space="preserve">    (U4)0x0000003FU,                                                           /* 07 UNKNOWN                                         */</v>
      </c>
      <c r="AT13" s="43" t="str">
        <f t="shared" si="1"/>
        <v xml:space="preserve">    (U1)ALERT_REQ_UNKNOWN,                                                     /* 07 UNKNOWN                                         */</v>
      </c>
      <c r="AU13" s="43" t="str">
        <f ca="1">"        &amp;"&amp;$AW$11&amp;"[0],"&amp;REPT(" ",66-LEN($AW$11))&amp;"/* u1p_DST                                            */"</f>
        <v xml:space="preserve">        &amp;u1_sp_ALERT_D_ATMAL_DST[0],                                           /* u1p_DST                                            */</v>
      </c>
      <c r="AV13" s="29" t="s">
        <v>76</v>
      </c>
      <c r="AW13" s="107">
        <f>COUNTA($AJ$6:$AJ$69)</f>
        <v>64</v>
      </c>
    </row>
    <row r="14" spans="1:49">
      <c r="B14" s="108"/>
      <c r="C14" s="27">
        <f t="shared" si="2"/>
        <v>8</v>
      </c>
      <c r="D14" s="41" t="s">
        <v>67</v>
      </c>
      <c r="E14" s="41" t="s">
        <v>67</v>
      </c>
      <c r="F14" s="41" t="s">
        <v>67</v>
      </c>
      <c r="G14" s="41" t="s">
        <v>67</v>
      </c>
      <c r="H14" s="41" t="s">
        <v>67</v>
      </c>
      <c r="I14" s="41" t="s">
        <v>67</v>
      </c>
      <c r="J14" s="41" t="s">
        <v>67</v>
      </c>
      <c r="K14" s="41" t="s">
        <v>202</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v>0</v>
      </c>
      <c r="AE14" s="41">
        <v>0</v>
      </c>
      <c r="AF14" s="104">
        <v>1</v>
      </c>
      <c r="AG14" s="104">
        <v>0</v>
      </c>
      <c r="AH14" s="104">
        <v>0</v>
      </c>
      <c r="AI14" s="104">
        <v>0</v>
      </c>
      <c r="AJ14" s="23" t="s">
        <v>26</v>
      </c>
      <c r="AL14" t="str">
        <f t="shared" ca="1" si="0"/>
        <v xml:space="preserve">    (U1)ALERT_REQ_D_ATMAL_RW</v>
      </c>
      <c r="AR14" s="43" t="str">
        <f t="shared" si="3"/>
        <v xml:space="preserve">    (U4)0x00000008U,                                                           /* 08 RW                                              */</v>
      </c>
      <c r="AS14" s="43" t="str">
        <f t="shared" si="4"/>
        <v xml:space="preserve">    (U4)0x0000003FU,                                                           /* 08 RW                                              */</v>
      </c>
      <c r="AT14" s="43" t="str">
        <f t="shared" ca="1" si="1"/>
        <v xml:space="preserve">    (U1)ALERT_REQ_D_ATMAL_RW,                                                  /* 08 RW                                              */</v>
      </c>
      <c r="AU14" s="43" t="str">
        <f ca="1">"        (U2)"&amp;$AW$10&amp;","&amp;REPT(" ",66-LEN($AW$10))&amp;"/* u2_num_srch                                        */"</f>
        <v xml:space="preserve">        (U2)ALERT_D_ATMAL_NUM_DST,                                             /* u2_num_srch                                        */</v>
      </c>
      <c r="AV14" s="29" t="s">
        <v>77</v>
      </c>
      <c r="AW14" s="48" t="str">
        <f ca="1">IF(AW6&lt;&gt;AW17,VLOOKUP(AW6,Matrix!$C$13:$G$37,4,FALSE),Matrix!F13)</f>
        <v>u4_s_AlertD_atmalSrcchk</v>
      </c>
    </row>
    <row r="15" spans="1:49">
      <c r="B15" s="108"/>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v>0</v>
      </c>
      <c r="AE15" s="41">
        <v>0</v>
      </c>
      <c r="AF15" s="104">
        <v>1</v>
      </c>
      <c r="AG15" s="104">
        <v>0</v>
      </c>
      <c r="AH15" s="104">
        <v>0</v>
      </c>
      <c r="AI15" s="104">
        <v>1</v>
      </c>
      <c r="AJ15" s="23" t="s">
        <v>248</v>
      </c>
      <c r="AL15" t="str">
        <f t="shared" ca="1" si="0"/>
        <v xml:space="preserve">    (U1)ALERT_REQ_D_ATMAL_MALFUNC</v>
      </c>
      <c r="AR15" s="43" t="str">
        <f t="shared" si="3"/>
        <v xml:space="preserve">    (U4)0x00000009U,                                                           /* 09 MALFUNC                                         */</v>
      </c>
      <c r="AS15" s="43" t="str">
        <f t="shared" si="4"/>
        <v xml:space="preserve">    (U4)0x0000003FU,                                                           /* 09 MALFUNC                                         */</v>
      </c>
      <c r="AT15" s="43" t="str">
        <f t="shared" ca="1" si="1"/>
        <v xml:space="preserve">    (U1)ALERT_REQ_D_ATMAL_MALFUNC,                                             /* 09 MALFUNC                                         */</v>
      </c>
      <c r="AU15" s="43" t="str">
        <f ca="1">"        (U1)"&amp;$AW$16&amp;REPT(" ",67-LEN($AW$16))&amp;"/* u1_vom_act                                         */"</f>
        <v xml:space="preserve">        (U1)ALERT_VOM_IGN_ON                                                   /* u1_vom_act                                         */</v>
      </c>
      <c r="AV15" s="29" t="s">
        <v>80</v>
      </c>
      <c r="AW15" s="48" t="str">
        <f ca="1">IF(AW6&lt;&gt;AW17,VLOOKUP(AW6,Matrix!$C$13:$G$37,5,FALSE),Matrix!G13)</f>
        <v>vd_s_AlertD_atmalRwTx</v>
      </c>
    </row>
    <row r="16" spans="1:49">
      <c r="B16" s="108"/>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v>0</v>
      </c>
      <c r="AE16" s="41">
        <v>0</v>
      </c>
      <c r="AF16" s="104">
        <v>1</v>
      </c>
      <c r="AG16" s="104">
        <v>0</v>
      </c>
      <c r="AH16" s="104">
        <v>1</v>
      </c>
      <c r="AI16" s="104">
        <v>0</v>
      </c>
      <c r="AJ16" s="23" t="s">
        <v>26</v>
      </c>
      <c r="AL16" t="str">
        <f t="shared" ca="1" si="0"/>
        <v xml:space="preserve">    (U1)ALERT_REQ_D_ATMAL_RW</v>
      </c>
      <c r="AR16" s="43" t="str">
        <f t="shared" si="3"/>
        <v xml:space="preserve">    (U4)0x0000000AU,                                                           /* 10 RW                                              */</v>
      </c>
      <c r="AS16" s="43" t="str">
        <f t="shared" si="4"/>
        <v xml:space="preserve">    (U4)0x0000003FU,                                                           /* 10 RW                                              */</v>
      </c>
      <c r="AT16" s="43" t="str">
        <f t="shared" ca="1" si="1"/>
        <v xml:space="preserve">    (U1)ALERT_REQ_D_ATMAL_RW,                                                  /* 10 RW                                              */</v>
      </c>
      <c r="AU16" s="43" t="s">
        <v>69</v>
      </c>
      <c r="AV16" s="29" t="s">
        <v>78</v>
      </c>
      <c r="AW16" s="48" t="str">
        <f ca="1">IF(AW6&lt;&gt;AW17,VLOOKUP(AW6,Matrix!$C$13:$G$37,2,FALSE),Matrix!D13)</f>
        <v>ALERT_VOM_IGN_ON</v>
      </c>
    </row>
    <row r="17" spans="2:49" ht="14.25" thickBot="1">
      <c r="B17" s="108"/>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v>0</v>
      </c>
      <c r="AE17" s="41">
        <v>0</v>
      </c>
      <c r="AF17" s="104">
        <v>1</v>
      </c>
      <c r="AG17" s="104">
        <v>0</v>
      </c>
      <c r="AH17" s="104">
        <v>1</v>
      </c>
      <c r="AI17" s="104">
        <v>1</v>
      </c>
      <c r="AJ17" s="23" t="s">
        <v>26</v>
      </c>
      <c r="AL17" t="str">
        <f t="shared" ca="1" si="0"/>
        <v xml:space="preserve">    (U1)ALERT_REQ_D_ATMAL_RW</v>
      </c>
      <c r="AR17" s="43" t="str">
        <f t="shared" si="3"/>
        <v xml:space="preserve">    (U4)0x0000000BU,                                                           /* 11 RW                                              */</v>
      </c>
      <c r="AS17" s="43" t="str">
        <f t="shared" si="4"/>
        <v xml:space="preserve">    (U4)0x0000003FU,                                                           /* 11 RW                                              */</v>
      </c>
      <c r="AT17" s="43" t="str">
        <f t="shared" ca="1" si="1"/>
        <v xml:space="preserve">    (U1)ALERT_REQ_D_ATMAL_RW,                                                  /* 11 RW                                              */</v>
      </c>
      <c r="AU17" s="44" t="s">
        <v>81</v>
      </c>
      <c r="AV17" s="30" t="s">
        <v>79</v>
      </c>
      <c r="AW17" s="49" t="str">
        <f ca="1">UPPER(Matrix!$D$6)</f>
        <v>D_ATMAL</v>
      </c>
    </row>
    <row r="18" spans="2:49">
      <c r="B18" s="108"/>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v>0</v>
      </c>
      <c r="AE18" s="41">
        <v>0</v>
      </c>
      <c r="AF18" s="104">
        <v>1</v>
      </c>
      <c r="AG18" s="104">
        <v>1</v>
      </c>
      <c r="AH18" s="104">
        <v>0</v>
      </c>
      <c r="AI18" s="104">
        <v>0</v>
      </c>
      <c r="AJ18" s="23" t="s">
        <v>32</v>
      </c>
      <c r="AL18" t="str">
        <f t="shared" si="0"/>
        <v xml:space="preserve">    (U1)ALERT_REQ_UNKNOWN</v>
      </c>
      <c r="AR18" s="43" t="str">
        <f t="shared" si="3"/>
        <v xml:space="preserve">    (U4)0x0000000CU,                                                           /* 12 UNKNOWN                                         */</v>
      </c>
      <c r="AS18" s="43" t="str">
        <f t="shared" si="4"/>
        <v xml:space="preserve">    (U4)0x0000003FU,                                                           /* 12 UNKNOWN                                         */</v>
      </c>
      <c r="AT18" s="43" t="str">
        <f t="shared" si="1"/>
        <v xml:space="preserve">    (U1)ALERT_REQ_UNKNOWN,                                                     /* 12 UNKNOWN                                         */</v>
      </c>
    </row>
    <row r="19" spans="2:49">
      <c r="B19" s="108"/>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v>0</v>
      </c>
      <c r="AE19" s="41">
        <v>0</v>
      </c>
      <c r="AF19" s="104">
        <v>1</v>
      </c>
      <c r="AG19" s="104">
        <v>1</v>
      </c>
      <c r="AH19" s="104">
        <v>0</v>
      </c>
      <c r="AI19" s="104">
        <v>1</v>
      </c>
      <c r="AJ19" s="23" t="s">
        <v>248</v>
      </c>
      <c r="AL19" t="str">
        <f t="shared" ca="1" si="0"/>
        <v xml:space="preserve">    (U1)ALERT_REQ_D_ATMAL_MALFUNC</v>
      </c>
      <c r="AR19" s="43" t="str">
        <f t="shared" si="3"/>
        <v xml:space="preserve">    (U4)0x0000000DU,                                                           /* 13 MALFUNC                                         */</v>
      </c>
      <c r="AS19" s="43" t="str">
        <f t="shared" si="4"/>
        <v xml:space="preserve">    (U4)0x0000003FU,                                                           /* 13 MALFUNC                                         */</v>
      </c>
      <c r="AT19" s="43" t="str">
        <f t="shared" ca="1" si="1"/>
        <v xml:space="preserve">    (U1)ALERT_REQ_D_ATMAL_MALFUNC,                                             /* 13 MALFUNC                                         */</v>
      </c>
    </row>
    <row r="20" spans="2:49">
      <c r="B20" s="108"/>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v>0</v>
      </c>
      <c r="AE20" s="41">
        <v>0</v>
      </c>
      <c r="AF20" s="104">
        <v>1</v>
      </c>
      <c r="AG20" s="104">
        <v>1</v>
      </c>
      <c r="AH20" s="104">
        <v>1</v>
      </c>
      <c r="AI20" s="104">
        <v>0</v>
      </c>
      <c r="AJ20" s="23" t="s">
        <v>32</v>
      </c>
      <c r="AL20" t="str">
        <f t="shared" si="0"/>
        <v xml:space="preserve">    (U1)ALERT_REQ_UNKNOWN</v>
      </c>
      <c r="AR20" s="43" t="str">
        <f t="shared" si="3"/>
        <v xml:space="preserve">    (U4)0x0000000EU,                                                           /* 14 UNKNOWN                                         */</v>
      </c>
      <c r="AS20" s="43" t="str">
        <f t="shared" si="4"/>
        <v xml:space="preserve">    (U4)0x0000003FU,                                                           /* 14 UNKNOWN                                         */</v>
      </c>
      <c r="AT20" s="43" t="str">
        <f t="shared" si="1"/>
        <v xml:space="preserve">    (U1)ALERT_REQ_UNKNOWN,                                                     /* 14 UNKNOWN                                         */</v>
      </c>
    </row>
    <row r="21" spans="2:49">
      <c r="B21" s="108"/>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v>0</v>
      </c>
      <c r="AE21" s="41">
        <v>0</v>
      </c>
      <c r="AF21" s="104">
        <v>1</v>
      </c>
      <c r="AG21" s="104">
        <v>1</v>
      </c>
      <c r="AH21" s="104">
        <v>1</v>
      </c>
      <c r="AI21" s="104">
        <v>1</v>
      </c>
      <c r="AJ21" s="23" t="s">
        <v>32</v>
      </c>
      <c r="AL21" t="str">
        <f t="shared" si="0"/>
        <v xml:space="preserve">    (U1)ALERT_REQ_UNKNOWN</v>
      </c>
      <c r="AR21" s="43" t="str">
        <f t="shared" si="3"/>
        <v xml:space="preserve">    (U4)0x0000000FU,                                                           /* 15 UNKNOWN                                         */</v>
      </c>
      <c r="AS21" s="43" t="str">
        <f t="shared" si="4"/>
        <v xml:space="preserve">    (U4)0x0000003FU,                                                           /* 15 UNKNOWN                                         */</v>
      </c>
      <c r="AT21" s="43" t="str">
        <f t="shared" si="1"/>
        <v xml:space="preserve">    (U1)ALERT_REQ_UNKNOWN,                                                     /* 15 UNKNOWN                                         */</v>
      </c>
    </row>
    <row r="22" spans="2:49">
      <c r="B22" s="108"/>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v>0</v>
      </c>
      <c r="AE22" s="41">
        <v>1</v>
      </c>
      <c r="AF22" s="41">
        <v>0</v>
      </c>
      <c r="AG22" s="41">
        <v>0</v>
      </c>
      <c r="AH22" s="41">
        <v>0</v>
      </c>
      <c r="AI22" s="41">
        <v>0</v>
      </c>
      <c r="AJ22" s="23" t="s">
        <v>32</v>
      </c>
      <c r="AL22" t="str">
        <f t="shared" si="0"/>
        <v xml:space="preserve">    (U1)ALERT_REQ_UNKNOWN</v>
      </c>
      <c r="AR22" s="43" t="str">
        <f t="shared" si="3"/>
        <v xml:space="preserve">    (U4)0x00000010U,                                                           /* 16 UNKNOWN                                         */</v>
      </c>
      <c r="AS22" s="43" t="str">
        <f t="shared" si="4"/>
        <v xml:space="preserve">    (U4)0x0000003FU,                                                           /* 16 UNKNOWN                                         */</v>
      </c>
      <c r="AT22" s="43" t="str">
        <f t="shared" si="1"/>
        <v xml:space="preserve">    (U1)ALERT_REQ_UNKNOWN,                                                     /* 16 UNKNOWN                                         */</v>
      </c>
    </row>
    <row r="23" spans="2:49">
      <c r="B23" s="108"/>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v>0</v>
      </c>
      <c r="AE23" s="41">
        <v>1</v>
      </c>
      <c r="AF23" s="41">
        <v>0</v>
      </c>
      <c r="AG23" s="41">
        <v>0</v>
      </c>
      <c r="AH23" s="41">
        <v>0</v>
      </c>
      <c r="AI23" s="41">
        <v>1</v>
      </c>
      <c r="AJ23" s="23" t="s">
        <v>248</v>
      </c>
      <c r="AL23" t="str">
        <f t="shared" ca="1" si="0"/>
        <v xml:space="preserve">    (U1)ALERT_REQ_D_ATMAL_MALFUNC</v>
      </c>
      <c r="AR23" s="43" t="str">
        <f t="shared" si="3"/>
        <v xml:space="preserve">    (U4)0x00000011U,                                                           /* 17 MALFUNC                                         */</v>
      </c>
      <c r="AS23" s="43" t="str">
        <f t="shared" si="4"/>
        <v xml:space="preserve">    (U4)0x0000003FU,                                                           /* 17 MALFUNC                                         */</v>
      </c>
      <c r="AT23" s="43" t="str">
        <f t="shared" ca="1" si="1"/>
        <v xml:space="preserve">    (U1)ALERT_REQ_D_ATMAL_MALFUNC,                                             /* 17 MALFUNC                                         */</v>
      </c>
    </row>
    <row r="24" spans="2:49">
      <c r="B24" s="108"/>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v>0</v>
      </c>
      <c r="AE24" s="41">
        <v>1</v>
      </c>
      <c r="AF24" s="41">
        <v>0</v>
      </c>
      <c r="AG24" s="41">
        <v>0</v>
      </c>
      <c r="AH24" s="41">
        <v>1</v>
      </c>
      <c r="AI24" s="41">
        <v>0</v>
      </c>
      <c r="AJ24" s="23" t="s">
        <v>32</v>
      </c>
      <c r="AL24" t="str">
        <f t="shared" si="0"/>
        <v xml:space="preserve">    (U1)ALERT_REQ_UNKNOWN</v>
      </c>
      <c r="AR24" s="43" t="str">
        <f t="shared" si="3"/>
        <v xml:space="preserve">    (U4)0x00000012U,                                                           /* 18 UNKNOWN                                         */</v>
      </c>
      <c r="AS24" s="43" t="str">
        <f t="shared" si="4"/>
        <v xml:space="preserve">    (U4)0x0000003FU,                                                           /* 18 UNKNOWN                                         */</v>
      </c>
      <c r="AT24" s="43" t="str">
        <f t="shared" si="1"/>
        <v xml:space="preserve">    (U1)ALERT_REQ_UNKNOWN,                                                     /* 18 UNKNOWN                                         */</v>
      </c>
    </row>
    <row r="25" spans="2:49">
      <c r="B25" s="108"/>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v>0</v>
      </c>
      <c r="AE25" s="41">
        <v>1</v>
      </c>
      <c r="AF25" s="41">
        <v>0</v>
      </c>
      <c r="AG25" s="41">
        <v>0</v>
      </c>
      <c r="AH25" s="41">
        <v>1</v>
      </c>
      <c r="AI25" s="41">
        <v>1</v>
      </c>
      <c r="AJ25" s="23" t="s">
        <v>32</v>
      </c>
      <c r="AL25" t="str">
        <f t="shared" si="0"/>
        <v xml:space="preserve">    (U1)ALERT_REQ_UNKNOWN</v>
      </c>
      <c r="AR25" s="43" t="str">
        <f t="shared" si="3"/>
        <v xml:space="preserve">    (U4)0x00000013U,                                                           /* 19 UNKNOWN                                         */</v>
      </c>
      <c r="AS25" s="43" t="str">
        <f t="shared" si="4"/>
        <v xml:space="preserve">    (U4)0x0000003FU,                                                           /* 19 UNKNOWN                                         */</v>
      </c>
      <c r="AT25" s="43" t="str">
        <f t="shared" si="1"/>
        <v xml:space="preserve">    (U1)ALERT_REQ_UNKNOWN,                                                     /* 19 UNKNOWN                                         */</v>
      </c>
    </row>
    <row r="26" spans="2:49">
      <c r="B26" s="108"/>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v>0</v>
      </c>
      <c r="AE26" s="41">
        <v>1</v>
      </c>
      <c r="AF26" s="41">
        <v>0</v>
      </c>
      <c r="AG26" s="41">
        <v>1</v>
      </c>
      <c r="AH26" s="41">
        <v>0</v>
      </c>
      <c r="AI26" s="41">
        <v>0</v>
      </c>
      <c r="AJ26" s="23" t="s">
        <v>32</v>
      </c>
      <c r="AL26" t="str">
        <f t="shared" si="0"/>
        <v xml:space="preserve">    (U1)ALERT_REQ_UNKNOWN</v>
      </c>
      <c r="AR26" s="43" t="str">
        <f t="shared" si="3"/>
        <v xml:space="preserve">    (U4)0x00000014U,                                                           /* 20 UNKNOWN                                         */</v>
      </c>
      <c r="AS26" s="43" t="str">
        <f t="shared" si="4"/>
        <v xml:space="preserve">    (U4)0x0000003FU,                                                           /* 20 UNKNOWN                                         */</v>
      </c>
      <c r="AT26" s="43" t="str">
        <f t="shared" si="1"/>
        <v xml:space="preserve">    (U1)ALERT_REQ_UNKNOWN,                                                     /* 20 UNKNOWN                                         */</v>
      </c>
    </row>
    <row r="27" spans="2:49">
      <c r="B27" s="108"/>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v>0</v>
      </c>
      <c r="AE27" s="41">
        <v>1</v>
      </c>
      <c r="AF27" s="41">
        <v>0</v>
      </c>
      <c r="AG27" s="41">
        <v>1</v>
      </c>
      <c r="AH27" s="41">
        <v>0</v>
      </c>
      <c r="AI27" s="41">
        <v>1</v>
      </c>
      <c r="AJ27" s="23" t="s">
        <v>248</v>
      </c>
      <c r="AL27" t="str">
        <f t="shared" ca="1" si="0"/>
        <v xml:space="preserve">    (U1)ALERT_REQ_D_ATMAL_MALFUNC</v>
      </c>
      <c r="AR27" s="43" t="str">
        <f t="shared" si="3"/>
        <v xml:space="preserve">    (U4)0x00000015U,                                                           /* 21 MALFUNC                                         */</v>
      </c>
      <c r="AS27" s="43" t="str">
        <f t="shared" si="4"/>
        <v xml:space="preserve">    (U4)0x0000003FU,                                                           /* 21 MALFUNC                                         */</v>
      </c>
      <c r="AT27" s="43" t="str">
        <f t="shared" ca="1" si="1"/>
        <v xml:space="preserve">    (U1)ALERT_REQ_D_ATMAL_MALFUNC,                                             /* 21 MALFUNC                                         */</v>
      </c>
    </row>
    <row r="28" spans="2:49">
      <c r="B28" s="108"/>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v>0</v>
      </c>
      <c r="AE28" s="41">
        <v>1</v>
      </c>
      <c r="AF28" s="41">
        <v>0</v>
      </c>
      <c r="AG28" s="41">
        <v>1</v>
      </c>
      <c r="AH28" s="41">
        <v>1</v>
      </c>
      <c r="AI28" s="41">
        <v>0</v>
      </c>
      <c r="AJ28" s="23" t="s">
        <v>32</v>
      </c>
      <c r="AL28" t="str">
        <f t="shared" si="0"/>
        <v xml:space="preserve">    (U1)ALERT_REQ_UNKNOWN</v>
      </c>
      <c r="AR28" s="43" t="str">
        <f t="shared" si="3"/>
        <v xml:space="preserve">    (U4)0x00000016U,                                                           /* 22 UNKNOWN                                         */</v>
      </c>
      <c r="AS28" s="43" t="str">
        <f t="shared" si="4"/>
        <v xml:space="preserve">    (U4)0x0000003FU,                                                           /* 22 UNKNOWN                                         */</v>
      </c>
      <c r="AT28" s="43" t="str">
        <f t="shared" si="1"/>
        <v xml:space="preserve">    (U1)ALERT_REQ_UNKNOWN,                                                     /* 22 UNKNOWN                                         */</v>
      </c>
    </row>
    <row r="29" spans="2:49">
      <c r="B29" s="108"/>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v>0</v>
      </c>
      <c r="AE29" s="41">
        <v>1</v>
      </c>
      <c r="AF29" s="41">
        <v>0</v>
      </c>
      <c r="AG29" s="41">
        <v>1</v>
      </c>
      <c r="AH29" s="41">
        <v>1</v>
      </c>
      <c r="AI29" s="41">
        <v>1</v>
      </c>
      <c r="AJ29" s="23" t="s">
        <v>32</v>
      </c>
      <c r="AL29" t="str">
        <f t="shared" si="0"/>
        <v xml:space="preserve">    (U1)ALERT_REQ_UNKNOWN</v>
      </c>
      <c r="AR29" s="43" t="str">
        <f t="shared" si="3"/>
        <v xml:space="preserve">    (U4)0x00000017U,                                                           /* 23 UNKNOWN                                         */</v>
      </c>
      <c r="AS29" s="43" t="str">
        <f t="shared" si="4"/>
        <v xml:space="preserve">    (U4)0x0000003FU,                                                           /* 23 UNKNOWN                                         */</v>
      </c>
      <c r="AT29" s="43" t="str">
        <f t="shared" si="1"/>
        <v xml:space="preserve">    (U1)ALERT_REQ_UNKNOWN,                                                     /* 23 UNKNOWN                                         */</v>
      </c>
    </row>
    <row r="30" spans="2:49">
      <c r="B30" s="108"/>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v>0</v>
      </c>
      <c r="AE30" s="41">
        <v>1</v>
      </c>
      <c r="AF30" s="41">
        <v>1</v>
      </c>
      <c r="AG30" s="41">
        <v>0</v>
      </c>
      <c r="AH30" s="41">
        <v>0</v>
      </c>
      <c r="AI30" s="41">
        <v>0</v>
      </c>
      <c r="AJ30" s="23" t="s">
        <v>32</v>
      </c>
      <c r="AL30" t="str">
        <f t="shared" si="0"/>
        <v xml:space="preserve">    (U1)ALERT_REQ_UNKNOWN</v>
      </c>
      <c r="AR30" s="43" t="str">
        <f t="shared" si="3"/>
        <v xml:space="preserve">    (U4)0x00000018U,                                                           /* 24 UNKNOWN                                         */</v>
      </c>
      <c r="AS30" s="43" t="str">
        <f t="shared" si="4"/>
        <v xml:space="preserve">    (U4)0x0000003FU,                                                           /* 24 UNKNOWN                                         */</v>
      </c>
      <c r="AT30" s="43" t="str">
        <f t="shared" si="1"/>
        <v xml:space="preserve">    (U1)ALERT_REQ_UNKNOWN,                                                     /* 24 UNKNOWN                                         */</v>
      </c>
    </row>
    <row r="31" spans="2:49">
      <c r="B31" s="108"/>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v>0</v>
      </c>
      <c r="AE31" s="41">
        <v>1</v>
      </c>
      <c r="AF31" s="41">
        <v>1</v>
      </c>
      <c r="AG31" s="41">
        <v>0</v>
      </c>
      <c r="AH31" s="41">
        <v>0</v>
      </c>
      <c r="AI31" s="41">
        <v>1</v>
      </c>
      <c r="AJ31" s="23" t="s">
        <v>248</v>
      </c>
      <c r="AL31" t="str">
        <f t="shared" ca="1" si="0"/>
        <v xml:space="preserve">    (U1)ALERT_REQ_D_ATMAL_MALFUNC</v>
      </c>
      <c r="AR31" s="43" t="str">
        <f t="shared" si="3"/>
        <v xml:space="preserve">    (U4)0x00000019U,                                                           /* 25 MALFUNC                                         */</v>
      </c>
      <c r="AS31" s="43" t="str">
        <f t="shared" si="4"/>
        <v xml:space="preserve">    (U4)0x0000003FU,                                                           /* 25 MALFUNC                                         */</v>
      </c>
      <c r="AT31" s="43" t="str">
        <f t="shared" ca="1" si="1"/>
        <v xml:space="preserve">    (U1)ALERT_REQ_D_ATMAL_MALFUNC,                                             /* 25 MALFUNC                                         */</v>
      </c>
    </row>
    <row r="32" spans="2:49">
      <c r="B32" s="108"/>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v>0</v>
      </c>
      <c r="AE32" s="41">
        <v>1</v>
      </c>
      <c r="AF32" s="41">
        <v>1</v>
      </c>
      <c r="AG32" s="41">
        <v>0</v>
      </c>
      <c r="AH32" s="41">
        <v>1</v>
      </c>
      <c r="AI32" s="41">
        <v>0</v>
      </c>
      <c r="AJ32" s="23" t="s">
        <v>32</v>
      </c>
      <c r="AL32" t="str">
        <f t="shared" si="0"/>
        <v xml:space="preserve">    (U1)ALERT_REQ_UNKNOWN</v>
      </c>
      <c r="AR32" s="43" t="str">
        <f t="shared" si="3"/>
        <v xml:space="preserve">    (U4)0x0000001AU,                                                           /* 26 UNKNOWN                                         */</v>
      </c>
      <c r="AS32" s="43" t="str">
        <f t="shared" si="4"/>
        <v xml:space="preserve">    (U4)0x0000003FU,                                                           /* 26 UNKNOWN                                         */</v>
      </c>
      <c r="AT32" s="43" t="str">
        <f t="shared" si="1"/>
        <v xml:space="preserve">    (U1)ALERT_REQ_UNKNOWN,                                                     /* 26 UNKNOWN                                         */</v>
      </c>
    </row>
    <row r="33" spans="2:46">
      <c r="B33" s="108"/>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v>0</v>
      </c>
      <c r="AE33" s="41">
        <v>1</v>
      </c>
      <c r="AF33" s="41">
        <v>1</v>
      </c>
      <c r="AG33" s="41">
        <v>0</v>
      </c>
      <c r="AH33" s="41">
        <v>1</v>
      </c>
      <c r="AI33" s="41">
        <v>1</v>
      </c>
      <c r="AJ33" s="23" t="s">
        <v>32</v>
      </c>
      <c r="AL33" t="str">
        <f t="shared" si="0"/>
        <v xml:space="preserve">    (U1)ALERT_REQ_UNKNOWN</v>
      </c>
      <c r="AR33" s="43" t="str">
        <f t="shared" si="3"/>
        <v xml:space="preserve">    (U4)0x0000001BU,                                                           /* 27 UNKNOWN                                         */</v>
      </c>
      <c r="AS33" s="43" t="str">
        <f t="shared" si="4"/>
        <v xml:space="preserve">    (U4)0x0000003FU,                                                           /* 27 UNKNOWN                                         */</v>
      </c>
      <c r="AT33" s="43" t="str">
        <f t="shared" si="1"/>
        <v xml:space="preserve">    (U1)ALERT_REQ_UNKNOWN,                                                     /* 27 UNKNOWN                                         */</v>
      </c>
    </row>
    <row r="34" spans="2:46">
      <c r="B34" s="108"/>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v>0</v>
      </c>
      <c r="AE34" s="41">
        <v>1</v>
      </c>
      <c r="AF34" s="41">
        <v>1</v>
      </c>
      <c r="AG34" s="41">
        <v>1</v>
      </c>
      <c r="AH34" s="41">
        <v>0</v>
      </c>
      <c r="AI34" s="41">
        <v>0</v>
      </c>
      <c r="AJ34" s="23" t="s">
        <v>32</v>
      </c>
      <c r="AL34" t="str">
        <f t="shared" si="0"/>
        <v xml:space="preserve">    (U1)ALERT_REQ_UNKNOWN</v>
      </c>
      <c r="AR34" s="43" t="str">
        <f t="shared" si="3"/>
        <v xml:space="preserve">    (U4)0x0000001CU,                                                           /* 28 UNKNOWN                                         */</v>
      </c>
      <c r="AS34" s="43" t="str">
        <f t="shared" si="4"/>
        <v xml:space="preserve">    (U4)0x0000003FU,                                                           /* 28 UNKNOWN                                         */</v>
      </c>
      <c r="AT34" s="43" t="str">
        <f t="shared" si="1"/>
        <v xml:space="preserve">    (U1)ALERT_REQ_UNKNOWN,                                                     /* 28 UNKNOWN                                         */</v>
      </c>
    </row>
    <row r="35" spans="2:46">
      <c r="B35" s="108"/>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v>0</v>
      </c>
      <c r="AE35" s="41">
        <v>1</v>
      </c>
      <c r="AF35" s="41">
        <v>1</v>
      </c>
      <c r="AG35" s="41">
        <v>1</v>
      </c>
      <c r="AH35" s="41">
        <v>0</v>
      </c>
      <c r="AI35" s="41">
        <v>1</v>
      </c>
      <c r="AJ35" s="23" t="s">
        <v>248</v>
      </c>
      <c r="AL35" t="str">
        <f t="shared" ca="1" si="0"/>
        <v xml:space="preserve">    (U1)ALERT_REQ_D_ATMAL_MALFUNC</v>
      </c>
      <c r="AR35" s="43" t="str">
        <f t="shared" si="3"/>
        <v xml:space="preserve">    (U4)0x0000001DU,                                                           /* 29 MALFUNC                                         */</v>
      </c>
      <c r="AS35" s="43" t="str">
        <f t="shared" si="4"/>
        <v xml:space="preserve">    (U4)0x0000003FU,                                                           /* 29 MALFUNC                                         */</v>
      </c>
      <c r="AT35" s="43" t="str">
        <f t="shared" ca="1" si="1"/>
        <v xml:space="preserve">    (U1)ALERT_REQ_D_ATMAL_MALFUNC,                                             /* 29 MALFUNC                                         */</v>
      </c>
    </row>
    <row r="36" spans="2:46">
      <c r="B36" s="108"/>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v>0</v>
      </c>
      <c r="AE36" s="41">
        <v>1</v>
      </c>
      <c r="AF36" s="41">
        <v>1</v>
      </c>
      <c r="AG36" s="41">
        <v>1</v>
      </c>
      <c r="AH36" s="41">
        <v>1</v>
      </c>
      <c r="AI36" s="41">
        <v>0</v>
      </c>
      <c r="AJ36" s="23" t="s">
        <v>32</v>
      </c>
      <c r="AL36" t="str">
        <f t="shared" si="0"/>
        <v xml:space="preserve">    (U1)ALERT_REQ_UNKNOWN</v>
      </c>
      <c r="AR36" s="43" t="str">
        <f t="shared" si="3"/>
        <v xml:space="preserve">    (U4)0x0000001EU,                                                           /* 30 UNKNOWN                                         */</v>
      </c>
      <c r="AS36" s="43" t="str">
        <f t="shared" si="4"/>
        <v xml:space="preserve">    (U4)0x0000003FU,                                                           /* 30 UNKNOWN                                         */</v>
      </c>
      <c r="AT36" s="43" t="str">
        <f t="shared" si="1"/>
        <v xml:space="preserve">    (U1)ALERT_REQ_UNKNOWN,                                                     /* 30 UNKNOWN                                         */</v>
      </c>
    </row>
    <row r="37" spans="2:46">
      <c r="B37" s="108"/>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v>0</v>
      </c>
      <c r="AE37" s="41">
        <v>1</v>
      </c>
      <c r="AF37" s="41">
        <v>1</v>
      </c>
      <c r="AG37" s="41">
        <v>1</v>
      </c>
      <c r="AH37" s="41">
        <v>1</v>
      </c>
      <c r="AI37" s="41">
        <v>1</v>
      </c>
      <c r="AJ37" s="23" t="s">
        <v>32</v>
      </c>
      <c r="AL37" t="str">
        <f t="shared" si="0"/>
        <v xml:space="preserve">    (U1)ALERT_REQ_UNKNOWN</v>
      </c>
      <c r="AR37" s="43" t="str">
        <f t="shared" si="3"/>
        <v xml:space="preserve">    (U4)0x0000001FU,                                                           /* 31 UNKNOWN                                         */</v>
      </c>
      <c r="AS37" s="43" t="str">
        <f t="shared" si="4"/>
        <v xml:space="preserve">    (U4)0x0000003FU,                                                           /* 31 UNKNOWN                                         */</v>
      </c>
      <c r="AT37" s="43" t="str">
        <f t="shared" si="1"/>
        <v xml:space="preserve">    (U1)ALERT_REQ_UNKNOWN,                                                     /* 31 UNKNOWN                                         */</v>
      </c>
    </row>
    <row r="38" spans="2:46">
      <c r="B38" s="108"/>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v>1</v>
      </c>
      <c r="AE38" s="41">
        <v>0</v>
      </c>
      <c r="AF38" s="41">
        <v>0</v>
      </c>
      <c r="AG38" s="41">
        <v>0</v>
      </c>
      <c r="AH38" s="41">
        <v>0</v>
      </c>
      <c r="AI38" s="41">
        <v>0</v>
      </c>
      <c r="AJ38" s="23" t="s">
        <v>32</v>
      </c>
      <c r="AL38" t="str">
        <f t="shared" si="0"/>
        <v xml:space="preserve">    (U1)ALERT_REQ_UNKNOWN</v>
      </c>
      <c r="AR38" s="43" t="str">
        <f t="shared" si="3"/>
        <v xml:space="preserve">    (U4)0x00000020U,                                                           /* 32 UNKNOWN                                         */</v>
      </c>
      <c r="AS38" s="43" t="str">
        <f t="shared" si="4"/>
        <v xml:space="preserve">    (U4)0x0000003FU,                                                           /* 32 UNKNOWN                                         */</v>
      </c>
      <c r="AT38" s="43" t="str">
        <f t="shared" si="1"/>
        <v xml:space="preserve">    (U1)ALERT_REQ_UNKNOWN,                                                     /* 32 UNKNOWN                                         */</v>
      </c>
    </row>
    <row r="39" spans="2:46">
      <c r="B39" s="108"/>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v>1</v>
      </c>
      <c r="AE39" s="41">
        <v>0</v>
      </c>
      <c r="AF39" s="41">
        <v>0</v>
      </c>
      <c r="AG39" s="41">
        <v>0</v>
      </c>
      <c r="AH39" s="41">
        <v>0</v>
      </c>
      <c r="AI39" s="41">
        <v>1</v>
      </c>
      <c r="AJ39" s="23" t="s">
        <v>248</v>
      </c>
      <c r="AL39" t="str">
        <f t="shared" ca="1" si="0"/>
        <v xml:space="preserve">    (U1)ALERT_REQ_D_ATMAL_MALFUNC</v>
      </c>
      <c r="AR39" s="43" t="str">
        <f t="shared" si="3"/>
        <v xml:space="preserve">    (U4)0x00000021U,                                                           /* 33 MALFUNC                                         */</v>
      </c>
      <c r="AS39" s="43" t="str">
        <f t="shared" si="4"/>
        <v xml:space="preserve">    (U4)0x0000003FU,                                                           /* 33 MALFUNC                                         */</v>
      </c>
      <c r="AT39" s="43" t="str">
        <f t="shared" ca="1" si="1"/>
        <v xml:space="preserve">    (U1)ALERT_REQ_D_ATMAL_MALFUNC,                                             /* 33 MALFUNC                                         */</v>
      </c>
    </row>
    <row r="40" spans="2:46">
      <c r="B40" s="108"/>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v>1</v>
      </c>
      <c r="AE40" s="41">
        <v>0</v>
      </c>
      <c r="AF40" s="41">
        <v>0</v>
      </c>
      <c r="AG40" s="41">
        <v>0</v>
      </c>
      <c r="AH40" s="41">
        <v>1</v>
      </c>
      <c r="AI40" s="41">
        <v>0</v>
      </c>
      <c r="AJ40" s="23" t="s">
        <v>32</v>
      </c>
      <c r="AL40" t="str">
        <f t="shared" si="0"/>
        <v xml:space="preserve">    (U1)ALERT_REQ_UNKNOWN</v>
      </c>
      <c r="AR40" s="43" t="str">
        <f t="shared" si="3"/>
        <v xml:space="preserve">    (U4)0x00000022U,                                                           /* 34 UNKNOWN                                         */</v>
      </c>
      <c r="AS40" s="43" t="str">
        <f t="shared" si="4"/>
        <v xml:space="preserve">    (U4)0x0000003FU,                                                           /* 34 UNKNOWN                                         */</v>
      </c>
      <c r="AT40" s="43" t="str">
        <f t="shared" si="1"/>
        <v xml:space="preserve">    (U1)ALERT_REQ_UNKNOWN,                                                     /* 34 UNKNOWN                                         */</v>
      </c>
    </row>
    <row r="41" spans="2:46">
      <c r="B41" s="108"/>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v>1</v>
      </c>
      <c r="AE41" s="41">
        <v>0</v>
      </c>
      <c r="AF41" s="41">
        <v>0</v>
      </c>
      <c r="AG41" s="41">
        <v>0</v>
      </c>
      <c r="AH41" s="41">
        <v>1</v>
      </c>
      <c r="AI41" s="41">
        <v>1</v>
      </c>
      <c r="AJ41" s="23" t="s">
        <v>32</v>
      </c>
      <c r="AL41" t="str">
        <f t="shared" si="0"/>
        <v xml:space="preserve">    (U1)ALERT_REQ_UNKNOWN</v>
      </c>
      <c r="AR41" s="43" t="str">
        <f t="shared" si="3"/>
        <v xml:space="preserve">    (U4)0x00000023U,                                                           /* 35 UNKNOWN                                         */</v>
      </c>
      <c r="AS41" s="43" t="str">
        <f t="shared" si="4"/>
        <v xml:space="preserve">    (U4)0x0000003FU,                                                           /* 35 UNKNOWN                                         */</v>
      </c>
      <c r="AT41" s="43" t="str">
        <f t="shared" si="1"/>
        <v xml:space="preserve">    (U1)ALERT_REQ_UNKNOWN,                                                     /* 35 UNKNOWN                                         */</v>
      </c>
    </row>
    <row r="42" spans="2:46">
      <c r="B42" s="108"/>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v>1</v>
      </c>
      <c r="AE42" s="41">
        <v>0</v>
      </c>
      <c r="AF42" s="41">
        <v>0</v>
      </c>
      <c r="AG42" s="41">
        <v>1</v>
      </c>
      <c r="AH42" s="41">
        <v>0</v>
      </c>
      <c r="AI42" s="41">
        <v>0</v>
      </c>
      <c r="AJ42" s="23" t="s">
        <v>32</v>
      </c>
      <c r="AL42" t="str">
        <f t="shared" si="0"/>
        <v xml:space="preserve">    (U1)ALERT_REQ_UNKNOWN</v>
      </c>
      <c r="AR42" s="43" t="str">
        <f t="shared" si="3"/>
        <v xml:space="preserve">    (U4)0x00000024U,                                                           /* 36 UNKNOWN                                         */</v>
      </c>
      <c r="AS42" s="43" t="str">
        <f t="shared" si="4"/>
        <v xml:space="preserve">    (U4)0x0000003FU,                                                           /* 36 UNKNOWN                                         */</v>
      </c>
      <c r="AT42" s="43" t="str">
        <f t="shared" si="1"/>
        <v xml:space="preserve">    (U1)ALERT_REQ_UNKNOWN,                                                     /* 36 UNKNOWN                                         */</v>
      </c>
    </row>
    <row r="43" spans="2:46">
      <c r="B43" s="108"/>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v>1</v>
      </c>
      <c r="AE43" s="41">
        <v>0</v>
      </c>
      <c r="AF43" s="41">
        <v>0</v>
      </c>
      <c r="AG43" s="41">
        <v>1</v>
      </c>
      <c r="AH43" s="41">
        <v>0</v>
      </c>
      <c r="AI43" s="41">
        <v>1</v>
      </c>
      <c r="AJ43" s="23" t="s">
        <v>248</v>
      </c>
      <c r="AL43" t="str">
        <f t="shared" ca="1" si="0"/>
        <v xml:space="preserve">    (U1)ALERT_REQ_D_ATMAL_MALFUNC</v>
      </c>
      <c r="AR43" s="43" t="str">
        <f t="shared" si="3"/>
        <v xml:space="preserve">    (U4)0x00000025U,                                                           /* 37 MALFUNC                                         */</v>
      </c>
      <c r="AS43" s="43" t="str">
        <f t="shared" si="4"/>
        <v xml:space="preserve">    (U4)0x0000003FU,                                                           /* 37 MALFUNC                                         */</v>
      </c>
      <c r="AT43" s="43" t="str">
        <f t="shared" ca="1" si="1"/>
        <v xml:space="preserve">    (U1)ALERT_REQ_D_ATMAL_MALFUNC,                                             /* 37 MALFUNC                                         */</v>
      </c>
    </row>
    <row r="44" spans="2:46">
      <c r="B44" s="108"/>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v>1</v>
      </c>
      <c r="AE44" s="41">
        <v>0</v>
      </c>
      <c r="AF44" s="41">
        <v>0</v>
      </c>
      <c r="AG44" s="41">
        <v>1</v>
      </c>
      <c r="AH44" s="41">
        <v>1</v>
      </c>
      <c r="AI44" s="41">
        <v>0</v>
      </c>
      <c r="AJ44" s="23" t="s">
        <v>32</v>
      </c>
      <c r="AL44" t="str">
        <f t="shared" si="0"/>
        <v xml:space="preserve">    (U1)ALERT_REQ_UNKNOWN</v>
      </c>
      <c r="AR44" s="43" t="str">
        <f t="shared" si="3"/>
        <v xml:space="preserve">    (U4)0x00000026U,                                                           /* 38 UNKNOWN                                         */</v>
      </c>
      <c r="AS44" s="43" t="str">
        <f t="shared" si="4"/>
        <v xml:space="preserve">    (U4)0x0000003FU,                                                           /* 38 UNKNOWN                                         */</v>
      </c>
      <c r="AT44" s="43" t="str">
        <f t="shared" si="1"/>
        <v xml:space="preserve">    (U1)ALERT_REQ_UNKNOWN,                                                     /* 38 UNKNOWN                                         */</v>
      </c>
    </row>
    <row r="45" spans="2:46">
      <c r="B45" s="108"/>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v>1</v>
      </c>
      <c r="AE45" s="41">
        <v>0</v>
      </c>
      <c r="AF45" s="41">
        <v>0</v>
      </c>
      <c r="AG45" s="41">
        <v>1</v>
      </c>
      <c r="AH45" s="41">
        <v>1</v>
      </c>
      <c r="AI45" s="41">
        <v>1</v>
      </c>
      <c r="AJ45" s="23" t="s">
        <v>32</v>
      </c>
      <c r="AL45" t="str">
        <f t="shared" si="0"/>
        <v xml:space="preserve">    (U1)ALERT_REQ_UNKNOWN</v>
      </c>
      <c r="AR45" s="43" t="str">
        <f t="shared" si="3"/>
        <v xml:space="preserve">    (U4)0x00000027U,                                                           /* 39 UNKNOWN                                         */</v>
      </c>
      <c r="AS45" s="43" t="str">
        <f t="shared" si="4"/>
        <v xml:space="preserve">    (U4)0x0000003FU,                                                           /* 39 UNKNOWN                                         */</v>
      </c>
      <c r="AT45" s="43" t="str">
        <f t="shared" si="1"/>
        <v xml:space="preserve">    (U1)ALERT_REQ_UNKNOWN,                                                     /* 39 UNKNOWN                                         */</v>
      </c>
    </row>
    <row r="46" spans="2:46">
      <c r="B46" s="108"/>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v>1</v>
      </c>
      <c r="AE46" s="41">
        <v>0</v>
      </c>
      <c r="AF46" s="41">
        <v>1</v>
      </c>
      <c r="AG46" s="41">
        <v>0</v>
      </c>
      <c r="AH46" s="41">
        <v>0</v>
      </c>
      <c r="AI46" s="41">
        <v>0</v>
      </c>
      <c r="AJ46" s="23" t="s">
        <v>32</v>
      </c>
      <c r="AL46" t="str">
        <f t="shared" si="0"/>
        <v xml:space="preserve">    (U1)ALERT_REQ_UNKNOWN</v>
      </c>
      <c r="AR46" s="43" t="str">
        <f t="shared" si="3"/>
        <v xml:space="preserve">    (U4)0x00000028U,                                                           /* 40 UNKNOWN                                         */</v>
      </c>
      <c r="AS46" s="43" t="str">
        <f t="shared" si="4"/>
        <v xml:space="preserve">    (U4)0x0000003FU,                                                           /* 40 UNKNOWN                                         */</v>
      </c>
      <c r="AT46" s="43" t="str">
        <f t="shared" si="1"/>
        <v xml:space="preserve">    (U1)ALERT_REQ_UNKNOWN,                                                     /* 40 UNKNOWN                                         */</v>
      </c>
    </row>
    <row r="47" spans="2:46">
      <c r="B47" s="108"/>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v>1</v>
      </c>
      <c r="AE47" s="41">
        <v>0</v>
      </c>
      <c r="AF47" s="41">
        <v>1</v>
      </c>
      <c r="AG47" s="41">
        <v>0</v>
      </c>
      <c r="AH47" s="41">
        <v>0</v>
      </c>
      <c r="AI47" s="41">
        <v>1</v>
      </c>
      <c r="AJ47" s="23" t="s">
        <v>248</v>
      </c>
      <c r="AL47" t="str">
        <f t="shared" ca="1" si="0"/>
        <v xml:space="preserve">    (U1)ALERT_REQ_D_ATMAL_MALFUNC</v>
      </c>
      <c r="AR47" s="43" t="str">
        <f t="shared" si="3"/>
        <v xml:space="preserve">    (U4)0x00000029U,                                                           /* 41 MALFUNC                                         */</v>
      </c>
      <c r="AS47" s="43" t="str">
        <f t="shared" si="4"/>
        <v xml:space="preserve">    (U4)0x0000003FU,                                                           /* 41 MALFUNC                                         */</v>
      </c>
      <c r="AT47" s="43" t="str">
        <f t="shared" ca="1" si="1"/>
        <v xml:space="preserve">    (U1)ALERT_REQ_D_ATMAL_MALFUNC,                                             /* 41 MALFUNC                                         */</v>
      </c>
    </row>
    <row r="48" spans="2:46">
      <c r="B48" s="108"/>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v>1</v>
      </c>
      <c r="AE48" s="41">
        <v>0</v>
      </c>
      <c r="AF48" s="41">
        <v>1</v>
      </c>
      <c r="AG48" s="41">
        <v>0</v>
      </c>
      <c r="AH48" s="41">
        <v>1</v>
      </c>
      <c r="AI48" s="41">
        <v>0</v>
      </c>
      <c r="AJ48" s="23" t="s">
        <v>32</v>
      </c>
      <c r="AL48" t="str">
        <f t="shared" si="0"/>
        <v xml:space="preserve">    (U1)ALERT_REQ_UNKNOWN</v>
      </c>
      <c r="AR48" s="43" t="str">
        <f t="shared" si="3"/>
        <v xml:space="preserve">    (U4)0x0000002AU,                                                           /* 42 UNKNOWN                                         */</v>
      </c>
      <c r="AS48" s="43" t="str">
        <f t="shared" si="4"/>
        <v xml:space="preserve">    (U4)0x0000003FU,                                                           /* 42 UNKNOWN                                         */</v>
      </c>
      <c r="AT48" s="43" t="str">
        <f t="shared" si="1"/>
        <v xml:space="preserve">    (U1)ALERT_REQ_UNKNOWN,                                                     /* 42 UNKNOWN                                         */</v>
      </c>
    </row>
    <row r="49" spans="2:46">
      <c r="B49" s="108"/>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v>1</v>
      </c>
      <c r="AE49" s="41">
        <v>0</v>
      </c>
      <c r="AF49" s="41">
        <v>1</v>
      </c>
      <c r="AG49" s="41">
        <v>0</v>
      </c>
      <c r="AH49" s="41">
        <v>1</v>
      </c>
      <c r="AI49" s="41">
        <v>1</v>
      </c>
      <c r="AJ49" s="23" t="s">
        <v>32</v>
      </c>
      <c r="AL49" t="str">
        <f t="shared" si="0"/>
        <v xml:space="preserve">    (U1)ALERT_REQ_UNKNOWN</v>
      </c>
      <c r="AR49" s="43" t="str">
        <f t="shared" si="3"/>
        <v xml:space="preserve">    (U4)0x0000002BU,                                                           /* 43 UNKNOWN                                         */</v>
      </c>
      <c r="AS49" s="43" t="str">
        <f t="shared" si="4"/>
        <v xml:space="preserve">    (U4)0x0000003FU,                                                           /* 43 UNKNOWN                                         */</v>
      </c>
      <c r="AT49" s="43" t="str">
        <f t="shared" si="1"/>
        <v xml:space="preserve">    (U1)ALERT_REQ_UNKNOWN,                                                     /* 43 UNKNOWN                                         */</v>
      </c>
    </row>
    <row r="50" spans="2:46">
      <c r="B50" s="108"/>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v>1</v>
      </c>
      <c r="AE50" s="41">
        <v>0</v>
      </c>
      <c r="AF50" s="41">
        <v>1</v>
      </c>
      <c r="AG50" s="41">
        <v>1</v>
      </c>
      <c r="AH50" s="41">
        <v>0</v>
      </c>
      <c r="AI50" s="41">
        <v>0</v>
      </c>
      <c r="AJ50" s="23" t="s">
        <v>32</v>
      </c>
      <c r="AL50" t="str">
        <f t="shared" si="0"/>
        <v xml:space="preserve">    (U1)ALERT_REQ_UNKNOWN</v>
      </c>
      <c r="AR50" s="43" t="str">
        <f t="shared" si="3"/>
        <v xml:space="preserve">    (U4)0x0000002CU,                                                           /* 44 UNKNOWN                                         */</v>
      </c>
      <c r="AS50" s="43" t="str">
        <f t="shared" si="4"/>
        <v xml:space="preserve">    (U4)0x0000003FU,                                                           /* 44 UNKNOWN                                         */</v>
      </c>
      <c r="AT50" s="43" t="str">
        <f t="shared" si="1"/>
        <v xml:space="preserve">    (U1)ALERT_REQ_UNKNOWN,                                                     /* 44 UNKNOWN                                         */</v>
      </c>
    </row>
    <row r="51" spans="2:46">
      <c r="B51" s="108"/>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v>1</v>
      </c>
      <c r="AE51" s="41">
        <v>0</v>
      </c>
      <c r="AF51" s="41">
        <v>1</v>
      </c>
      <c r="AG51" s="41">
        <v>1</v>
      </c>
      <c r="AH51" s="41">
        <v>0</v>
      </c>
      <c r="AI51" s="41">
        <v>1</v>
      </c>
      <c r="AJ51" s="23" t="s">
        <v>248</v>
      </c>
      <c r="AL51" t="str">
        <f t="shared" ca="1" si="0"/>
        <v xml:space="preserve">    (U1)ALERT_REQ_D_ATMAL_MALFUNC</v>
      </c>
      <c r="AR51" s="43" t="str">
        <f t="shared" si="3"/>
        <v xml:space="preserve">    (U4)0x0000002DU,                                                           /* 45 MALFUNC                                         */</v>
      </c>
      <c r="AS51" s="43" t="str">
        <f t="shared" si="4"/>
        <v xml:space="preserve">    (U4)0x0000003FU,                                                           /* 45 MALFUNC                                         */</v>
      </c>
      <c r="AT51" s="43" t="str">
        <f t="shared" ca="1" si="1"/>
        <v xml:space="preserve">    (U1)ALERT_REQ_D_ATMAL_MALFUNC,                                             /* 45 MALFUNC                                         */</v>
      </c>
    </row>
    <row r="52" spans="2:46">
      <c r="B52" s="108"/>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v>1</v>
      </c>
      <c r="AE52" s="41">
        <v>0</v>
      </c>
      <c r="AF52" s="41">
        <v>1</v>
      </c>
      <c r="AG52" s="41">
        <v>1</v>
      </c>
      <c r="AH52" s="41">
        <v>1</v>
      </c>
      <c r="AI52" s="41">
        <v>0</v>
      </c>
      <c r="AJ52" s="23" t="s">
        <v>32</v>
      </c>
      <c r="AL52" t="str">
        <f t="shared" si="0"/>
        <v xml:space="preserve">    (U1)ALERT_REQ_UNKNOWN</v>
      </c>
      <c r="AR52" s="43" t="str">
        <f t="shared" si="3"/>
        <v xml:space="preserve">    (U4)0x0000002EU,                                                           /* 46 UNKNOWN                                         */</v>
      </c>
      <c r="AS52" s="43" t="str">
        <f t="shared" si="4"/>
        <v xml:space="preserve">    (U4)0x0000003FU,                                                           /* 46 UNKNOWN                                         */</v>
      </c>
      <c r="AT52" s="43" t="str">
        <f t="shared" si="1"/>
        <v xml:space="preserve">    (U1)ALERT_REQ_UNKNOWN,                                                     /* 46 UNKNOWN                                         */</v>
      </c>
    </row>
    <row r="53" spans="2:46">
      <c r="B53" s="108"/>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v>1</v>
      </c>
      <c r="AE53" s="41">
        <v>0</v>
      </c>
      <c r="AF53" s="41">
        <v>1</v>
      </c>
      <c r="AG53" s="41">
        <v>1</v>
      </c>
      <c r="AH53" s="41">
        <v>1</v>
      </c>
      <c r="AI53" s="41">
        <v>1</v>
      </c>
      <c r="AJ53" s="23" t="s">
        <v>32</v>
      </c>
      <c r="AL53" t="str">
        <f t="shared" si="0"/>
        <v xml:space="preserve">    (U1)ALERT_REQ_UNKNOWN</v>
      </c>
      <c r="AR53" s="43" t="str">
        <f t="shared" si="3"/>
        <v xml:space="preserve">    (U4)0x0000002FU,                                                           /* 47 UNKNOWN                                         */</v>
      </c>
      <c r="AS53" s="43" t="str">
        <f t="shared" si="4"/>
        <v xml:space="preserve">    (U4)0x0000003FU,                                                           /* 47 UNKNOWN                                         */</v>
      </c>
      <c r="AT53" s="43" t="str">
        <f t="shared" si="1"/>
        <v xml:space="preserve">    (U1)ALERT_REQ_UNKNOWN,                                                     /* 47 UNKNOWN                                         */</v>
      </c>
    </row>
    <row r="54" spans="2:46">
      <c r="B54" s="108"/>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v>1</v>
      </c>
      <c r="AE54" s="41">
        <v>1</v>
      </c>
      <c r="AF54" s="41">
        <v>0</v>
      </c>
      <c r="AG54" s="41">
        <v>0</v>
      </c>
      <c r="AH54" s="41">
        <v>0</v>
      </c>
      <c r="AI54" s="41">
        <v>0</v>
      </c>
      <c r="AJ54" s="23" t="s">
        <v>32</v>
      </c>
      <c r="AL54" t="str">
        <f t="shared" si="0"/>
        <v xml:space="preserve">    (U1)ALERT_REQ_UNKNOWN</v>
      </c>
      <c r="AR54" s="43" t="str">
        <f t="shared" si="3"/>
        <v xml:space="preserve">    (U4)0x00000030U,                                                           /* 48 UNKNOWN                                         */</v>
      </c>
      <c r="AS54" s="43" t="str">
        <f t="shared" si="4"/>
        <v xml:space="preserve">    (U4)0x0000003FU,                                                           /* 48 UNKNOWN                                         */</v>
      </c>
      <c r="AT54" s="43" t="str">
        <f t="shared" si="1"/>
        <v xml:space="preserve">    (U1)ALERT_REQ_UNKNOWN,                                                     /* 48 UNKNOWN                                         */</v>
      </c>
    </row>
    <row r="55" spans="2:46">
      <c r="B55" s="108"/>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v>1</v>
      </c>
      <c r="AE55" s="41">
        <v>1</v>
      </c>
      <c r="AF55" s="41">
        <v>0</v>
      </c>
      <c r="AG55" s="41">
        <v>0</v>
      </c>
      <c r="AH55" s="41">
        <v>0</v>
      </c>
      <c r="AI55" s="41">
        <v>1</v>
      </c>
      <c r="AJ55" s="23" t="s">
        <v>248</v>
      </c>
      <c r="AL55" t="str">
        <f t="shared" ca="1" si="0"/>
        <v xml:space="preserve">    (U1)ALERT_REQ_D_ATMAL_MALFUNC</v>
      </c>
      <c r="AR55" s="43" t="str">
        <f t="shared" si="3"/>
        <v xml:space="preserve">    (U4)0x00000031U,                                                           /* 49 MALFUNC                                         */</v>
      </c>
      <c r="AS55" s="43" t="str">
        <f t="shared" si="4"/>
        <v xml:space="preserve">    (U4)0x0000003FU,                                                           /* 49 MALFUNC                                         */</v>
      </c>
      <c r="AT55" s="43" t="str">
        <f t="shared" ca="1" si="1"/>
        <v xml:space="preserve">    (U1)ALERT_REQ_D_ATMAL_MALFUNC,                                             /* 49 MALFUNC                                         */</v>
      </c>
    </row>
    <row r="56" spans="2:46">
      <c r="B56" s="108"/>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v>1</v>
      </c>
      <c r="AE56" s="41">
        <v>1</v>
      </c>
      <c r="AF56" s="41">
        <v>0</v>
      </c>
      <c r="AG56" s="41">
        <v>0</v>
      </c>
      <c r="AH56" s="41">
        <v>1</v>
      </c>
      <c r="AI56" s="41">
        <v>0</v>
      </c>
      <c r="AJ56" s="23" t="s">
        <v>32</v>
      </c>
      <c r="AL56" t="str">
        <f t="shared" si="0"/>
        <v xml:space="preserve">    (U1)ALERT_REQ_UNKNOWN</v>
      </c>
      <c r="AR56" s="43" t="str">
        <f t="shared" si="3"/>
        <v xml:space="preserve">    (U4)0x00000032U,                                                           /* 50 UNKNOWN                                         */</v>
      </c>
      <c r="AS56" s="43" t="str">
        <f t="shared" si="4"/>
        <v xml:space="preserve">    (U4)0x0000003FU,                                                           /* 50 UNKNOWN                                         */</v>
      </c>
      <c r="AT56" s="43" t="str">
        <f t="shared" si="1"/>
        <v xml:space="preserve">    (U1)ALERT_REQ_UNKNOWN,                                                     /* 50 UNKNOWN                                         */</v>
      </c>
    </row>
    <row r="57" spans="2:46">
      <c r="B57" s="108"/>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v>1</v>
      </c>
      <c r="AE57" s="41">
        <v>1</v>
      </c>
      <c r="AF57" s="41">
        <v>0</v>
      </c>
      <c r="AG57" s="41">
        <v>0</v>
      </c>
      <c r="AH57" s="41">
        <v>1</v>
      </c>
      <c r="AI57" s="41">
        <v>1</v>
      </c>
      <c r="AJ57" s="23" t="s">
        <v>32</v>
      </c>
      <c r="AL57" t="str">
        <f t="shared" si="0"/>
        <v xml:space="preserve">    (U1)ALERT_REQ_UNKNOWN</v>
      </c>
      <c r="AR57" s="43" t="str">
        <f t="shared" si="3"/>
        <v xml:space="preserve">    (U4)0x00000033U,                                                           /* 51 UNKNOWN                                         */</v>
      </c>
      <c r="AS57" s="43" t="str">
        <f t="shared" si="4"/>
        <v xml:space="preserve">    (U4)0x0000003FU,                                                           /* 51 UNKNOWN                                         */</v>
      </c>
      <c r="AT57" s="43" t="str">
        <f t="shared" si="1"/>
        <v xml:space="preserve">    (U1)ALERT_REQ_UNKNOWN,                                                     /* 51 UNKNOWN                                         */</v>
      </c>
    </row>
    <row r="58" spans="2:46">
      <c r="B58" s="108"/>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v>1</v>
      </c>
      <c r="AE58" s="41">
        <v>1</v>
      </c>
      <c r="AF58" s="41">
        <v>0</v>
      </c>
      <c r="AG58" s="41">
        <v>1</v>
      </c>
      <c r="AH58" s="41">
        <v>0</v>
      </c>
      <c r="AI58" s="41">
        <v>0</v>
      </c>
      <c r="AJ58" s="23" t="s">
        <v>32</v>
      </c>
      <c r="AL58" t="str">
        <f t="shared" si="0"/>
        <v xml:space="preserve">    (U1)ALERT_REQ_UNKNOWN</v>
      </c>
      <c r="AR58" s="43" t="str">
        <f t="shared" si="3"/>
        <v xml:space="preserve">    (U4)0x00000034U,                                                           /* 52 UNKNOWN                                         */</v>
      </c>
      <c r="AS58" s="43" t="str">
        <f t="shared" si="4"/>
        <v xml:space="preserve">    (U4)0x0000003FU,                                                           /* 52 UNKNOWN                                         */</v>
      </c>
      <c r="AT58" s="43" t="str">
        <f t="shared" si="1"/>
        <v xml:space="preserve">    (U1)ALERT_REQ_UNKNOWN,                                                     /* 52 UNKNOWN                                         */</v>
      </c>
    </row>
    <row r="59" spans="2:46">
      <c r="B59" s="108"/>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v>1</v>
      </c>
      <c r="AE59" s="41">
        <v>1</v>
      </c>
      <c r="AF59" s="41">
        <v>0</v>
      </c>
      <c r="AG59" s="41">
        <v>1</v>
      </c>
      <c r="AH59" s="41">
        <v>0</v>
      </c>
      <c r="AI59" s="41">
        <v>1</v>
      </c>
      <c r="AJ59" s="23" t="s">
        <v>248</v>
      </c>
      <c r="AL59" t="str">
        <f t="shared" ca="1" si="0"/>
        <v xml:space="preserve">    (U1)ALERT_REQ_D_ATMAL_MALFUNC</v>
      </c>
      <c r="AR59" s="43" t="str">
        <f t="shared" si="3"/>
        <v xml:space="preserve">    (U4)0x00000035U,                                                           /* 53 MALFUNC                                         */</v>
      </c>
      <c r="AS59" s="43" t="str">
        <f t="shared" si="4"/>
        <v xml:space="preserve">    (U4)0x0000003FU,                                                           /* 53 MALFUNC                                         */</v>
      </c>
      <c r="AT59" s="43" t="str">
        <f t="shared" ca="1" si="1"/>
        <v xml:space="preserve">    (U1)ALERT_REQ_D_ATMAL_MALFUNC,                                             /* 53 MALFUNC                                         */</v>
      </c>
    </row>
    <row r="60" spans="2:46">
      <c r="B60" s="108"/>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v>1</v>
      </c>
      <c r="AE60" s="41">
        <v>1</v>
      </c>
      <c r="AF60" s="41">
        <v>0</v>
      </c>
      <c r="AG60" s="41">
        <v>1</v>
      </c>
      <c r="AH60" s="41">
        <v>1</v>
      </c>
      <c r="AI60" s="41">
        <v>0</v>
      </c>
      <c r="AJ60" s="23" t="s">
        <v>32</v>
      </c>
      <c r="AL60" t="str">
        <f t="shared" si="0"/>
        <v xml:space="preserve">    (U1)ALERT_REQ_UNKNOWN</v>
      </c>
      <c r="AR60" s="43" t="str">
        <f t="shared" si="3"/>
        <v xml:space="preserve">    (U4)0x00000036U,                                                           /* 54 UNKNOWN                                         */</v>
      </c>
      <c r="AS60" s="43" t="str">
        <f t="shared" si="4"/>
        <v xml:space="preserve">    (U4)0x0000003FU,                                                           /* 54 UNKNOWN                                         */</v>
      </c>
      <c r="AT60" s="43" t="str">
        <f t="shared" si="1"/>
        <v xml:space="preserve">    (U1)ALERT_REQ_UNKNOWN,                                                     /* 54 UNKNOWN                                         */</v>
      </c>
    </row>
    <row r="61" spans="2:46">
      <c r="B61" s="108"/>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v>1</v>
      </c>
      <c r="AE61" s="41">
        <v>1</v>
      </c>
      <c r="AF61" s="41">
        <v>0</v>
      </c>
      <c r="AG61" s="41">
        <v>1</v>
      </c>
      <c r="AH61" s="41">
        <v>1</v>
      </c>
      <c r="AI61" s="41">
        <v>1</v>
      </c>
      <c r="AJ61" s="23" t="s">
        <v>32</v>
      </c>
      <c r="AL61" t="str">
        <f t="shared" si="0"/>
        <v xml:space="preserve">    (U1)ALERT_REQ_UNKNOWN</v>
      </c>
      <c r="AR61" s="43" t="str">
        <f t="shared" si="3"/>
        <v xml:space="preserve">    (U4)0x00000037U,                                                           /* 55 UNKNOWN                                         */</v>
      </c>
      <c r="AS61" s="43" t="str">
        <f t="shared" si="4"/>
        <v xml:space="preserve">    (U4)0x0000003FU,                                                           /* 55 UNKNOWN                                         */</v>
      </c>
      <c r="AT61" s="43" t="str">
        <f t="shared" si="1"/>
        <v xml:space="preserve">    (U1)ALERT_REQ_UNKNOWN,                                                     /* 55 UNKNOWN                                         */</v>
      </c>
    </row>
    <row r="62" spans="2:46">
      <c r="B62" s="108"/>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v>1</v>
      </c>
      <c r="AE62" s="41">
        <v>1</v>
      </c>
      <c r="AF62" s="41">
        <v>1</v>
      </c>
      <c r="AG62" s="41">
        <v>0</v>
      </c>
      <c r="AH62" s="41">
        <v>0</v>
      </c>
      <c r="AI62" s="41">
        <v>0</v>
      </c>
      <c r="AJ62" s="23" t="s">
        <v>32</v>
      </c>
      <c r="AL62" t="str">
        <f t="shared" si="0"/>
        <v xml:space="preserve">    (U1)ALERT_REQ_UNKNOWN</v>
      </c>
      <c r="AR62" s="43" t="str">
        <f t="shared" si="3"/>
        <v xml:space="preserve">    (U4)0x00000038U,                                                           /* 56 UNKNOWN                                         */</v>
      </c>
      <c r="AS62" s="43" t="str">
        <f t="shared" si="4"/>
        <v xml:space="preserve">    (U4)0x0000003FU,                                                           /* 56 UNKNOWN                                         */</v>
      </c>
      <c r="AT62" s="43" t="str">
        <f t="shared" si="1"/>
        <v xml:space="preserve">    (U1)ALERT_REQ_UNKNOWN,                                                     /* 56 UNKNOWN                                         */</v>
      </c>
    </row>
    <row r="63" spans="2:46">
      <c r="B63" s="108"/>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v>1</v>
      </c>
      <c r="AE63" s="41">
        <v>1</v>
      </c>
      <c r="AF63" s="41">
        <v>1</v>
      </c>
      <c r="AG63" s="41">
        <v>0</v>
      </c>
      <c r="AH63" s="41">
        <v>0</v>
      </c>
      <c r="AI63" s="41">
        <v>1</v>
      </c>
      <c r="AJ63" s="23" t="s">
        <v>248</v>
      </c>
      <c r="AL63" t="str">
        <f t="shared" ca="1" si="0"/>
        <v xml:space="preserve">    (U1)ALERT_REQ_D_ATMAL_MALFUNC</v>
      </c>
      <c r="AR63" s="43" t="str">
        <f t="shared" si="3"/>
        <v xml:space="preserve">    (U4)0x00000039U,                                                           /* 57 MALFUNC                                         */</v>
      </c>
      <c r="AS63" s="43" t="str">
        <f t="shared" si="4"/>
        <v xml:space="preserve">    (U4)0x0000003FU,                                                           /* 57 MALFUNC                                         */</v>
      </c>
      <c r="AT63" s="43" t="str">
        <f t="shared" ca="1" si="1"/>
        <v xml:space="preserve">    (U1)ALERT_REQ_D_ATMAL_MALFUNC,                                             /* 57 MALFUNC                                         */</v>
      </c>
    </row>
    <row r="64" spans="2:46">
      <c r="B64" s="108"/>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v>1</v>
      </c>
      <c r="AE64" s="41">
        <v>1</v>
      </c>
      <c r="AF64" s="41">
        <v>1</v>
      </c>
      <c r="AG64" s="41">
        <v>0</v>
      </c>
      <c r="AH64" s="41">
        <v>1</v>
      </c>
      <c r="AI64" s="41">
        <v>0</v>
      </c>
      <c r="AJ64" s="23" t="s">
        <v>32</v>
      </c>
      <c r="AL64" t="str">
        <f t="shared" si="0"/>
        <v xml:space="preserve">    (U1)ALERT_REQ_UNKNOWN</v>
      </c>
      <c r="AR64" s="43" t="str">
        <f t="shared" si="3"/>
        <v xml:space="preserve">    (U4)0x0000003AU,                                                           /* 58 UNKNOWN                                         */</v>
      </c>
      <c r="AS64" s="43" t="str">
        <f t="shared" si="4"/>
        <v xml:space="preserve">    (U4)0x0000003FU,                                                           /* 58 UNKNOWN                                         */</v>
      </c>
      <c r="AT64" s="43" t="str">
        <f t="shared" si="1"/>
        <v xml:space="preserve">    (U1)ALERT_REQ_UNKNOWN,                                                     /* 58 UNKNOWN                                         */</v>
      </c>
    </row>
    <row r="65" spans="1:46">
      <c r="B65" s="108"/>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v>1</v>
      </c>
      <c r="AE65" s="41">
        <v>1</v>
      </c>
      <c r="AF65" s="41">
        <v>1</v>
      </c>
      <c r="AG65" s="41">
        <v>0</v>
      </c>
      <c r="AH65" s="41">
        <v>1</v>
      </c>
      <c r="AI65" s="41">
        <v>1</v>
      </c>
      <c r="AJ65" s="23" t="s">
        <v>32</v>
      </c>
      <c r="AL65" t="str">
        <f t="shared" si="0"/>
        <v xml:space="preserve">    (U1)ALERT_REQ_UNKNOWN</v>
      </c>
      <c r="AR65" s="43" t="str">
        <f t="shared" si="3"/>
        <v xml:space="preserve">    (U4)0x0000003BU,                                                           /* 59 UNKNOWN                                         */</v>
      </c>
      <c r="AS65" s="43" t="str">
        <f t="shared" si="4"/>
        <v xml:space="preserve">    (U4)0x0000003FU,                                                           /* 59 UNKNOWN                                         */</v>
      </c>
      <c r="AT65" s="43" t="str">
        <f t="shared" si="1"/>
        <v xml:space="preserve">    (U1)ALERT_REQ_UNKNOWN,                                                     /* 59 UNKNOWN                                         */</v>
      </c>
    </row>
    <row r="66" spans="1:46">
      <c r="B66" s="108"/>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v>1</v>
      </c>
      <c r="AE66" s="41">
        <v>1</v>
      </c>
      <c r="AF66" s="41">
        <v>1</v>
      </c>
      <c r="AG66" s="41">
        <v>1</v>
      </c>
      <c r="AH66" s="41">
        <v>0</v>
      </c>
      <c r="AI66" s="41">
        <v>0</v>
      </c>
      <c r="AJ66" s="23" t="s">
        <v>32</v>
      </c>
      <c r="AL66" t="str">
        <f t="shared" si="0"/>
        <v xml:space="preserve">    (U1)ALERT_REQ_UNKNOWN</v>
      </c>
      <c r="AR66" s="43" t="str">
        <f t="shared" si="3"/>
        <v xml:space="preserve">    (U4)0x0000003CU,                                                           /* 60 UNKNOWN                                         */</v>
      </c>
      <c r="AS66" s="43" t="str">
        <f t="shared" si="4"/>
        <v xml:space="preserve">    (U4)0x0000003FU,                                                           /* 60 UNKNOWN                                         */</v>
      </c>
      <c r="AT66" s="43" t="str">
        <f t="shared" si="1"/>
        <v xml:space="preserve">    (U1)ALERT_REQ_UNKNOWN,                                                     /* 60 UNKNOWN                                         */</v>
      </c>
    </row>
    <row r="67" spans="1:46">
      <c r="B67" s="108"/>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v>1</v>
      </c>
      <c r="AE67" s="41">
        <v>1</v>
      </c>
      <c r="AF67" s="41">
        <v>1</v>
      </c>
      <c r="AG67" s="41">
        <v>1</v>
      </c>
      <c r="AH67" s="41">
        <v>0</v>
      </c>
      <c r="AI67" s="41">
        <v>1</v>
      </c>
      <c r="AJ67" s="23" t="s">
        <v>248</v>
      </c>
      <c r="AL67" t="str">
        <f t="shared" ca="1" si="0"/>
        <v xml:space="preserve">    (U1)ALERT_REQ_D_ATMAL_MALFUNC</v>
      </c>
      <c r="AR67" s="43" t="str">
        <f t="shared" si="3"/>
        <v xml:space="preserve">    (U4)0x0000003DU,                                                           /* 61 MALFUNC                                         */</v>
      </c>
      <c r="AS67" s="43" t="str">
        <f t="shared" si="4"/>
        <v xml:space="preserve">    (U4)0x0000003FU,                                                           /* 61 MALFUNC                                         */</v>
      </c>
      <c r="AT67" s="43" t="str">
        <f t="shared" ca="1" si="1"/>
        <v xml:space="preserve">    (U1)ALERT_REQ_D_ATMAL_MALFUNC,                                             /* 61 MALFUNC                                         */</v>
      </c>
    </row>
    <row r="68" spans="1:46">
      <c r="B68" s="108"/>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v>1</v>
      </c>
      <c r="AE68" s="41">
        <v>1</v>
      </c>
      <c r="AF68" s="41">
        <v>1</v>
      </c>
      <c r="AG68" s="41">
        <v>1</v>
      </c>
      <c r="AH68" s="41">
        <v>1</v>
      </c>
      <c r="AI68" s="41">
        <v>0</v>
      </c>
      <c r="AJ68" s="23" t="s">
        <v>32</v>
      </c>
      <c r="AL68" t="str">
        <f t="shared" si="0"/>
        <v xml:space="preserve">    (U1)ALERT_REQ_UNKNOWN</v>
      </c>
      <c r="AR68" s="43" t="str">
        <f t="shared" si="3"/>
        <v xml:space="preserve">    (U4)0x0000003EU,                                                           /* 62 UNKNOWN                                         */</v>
      </c>
      <c r="AS68" s="43" t="str">
        <f t="shared" si="4"/>
        <v xml:space="preserve">    (U4)0x0000003FU,                                                           /* 62 UNKNOWN                                         */</v>
      </c>
      <c r="AT68" s="43" t="str">
        <f t="shared" si="1"/>
        <v xml:space="preserve">    (U1)ALERT_REQ_UNKNOWN,                                                     /* 62 UNKNOWN                                         */</v>
      </c>
    </row>
    <row r="69" spans="1:46">
      <c r="B69" s="109"/>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v>1</v>
      </c>
      <c r="AE69" s="41">
        <v>1</v>
      </c>
      <c r="AF69" s="41">
        <v>1</v>
      </c>
      <c r="AG69" s="41">
        <v>1</v>
      </c>
      <c r="AH69" s="41">
        <v>1</v>
      </c>
      <c r="AI69" s="41">
        <v>1</v>
      </c>
      <c r="AJ69" s="23" t="s">
        <v>32</v>
      </c>
      <c r="AL69" t="str">
        <f t="shared" si="0"/>
        <v xml:space="preserve">    (U1)ALERT_REQ_UNKNOWN</v>
      </c>
      <c r="AR69" s="43" t="str">
        <f t="shared" si="3"/>
        <v xml:space="preserve">    (U4)0x0000003FU                                                            /* 63 UNKNOWN                                         */</v>
      </c>
      <c r="AS69" s="43" t="str">
        <f t="shared" si="4"/>
        <v xml:space="preserve">    (U4)0x0000003FU                                                            /* 63 UNKNOWN                                         */</v>
      </c>
      <c r="AT69" s="43" t="str">
        <f t="shared" si="1"/>
        <v xml:space="preserve">    (U1)ALERT_REQ_UNKNOWN                                                      /* 63 UNKNOWN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v>
      </c>
      <c r="AS70" s="44" t="str">
        <f t="shared" si="4"/>
        <v>};</v>
      </c>
      <c r="AT70" s="44" t="str">
        <f t="shared" ref="AT70" si="5">IF(AJ70&lt;&gt;"",AL70&amp;IF(AJ71&lt;&gt;"",","," ")&amp;REPT(" ",78-LEN(AL70))&amp;"/* "&amp;IF(C70&lt;10,"0"&amp;C70,C70)&amp;" "&amp;AJ70&amp;REPT(" ",48-LEN(AJ70))&amp;"*/",IF(AJ69&lt;&gt;"","};",""))</f>
        <v>};</v>
      </c>
    </row>
    <row r="71" spans="1:46">
      <c r="B71" s="110" t="str">
        <f ca="1">IF(B6&lt;&gt;"",B6,"")</f>
        <v>Table D_ATMAL</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MALFUNC</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MALFUNC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MALFUNC</v>
      </c>
      <c r="AK76" s="40"/>
      <c r="AL76" s="40" t="str">
        <f t="shared" si="10"/>
        <v>05</v>
      </c>
      <c r="AM76" s="42" t="str">
        <f t="shared" si="11"/>
        <v>00</v>
      </c>
      <c r="AN76" s="42" t="str">
        <f t="shared" si="12"/>
        <v>00</v>
      </c>
      <c r="AO76" s="42" t="str">
        <f t="shared" si="13"/>
        <v>00</v>
      </c>
      <c r="AQ76" t="str">
        <f t="shared" si="8"/>
        <v xml:space="preserve">    (U4)0x00000005U,                                                           /* 05 MALFUNC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RW</v>
      </c>
      <c r="AK79" s="40"/>
      <c r="AL79" s="40" t="str">
        <f t="shared" si="10"/>
        <v>08</v>
      </c>
      <c r="AM79" s="42" t="str">
        <f t="shared" si="11"/>
        <v>00</v>
      </c>
      <c r="AN79" s="42" t="str">
        <f t="shared" si="12"/>
        <v>00</v>
      </c>
      <c r="AO79" s="42" t="str">
        <f t="shared" si="13"/>
        <v>00</v>
      </c>
      <c r="AQ79" t="str">
        <f t="shared" si="8"/>
        <v xml:space="preserve">    (U4)0x00000008U,                                                           /* 08 RW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MALFUNC</v>
      </c>
      <c r="AK80" s="40"/>
      <c r="AL80" s="40" t="str">
        <f t="shared" si="10"/>
        <v>09</v>
      </c>
      <c r="AM80" s="42" t="str">
        <f t="shared" si="11"/>
        <v>00</v>
      </c>
      <c r="AN80" s="42" t="str">
        <f t="shared" si="12"/>
        <v>00</v>
      </c>
      <c r="AO80" s="42" t="str">
        <f t="shared" si="13"/>
        <v>00</v>
      </c>
      <c r="AQ80" t="str">
        <f t="shared" si="8"/>
        <v xml:space="preserve">    (U4)0x00000009U,                                                           /* 09 MALFUNC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RW</v>
      </c>
      <c r="AK81" s="40"/>
      <c r="AL81" s="40" t="str">
        <f t="shared" si="10"/>
        <v>0A</v>
      </c>
      <c r="AM81" s="42" t="str">
        <f t="shared" si="11"/>
        <v>00</v>
      </c>
      <c r="AN81" s="42" t="str">
        <f t="shared" si="12"/>
        <v>00</v>
      </c>
      <c r="AO81" s="42" t="str">
        <f t="shared" si="13"/>
        <v>00</v>
      </c>
      <c r="AQ81" t="str">
        <f t="shared" si="8"/>
        <v xml:space="preserve">    (U4)0x0000000AU,                                                           /* 10 RW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RW</v>
      </c>
      <c r="AK82" s="40"/>
      <c r="AL82" s="40" t="str">
        <f t="shared" si="10"/>
        <v>0B</v>
      </c>
      <c r="AM82" s="42" t="str">
        <f t="shared" si="11"/>
        <v>00</v>
      </c>
      <c r="AN82" s="42" t="str">
        <f t="shared" si="12"/>
        <v>00</v>
      </c>
      <c r="AO82" s="42" t="str">
        <f t="shared" si="13"/>
        <v>00</v>
      </c>
      <c r="AQ82" t="str">
        <f t="shared" si="8"/>
        <v xml:space="preserve">    (U4)0x0000000BU,                                                           /* 11 RW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MALFUNC</v>
      </c>
      <c r="AK84" s="40"/>
      <c r="AL84" s="40" t="str">
        <f t="shared" si="10"/>
        <v>0D</v>
      </c>
      <c r="AM84" s="42" t="str">
        <f t="shared" si="11"/>
        <v>00</v>
      </c>
      <c r="AN84" s="42" t="str">
        <f t="shared" si="12"/>
        <v>00</v>
      </c>
      <c r="AO84" s="42" t="str">
        <f t="shared" si="13"/>
        <v>00</v>
      </c>
      <c r="AQ84" t="str">
        <f t="shared" si="8"/>
        <v xml:space="preserve">    (U4)0x0000000DU,                                                           /* 13 MALFUNC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MALFUNC</v>
      </c>
      <c r="AK88" s="40"/>
      <c r="AL88" s="40" t="str">
        <f t="shared" si="10"/>
        <v>11</v>
      </c>
      <c r="AM88" s="42" t="str">
        <f t="shared" si="11"/>
        <v>00</v>
      </c>
      <c r="AN88" s="42" t="str">
        <f t="shared" si="12"/>
        <v>00</v>
      </c>
      <c r="AO88" s="42" t="str">
        <f t="shared" si="13"/>
        <v>00</v>
      </c>
      <c r="AQ88" t="str">
        <f t="shared" si="8"/>
        <v xml:space="preserve">    (U4)0x00000011U,                                                           /* 17 MALFUNC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UNKNOWN</v>
      </c>
      <c r="AK90" s="40"/>
      <c r="AL90" s="40" t="str">
        <f t="shared" si="10"/>
        <v>13</v>
      </c>
      <c r="AM90" s="42" t="str">
        <f t="shared" si="11"/>
        <v>00</v>
      </c>
      <c r="AN90" s="42" t="str">
        <f t="shared" si="12"/>
        <v>00</v>
      </c>
      <c r="AO90" s="42" t="str">
        <f t="shared" si="13"/>
        <v>00</v>
      </c>
      <c r="AQ90" t="str">
        <f t="shared" si="8"/>
        <v xml:space="preserve">    (U4)0x00000013U,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MALFUNC</v>
      </c>
      <c r="AK92" s="40"/>
      <c r="AL92" s="40" t="str">
        <f t="shared" si="10"/>
        <v>15</v>
      </c>
      <c r="AM92" s="42" t="str">
        <f t="shared" si="11"/>
        <v>00</v>
      </c>
      <c r="AN92" s="42" t="str">
        <f t="shared" si="12"/>
        <v>00</v>
      </c>
      <c r="AO92" s="42" t="str">
        <f t="shared" si="13"/>
        <v>00</v>
      </c>
      <c r="AQ92" t="str">
        <f t="shared" si="8"/>
        <v xml:space="preserve">    (U4)0x00000015U,                                                           /* 21 MALFUNC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MALFUNC</v>
      </c>
      <c r="AK96" s="40"/>
      <c r="AL96" s="40" t="str">
        <f t="shared" si="10"/>
        <v>19</v>
      </c>
      <c r="AM96" s="42" t="str">
        <f t="shared" si="11"/>
        <v>00</v>
      </c>
      <c r="AN96" s="42" t="str">
        <f t="shared" si="12"/>
        <v>00</v>
      </c>
      <c r="AO96" s="42" t="str">
        <f t="shared" si="13"/>
        <v>00</v>
      </c>
      <c r="AQ96" t="str">
        <f t="shared" si="8"/>
        <v xml:space="preserve">    (U4)0x00000019U,                                                           /* 25 MALFUNC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MALFUNC</v>
      </c>
      <c r="AK100" s="40"/>
      <c r="AL100" s="40" t="str">
        <f t="shared" si="10"/>
        <v>1D</v>
      </c>
      <c r="AM100" s="42" t="str">
        <f t="shared" si="11"/>
        <v>00</v>
      </c>
      <c r="AN100" s="42" t="str">
        <f t="shared" si="12"/>
        <v>00</v>
      </c>
      <c r="AO100" s="42" t="str">
        <f t="shared" si="13"/>
        <v>00</v>
      </c>
      <c r="AQ100" t="str">
        <f t="shared" si="8"/>
        <v xml:space="preserve">    (U4)0x0000001DU,                                                           /* 29 MALFUNC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1</v>
      </c>
      <c r="AE103" s="101">
        <f t="shared" si="21"/>
        <v>0</v>
      </c>
      <c r="AF103" s="101">
        <f t="shared" si="21"/>
        <v>0</v>
      </c>
      <c r="AG103" s="101">
        <f t="shared" si="21"/>
        <v>0</v>
      </c>
      <c r="AH103" s="101">
        <f t="shared" si="21"/>
        <v>0</v>
      </c>
      <c r="AI103" s="101">
        <f t="shared" si="21"/>
        <v>0</v>
      </c>
      <c r="AJ103" s="27" t="str">
        <f t="shared" si="7"/>
        <v>UNKNOWN</v>
      </c>
      <c r="AK103" s="40"/>
      <c r="AL103" s="40" t="str">
        <f t="shared" si="10"/>
        <v>20</v>
      </c>
      <c r="AM103" s="42" t="str">
        <f t="shared" si="11"/>
        <v>00</v>
      </c>
      <c r="AN103" s="42" t="str">
        <f t="shared" si="12"/>
        <v>00</v>
      </c>
      <c r="AO103" s="42" t="str">
        <f t="shared" si="13"/>
        <v>00</v>
      </c>
      <c r="AQ103" t="str">
        <f t="shared" si="8"/>
        <v xml:space="preserve">    (U4)0x00000020U,                                                           /* 32 UNKNOWN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1</v>
      </c>
      <c r="AE104" s="101">
        <f t="shared" si="21"/>
        <v>0</v>
      </c>
      <c r="AF104" s="101">
        <f t="shared" si="21"/>
        <v>0</v>
      </c>
      <c r="AG104" s="101">
        <f t="shared" si="21"/>
        <v>0</v>
      </c>
      <c r="AH104" s="101">
        <f t="shared" si="21"/>
        <v>0</v>
      </c>
      <c r="AI104" s="101">
        <f t="shared" si="21"/>
        <v>1</v>
      </c>
      <c r="AJ104" s="27" t="str">
        <f t="shared" si="7"/>
        <v>MALFUNC</v>
      </c>
      <c r="AK104" s="40"/>
      <c r="AL104" s="40" t="str">
        <f t="shared" si="10"/>
        <v>21</v>
      </c>
      <c r="AM104" s="42" t="str">
        <f t="shared" si="11"/>
        <v>00</v>
      </c>
      <c r="AN104" s="42" t="str">
        <f t="shared" si="12"/>
        <v>00</v>
      </c>
      <c r="AO104" s="42" t="str">
        <f t="shared" si="13"/>
        <v>00</v>
      </c>
      <c r="AQ104" t="str">
        <f t="shared" si="8"/>
        <v xml:space="preserve">    (U4)0x00000021U,                                                           /* 33 MALFUNC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1</v>
      </c>
      <c r="AE105" s="101">
        <f t="shared" si="21"/>
        <v>0</v>
      </c>
      <c r="AF105" s="101">
        <f t="shared" si="21"/>
        <v>0</v>
      </c>
      <c r="AG105" s="101">
        <f t="shared" si="21"/>
        <v>0</v>
      </c>
      <c r="AH105" s="101">
        <f t="shared" si="21"/>
        <v>1</v>
      </c>
      <c r="AI105" s="101">
        <f t="shared" si="21"/>
        <v>0</v>
      </c>
      <c r="AJ105" s="27" t="str">
        <f t="shared" si="7"/>
        <v>UNKNOWN</v>
      </c>
      <c r="AK105" s="40"/>
      <c r="AL105" s="40" t="str">
        <f t="shared" si="10"/>
        <v>22</v>
      </c>
      <c r="AM105" s="42" t="str">
        <f t="shared" si="11"/>
        <v>00</v>
      </c>
      <c r="AN105" s="42" t="str">
        <f t="shared" si="12"/>
        <v>00</v>
      </c>
      <c r="AO105" s="42" t="str">
        <f t="shared" si="13"/>
        <v>00</v>
      </c>
      <c r="AQ105" t="str">
        <f t="shared" si="8"/>
        <v xml:space="preserve">    (U4)0x00000022U,                                                           /* 34 UNKNOWN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1</v>
      </c>
      <c r="AE106" s="101">
        <f t="shared" si="21"/>
        <v>0</v>
      </c>
      <c r="AF106" s="101">
        <f t="shared" si="21"/>
        <v>0</v>
      </c>
      <c r="AG106" s="101">
        <f t="shared" si="21"/>
        <v>0</v>
      </c>
      <c r="AH106" s="101">
        <f t="shared" si="21"/>
        <v>1</v>
      </c>
      <c r="AI106" s="101">
        <f t="shared" si="21"/>
        <v>1</v>
      </c>
      <c r="AJ106" s="27" t="str">
        <f t="shared" si="7"/>
        <v>UNKNOWN</v>
      </c>
      <c r="AK106" s="40"/>
      <c r="AL106" s="40" t="str">
        <f t="shared" si="10"/>
        <v>23</v>
      </c>
      <c r="AM106" s="42" t="str">
        <f t="shared" si="11"/>
        <v>00</v>
      </c>
      <c r="AN106" s="42" t="str">
        <f t="shared" si="12"/>
        <v>00</v>
      </c>
      <c r="AO106" s="42" t="str">
        <f t="shared" si="13"/>
        <v>00</v>
      </c>
      <c r="AQ106" t="str">
        <f t="shared" si="8"/>
        <v xml:space="preserve">    (U4)0x00000023U,                                                           /* 35 UNKNOWN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1</v>
      </c>
      <c r="AE107" s="101">
        <f t="shared" si="21"/>
        <v>0</v>
      </c>
      <c r="AF107" s="101">
        <f t="shared" si="21"/>
        <v>0</v>
      </c>
      <c r="AG107" s="101">
        <f t="shared" si="21"/>
        <v>1</v>
      </c>
      <c r="AH107" s="101">
        <f t="shared" si="21"/>
        <v>0</v>
      </c>
      <c r="AI107" s="101">
        <f t="shared" si="21"/>
        <v>0</v>
      </c>
      <c r="AJ107" s="27" t="str">
        <f t="shared" si="7"/>
        <v>UNKNOWN</v>
      </c>
      <c r="AK107" s="40"/>
      <c r="AL107" s="40" t="str">
        <f t="shared" si="10"/>
        <v>24</v>
      </c>
      <c r="AM107" s="42" t="str">
        <f t="shared" si="11"/>
        <v>00</v>
      </c>
      <c r="AN107" s="42" t="str">
        <f t="shared" si="12"/>
        <v>00</v>
      </c>
      <c r="AO107" s="42" t="str">
        <f t="shared" si="13"/>
        <v>00</v>
      </c>
      <c r="AQ107" t="str">
        <f t="shared" si="8"/>
        <v xml:space="preserve">    (U4)0x00000024U,                                                           /* 36 UNKNOWN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1</v>
      </c>
      <c r="AE108" s="101">
        <f t="shared" si="21"/>
        <v>0</v>
      </c>
      <c r="AF108" s="101">
        <f t="shared" si="21"/>
        <v>0</v>
      </c>
      <c r="AG108" s="101">
        <f t="shared" si="21"/>
        <v>1</v>
      </c>
      <c r="AH108" s="101">
        <f t="shared" si="21"/>
        <v>0</v>
      </c>
      <c r="AI108" s="101">
        <f t="shared" si="21"/>
        <v>1</v>
      </c>
      <c r="AJ108" s="27" t="str">
        <f t="shared" si="7"/>
        <v>MALFUNC</v>
      </c>
      <c r="AK108" s="40"/>
      <c r="AL108" s="40" t="str">
        <f t="shared" si="10"/>
        <v>25</v>
      </c>
      <c r="AM108" s="42" t="str">
        <f t="shared" si="11"/>
        <v>00</v>
      </c>
      <c r="AN108" s="42" t="str">
        <f t="shared" si="12"/>
        <v>00</v>
      </c>
      <c r="AO108" s="42" t="str">
        <f t="shared" si="13"/>
        <v>00</v>
      </c>
      <c r="AQ108" t="str">
        <f t="shared" si="8"/>
        <v xml:space="preserve">    (U4)0x00000025U,                                                           /* 37 MALFUNC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1</v>
      </c>
      <c r="AE109" s="101">
        <f t="shared" si="21"/>
        <v>0</v>
      </c>
      <c r="AF109" s="101">
        <f t="shared" si="21"/>
        <v>0</v>
      </c>
      <c r="AG109" s="101">
        <f t="shared" si="21"/>
        <v>1</v>
      </c>
      <c r="AH109" s="101">
        <f t="shared" si="21"/>
        <v>1</v>
      </c>
      <c r="AI109" s="101">
        <f t="shared" si="21"/>
        <v>0</v>
      </c>
      <c r="AJ109" s="27" t="str">
        <f t="shared" si="7"/>
        <v>UNKNOWN</v>
      </c>
      <c r="AK109" s="40"/>
      <c r="AL109" s="40" t="str">
        <f t="shared" si="10"/>
        <v>26</v>
      </c>
      <c r="AM109" s="42" t="str">
        <f t="shared" si="11"/>
        <v>00</v>
      </c>
      <c r="AN109" s="42" t="str">
        <f t="shared" si="12"/>
        <v>00</v>
      </c>
      <c r="AO109" s="42" t="str">
        <f t="shared" si="13"/>
        <v>00</v>
      </c>
      <c r="AQ109" t="str">
        <f t="shared" si="8"/>
        <v xml:space="preserve">    (U4)0x00000026U,                                                           /* 38 UNKNOWN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1</v>
      </c>
      <c r="AE110" s="101">
        <f t="shared" si="21"/>
        <v>0</v>
      </c>
      <c r="AF110" s="101">
        <f t="shared" si="21"/>
        <v>0</v>
      </c>
      <c r="AG110" s="101">
        <f t="shared" si="21"/>
        <v>1</v>
      </c>
      <c r="AH110" s="101">
        <f t="shared" si="21"/>
        <v>1</v>
      </c>
      <c r="AI110" s="101">
        <f t="shared" ref="AI110" si="22">IF(AI45=1,1,0)</f>
        <v>1</v>
      </c>
      <c r="AJ110" s="27" t="str">
        <f t="shared" si="7"/>
        <v>UNKNOWN</v>
      </c>
      <c r="AK110" s="40"/>
      <c r="AL110" s="40" t="str">
        <f t="shared" si="10"/>
        <v>27</v>
      </c>
      <c r="AM110" s="42" t="str">
        <f t="shared" si="11"/>
        <v>00</v>
      </c>
      <c r="AN110" s="42" t="str">
        <f t="shared" si="12"/>
        <v>00</v>
      </c>
      <c r="AO110" s="42" t="str">
        <f t="shared" si="13"/>
        <v>00</v>
      </c>
      <c r="AQ110" t="str">
        <f t="shared" si="8"/>
        <v xml:space="preserve">    (U4)0x00000027U,                                                           /* 39 UNKNOWN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1</v>
      </c>
      <c r="AE111" s="101">
        <f t="shared" si="23"/>
        <v>0</v>
      </c>
      <c r="AF111" s="101">
        <f t="shared" si="23"/>
        <v>1</v>
      </c>
      <c r="AG111" s="101">
        <f t="shared" si="23"/>
        <v>0</v>
      </c>
      <c r="AH111" s="101">
        <f t="shared" si="23"/>
        <v>0</v>
      </c>
      <c r="AI111" s="101">
        <f t="shared" si="23"/>
        <v>0</v>
      </c>
      <c r="AJ111" s="27" t="str">
        <f t="shared" si="7"/>
        <v>UNKNOWN</v>
      </c>
      <c r="AK111" s="40"/>
      <c r="AL111" s="40" t="str">
        <f t="shared" si="10"/>
        <v>28</v>
      </c>
      <c r="AM111" s="42" t="str">
        <f t="shared" si="11"/>
        <v>00</v>
      </c>
      <c r="AN111" s="42" t="str">
        <f t="shared" si="12"/>
        <v>00</v>
      </c>
      <c r="AO111" s="42" t="str">
        <f t="shared" si="13"/>
        <v>00</v>
      </c>
      <c r="AQ111" t="str">
        <f t="shared" si="8"/>
        <v xml:space="preserve">    (U4)0x00000028U,                                                           /* 40 UNKNOWN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1</v>
      </c>
      <c r="AE112" s="101">
        <f t="shared" si="23"/>
        <v>0</v>
      </c>
      <c r="AF112" s="101">
        <f t="shared" si="23"/>
        <v>1</v>
      </c>
      <c r="AG112" s="101">
        <f t="shared" si="23"/>
        <v>0</v>
      </c>
      <c r="AH112" s="101">
        <f t="shared" si="23"/>
        <v>0</v>
      </c>
      <c r="AI112" s="101">
        <f t="shared" si="23"/>
        <v>1</v>
      </c>
      <c r="AJ112" s="27" t="str">
        <f t="shared" si="7"/>
        <v>MALFUNC</v>
      </c>
      <c r="AK112" s="40"/>
      <c r="AL112" s="40" t="str">
        <f t="shared" si="10"/>
        <v>29</v>
      </c>
      <c r="AM112" s="42" t="str">
        <f t="shared" si="11"/>
        <v>00</v>
      </c>
      <c r="AN112" s="42" t="str">
        <f t="shared" si="12"/>
        <v>00</v>
      </c>
      <c r="AO112" s="42" t="str">
        <f t="shared" si="13"/>
        <v>00</v>
      </c>
      <c r="AQ112" t="str">
        <f t="shared" si="8"/>
        <v xml:space="preserve">    (U4)0x00000029U,                                                           /* 41 MALFUNC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1</v>
      </c>
      <c r="AE113" s="101">
        <f t="shared" si="23"/>
        <v>0</v>
      </c>
      <c r="AF113" s="101">
        <f t="shared" si="23"/>
        <v>1</v>
      </c>
      <c r="AG113" s="101">
        <f t="shared" si="23"/>
        <v>0</v>
      </c>
      <c r="AH113" s="101">
        <f t="shared" si="23"/>
        <v>1</v>
      </c>
      <c r="AI113" s="101">
        <f t="shared" si="23"/>
        <v>0</v>
      </c>
      <c r="AJ113" s="27" t="str">
        <f t="shared" si="7"/>
        <v>UNKNOWN</v>
      </c>
      <c r="AK113" s="40"/>
      <c r="AL113" s="40" t="str">
        <f t="shared" si="10"/>
        <v>2A</v>
      </c>
      <c r="AM113" s="42" t="str">
        <f t="shared" si="11"/>
        <v>00</v>
      </c>
      <c r="AN113" s="42" t="str">
        <f t="shared" si="12"/>
        <v>00</v>
      </c>
      <c r="AO113" s="42" t="str">
        <f t="shared" si="13"/>
        <v>00</v>
      </c>
      <c r="AQ113" t="str">
        <f t="shared" si="8"/>
        <v xml:space="preserve">    (U4)0x0000002AU,                                                           /* 42 UNKNOWN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1</v>
      </c>
      <c r="AE114" s="101">
        <f t="shared" si="23"/>
        <v>0</v>
      </c>
      <c r="AF114" s="101">
        <f t="shared" si="23"/>
        <v>1</v>
      </c>
      <c r="AG114" s="101">
        <f t="shared" si="23"/>
        <v>0</v>
      </c>
      <c r="AH114" s="101">
        <f t="shared" si="23"/>
        <v>1</v>
      </c>
      <c r="AI114" s="101">
        <f t="shared" si="23"/>
        <v>1</v>
      </c>
      <c r="AJ114" s="27" t="str">
        <f t="shared" si="7"/>
        <v>UNKNOWN</v>
      </c>
      <c r="AK114" s="40"/>
      <c r="AL114" s="40" t="str">
        <f t="shared" si="10"/>
        <v>2B</v>
      </c>
      <c r="AM114" s="42" t="str">
        <f t="shared" si="11"/>
        <v>00</v>
      </c>
      <c r="AN114" s="42" t="str">
        <f t="shared" si="12"/>
        <v>00</v>
      </c>
      <c r="AO114" s="42" t="str">
        <f t="shared" si="13"/>
        <v>00</v>
      </c>
      <c r="AQ114" t="str">
        <f t="shared" si="8"/>
        <v xml:space="preserve">    (U4)0x0000002BU,                                                           /* 43 UNKNOWN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1</v>
      </c>
      <c r="AE115" s="101">
        <f t="shared" si="23"/>
        <v>0</v>
      </c>
      <c r="AF115" s="101">
        <f t="shared" si="23"/>
        <v>1</v>
      </c>
      <c r="AG115" s="101">
        <f t="shared" si="23"/>
        <v>1</v>
      </c>
      <c r="AH115" s="101">
        <f t="shared" si="23"/>
        <v>0</v>
      </c>
      <c r="AI115" s="101">
        <f t="shared" si="23"/>
        <v>0</v>
      </c>
      <c r="AJ115" s="27" t="str">
        <f t="shared" si="7"/>
        <v>UNKNOWN</v>
      </c>
      <c r="AK115" s="40"/>
      <c r="AL115" s="40" t="str">
        <f t="shared" si="10"/>
        <v>2C</v>
      </c>
      <c r="AM115" s="42" t="str">
        <f t="shared" si="11"/>
        <v>00</v>
      </c>
      <c r="AN115" s="42" t="str">
        <f t="shared" si="12"/>
        <v>00</v>
      </c>
      <c r="AO115" s="42" t="str">
        <f t="shared" si="13"/>
        <v>00</v>
      </c>
      <c r="AQ115" t="str">
        <f t="shared" si="8"/>
        <v xml:space="preserve">    (U4)0x0000002CU,                                                           /* 44 UNKNOWN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1</v>
      </c>
      <c r="AE116" s="101">
        <f t="shared" si="23"/>
        <v>0</v>
      </c>
      <c r="AF116" s="101">
        <f t="shared" si="23"/>
        <v>1</v>
      </c>
      <c r="AG116" s="101">
        <f t="shared" si="23"/>
        <v>1</v>
      </c>
      <c r="AH116" s="101">
        <f t="shared" si="23"/>
        <v>0</v>
      </c>
      <c r="AI116" s="101">
        <f t="shared" si="23"/>
        <v>1</v>
      </c>
      <c r="AJ116" s="27" t="str">
        <f t="shared" si="7"/>
        <v>MALFUNC</v>
      </c>
      <c r="AK116" s="40"/>
      <c r="AL116" s="40" t="str">
        <f t="shared" si="10"/>
        <v>2D</v>
      </c>
      <c r="AM116" s="42" t="str">
        <f t="shared" si="11"/>
        <v>00</v>
      </c>
      <c r="AN116" s="42" t="str">
        <f t="shared" si="12"/>
        <v>00</v>
      </c>
      <c r="AO116" s="42" t="str">
        <f t="shared" si="13"/>
        <v>00</v>
      </c>
      <c r="AQ116" t="str">
        <f t="shared" si="8"/>
        <v xml:space="preserve">    (U4)0x0000002DU,                                                           /* 45 MALFUNC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1</v>
      </c>
      <c r="AE117" s="101">
        <f t="shared" si="23"/>
        <v>0</v>
      </c>
      <c r="AF117" s="101">
        <f t="shared" si="23"/>
        <v>1</v>
      </c>
      <c r="AG117" s="101">
        <f t="shared" si="23"/>
        <v>1</v>
      </c>
      <c r="AH117" s="101">
        <f t="shared" si="23"/>
        <v>1</v>
      </c>
      <c r="AI117" s="101">
        <f t="shared" si="23"/>
        <v>0</v>
      </c>
      <c r="AJ117" s="27" t="str">
        <f t="shared" si="7"/>
        <v>UNKNOWN</v>
      </c>
      <c r="AK117" s="40"/>
      <c r="AL117" s="40" t="str">
        <f t="shared" si="10"/>
        <v>2E</v>
      </c>
      <c r="AM117" s="42" t="str">
        <f t="shared" si="11"/>
        <v>00</v>
      </c>
      <c r="AN117" s="42" t="str">
        <f t="shared" si="12"/>
        <v>00</v>
      </c>
      <c r="AO117" s="42" t="str">
        <f t="shared" si="13"/>
        <v>00</v>
      </c>
      <c r="AQ117" t="str">
        <f t="shared" si="8"/>
        <v xml:space="preserve">    (U4)0x0000002EU,                                                           /* 46 UNKNOWN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1</v>
      </c>
      <c r="AE118" s="101">
        <f t="shared" si="23"/>
        <v>0</v>
      </c>
      <c r="AF118" s="101">
        <f t="shared" si="23"/>
        <v>1</v>
      </c>
      <c r="AG118" s="101">
        <f t="shared" si="23"/>
        <v>1</v>
      </c>
      <c r="AH118" s="101">
        <f t="shared" si="23"/>
        <v>1</v>
      </c>
      <c r="AI118" s="101">
        <f t="shared" ref="AI118" si="24">IF(AI53=1,1,0)</f>
        <v>1</v>
      </c>
      <c r="AJ118" s="27" t="str">
        <f t="shared" si="7"/>
        <v>UNKNOWN</v>
      </c>
      <c r="AK118" s="40"/>
      <c r="AL118" s="40" t="str">
        <f t="shared" si="10"/>
        <v>2F</v>
      </c>
      <c r="AM118" s="42" t="str">
        <f t="shared" si="11"/>
        <v>00</v>
      </c>
      <c r="AN118" s="42" t="str">
        <f t="shared" si="12"/>
        <v>00</v>
      </c>
      <c r="AO118" s="42" t="str">
        <f t="shared" si="13"/>
        <v>00</v>
      </c>
      <c r="AQ118" t="str">
        <f t="shared" si="8"/>
        <v xml:space="preserve">    (U4)0x0000002FU,                                                           /* 47 UNKNOWN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1</v>
      </c>
      <c r="AE119" s="101">
        <f t="shared" si="25"/>
        <v>1</v>
      </c>
      <c r="AF119" s="101">
        <f t="shared" si="25"/>
        <v>0</v>
      </c>
      <c r="AG119" s="101">
        <f t="shared" si="25"/>
        <v>0</v>
      </c>
      <c r="AH119" s="101">
        <f t="shared" si="25"/>
        <v>0</v>
      </c>
      <c r="AI119" s="101">
        <f t="shared" si="25"/>
        <v>0</v>
      </c>
      <c r="AJ119" s="27" t="str">
        <f t="shared" si="7"/>
        <v>UNKNOWN</v>
      </c>
      <c r="AK119" s="40"/>
      <c r="AL119" s="40" t="str">
        <f t="shared" si="10"/>
        <v>30</v>
      </c>
      <c r="AM119" s="42" t="str">
        <f t="shared" si="11"/>
        <v>00</v>
      </c>
      <c r="AN119" s="42" t="str">
        <f t="shared" si="12"/>
        <v>00</v>
      </c>
      <c r="AO119" s="42" t="str">
        <f t="shared" si="13"/>
        <v>00</v>
      </c>
      <c r="AQ119" t="str">
        <f t="shared" si="8"/>
        <v xml:space="preserve">    (U4)0x00000030U,                                                           /* 48 UNKNOWN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1</v>
      </c>
      <c r="AE120" s="101">
        <f t="shared" si="25"/>
        <v>1</v>
      </c>
      <c r="AF120" s="101">
        <f t="shared" si="25"/>
        <v>0</v>
      </c>
      <c r="AG120" s="101">
        <f t="shared" si="25"/>
        <v>0</v>
      </c>
      <c r="AH120" s="101">
        <f t="shared" si="25"/>
        <v>0</v>
      </c>
      <c r="AI120" s="101">
        <f t="shared" si="25"/>
        <v>1</v>
      </c>
      <c r="AJ120" s="27" t="str">
        <f t="shared" si="7"/>
        <v>MALFUNC</v>
      </c>
      <c r="AK120" s="40"/>
      <c r="AL120" s="40" t="str">
        <f t="shared" si="10"/>
        <v>31</v>
      </c>
      <c r="AM120" s="42" t="str">
        <f t="shared" si="11"/>
        <v>00</v>
      </c>
      <c r="AN120" s="42" t="str">
        <f t="shared" si="12"/>
        <v>00</v>
      </c>
      <c r="AO120" s="42" t="str">
        <f t="shared" si="13"/>
        <v>00</v>
      </c>
      <c r="AQ120" t="str">
        <f t="shared" si="8"/>
        <v xml:space="preserve">    (U4)0x00000031U,                                                           /* 49 MALFUNC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1</v>
      </c>
      <c r="AE121" s="101">
        <f t="shared" si="25"/>
        <v>1</v>
      </c>
      <c r="AF121" s="101">
        <f t="shared" si="25"/>
        <v>0</v>
      </c>
      <c r="AG121" s="101">
        <f t="shared" si="25"/>
        <v>0</v>
      </c>
      <c r="AH121" s="101">
        <f t="shared" si="25"/>
        <v>1</v>
      </c>
      <c r="AI121" s="101">
        <f t="shared" si="25"/>
        <v>0</v>
      </c>
      <c r="AJ121" s="27" t="str">
        <f t="shared" si="7"/>
        <v>UNKNOWN</v>
      </c>
      <c r="AK121" s="40"/>
      <c r="AL121" s="40" t="str">
        <f t="shared" si="10"/>
        <v>32</v>
      </c>
      <c r="AM121" s="42" t="str">
        <f t="shared" si="11"/>
        <v>00</v>
      </c>
      <c r="AN121" s="42" t="str">
        <f t="shared" si="12"/>
        <v>00</v>
      </c>
      <c r="AO121" s="42" t="str">
        <f t="shared" si="13"/>
        <v>00</v>
      </c>
      <c r="AQ121" t="str">
        <f t="shared" si="8"/>
        <v xml:space="preserve">    (U4)0x00000032U,                                                           /* 50 UNKNOWN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1</v>
      </c>
      <c r="AE122" s="101">
        <f t="shared" si="25"/>
        <v>1</v>
      </c>
      <c r="AF122" s="101">
        <f t="shared" si="25"/>
        <v>0</v>
      </c>
      <c r="AG122" s="101">
        <f t="shared" si="25"/>
        <v>0</v>
      </c>
      <c r="AH122" s="101">
        <f t="shared" si="25"/>
        <v>1</v>
      </c>
      <c r="AI122" s="101">
        <f t="shared" si="25"/>
        <v>1</v>
      </c>
      <c r="AJ122" s="27" t="str">
        <f t="shared" si="7"/>
        <v>UNKNOWN</v>
      </c>
      <c r="AK122" s="40"/>
      <c r="AL122" s="40" t="str">
        <f t="shared" si="10"/>
        <v>33</v>
      </c>
      <c r="AM122" s="42" t="str">
        <f t="shared" si="11"/>
        <v>00</v>
      </c>
      <c r="AN122" s="42" t="str">
        <f t="shared" si="12"/>
        <v>00</v>
      </c>
      <c r="AO122" s="42" t="str">
        <f t="shared" si="13"/>
        <v>00</v>
      </c>
      <c r="AQ122" t="str">
        <f t="shared" si="8"/>
        <v xml:space="preserve">    (U4)0x00000033U,                                                           /* 51 UNKNOWN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1</v>
      </c>
      <c r="AE123" s="101">
        <f t="shared" si="25"/>
        <v>1</v>
      </c>
      <c r="AF123" s="101">
        <f t="shared" si="25"/>
        <v>0</v>
      </c>
      <c r="AG123" s="101">
        <f t="shared" si="25"/>
        <v>1</v>
      </c>
      <c r="AH123" s="101">
        <f t="shared" si="25"/>
        <v>0</v>
      </c>
      <c r="AI123" s="101">
        <f t="shared" si="25"/>
        <v>0</v>
      </c>
      <c r="AJ123" s="27" t="str">
        <f t="shared" si="7"/>
        <v>UNKNOWN</v>
      </c>
      <c r="AK123" s="40"/>
      <c r="AL123" s="40" t="str">
        <f t="shared" si="10"/>
        <v>34</v>
      </c>
      <c r="AM123" s="42" t="str">
        <f t="shared" si="11"/>
        <v>00</v>
      </c>
      <c r="AN123" s="42" t="str">
        <f t="shared" si="12"/>
        <v>00</v>
      </c>
      <c r="AO123" s="42" t="str">
        <f t="shared" si="13"/>
        <v>00</v>
      </c>
      <c r="AQ123" t="str">
        <f t="shared" si="8"/>
        <v xml:space="preserve">    (U4)0x00000034U,                                                           /* 52 UNKNOWN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1</v>
      </c>
      <c r="AE124" s="101">
        <f t="shared" si="25"/>
        <v>1</v>
      </c>
      <c r="AF124" s="101">
        <f t="shared" si="25"/>
        <v>0</v>
      </c>
      <c r="AG124" s="101">
        <f t="shared" si="25"/>
        <v>1</v>
      </c>
      <c r="AH124" s="101">
        <f t="shared" si="25"/>
        <v>0</v>
      </c>
      <c r="AI124" s="101">
        <f t="shared" si="25"/>
        <v>1</v>
      </c>
      <c r="AJ124" s="27" t="str">
        <f t="shared" si="7"/>
        <v>MALFUNC</v>
      </c>
      <c r="AK124" s="40"/>
      <c r="AL124" s="40" t="str">
        <f t="shared" si="10"/>
        <v>35</v>
      </c>
      <c r="AM124" s="42" t="str">
        <f t="shared" si="11"/>
        <v>00</v>
      </c>
      <c r="AN124" s="42" t="str">
        <f t="shared" si="12"/>
        <v>00</v>
      </c>
      <c r="AO124" s="42" t="str">
        <f t="shared" si="13"/>
        <v>00</v>
      </c>
      <c r="AQ124" t="str">
        <f t="shared" si="8"/>
        <v xml:space="preserve">    (U4)0x00000035U,                                                           /* 53 MALFUNC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1</v>
      </c>
      <c r="AE125" s="101">
        <f t="shared" si="25"/>
        <v>1</v>
      </c>
      <c r="AF125" s="101">
        <f t="shared" si="25"/>
        <v>0</v>
      </c>
      <c r="AG125" s="101">
        <f t="shared" si="25"/>
        <v>1</v>
      </c>
      <c r="AH125" s="101">
        <f t="shared" si="25"/>
        <v>1</v>
      </c>
      <c r="AI125" s="101">
        <f t="shared" si="25"/>
        <v>0</v>
      </c>
      <c r="AJ125" s="27" t="str">
        <f t="shared" si="7"/>
        <v>UNKNOWN</v>
      </c>
      <c r="AK125" s="40"/>
      <c r="AL125" s="40" t="str">
        <f t="shared" si="10"/>
        <v>36</v>
      </c>
      <c r="AM125" s="42" t="str">
        <f t="shared" si="11"/>
        <v>00</v>
      </c>
      <c r="AN125" s="42" t="str">
        <f t="shared" si="12"/>
        <v>00</v>
      </c>
      <c r="AO125" s="42" t="str">
        <f t="shared" si="13"/>
        <v>00</v>
      </c>
      <c r="AQ125" t="str">
        <f t="shared" si="8"/>
        <v xml:space="preserve">    (U4)0x00000036U,                                                           /* 54 UNKNOWN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1</v>
      </c>
      <c r="AE126" s="101">
        <f t="shared" si="25"/>
        <v>1</v>
      </c>
      <c r="AF126" s="101">
        <f t="shared" si="25"/>
        <v>0</v>
      </c>
      <c r="AG126" s="101">
        <f t="shared" si="25"/>
        <v>1</v>
      </c>
      <c r="AH126" s="101">
        <f t="shared" si="25"/>
        <v>1</v>
      </c>
      <c r="AI126" s="101">
        <f t="shared" ref="AI126" si="26">IF(AI61=1,1,0)</f>
        <v>1</v>
      </c>
      <c r="AJ126" s="27" t="str">
        <f t="shared" si="7"/>
        <v>UNKNOWN</v>
      </c>
      <c r="AK126" s="40"/>
      <c r="AL126" s="40" t="str">
        <f t="shared" si="10"/>
        <v>37</v>
      </c>
      <c r="AM126" s="42" t="str">
        <f t="shared" si="11"/>
        <v>00</v>
      </c>
      <c r="AN126" s="42" t="str">
        <f t="shared" si="12"/>
        <v>00</v>
      </c>
      <c r="AO126" s="42" t="str">
        <f t="shared" si="13"/>
        <v>00</v>
      </c>
      <c r="AQ126" t="str">
        <f t="shared" si="8"/>
        <v xml:space="preserve">    (U4)0x00000037U,                                                           /* 55 UNKNOWN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1</v>
      </c>
      <c r="AE127" s="101">
        <f t="shared" si="27"/>
        <v>1</v>
      </c>
      <c r="AF127" s="101">
        <f t="shared" si="27"/>
        <v>1</v>
      </c>
      <c r="AG127" s="101">
        <f t="shared" si="27"/>
        <v>0</v>
      </c>
      <c r="AH127" s="101">
        <f t="shared" si="27"/>
        <v>0</v>
      </c>
      <c r="AI127" s="101">
        <f t="shared" si="27"/>
        <v>0</v>
      </c>
      <c r="AJ127" s="27" t="str">
        <f t="shared" si="7"/>
        <v>UNKNOWN</v>
      </c>
      <c r="AK127" s="40"/>
      <c r="AL127" s="40" t="str">
        <f t="shared" si="10"/>
        <v>38</v>
      </c>
      <c r="AM127" s="42" t="str">
        <f t="shared" si="11"/>
        <v>00</v>
      </c>
      <c r="AN127" s="42" t="str">
        <f t="shared" si="12"/>
        <v>00</v>
      </c>
      <c r="AO127" s="42" t="str">
        <f t="shared" si="13"/>
        <v>00</v>
      </c>
      <c r="AQ127" t="str">
        <f t="shared" si="8"/>
        <v xml:space="preserve">    (U4)0x00000038U,                                                           /* 56 UNKNOWN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1</v>
      </c>
      <c r="AE128" s="101">
        <f t="shared" si="27"/>
        <v>1</v>
      </c>
      <c r="AF128" s="101">
        <f t="shared" si="27"/>
        <v>1</v>
      </c>
      <c r="AG128" s="101">
        <f t="shared" si="27"/>
        <v>0</v>
      </c>
      <c r="AH128" s="101">
        <f t="shared" si="27"/>
        <v>0</v>
      </c>
      <c r="AI128" s="101">
        <f t="shared" si="27"/>
        <v>1</v>
      </c>
      <c r="AJ128" s="27" t="str">
        <f t="shared" si="7"/>
        <v>MALFUNC</v>
      </c>
      <c r="AK128" s="40"/>
      <c r="AL128" s="40" t="str">
        <f t="shared" si="10"/>
        <v>39</v>
      </c>
      <c r="AM128" s="42" t="str">
        <f t="shared" si="11"/>
        <v>00</v>
      </c>
      <c r="AN128" s="42" t="str">
        <f t="shared" si="12"/>
        <v>00</v>
      </c>
      <c r="AO128" s="42" t="str">
        <f t="shared" si="13"/>
        <v>00</v>
      </c>
      <c r="AQ128" t="str">
        <f t="shared" si="8"/>
        <v xml:space="preserve">    (U4)0x00000039U,                                                           /* 57 MALFUNC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1</v>
      </c>
      <c r="AE129" s="101">
        <f t="shared" si="27"/>
        <v>1</v>
      </c>
      <c r="AF129" s="101">
        <f t="shared" si="27"/>
        <v>1</v>
      </c>
      <c r="AG129" s="101">
        <f t="shared" si="27"/>
        <v>0</v>
      </c>
      <c r="AH129" s="101">
        <f t="shared" si="27"/>
        <v>1</v>
      </c>
      <c r="AI129" s="101">
        <f t="shared" si="27"/>
        <v>0</v>
      </c>
      <c r="AJ129" s="27" t="str">
        <f t="shared" si="7"/>
        <v>UNKNOWN</v>
      </c>
      <c r="AK129" s="40"/>
      <c r="AL129" s="40" t="str">
        <f t="shared" si="10"/>
        <v>3A</v>
      </c>
      <c r="AM129" s="42" t="str">
        <f t="shared" si="11"/>
        <v>00</v>
      </c>
      <c r="AN129" s="42" t="str">
        <f t="shared" si="12"/>
        <v>00</v>
      </c>
      <c r="AO129" s="42" t="str">
        <f t="shared" si="13"/>
        <v>00</v>
      </c>
      <c r="AQ129" t="str">
        <f t="shared" si="8"/>
        <v xml:space="preserve">    (U4)0x0000003AU,                                                           /* 58 UNKNOWN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1</v>
      </c>
      <c r="AE130" s="101">
        <f t="shared" si="27"/>
        <v>1</v>
      </c>
      <c r="AF130" s="101">
        <f t="shared" si="27"/>
        <v>1</v>
      </c>
      <c r="AG130" s="101">
        <f t="shared" si="27"/>
        <v>0</v>
      </c>
      <c r="AH130" s="101">
        <f t="shared" si="27"/>
        <v>1</v>
      </c>
      <c r="AI130" s="101">
        <f t="shared" si="27"/>
        <v>1</v>
      </c>
      <c r="AJ130" s="27" t="str">
        <f t="shared" si="7"/>
        <v>UNKNOWN</v>
      </c>
      <c r="AK130" s="40"/>
      <c r="AL130" s="40" t="str">
        <f t="shared" si="10"/>
        <v>3B</v>
      </c>
      <c r="AM130" s="42" t="str">
        <f t="shared" si="11"/>
        <v>00</v>
      </c>
      <c r="AN130" s="42" t="str">
        <f t="shared" si="12"/>
        <v>00</v>
      </c>
      <c r="AO130" s="42" t="str">
        <f t="shared" si="13"/>
        <v>00</v>
      </c>
      <c r="AQ130" t="str">
        <f t="shared" si="8"/>
        <v xml:space="preserve">    (U4)0x0000003BU,                                                           /* 59 UNKNOWN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1</v>
      </c>
      <c r="AE131" s="101">
        <f t="shared" si="27"/>
        <v>1</v>
      </c>
      <c r="AF131" s="101">
        <f t="shared" si="27"/>
        <v>1</v>
      </c>
      <c r="AG131" s="101">
        <f t="shared" si="27"/>
        <v>1</v>
      </c>
      <c r="AH131" s="101">
        <f t="shared" si="27"/>
        <v>0</v>
      </c>
      <c r="AI131" s="101">
        <f t="shared" si="27"/>
        <v>0</v>
      </c>
      <c r="AJ131" s="27" t="str">
        <f t="shared" si="7"/>
        <v>UNKNOWN</v>
      </c>
      <c r="AK131" s="40"/>
      <c r="AL131" s="40" t="str">
        <f t="shared" si="10"/>
        <v>3C</v>
      </c>
      <c r="AM131" s="42" t="str">
        <f t="shared" si="11"/>
        <v>00</v>
      </c>
      <c r="AN131" s="42" t="str">
        <f t="shared" si="12"/>
        <v>00</v>
      </c>
      <c r="AO131" s="42" t="str">
        <f t="shared" si="13"/>
        <v>00</v>
      </c>
      <c r="AQ131" t="str">
        <f t="shared" si="8"/>
        <v xml:space="preserve">    (U4)0x0000003CU,                                                           /* 60 UNKNOWN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1</v>
      </c>
      <c r="AE132" s="101">
        <f t="shared" si="27"/>
        <v>1</v>
      </c>
      <c r="AF132" s="101">
        <f t="shared" si="27"/>
        <v>1</v>
      </c>
      <c r="AG132" s="101">
        <f t="shared" si="27"/>
        <v>1</v>
      </c>
      <c r="AH132" s="101">
        <f t="shared" si="27"/>
        <v>0</v>
      </c>
      <c r="AI132" s="101">
        <f t="shared" si="27"/>
        <v>1</v>
      </c>
      <c r="AJ132" s="27" t="str">
        <f t="shared" si="7"/>
        <v>MALFUNC</v>
      </c>
      <c r="AK132" s="40"/>
      <c r="AL132" s="40" t="str">
        <f t="shared" si="10"/>
        <v>3D</v>
      </c>
      <c r="AM132" s="42" t="str">
        <f t="shared" si="11"/>
        <v>00</v>
      </c>
      <c r="AN132" s="42" t="str">
        <f t="shared" si="12"/>
        <v>00</v>
      </c>
      <c r="AO132" s="42" t="str">
        <f t="shared" si="13"/>
        <v>00</v>
      </c>
      <c r="AQ132" t="str">
        <f t="shared" si="8"/>
        <v xml:space="preserve">    (U4)0x0000003DU,                                                           /* 61 MALFUNC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1</v>
      </c>
      <c r="AE133" s="101">
        <f t="shared" si="27"/>
        <v>1</v>
      </c>
      <c r="AF133" s="101">
        <f t="shared" si="27"/>
        <v>1</v>
      </c>
      <c r="AG133" s="101">
        <f t="shared" si="27"/>
        <v>1</v>
      </c>
      <c r="AH133" s="101">
        <f t="shared" si="27"/>
        <v>1</v>
      </c>
      <c r="AI133" s="101">
        <f t="shared" si="27"/>
        <v>0</v>
      </c>
      <c r="AJ133" s="27" t="str">
        <f t="shared" si="7"/>
        <v>UNKNOWN</v>
      </c>
      <c r="AK133" s="40"/>
      <c r="AL133" s="40" t="str">
        <f t="shared" si="10"/>
        <v>3E</v>
      </c>
      <c r="AM133" s="42" t="str">
        <f t="shared" si="11"/>
        <v>00</v>
      </c>
      <c r="AN133" s="42" t="str">
        <f t="shared" si="12"/>
        <v>00</v>
      </c>
      <c r="AO133" s="42" t="str">
        <f t="shared" si="13"/>
        <v>00</v>
      </c>
      <c r="AQ133" t="str">
        <f t="shared" si="8"/>
        <v xml:space="preserve">    (U4)0x0000003EU,                                                           /* 62 UNKNOWN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1</v>
      </c>
      <c r="AE134" s="101">
        <f t="shared" si="27"/>
        <v>1</v>
      </c>
      <c r="AF134" s="101">
        <f t="shared" si="27"/>
        <v>1</v>
      </c>
      <c r="AG134" s="101">
        <f t="shared" si="27"/>
        <v>1</v>
      </c>
      <c r="AH134" s="101">
        <f t="shared" si="27"/>
        <v>1</v>
      </c>
      <c r="AI134" s="101">
        <f t="shared" ref="AI134" si="28">IF(AI69=1,1,0)</f>
        <v>1</v>
      </c>
      <c r="AJ134" s="27" t="str">
        <f t="shared" si="7"/>
        <v>UNKNOWN</v>
      </c>
      <c r="AK134" s="40"/>
      <c r="AL134" s="40" t="str">
        <f t="shared" si="10"/>
        <v>3F</v>
      </c>
      <c r="AM134" s="42" t="str">
        <f t="shared" si="11"/>
        <v>00</v>
      </c>
      <c r="AN134" s="42" t="str">
        <f t="shared" si="12"/>
        <v>00</v>
      </c>
      <c r="AO134" s="42" t="str">
        <f t="shared" si="13"/>
        <v>00</v>
      </c>
      <c r="AQ134" t="str">
        <f t="shared" si="8"/>
        <v xml:space="preserve">    (U4)0x0000003FU                                                            /* 63 UNKNOWN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D_ATMAL</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1</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3F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1</v>
      </c>
      <c r="AE137" s="101">
        <f t="shared" si="29"/>
        <v>1</v>
      </c>
      <c r="AF137" s="101">
        <f t="shared" si="29"/>
        <v>1</v>
      </c>
      <c r="AG137" s="101">
        <f t="shared" si="29"/>
        <v>1</v>
      </c>
      <c r="AH137" s="101">
        <f t="shared" si="29"/>
        <v>1</v>
      </c>
      <c r="AI137" s="101">
        <f t="shared" si="29"/>
        <v>1</v>
      </c>
      <c r="AJ137" s="27" t="str">
        <f t="shared" si="30"/>
        <v>MALFUNC</v>
      </c>
      <c r="AK137" s="40"/>
      <c r="AL137" s="40" t="str">
        <f t="shared" ref="AL137:AL199" si="33">BIN2HEX(AB137&amp;AC137&amp;AD137&amp;AE137&amp;AF137&amp;AG137&amp;AH137&amp;AI137,2)</f>
        <v>3F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(U4)0x0000003FU,                                                           /* 01 MALFUNC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1</v>
      </c>
      <c r="AE138" s="101">
        <f t="shared" si="29"/>
        <v>1</v>
      </c>
      <c r="AF138" s="101">
        <f t="shared" si="29"/>
        <v>1</v>
      </c>
      <c r="AG138" s="101">
        <f t="shared" si="29"/>
        <v>1</v>
      </c>
      <c r="AH138" s="101">
        <f t="shared" si="29"/>
        <v>1</v>
      </c>
      <c r="AI138" s="101">
        <f t="shared" si="29"/>
        <v>1</v>
      </c>
      <c r="AJ138" s="27" t="str">
        <f t="shared" si="30"/>
        <v>UNKNOWN</v>
      </c>
      <c r="AK138" s="40"/>
      <c r="AL138" s="40" t="str">
        <f t="shared" si="33"/>
        <v>3F</v>
      </c>
      <c r="AM138" s="42" t="str">
        <f t="shared" si="34"/>
        <v>00</v>
      </c>
      <c r="AN138" s="42" t="str">
        <f t="shared" si="35"/>
        <v>00</v>
      </c>
      <c r="AO138" s="42" t="str">
        <f t="shared" si="36"/>
        <v>00</v>
      </c>
      <c r="AQ138" t="str">
        <f t="shared" si="31"/>
        <v xml:space="preserve">    (U4)0x0000003FU,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1</v>
      </c>
      <c r="AE139" s="101">
        <f t="shared" si="29"/>
        <v>1</v>
      </c>
      <c r="AF139" s="101">
        <f t="shared" si="29"/>
        <v>1</v>
      </c>
      <c r="AG139" s="101">
        <f t="shared" si="29"/>
        <v>1</v>
      </c>
      <c r="AH139" s="101">
        <f t="shared" si="29"/>
        <v>1</v>
      </c>
      <c r="AI139" s="101">
        <f t="shared" si="29"/>
        <v>1</v>
      </c>
      <c r="AJ139" s="27" t="str">
        <f t="shared" si="30"/>
        <v>UNKNOWN</v>
      </c>
      <c r="AK139" s="40"/>
      <c r="AL139" s="40" t="str">
        <f t="shared" si="33"/>
        <v>3F</v>
      </c>
      <c r="AM139" s="42" t="str">
        <f t="shared" si="34"/>
        <v>00</v>
      </c>
      <c r="AN139" s="42" t="str">
        <f t="shared" si="35"/>
        <v>00</v>
      </c>
      <c r="AO139" s="42" t="str">
        <f t="shared" si="36"/>
        <v>00</v>
      </c>
      <c r="AQ139" t="str">
        <f t="shared" si="31"/>
        <v xml:space="preserve">    (U4)0x0000003FU,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1</v>
      </c>
      <c r="AE140" s="101">
        <f t="shared" si="29"/>
        <v>1</v>
      </c>
      <c r="AF140" s="101">
        <f t="shared" si="29"/>
        <v>1</v>
      </c>
      <c r="AG140" s="101">
        <f t="shared" si="29"/>
        <v>1</v>
      </c>
      <c r="AH140" s="101">
        <f t="shared" si="29"/>
        <v>1</v>
      </c>
      <c r="AI140" s="101">
        <f t="shared" si="29"/>
        <v>1</v>
      </c>
      <c r="AJ140" s="27" t="str">
        <f t="shared" si="30"/>
        <v>UNKNOWN</v>
      </c>
      <c r="AK140" s="40"/>
      <c r="AL140" s="40" t="str">
        <f t="shared" si="33"/>
        <v>3F</v>
      </c>
      <c r="AM140" s="42" t="str">
        <f t="shared" si="34"/>
        <v>00</v>
      </c>
      <c r="AN140" s="42" t="str">
        <f t="shared" si="35"/>
        <v>00</v>
      </c>
      <c r="AO140" s="42" t="str">
        <f t="shared" si="36"/>
        <v>00</v>
      </c>
      <c r="AQ140" t="str">
        <f t="shared" si="31"/>
        <v xml:space="preserve">    (U4)0x0000003FU,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1</v>
      </c>
      <c r="AE141" s="101">
        <f t="shared" si="29"/>
        <v>1</v>
      </c>
      <c r="AF141" s="101">
        <f t="shared" si="29"/>
        <v>1</v>
      </c>
      <c r="AG141" s="101">
        <f t="shared" si="29"/>
        <v>1</v>
      </c>
      <c r="AH141" s="101">
        <f t="shared" si="29"/>
        <v>1</v>
      </c>
      <c r="AI141" s="101">
        <f t="shared" si="29"/>
        <v>1</v>
      </c>
      <c r="AJ141" s="27" t="str">
        <f t="shared" si="30"/>
        <v>MALFUNC</v>
      </c>
      <c r="AK141" s="40"/>
      <c r="AL141" s="40" t="str">
        <f t="shared" si="33"/>
        <v>3F</v>
      </c>
      <c r="AM141" s="42" t="str">
        <f t="shared" si="34"/>
        <v>00</v>
      </c>
      <c r="AN141" s="42" t="str">
        <f t="shared" si="35"/>
        <v>00</v>
      </c>
      <c r="AO141" s="42" t="str">
        <f t="shared" si="36"/>
        <v>00</v>
      </c>
      <c r="AQ141" t="str">
        <f t="shared" si="31"/>
        <v xml:space="preserve">    (U4)0x0000003FU,                                                           /* 05 MALFUNC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1</v>
      </c>
      <c r="AE142" s="101">
        <f t="shared" si="29"/>
        <v>1</v>
      </c>
      <c r="AF142" s="101">
        <f t="shared" si="29"/>
        <v>1</v>
      </c>
      <c r="AG142" s="101">
        <f t="shared" si="29"/>
        <v>1</v>
      </c>
      <c r="AH142" s="101">
        <f t="shared" si="29"/>
        <v>1</v>
      </c>
      <c r="AI142" s="101">
        <f t="shared" si="29"/>
        <v>1</v>
      </c>
      <c r="AJ142" s="27" t="str">
        <f t="shared" si="30"/>
        <v>UNKNOWN</v>
      </c>
      <c r="AK142" s="40"/>
      <c r="AL142" s="40" t="str">
        <f t="shared" si="33"/>
        <v>3F</v>
      </c>
      <c r="AM142" s="42" t="str">
        <f t="shared" si="34"/>
        <v>00</v>
      </c>
      <c r="AN142" s="42" t="str">
        <f t="shared" si="35"/>
        <v>00</v>
      </c>
      <c r="AO142" s="42" t="str">
        <f t="shared" si="36"/>
        <v>00</v>
      </c>
      <c r="AQ142" t="str">
        <f t="shared" si="31"/>
        <v xml:space="preserve">    (U4)0x0000003FU,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1</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3F</v>
      </c>
      <c r="AM143" s="42" t="str">
        <f t="shared" si="34"/>
        <v>00</v>
      </c>
      <c r="AN143" s="42" t="str">
        <f t="shared" si="35"/>
        <v>00</v>
      </c>
      <c r="AO143" s="42" t="str">
        <f t="shared" si="36"/>
        <v>00</v>
      </c>
      <c r="AQ143" t="str">
        <f t="shared" si="31"/>
        <v xml:space="preserve">    (U4)0x0000003FU,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1</v>
      </c>
      <c r="AE144" s="101">
        <f t="shared" si="38"/>
        <v>1</v>
      </c>
      <c r="AF144" s="101">
        <f t="shared" si="38"/>
        <v>1</v>
      </c>
      <c r="AG144" s="101">
        <f t="shared" si="38"/>
        <v>1</v>
      </c>
      <c r="AH144" s="101">
        <f t="shared" si="38"/>
        <v>1</v>
      </c>
      <c r="AI144" s="101">
        <f t="shared" si="38"/>
        <v>1</v>
      </c>
      <c r="AJ144" s="27" t="str">
        <f t="shared" si="30"/>
        <v>RW</v>
      </c>
      <c r="AK144" s="40"/>
      <c r="AL144" s="40" t="str">
        <f t="shared" si="33"/>
        <v>3F</v>
      </c>
      <c r="AM144" s="42" t="str">
        <f t="shared" si="34"/>
        <v>00</v>
      </c>
      <c r="AN144" s="42" t="str">
        <f t="shared" si="35"/>
        <v>00</v>
      </c>
      <c r="AO144" s="42" t="str">
        <f t="shared" si="36"/>
        <v>00</v>
      </c>
      <c r="AQ144" t="str">
        <f t="shared" si="31"/>
        <v xml:space="preserve">    (U4)0x0000003FU,                                                           /* 08 RW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1</v>
      </c>
      <c r="AE145" s="101">
        <f t="shared" si="38"/>
        <v>1</v>
      </c>
      <c r="AF145" s="101">
        <f t="shared" si="38"/>
        <v>1</v>
      </c>
      <c r="AG145" s="101">
        <f t="shared" si="38"/>
        <v>1</v>
      </c>
      <c r="AH145" s="101">
        <f t="shared" si="38"/>
        <v>1</v>
      </c>
      <c r="AI145" s="101">
        <f t="shared" si="38"/>
        <v>1</v>
      </c>
      <c r="AJ145" s="27" t="str">
        <f t="shared" si="30"/>
        <v>MALFUNC</v>
      </c>
      <c r="AK145" s="40"/>
      <c r="AL145" s="40" t="str">
        <f t="shared" si="33"/>
        <v>3F</v>
      </c>
      <c r="AM145" s="42" t="str">
        <f t="shared" si="34"/>
        <v>00</v>
      </c>
      <c r="AN145" s="42" t="str">
        <f t="shared" si="35"/>
        <v>00</v>
      </c>
      <c r="AO145" s="42" t="str">
        <f t="shared" si="36"/>
        <v>00</v>
      </c>
      <c r="AQ145" t="str">
        <f t="shared" si="31"/>
        <v xml:space="preserve">    (U4)0x0000003FU,                                                           /* 09 MALFUNC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1</v>
      </c>
      <c r="AE146" s="101">
        <f t="shared" si="38"/>
        <v>1</v>
      </c>
      <c r="AF146" s="101">
        <f t="shared" si="38"/>
        <v>1</v>
      </c>
      <c r="AG146" s="101">
        <f t="shared" si="38"/>
        <v>1</v>
      </c>
      <c r="AH146" s="101">
        <f t="shared" si="38"/>
        <v>1</v>
      </c>
      <c r="AI146" s="101">
        <f t="shared" si="38"/>
        <v>1</v>
      </c>
      <c r="AJ146" s="27" t="str">
        <f t="shared" si="30"/>
        <v>RW</v>
      </c>
      <c r="AK146" s="40"/>
      <c r="AL146" s="40" t="str">
        <f t="shared" si="33"/>
        <v>3F</v>
      </c>
      <c r="AM146" s="42" t="str">
        <f t="shared" si="34"/>
        <v>00</v>
      </c>
      <c r="AN146" s="42" t="str">
        <f t="shared" si="35"/>
        <v>00</v>
      </c>
      <c r="AO146" s="42" t="str">
        <f t="shared" si="36"/>
        <v>00</v>
      </c>
      <c r="AQ146" t="str">
        <f t="shared" si="31"/>
        <v xml:space="preserve">    (U4)0x0000003FU,                                                           /* 10 RW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1</v>
      </c>
      <c r="AE147" s="101">
        <f t="shared" si="38"/>
        <v>1</v>
      </c>
      <c r="AF147" s="101">
        <f t="shared" si="38"/>
        <v>1</v>
      </c>
      <c r="AG147" s="101">
        <f t="shared" si="38"/>
        <v>1</v>
      </c>
      <c r="AH147" s="101">
        <f t="shared" si="38"/>
        <v>1</v>
      </c>
      <c r="AI147" s="101">
        <f t="shared" si="38"/>
        <v>1</v>
      </c>
      <c r="AJ147" s="27" t="str">
        <f t="shared" si="30"/>
        <v>RW</v>
      </c>
      <c r="AK147" s="40"/>
      <c r="AL147" s="40" t="str">
        <f t="shared" si="33"/>
        <v>3F</v>
      </c>
      <c r="AM147" s="42" t="str">
        <f t="shared" si="34"/>
        <v>00</v>
      </c>
      <c r="AN147" s="42" t="str">
        <f t="shared" si="35"/>
        <v>00</v>
      </c>
      <c r="AO147" s="42" t="str">
        <f t="shared" si="36"/>
        <v>00</v>
      </c>
      <c r="AQ147" t="str">
        <f t="shared" si="31"/>
        <v xml:space="preserve">    (U4)0x0000003FU,                                                           /* 11 RW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1</v>
      </c>
      <c r="AE148" s="101">
        <f t="shared" si="38"/>
        <v>1</v>
      </c>
      <c r="AF148" s="101">
        <f t="shared" si="38"/>
        <v>1</v>
      </c>
      <c r="AG148" s="101">
        <f t="shared" si="38"/>
        <v>1</v>
      </c>
      <c r="AH148" s="101">
        <f t="shared" si="38"/>
        <v>1</v>
      </c>
      <c r="AI148" s="101">
        <f t="shared" si="38"/>
        <v>1</v>
      </c>
      <c r="AJ148" s="27" t="str">
        <f t="shared" si="30"/>
        <v>UNKNOWN</v>
      </c>
      <c r="AK148" s="40"/>
      <c r="AL148" s="40" t="str">
        <f t="shared" si="33"/>
        <v>3F</v>
      </c>
      <c r="AM148" s="42" t="str">
        <f t="shared" si="34"/>
        <v>00</v>
      </c>
      <c r="AN148" s="42" t="str">
        <f t="shared" si="35"/>
        <v>00</v>
      </c>
      <c r="AO148" s="42" t="str">
        <f t="shared" si="36"/>
        <v>00</v>
      </c>
      <c r="AQ148" t="str">
        <f t="shared" si="31"/>
        <v xml:space="preserve">    (U4)0x0000003FU,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1</v>
      </c>
      <c r="AE149" s="101">
        <f t="shared" si="38"/>
        <v>1</v>
      </c>
      <c r="AF149" s="101">
        <f t="shared" si="38"/>
        <v>1</v>
      </c>
      <c r="AG149" s="101">
        <f t="shared" si="38"/>
        <v>1</v>
      </c>
      <c r="AH149" s="101">
        <f t="shared" si="38"/>
        <v>1</v>
      </c>
      <c r="AI149" s="101">
        <f t="shared" si="38"/>
        <v>1</v>
      </c>
      <c r="AJ149" s="27" t="str">
        <f t="shared" si="30"/>
        <v>MALFUNC</v>
      </c>
      <c r="AK149" s="40"/>
      <c r="AL149" s="40" t="str">
        <f t="shared" si="33"/>
        <v>3F</v>
      </c>
      <c r="AM149" s="42" t="str">
        <f t="shared" si="34"/>
        <v>00</v>
      </c>
      <c r="AN149" s="42" t="str">
        <f t="shared" si="35"/>
        <v>00</v>
      </c>
      <c r="AO149" s="42" t="str">
        <f t="shared" si="36"/>
        <v>00</v>
      </c>
      <c r="AQ149" t="str">
        <f t="shared" si="31"/>
        <v xml:space="preserve">    (U4)0x0000003FU,                                                           /* 13 MALFUNC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1</v>
      </c>
      <c r="AE150" s="101">
        <f t="shared" si="38"/>
        <v>1</v>
      </c>
      <c r="AF150" s="101">
        <f t="shared" si="38"/>
        <v>1</v>
      </c>
      <c r="AG150" s="101">
        <f t="shared" si="38"/>
        <v>1</v>
      </c>
      <c r="AH150" s="101">
        <f t="shared" si="38"/>
        <v>1</v>
      </c>
      <c r="AI150" s="101">
        <f t="shared" si="38"/>
        <v>1</v>
      </c>
      <c r="AJ150" s="27" t="str">
        <f t="shared" si="30"/>
        <v>UNKNOWN</v>
      </c>
      <c r="AK150" s="40"/>
      <c r="AL150" s="40" t="str">
        <f t="shared" si="33"/>
        <v>3F</v>
      </c>
      <c r="AM150" s="42" t="str">
        <f t="shared" si="34"/>
        <v>00</v>
      </c>
      <c r="AN150" s="42" t="str">
        <f t="shared" si="35"/>
        <v>00</v>
      </c>
      <c r="AO150" s="42" t="str">
        <f t="shared" si="36"/>
        <v>00</v>
      </c>
      <c r="AQ150" t="str">
        <f t="shared" si="31"/>
        <v xml:space="preserve">    (U4)0x0000003FU,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1</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3F</v>
      </c>
      <c r="AM151" s="42" t="str">
        <f t="shared" si="34"/>
        <v>00</v>
      </c>
      <c r="AN151" s="42" t="str">
        <f t="shared" si="35"/>
        <v>00</v>
      </c>
      <c r="AO151" s="42" t="str">
        <f t="shared" si="36"/>
        <v>00</v>
      </c>
      <c r="AQ151" t="str">
        <f t="shared" si="31"/>
        <v xml:space="preserve">    (U4)0x0000003FU,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1</v>
      </c>
      <c r="AE152" s="101">
        <f t="shared" si="40"/>
        <v>1</v>
      </c>
      <c r="AF152" s="101">
        <f t="shared" si="40"/>
        <v>1</v>
      </c>
      <c r="AG152" s="101">
        <f t="shared" si="40"/>
        <v>1</v>
      </c>
      <c r="AH152" s="101">
        <f t="shared" si="40"/>
        <v>1</v>
      </c>
      <c r="AI152" s="101">
        <f t="shared" si="40"/>
        <v>1</v>
      </c>
      <c r="AJ152" s="27" t="str">
        <f t="shared" si="30"/>
        <v>UNKNOWN</v>
      </c>
      <c r="AK152" s="40"/>
      <c r="AL152" s="40" t="str">
        <f t="shared" si="33"/>
        <v>3F</v>
      </c>
      <c r="AM152" s="42" t="str">
        <f t="shared" si="34"/>
        <v>00</v>
      </c>
      <c r="AN152" s="42" t="str">
        <f t="shared" si="35"/>
        <v>00</v>
      </c>
      <c r="AO152" s="42" t="str">
        <f t="shared" si="36"/>
        <v>00</v>
      </c>
      <c r="AQ152" t="str">
        <f t="shared" si="31"/>
        <v xml:space="preserve">    (U4)0x0000003FU,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1</v>
      </c>
      <c r="AE153" s="101">
        <f t="shared" si="40"/>
        <v>1</v>
      </c>
      <c r="AF153" s="101">
        <f t="shared" si="40"/>
        <v>1</v>
      </c>
      <c r="AG153" s="101">
        <f t="shared" si="40"/>
        <v>1</v>
      </c>
      <c r="AH153" s="101">
        <f t="shared" si="40"/>
        <v>1</v>
      </c>
      <c r="AI153" s="101">
        <f t="shared" si="40"/>
        <v>1</v>
      </c>
      <c r="AJ153" s="27" t="str">
        <f t="shared" si="30"/>
        <v>MALFUNC</v>
      </c>
      <c r="AK153" s="40"/>
      <c r="AL153" s="40" t="str">
        <f t="shared" si="33"/>
        <v>3F</v>
      </c>
      <c r="AM153" s="42" t="str">
        <f t="shared" si="34"/>
        <v>00</v>
      </c>
      <c r="AN153" s="42" t="str">
        <f t="shared" si="35"/>
        <v>00</v>
      </c>
      <c r="AO153" s="42" t="str">
        <f t="shared" si="36"/>
        <v>00</v>
      </c>
      <c r="AQ153" t="str">
        <f t="shared" si="31"/>
        <v xml:space="preserve">    (U4)0x0000003FU,                                                           /* 17 MALFUNC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1</v>
      </c>
      <c r="AE154" s="101">
        <f t="shared" si="40"/>
        <v>1</v>
      </c>
      <c r="AF154" s="101">
        <f t="shared" si="40"/>
        <v>1</v>
      </c>
      <c r="AG154" s="101">
        <f t="shared" si="40"/>
        <v>1</v>
      </c>
      <c r="AH154" s="101">
        <f t="shared" si="40"/>
        <v>1</v>
      </c>
      <c r="AI154" s="101">
        <f t="shared" si="40"/>
        <v>1</v>
      </c>
      <c r="AJ154" s="27" t="str">
        <f t="shared" si="30"/>
        <v>UNKNOWN</v>
      </c>
      <c r="AK154" s="40"/>
      <c r="AL154" s="40" t="str">
        <f t="shared" si="33"/>
        <v>3F</v>
      </c>
      <c r="AM154" s="42" t="str">
        <f t="shared" si="34"/>
        <v>00</v>
      </c>
      <c r="AN154" s="42" t="str">
        <f t="shared" si="35"/>
        <v>00</v>
      </c>
      <c r="AO154" s="42" t="str">
        <f t="shared" si="36"/>
        <v>00</v>
      </c>
      <c r="AQ154" t="str">
        <f t="shared" si="31"/>
        <v xml:space="preserve">    (U4)0x0000003FU,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1</v>
      </c>
      <c r="AE155" s="101">
        <f t="shared" si="40"/>
        <v>1</v>
      </c>
      <c r="AF155" s="101">
        <f t="shared" si="40"/>
        <v>1</v>
      </c>
      <c r="AG155" s="101">
        <f t="shared" si="40"/>
        <v>1</v>
      </c>
      <c r="AH155" s="101">
        <f t="shared" si="40"/>
        <v>1</v>
      </c>
      <c r="AI155" s="101">
        <f t="shared" si="40"/>
        <v>1</v>
      </c>
      <c r="AJ155" s="27" t="str">
        <f t="shared" si="30"/>
        <v>UNKNOWN</v>
      </c>
      <c r="AK155" s="40"/>
      <c r="AL155" s="40" t="str">
        <f t="shared" si="33"/>
        <v>3F</v>
      </c>
      <c r="AM155" s="42" t="str">
        <f t="shared" si="34"/>
        <v>00</v>
      </c>
      <c r="AN155" s="42" t="str">
        <f t="shared" si="35"/>
        <v>00</v>
      </c>
      <c r="AO155" s="42" t="str">
        <f t="shared" si="36"/>
        <v>00</v>
      </c>
      <c r="AQ155" t="str">
        <f t="shared" si="31"/>
        <v xml:space="preserve">    (U4)0x0000003FU,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1</v>
      </c>
      <c r="AE156" s="101">
        <f t="shared" si="40"/>
        <v>1</v>
      </c>
      <c r="AF156" s="101">
        <f t="shared" si="40"/>
        <v>1</v>
      </c>
      <c r="AG156" s="101">
        <f t="shared" si="40"/>
        <v>1</v>
      </c>
      <c r="AH156" s="101">
        <f t="shared" si="40"/>
        <v>1</v>
      </c>
      <c r="AI156" s="101">
        <f t="shared" si="40"/>
        <v>1</v>
      </c>
      <c r="AJ156" s="27" t="str">
        <f t="shared" si="30"/>
        <v>UNKNOWN</v>
      </c>
      <c r="AK156" s="40"/>
      <c r="AL156" s="40" t="str">
        <f t="shared" si="33"/>
        <v>3F</v>
      </c>
      <c r="AM156" s="42" t="str">
        <f t="shared" si="34"/>
        <v>00</v>
      </c>
      <c r="AN156" s="42" t="str">
        <f t="shared" si="35"/>
        <v>00</v>
      </c>
      <c r="AO156" s="42" t="str">
        <f t="shared" si="36"/>
        <v>00</v>
      </c>
      <c r="AQ156" t="str">
        <f t="shared" si="31"/>
        <v xml:space="preserve">    (U4)0x0000003FU,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1</v>
      </c>
      <c r="AE157" s="101">
        <f t="shared" si="40"/>
        <v>1</v>
      </c>
      <c r="AF157" s="101">
        <f t="shared" si="40"/>
        <v>1</v>
      </c>
      <c r="AG157" s="101">
        <f t="shared" si="40"/>
        <v>1</v>
      </c>
      <c r="AH157" s="101">
        <f t="shared" si="40"/>
        <v>1</v>
      </c>
      <c r="AI157" s="101">
        <f t="shared" si="40"/>
        <v>1</v>
      </c>
      <c r="AJ157" s="27" t="str">
        <f t="shared" si="30"/>
        <v>MALFUNC</v>
      </c>
      <c r="AK157" s="40"/>
      <c r="AL157" s="40" t="str">
        <f t="shared" si="33"/>
        <v>3F</v>
      </c>
      <c r="AM157" s="42" t="str">
        <f t="shared" si="34"/>
        <v>00</v>
      </c>
      <c r="AN157" s="42" t="str">
        <f t="shared" si="35"/>
        <v>00</v>
      </c>
      <c r="AO157" s="42" t="str">
        <f t="shared" si="36"/>
        <v>00</v>
      </c>
      <c r="AQ157" t="str">
        <f t="shared" si="31"/>
        <v xml:space="preserve">    (U4)0x0000003FU,                                                           /* 21 MALFUNC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1</v>
      </c>
      <c r="AE158" s="101">
        <f t="shared" si="40"/>
        <v>1</v>
      </c>
      <c r="AF158" s="101">
        <f t="shared" si="40"/>
        <v>1</v>
      </c>
      <c r="AG158" s="101">
        <f t="shared" si="40"/>
        <v>1</v>
      </c>
      <c r="AH158" s="101">
        <f t="shared" si="40"/>
        <v>1</v>
      </c>
      <c r="AI158" s="101">
        <f t="shared" si="40"/>
        <v>1</v>
      </c>
      <c r="AJ158" s="27" t="str">
        <f t="shared" si="30"/>
        <v>UNKNOWN</v>
      </c>
      <c r="AK158" s="40"/>
      <c r="AL158" s="40" t="str">
        <f t="shared" si="33"/>
        <v>3F</v>
      </c>
      <c r="AM158" s="42" t="str">
        <f t="shared" si="34"/>
        <v>00</v>
      </c>
      <c r="AN158" s="42" t="str">
        <f t="shared" si="35"/>
        <v>00</v>
      </c>
      <c r="AO158" s="42" t="str">
        <f t="shared" si="36"/>
        <v>00</v>
      </c>
      <c r="AQ158" t="str">
        <f t="shared" si="31"/>
        <v xml:space="preserve">    (U4)0x0000003FU,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1</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3F</v>
      </c>
      <c r="AM159" s="42" t="str">
        <f t="shared" si="34"/>
        <v>00</v>
      </c>
      <c r="AN159" s="42" t="str">
        <f t="shared" si="35"/>
        <v>00</v>
      </c>
      <c r="AO159" s="42" t="str">
        <f t="shared" si="36"/>
        <v>00</v>
      </c>
      <c r="AQ159" t="str">
        <f t="shared" si="31"/>
        <v xml:space="preserve">    (U4)0x0000003FU,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1</v>
      </c>
      <c r="AE160" s="101">
        <f t="shared" si="42"/>
        <v>1</v>
      </c>
      <c r="AF160" s="101">
        <f t="shared" si="42"/>
        <v>1</v>
      </c>
      <c r="AG160" s="101">
        <f t="shared" si="42"/>
        <v>1</v>
      </c>
      <c r="AH160" s="101">
        <f t="shared" si="42"/>
        <v>1</v>
      </c>
      <c r="AI160" s="101">
        <f t="shared" si="42"/>
        <v>1</v>
      </c>
      <c r="AJ160" s="27" t="str">
        <f t="shared" si="30"/>
        <v>UNKNOWN</v>
      </c>
      <c r="AK160" s="40"/>
      <c r="AL160" s="40" t="str">
        <f t="shared" si="33"/>
        <v>3F</v>
      </c>
      <c r="AM160" s="42" t="str">
        <f t="shared" si="34"/>
        <v>00</v>
      </c>
      <c r="AN160" s="42" t="str">
        <f t="shared" si="35"/>
        <v>00</v>
      </c>
      <c r="AO160" s="42" t="str">
        <f t="shared" si="36"/>
        <v>00</v>
      </c>
      <c r="AQ160" t="str">
        <f t="shared" si="31"/>
        <v xml:space="preserve">    (U4)0x0000003FU,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1</v>
      </c>
      <c r="AE161" s="101">
        <f t="shared" si="42"/>
        <v>1</v>
      </c>
      <c r="AF161" s="101">
        <f t="shared" si="42"/>
        <v>1</v>
      </c>
      <c r="AG161" s="101">
        <f t="shared" si="42"/>
        <v>1</v>
      </c>
      <c r="AH161" s="101">
        <f t="shared" si="42"/>
        <v>1</v>
      </c>
      <c r="AI161" s="101">
        <f t="shared" si="42"/>
        <v>1</v>
      </c>
      <c r="AJ161" s="27" t="str">
        <f t="shared" si="30"/>
        <v>MALFUNC</v>
      </c>
      <c r="AK161" s="40"/>
      <c r="AL161" s="40" t="str">
        <f t="shared" si="33"/>
        <v>3F</v>
      </c>
      <c r="AM161" s="42" t="str">
        <f t="shared" si="34"/>
        <v>00</v>
      </c>
      <c r="AN161" s="42" t="str">
        <f t="shared" si="35"/>
        <v>00</v>
      </c>
      <c r="AO161" s="42" t="str">
        <f t="shared" si="36"/>
        <v>00</v>
      </c>
      <c r="AQ161" t="str">
        <f t="shared" si="31"/>
        <v xml:space="preserve">    (U4)0x0000003FU,                                                           /* 25 MALFUNC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1</v>
      </c>
      <c r="AE162" s="101">
        <f t="shared" si="42"/>
        <v>1</v>
      </c>
      <c r="AF162" s="101">
        <f t="shared" si="42"/>
        <v>1</v>
      </c>
      <c r="AG162" s="101">
        <f t="shared" si="42"/>
        <v>1</v>
      </c>
      <c r="AH162" s="101">
        <f t="shared" si="42"/>
        <v>1</v>
      </c>
      <c r="AI162" s="101">
        <f t="shared" si="42"/>
        <v>1</v>
      </c>
      <c r="AJ162" s="27" t="str">
        <f t="shared" si="30"/>
        <v>UNKNOWN</v>
      </c>
      <c r="AK162" s="40"/>
      <c r="AL162" s="40" t="str">
        <f t="shared" si="33"/>
        <v>3F</v>
      </c>
      <c r="AM162" s="42" t="str">
        <f t="shared" si="34"/>
        <v>00</v>
      </c>
      <c r="AN162" s="42" t="str">
        <f t="shared" si="35"/>
        <v>00</v>
      </c>
      <c r="AO162" s="42" t="str">
        <f t="shared" si="36"/>
        <v>00</v>
      </c>
      <c r="AQ162" t="str">
        <f t="shared" si="31"/>
        <v xml:space="preserve">    (U4)0x0000003FU,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1</v>
      </c>
      <c r="AE163" s="101">
        <f t="shared" si="42"/>
        <v>1</v>
      </c>
      <c r="AF163" s="101">
        <f t="shared" si="42"/>
        <v>1</v>
      </c>
      <c r="AG163" s="101">
        <f t="shared" si="42"/>
        <v>1</v>
      </c>
      <c r="AH163" s="101">
        <f t="shared" si="42"/>
        <v>1</v>
      </c>
      <c r="AI163" s="101">
        <f t="shared" si="42"/>
        <v>1</v>
      </c>
      <c r="AJ163" s="27" t="str">
        <f t="shared" si="30"/>
        <v>UNKNOWN</v>
      </c>
      <c r="AK163" s="40"/>
      <c r="AL163" s="40" t="str">
        <f t="shared" si="33"/>
        <v>3F</v>
      </c>
      <c r="AM163" s="42" t="str">
        <f t="shared" si="34"/>
        <v>00</v>
      </c>
      <c r="AN163" s="42" t="str">
        <f t="shared" si="35"/>
        <v>00</v>
      </c>
      <c r="AO163" s="42" t="str">
        <f t="shared" si="36"/>
        <v>00</v>
      </c>
      <c r="AQ163" t="str">
        <f t="shared" si="31"/>
        <v xml:space="preserve">    (U4)0x0000003FU,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1</v>
      </c>
      <c r="AE164" s="101">
        <f t="shared" si="42"/>
        <v>1</v>
      </c>
      <c r="AF164" s="101">
        <f t="shared" si="42"/>
        <v>1</v>
      </c>
      <c r="AG164" s="101">
        <f t="shared" si="42"/>
        <v>1</v>
      </c>
      <c r="AH164" s="101">
        <f t="shared" si="42"/>
        <v>1</v>
      </c>
      <c r="AI164" s="101">
        <f t="shared" si="42"/>
        <v>1</v>
      </c>
      <c r="AJ164" s="27" t="str">
        <f t="shared" si="30"/>
        <v>UNKNOWN</v>
      </c>
      <c r="AK164" s="40"/>
      <c r="AL164" s="40" t="str">
        <f t="shared" si="33"/>
        <v>3F</v>
      </c>
      <c r="AM164" s="42" t="str">
        <f t="shared" si="34"/>
        <v>00</v>
      </c>
      <c r="AN164" s="42" t="str">
        <f t="shared" si="35"/>
        <v>00</v>
      </c>
      <c r="AO164" s="42" t="str">
        <f t="shared" si="36"/>
        <v>00</v>
      </c>
      <c r="AQ164" t="str">
        <f t="shared" si="31"/>
        <v xml:space="preserve">    (U4)0x0000003FU,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1</v>
      </c>
      <c r="AE165" s="101">
        <f t="shared" si="42"/>
        <v>1</v>
      </c>
      <c r="AF165" s="101">
        <f t="shared" si="42"/>
        <v>1</v>
      </c>
      <c r="AG165" s="101">
        <f t="shared" si="42"/>
        <v>1</v>
      </c>
      <c r="AH165" s="101">
        <f t="shared" si="42"/>
        <v>1</v>
      </c>
      <c r="AI165" s="101">
        <f t="shared" si="42"/>
        <v>1</v>
      </c>
      <c r="AJ165" s="27" t="str">
        <f t="shared" si="30"/>
        <v>MALFUNC</v>
      </c>
      <c r="AK165" s="40"/>
      <c r="AL165" s="40" t="str">
        <f t="shared" si="33"/>
        <v>3F</v>
      </c>
      <c r="AM165" s="42" t="str">
        <f t="shared" si="34"/>
        <v>00</v>
      </c>
      <c r="AN165" s="42" t="str">
        <f t="shared" si="35"/>
        <v>00</v>
      </c>
      <c r="AO165" s="42" t="str">
        <f t="shared" si="36"/>
        <v>00</v>
      </c>
      <c r="AQ165" t="str">
        <f t="shared" si="31"/>
        <v xml:space="preserve">    (U4)0x0000003FU,                                                           /* 29 MALFUNC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1</v>
      </c>
      <c r="AE166" s="101">
        <f t="shared" si="42"/>
        <v>1</v>
      </c>
      <c r="AF166" s="101">
        <f t="shared" si="42"/>
        <v>1</v>
      </c>
      <c r="AG166" s="101">
        <f t="shared" si="42"/>
        <v>1</v>
      </c>
      <c r="AH166" s="101">
        <f t="shared" si="42"/>
        <v>1</v>
      </c>
      <c r="AI166" s="101">
        <f t="shared" si="42"/>
        <v>1</v>
      </c>
      <c r="AJ166" s="27" t="str">
        <f t="shared" si="30"/>
        <v>UNKNOWN</v>
      </c>
      <c r="AK166" s="40"/>
      <c r="AL166" s="40" t="str">
        <f t="shared" si="33"/>
        <v>3F</v>
      </c>
      <c r="AM166" s="42" t="str">
        <f t="shared" si="34"/>
        <v>00</v>
      </c>
      <c r="AN166" s="42" t="str">
        <f t="shared" si="35"/>
        <v>00</v>
      </c>
      <c r="AO166" s="42" t="str">
        <f t="shared" si="36"/>
        <v>00</v>
      </c>
      <c r="AQ166" t="str">
        <f t="shared" si="31"/>
        <v xml:space="preserve">    (U4)0x0000003FU,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1</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3F</v>
      </c>
      <c r="AM167" s="42" t="str">
        <f t="shared" si="34"/>
        <v>00</v>
      </c>
      <c r="AN167" s="42" t="str">
        <f t="shared" si="35"/>
        <v>00</v>
      </c>
      <c r="AO167" s="42" t="str">
        <f t="shared" si="36"/>
        <v>00</v>
      </c>
      <c r="AQ167" t="str">
        <f t="shared" si="31"/>
        <v xml:space="preserve">    (U4)0x0000003FU,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1</v>
      </c>
      <c r="AE168" s="101">
        <f t="shared" si="44"/>
        <v>1</v>
      </c>
      <c r="AF168" s="101">
        <f t="shared" si="44"/>
        <v>1</v>
      </c>
      <c r="AG168" s="101">
        <f t="shared" si="44"/>
        <v>1</v>
      </c>
      <c r="AH168" s="101">
        <f t="shared" si="44"/>
        <v>1</v>
      </c>
      <c r="AI168" s="101">
        <f t="shared" si="44"/>
        <v>1</v>
      </c>
      <c r="AJ168" s="27" t="str">
        <f t="shared" si="30"/>
        <v>UNKNOWN</v>
      </c>
      <c r="AK168" s="40"/>
      <c r="AL168" s="40" t="str">
        <f t="shared" si="33"/>
        <v>3F</v>
      </c>
      <c r="AM168" s="42" t="str">
        <f t="shared" si="34"/>
        <v>00</v>
      </c>
      <c r="AN168" s="42" t="str">
        <f t="shared" si="35"/>
        <v>00</v>
      </c>
      <c r="AO168" s="42" t="str">
        <f t="shared" si="36"/>
        <v>00</v>
      </c>
      <c r="AQ168" t="str">
        <f t="shared" si="31"/>
        <v xml:space="preserve">    (U4)0x0000003FU,                                                           /* 32 UNKNOWN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1</v>
      </c>
      <c r="AE169" s="101">
        <f t="shared" si="44"/>
        <v>1</v>
      </c>
      <c r="AF169" s="101">
        <f t="shared" si="44"/>
        <v>1</v>
      </c>
      <c r="AG169" s="101">
        <f t="shared" si="44"/>
        <v>1</v>
      </c>
      <c r="AH169" s="101">
        <f t="shared" si="44"/>
        <v>1</v>
      </c>
      <c r="AI169" s="101">
        <f t="shared" si="44"/>
        <v>1</v>
      </c>
      <c r="AJ169" s="27" t="str">
        <f t="shared" si="30"/>
        <v>MALFUNC</v>
      </c>
      <c r="AK169" s="40"/>
      <c r="AL169" s="40" t="str">
        <f t="shared" si="33"/>
        <v>3F</v>
      </c>
      <c r="AM169" s="42" t="str">
        <f t="shared" si="34"/>
        <v>00</v>
      </c>
      <c r="AN169" s="42" t="str">
        <f t="shared" si="35"/>
        <v>00</v>
      </c>
      <c r="AO169" s="42" t="str">
        <f t="shared" si="36"/>
        <v>00</v>
      </c>
      <c r="AQ169" t="str">
        <f t="shared" si="31"/>
        <v xml:space="preserve">    (U4)0x0000003FU,                                                           /* 33 MALFUNC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1</v>
      </c>
      <c r="AE170" s="101">
        <f t="shared" si="44"/>
        <v>1</v>
      </c>
      <c r="AF170" s="101">
        <f t="shared" si="44"/>
        <v>1</v>
      </c>
      <c r="AG170" s="101">
        <f t="shared" si="44"/>
        <v>1</v>
      </c>
      <c r="AH170" s="101">
        <f t="shared" si="44"/>
        <v>1</v>
      </c>
      <c r="AI170" s="101">
        <f t="shared" si="44"/>
        <v>1</v>
      </c>
      <c r="AJ170" s="27" t="str">
        <f t="shared" si="30"/>
        <v>UNKNOWN</v>
      </c>
      <c r="AK170" s="40"/>
      <c r="AL170" s="40" t="str">
        <f t="shared" si="33"/>
        <v>3F</v>
      </c>
      <c r="AM170" s="42" t="str">
        <f t="shared" si="34"/>
        <v>00</v>
      </c>
      <c r="AN170" s="42" t="str">
        <f t="shared" si="35"/>
        <v>00</v>
      </c>
      <c r="AO170" s="42" t="str">
        <f t="shared" si="36"/>
        <v>00</v>
      </c>
      <c r="AQ170" t="str">
        <f t="shared" si="31"/>
        <v xml:space="preserve">    (U4)0x0000003FU,                                                           /* 34 UNKNOWN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1</v>
      </c>
      <c r="AE171" s="101">
        <f t="shared" si="44"/>
        <v>1</v>
      </c>
      <c r="AF171" s="101">
        <f t="shared" si="44"/>
        <v>1</v>
      </c>
      <c r="AG171" s="101">
        <f t="shared" si="44"/>
        <v>1</v>
      </c>
      <c r="AH171" s="101">
        <f t="shared" si="44"/>
        <v>1</v>
      </c>
      <c r="AI171" s="101">
        <f t="shared" si="44"/>
        <v>1</v>
      </c>
      <c r="AJ171" s="27" t="str">
        <f t="shared" si="30"/>
        <v>UNKNOWN</v>
      </c>
      <c r="AK171" s="40"/>
      <c r="AL171" s="40" t="str">
        <f t="shared" si="33"/>
        <v>3F</v>
      </c>
      <c r="AM171" s="42" t="str">
        <f t="shared" si="34"/>
        <v>00</v>
      </c>
      <c r="AN171" s="42" t="str">
        <f t="shared" si="35"/>
        <v>00</v>
      </c>
      <c r="AO171" s="42" t="str">
        <f t="shared" si="36"/>
        <v>00</v>
      </c>
      <c r="AQ171" t="str">
        <f t="shared" si="31"/>
        <v xml:space="preserve">    (U4)0x0000003FU,                                                           /* 35 UNKNOWN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1</v>
      </c>
      <c r="AE172" s="101">
        <f t="shared" si="44"/>
        <v>1</v>
      </c>
      <c r="AF172" s="101">
        <f t="shared" si="44"/>
        <v>1</v>
      </c>
      <c r="AG172" s="101">
        <f t="shared" si="44"/>
        <v>1</v>
      </c>
      <c r="AH172" s="101">
        <f t="shared" si="44"/>
        <v>1</v>
      </c>
      <c r="AI172" s="101">
        <f t="shared" si="44"/>
        <v>1</v>
      </c>
      <c r="AJ172" s="27" t="str">
        <f t="shared" si="30"/>
        <v>UNKNOWN</v>
      </c>
      <c r="AK172" s="40"/>
      <c r="AL172" s="40" t="str">
        <f t="shared" si="33"/>
        <v>3F</v>
      </c>
      <c r="AM172" s="42" t="str">
        <f t="shared" si="34"/>
        <v>00</v>
      </c>
      <c r="AN172" s="42" t="str">
        <f t="shared" si="35"/>
        <v>00</v>
      </c>
      <c r="AO172" s="42" t="str">
        <f t="shared" si="36"/>
        <v>00</v>
      </c>
      <c r="AQ172" t="str">
        <f t="shared" si="31"/>
        <v xml:space="preserve">    (U4)0x0000003FU,                                                           /* 36 UNKNOWN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1</v>
      </c>
      <c r="AE173" s="101">
        <f t="shared" si="44"/>
        <v>1</v>
      </c>
      <c r="AF173" s="101">
        <f t="shared" si="44"/>
        <v>1</v>
      </c>
      <c r="AG173" s="101">
        <f t="shared" si="44"/>
        <v>1</v>
      </c>
      <c r="AH173" s="101">
        <f t="shared" si="44"/>
        <v>1</v>
      </c>
      <c r="AI173" s="101">
        <f t="shared" si="44"/>
        <v>1</v>
      </c>
      <c r="AJ173" s="27" t="str">
        <f t="shared" si="30"/>
        <v>MALFUNC</v>
      </c>
      <c r="AK173" s="40"/>
      <c r="AL173" s="40" t="str">
        <f t="shared" si="33"/>
        <v>3F</v>
      </c>
      <c r="AM173" s="42" t="str">
        <f t="shared" si="34"/>
        <v>00</v>
      </c>
      <c r="AN173" s="42" t="str">
        <f t="shared" si="35"/>
        <v>00</v>
      </c>
      <c r="AO173" s="42" t="str">
        <f t="shared" si="36"/>
        <v>00</v>
      </c>
      <c r="AQ173" t="str">
        <f t="shared" si="31"/>
        <v xml:space="preserve">    (U4)0x0000003FU,                                                           /* 37 MALFUNC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1</v>
      </c>
      <c r="AE174" s="101">
        <f t="shared" si="44"/>
        <v>1</v>
      </c>
      <c r="AF174" s="101">
        <f t="shared" si="44"/>
        <v>1</v>
      </c>
      <c r="AG174" s="101">
        <f t="shared" si="44"/>
        <v>1</v>
      </c>
      <c r="AH174" s="101">
        <f t="shared" si="44"/>
        <v>1</v>
      </c>
      <c r="AI174" s="101">
        <f t="shared" si="44"/>
        <v>1</v>
      </c>
      <c r="AJ174" s="27" t="str">
        <f t="shared" si="30"/>
        <v>UNKNOWN</v>
      </c>
      <c r="AK174" s="40"/>
      <c r="AL174" s="40" t="str">
        <f t="shared" si="33"/>
        <v>3F</v>
      </c>
      <c r="AM174" s="42" t="str">
        <f t="shared" si="34"/>
        <v>00</v>
      </c>
      <c r="AN174" s="42" t="str">
        <f t="shared" si="35"/>
        <v>00</v>
      </c>
      <c r="AO174" s="42" t="str">
        <f t="shared" si="36"/>
        <v>00</v>
      </c>
      <c r="AQ174" t="str">
        <f t="shared" si="31"/>
        <v xml:space="preserve">    (U4)0x0000003FU,                                                           /* 38 UNKNOWN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1</v>
      </c>
      <c r="AE175" s="101">
        <f t="shared" si="44"/>
        <v>1</v>
      </c>
      <c r="AF175" s="101">
        <f t="shared" si="44"/>
        <v>1</v>
      </c>
      <c r="AG175" s="101">
        <f t="shared" si="44"/>
        <v>1</v>
      </c>
      <c r="AH175" s="101">
        <f t="shared" si="44"/>
        <v>1</v>
      </c>
      <c r="AI175" s="101">
        <f t="shared" ref="AI175" si="45">IF(OR(AI45=0,AI45=1),1,0)</f>
        <v>1</v>
      </c>
      <c r="AJ175" s="27" t="str">
        <f t="shared" si="30"/>
        <v>UNKNOWN</v>
      </c>
      <c r="AK175" s="40"/>
      <c r="AL175" s="40" t="str">
        <f t="shared" si="33"/>
        <v>3F</v>
      </c>
      <c r="AM175" s="42" t="str">
        <f t="shared" si="34"/>
        <v>00</v>
      </c>
      <c r="AN175" s="42" t="str">
        <f t="shared" si="35"/>
        <v>00</v>
      </c>
      <c r="AO175" s="42" t="str">
        <f t="shared" si="36"/>
        <v>00</v>
      </c>
      <c r="AQ175" t="str">
        <f t="shared" si="31"/>
        <v xml:space="preserve">    (U4)0x0000003FU,                                                           /* 39 UNKNOWN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1</v>
      </c>
      <c r="AE176" s="101">
        <f t="shared" si="46"/>
        <v>1</v>
      </c>
      <c r="AF176" s="101">
        <f t="shared" si="46"/>
        <v>1</v>
      </c>
      <c r="AG176" s="101">
        <f t="shared" si="46"/>
        <v>1</v>
      </c>
      <c r="AH176" s="101">
        <f t="shared" si="46"/>
        <v>1</v>
      </c>
      <c r="AI176" s="101">
        <f t="shared" si="46"/>
        <v>1</v>
      </c>
      <c r="AJ176" s="27" t="str">
        <f t="shared" si="30"/>
        <v>UNKNOWN</v>
      </c>
      <c r="AK176" s="40"/>
      <c r="AL176" s="40" t="str">
        <f t="shared" si="33"/>
        <v>3F</v>
      </c>
      <c r="AM176" s="42" t="str">
        <f t="shared" si="34"/>
        <v>00</v>
      </c>
      <c r="AN176" s="42" t="str">
        <f t="shared" si="35"/>
        <v>00</v>
      </c>
      <c r="AO176" s="42" t="str">
        <f t="shared" si="36"/>
        <v>00</v>
      </c>
      <c r="AQ176" t="str">
        <f t="shared" si="31"/>
        <v xml:space="preserve">    (U4)0x0000003FU,                                                           /* 40 UNKNOWN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1</v>
      </c>
      <c r="AE177" s="101">
        <f t="shared" si="46"/>
        <v>1</v>
      </c>
      <c r="AF177" s="101">
        <f t="shared" si="46"/>
        <v>1</v>
      </c>
      <c r="AG177" s="101">
        <f t="shared" si="46"/>
        <v>1</v>
      </c>
      <c r="AH177" s="101">
        <f t="shared" si="46"/>
        <v>1</v>
      </c>
      <c r="AI177" s="101">
        <f t="shared" si="46"/>
        <v>1</v>
      </c>
      <c r="AJ177" s="27" t="str">
        <f t="shared" si="30"/>
        <v>MALFUNC</v>
      </c>
      <c r="AK177" s="40"/>
      <c r="AL177" s="40" t="str">
        <f t="shared" si="33"/>
        <v>3F</v>
      </c>
      <c r="AM177" s="42" t="str">
        <f t="shared" si="34"/>
        <v>00</v>
      </c>
      <c r="AN177" s="42" t="str">
        <f t="shared" si="35"/>
        <v>00</v>
      </c>
      <c r="AO177" s="42" t="str">
        <f t="shared" si="36"/>
        <v>00</v>
      </c>
      <c r="AQ177" t="str">
        <f t="shared" si="31"/>
        <v xml:space="preserve">    (U4)0x0000003FU,                                                           /* 41 MALFUNC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1</v>
      </c>
      <c r="AE178" s="101">
        <f t="shared" si="46"/>
        <v>1</v>
      </c>
      <c r="AF178" s="101">
        <f t="shared" si="46"/>
        <v>1</v>
      </c>
      <c r="AG178" s="101">
        <f t="shared" si="46"/>
        <v>1</v>
      </c>
      <c r="AH178" s="101">
        <f t="shared" si="46"/>
        <v>1</v>
      </c>
      <c r="AI178" s="101">
        <f t="shared" si="46"/>
        <v>1</v>
      </c>
      <c r="AJ178" s="27" t="str">
        <f t="shared" si="30"/>
        <v>UNKNOWN</v>
      </c>
      <c r="AK178" s="40"/>
      <c r="AL178" s="40" t="str">
        <f t="shared" si="33"/>
        <v>3F</v>
      </c>
      <c r="AM178" s="42" t="str">
        <f t="shared" si="34"/>
        <v>00</v>
      </c>
      <c r="AN178" s="42" t="str">
        <f t="shared" si="35"/>
        <v>00</v>
      </c>
      <c r="AO178" s="42" t="str">
        <f t="shared" si="36"/>
        <v>00</v>
      </c>
      <c r="AQ178" t="str">
        <f t="shared" si="31"/>
        <v xml:space="preserve">    (U4)0x0000003FU,                                                           /* 42 UNKNOWN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1</v>
      </c>
      <c r="AE179" s="101">
        <f t="shared" si="46"/>
        <v>1</v>
      </c>
      <c r="AF179" s="101">
        <f t="shared" si="46"/>
        <v>1</v>
      </c>
      <c r="AG179" s="101">
        <f t="shared" si="46"/>
        <v>1</v>
      </c>
      <c r="AH179" s="101">
        <f t="shared" si="46"/>
        <v>1</v>
      </c>
      <c r="AI179" s="101">
        <f t="shared" si="46"/>
        <v>1</v>
      </c>
      <c r="AJ179" s="27" t="str">
        <f t="shared" si="30"/>
        <v>UNKNOWN</v>
      </c>
      <c r="AK179" s="40"/>
      <c r="AL179" s="40" t="str">
        <f t="shared" si="33"/>
        <v>3F</v>
      </c>
      <c r="AM179" s="42" t="str">
        <f t="shared" si="34"/>
        <v>00</v>
      </c>
      <c r="AN179" s="42" t="str">
        <f t="shared" si="35"/>
        <v>00</v>
      </c>
      <c r="AO179" s="42" t="str">
        <f t="shared" si="36"/>
        <v>00</v>
      </c>
      <c r="AQ179" t="str">
        <f t="shared" si="31"/>
        <v xml:space="preserve">    (U4)0x0000003FU,                                                           /* 43 UNKNOWN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1</v>
      </c>
      <c r="AE180" s="101">
        <f t="shared" si="46"/>
        <v>1</v>
      </c>
      <c r="AF180" s="101">
        <f t="shared" si="46"/>
        <v>1</v>
      </c>
      <c r="AG180" s="101">
        <f t="shared" si="46"/>
        <v>1</v>
      </c>
      <c r="AH180" s="101">
        <f t="shared" si="46"/>
        <v>1</v>
      </c>
      <c r="AI180" s="101">
        <f t="shared" si="46"/>
        <v>1</v>
      </c>
      <c r="AJ180" s="27" t="str">
        <f t="shared" si="30"/>
        <v>UNKNOWN</v>
      </c>
      <c r="AK180" s="40"/>
      <c r="AL180" s="40" t="str">
        <f t="shared" si="33"/>
        <v>3F</v>
      </c>
      <c r="AM180" s="42" t="str">
        <f t="shared" si="34"/>
        <v>00</v>
      </c>
      <c r="AN180" s="42" t="str">
        <f t="shared" si="35"/>
        <v>00</v>
      </c>
      <c r="AO180" s="42" t="str">
        <f t="shared" si="36"/>
        <v>00</v>
      </c>
      <c r="AQ180" t="str">
        <f t="shared" si="31"/>
        <v xml:space="preserve">    (U4)0x0000003FU,                                                           /* 44 UNKNOWN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1</v>
      </c>
      <c r="AE181" s="101">
        <f t="shared" si="46"/>
        <v>1</v>
      </c>
      <c r="AF181" s="101">
        <f t="shared" si="46"/>
        <v>1</v>
      </c>
      <c r="AG181" s="101">
        <f t="shared" si="46"/>
        <v>1</v>
      </c>
      <c r="AH181" s="101">
        <f t="shared" si="46"/>
        <v>1</v>
      </c>
      <c r="AI181" s="101">
        <f t="shared" si="46"/>
        <v>1</v>
      </c>
      <c r="AJ181" s="27" t="str">
        <f t="shared" si="30"/>
        <v>MALFUNC</v>
      </c>
      <c r="AK181" s="40"/>
      <c r="AL181" s="40" t="str">
        <f t="shared" si="33"/>
        <v>3F</v>
      </c>
      <c r="AM181" s="42" t="str">
        <f t="shared" si="34"/>
        <v>00</v>
      </c>
      <c r="AN181" s="42" t="str">
        <f t="shared" si="35"/>
        <v>00</v>
      </c>
      <c r="AO181" s="42" t="str">
        <f t="shared" si="36"/>
        <v>00</v>
      </c>
      <c r="AQ181" t="str">
        <f t="shared" si="31"/>
        <v xml:space="preserve">    (U4)0x0000003FU,                                                           /* 45 MALFUNC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1</v>
      </c>
      <c r="AE182" s="101">
        <f t="shared" si="46"/>
        <v>1</v>
      </c>
      <c r="AF182" s="101">
        <f t="shared" si="46"/>
        <v>1</v>
      </c>
      <c r="AG182" s="101">
        <f t="shared" si="46"/>
        <v>1</v>
      </c>
      <c r="AH182" s="101">
        <f t="shared" si="46"/>
        <v>1</v>
      </c>
      <c r="AI182" s="101">
        <f t="shared" si="46"/>
        <v>1</v>
      </c>
      <c r="AJ182" s="27" t="str">
        <f t="shared" si="30"/>
        <v>UNKNOWN</v>
      </c>
      <c r="AK182" s="40"/>
      <c r="AL182" s="40" t="str">
        <f t="shared" si="33"/>
        <v>3F</v>
      </c>
      <c r="AM182" s="42" t="str">
        <f t="shared" si="34"/>
        <v>00</v>
      </c>
      <c r="AN182" s="42" t="str">
        <f t="shared" si="35"/>
        <v>00</v>
      </c>
      <c r="AO182" s="42" t="str">
        <f t="shared" si="36"/>
        <v>00</v>
      </c>
      <c r="AQ182" t="str">
        <f t="shared" si="31"/>
        <v xml:space="preserve">    (U4)0x0000003FU,                                                           /* 46 UNKNOWN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1</v>
      </c>
      <c r="AE183" s="101">
        <f t="shared" si="46"/>
        <v>1</v>
      </c>
      <c r="AF183" s="101">
        <f t="shared" si="46"/>
        <v>1</v>
      </c>
      <c r="AG183" s="101">
        <f t="shared" si="46"/>
        <v>1</v>
      </c>
      <c r="AH183" s="101">
        <f t="shared" si="46"/>
        <v>1</v>
      </c>
      <c r="AI183" s="101">
        <f t="shared" ref="AI183" si="47">IF(OR(AI53=0,AI53=1),1,0)</f>
        <v>1</v>
      </c>
      <c r="AJ183" s="27" t="str">
        <f t="shared" si="30"/>
        <v>UNKNOWN</v>
      </c>
      <c r="AK183" s="40"/>
      <c r="AL183" s="40" t="str">
        <f t="shared" si="33"/>
        <v>3F</v>
      </c>
      <c r="AM183" s="42" t="str">
        <f t="shared" si="34"/>
        <v>00</v>
      </c>
      <c r="AN183" s="42" t="str">
        <f t="shared" si="35"/>
        <v>00</v>
      </c>
      <c r="AO183" s="42" t="str">
        <f t="shared" si="36"/>
        <v>00</v>
      </c>
      <c r="AQ183" t="str">
        <f t="shared" si="31"/>
        <v xml:space="preserve">    (U4)0x0000003FU,                                                           /* 47 UNKNOWN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1</v>
      </c>
      <c r="AE184" s="101">
        <f t="shared" si="48"/>
        <v>1</v>
      </c>
      <c r="AF184" s="101">
        <f t="shared" si="48"/>
        <v>1</v>
      </c>
      <c r="AG184" s="101">
        <f t="shared" si="48"/>
        <v>1</v>
      </c>
      <c r="AH184" s="101">
        <f t="shared" si="48"/>
        <v>1</v>
      </c>
      <c r="AI184" s="101">
        <f t="shared" si="48"/>
        <v>1</v>
      </c>
      <c r="AJ184" s="27" t="str">
        <f t="shared" si="30"/>
        <v>UNKNOWN</v>
      </c>
      <c r="AK184" s="40"/>
      <c r="AL184" s="40" t="str">
        <f t="shared" si="33"/>
        <v>3F</v>
      </c>
      <c r="AM184" s="42" t="str">
        <f t="shared" si="34"/>
        <v>00</v>
      </c>
      <c r="AN184" s="42" t="str">
        <f t="shared" si="35"/>
        <v>00</v>
      </c>
      <c r="AO184" s="42" t="str">
        <f t="shared" si="36"/>
        <v>00</v>
      </c>
      <c r="AQ184" t="str">
        <f t="shared" si="31"/>
        <v xml:space="preserve">    (U4)0x0000003FU,                                                           /* 48 UNKNOWN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1</v>
      </c>
      <c r="AE185" s="101">
        <f t="shared" si="48"/>
        <v>1</v>
      </c>
      <c r="AF185" s="101">
        <f t="shared" si="48"/>
        <v>1</v>
      </c>
      <c r="AG185" s="101">
        <f t="shared" si="48"/>
        <v>1</v>
      </c>
      <c r="AH185" s="101">
        <f t="shared" si="48"/>
        <v>1</v>
      </c>
      <c r="AI185" s="101">
        <f t="shared" si="48"/>
        <v>1</v>
      </c>
      <c r="AJ185" s="27" t="str">
        <f t="shared" si="30"/>
        <v>MALFUNC</v>
      </c>
      <c r="AK185" s="40"/>
      <c r="AL185" s="40" t="str">
        <f t="shared" si="33"/>
        <v>3F</v>
      </c>
      <c r="AM185" s="42" t="str">
        <f t="shared" si="34"/>
        <v>00</v>
      </c>
      <c r="AN185" s="42" t="str">
        <f t="shared" si="35"/>
        <v>00</v>
      </c>
      <c r="AO185" s="42" t="str">
        <f t="shared" si="36"/>
        <v>00</v>
      </c>
      <c r="AQ185" t="str">
        <f t="shared" si="31"/>
        <v xml:space="preserve">    (U4)0x0000003FU,                                                           /* 49 MALFUNC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1</v>
      </c>
      <c r="AE186" s="101">
        <f t="shared" si="48"/>
        <v>1</v>
      </c>
      <c r="AF186" s="101">
        <f t="shared" si="48"/>
        <v>1</v>
      </c>
      <c r="AG186" s="101">
        <f t="shared" si="48"/>
        <v>1</v>
      </c>
      <c r="AH186" s="101">
        <f t="shared" si="48"/>
        <v>1</v>
      </c>
      <c r="AI186" s="101">
        <f t="shared" si="48"/>
        <v>1</v>
      </c>
      <c r="AJ186" s="27" t="str">
        <f t="shared" si="30"/>
        <v>UNKNOWN</v>
      </c>
      <c r="AK186" s="40"/>
      <c r="AL186" s="40" t="str">
        <f t="shared" si="33"/>
        <v>3F</v>
      </c>
      <c r="AM186" s="42" t="str">
        <f t="shared" si="34"/>
        <v>00</v>
      </c>
      <c r="AN186" s="42" t="str">
        <f t="shared" si="35"/>
        <v>00</v>
      </c>
      <c r="AO186" s="42" t="str">
        <f t="shared" si="36"/>
        <v>00</v>
      </c>
      <c r="AQ186" t="str">
        <f t="shared" si="31"/>
        <v xml:space="preserve">    (U4)0x0000003FU,                                                           /* 50 UNKNOWN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1</v>
      </c>
      <c r="AE187" s="101">
        <f t="shared" si="48"/>
        <v>1</v>
      </c>
      <c r="AF187" s="101">
        <f t="shared" si="48"/>
        <v>1</v>
      </c>
      <c r="AG187" s="101">
        <f t="shared" si="48"/>
        <v>1</v>
      </c>
      <c r="AH187" s="101">
        <f t="shared" si="48"/>
        <v>1</v>
      </c>
      <c r="AI187" s="101">
        <f t="shared" si="48"/>
        <v>1</v>
      </c>
      <c r="AJ187" s="27" t="str">
        <f t="shared" si="30"/>
        <v>UNKNOWN</v>
      </c>
      <c r="AK187" s="40"/>
      <c r="AL187" s="40" t="str">
        <f t="shared" si="33"/>
        <v>3F</v>
      </c>
      <c r="AM187" s="42" t="str">
        <f t="shared" si="34"/>
        <v>00</v>
      </c>
      <c r="AN187" s="42" t="str">
        <f t="shared" si="35"/>
        <v>00</v>
      </c>
      <c r="AO187" s="42" t="str">
        <f t="shared" si="36"/>
        <v>00</v>
      </c>
      <c r="AQ187" t="str">
        <f t="shared" si="31"/>
        <v xml:space="preserve">    (U4)0x0000003FU,                                                           /* 51 UNKNOWN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1</v>
      </c>
      <c r="AE188" s="101">
        <f t="shared" si="48"/>
        <v>1</v>
      </c>
      <c r="AF188" s="101">
        <f t="shared" si="48"/>
        <v>1</v>
      </c>
      <c r="AG188" s="101">
        <f t="shared" si="48"/>
        <v>1</v>
      </c>
      <c r="AH188" s="101">
        <f t="shared" si="48"/>
        <v>1</v>
      </c>
      <c r="AI188" s="101">
        <f t="shared" si="48"/>
        <v>1</v>
      </c>
      <c r="AJ188" s="27" t="str">
        <f t="shared" si="30"/>
        <v>UNKNOWN</v>
      </c>
      <c r="AK188" s="40"/>
      <c r="AL188" s="40" t="str">
        <f t="shared" si="33"/>
        <v>3F</v>
      </c>
      <c r="AM188" s="42" t="str">
        <f t="shared" si="34"/>
        <v>00</v>
      </c>
      <c r="AN188" s="42" t="str">
        <f t="shared" si="35"/>
        <v>00</v>
      </c>
      <c r="AO188" s="42" t="str">
        <f t="shared" si="36"/>
        <v>00</v>
      </c>
      <c r="AQ188" t="str">
        <f t="shared" si="31"/>
        <v xml:space="preserve">    (U4)0x0000003FU,                                                           /* 52 UNKNOWN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1</v>
      </c>
      <c r="AE189" s="101">
        <f t="shared" si="48"/>
        <v>1</v>
      </c>
      <c r="AF189" s="101">
        <f t="shared" si="48"/>
        <v>1</v>
      </c>
      <c r="AG189" s="101">
        <f t="shared" si="48"/>
        <v>1</v>
      </c>
      <c r="AH189" s="101">
        <f t="shared" si="48"/>
        <v>1</v>
      </c>
      <c r="AI189" s="101">
        <f t="shared" si="48"/>
        <v>1</v>
      </c>
      <c r="AJ189" s="27" t="str">
        <f t="shared" si="30"/>
        <v>MALFUNC</v>
      </c>
      <c r="AK189" s="40"/>
      <c r="AL189" s="40" t="str">
        <f t="shared" si="33"/>
        <v>3F</v>
      </c>
      <c r="AM189" s="42" t="str">
        <f t="shared" si="34"/>
        <v>00</v>
      </c>
      <c r="AN189" s="42" t="str">
        <f t="shared" si="35"/>
        <v>00</v>
      </c>
      <c r="AO189" s="42" t="str">
        <f t="shared" si="36"/>
        <v>00</v>
      </c>
      <c r="AQ189" t="str">
        <f t="shared" si="31"/>
        <v xml:space="preserve">    (U4)0x0000003FU,                                                           /* 53 MALFUNC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1</v>
      </c>
      <c r="AE190" s="101">
        <f t="shared" si="48"/>
        <v>1</v>
      </c>
      <c r="AF190" s="101">
        <f t="shared" si="48"/>
        <v>1</v>
      </c>
      <c r="AG190" s="101">
        <f t="shared" si="48"/>
        <v>1</v>
      </c>
      <c r="AH190" s="101">
        <f t="shared" si="48"/>
        <v>1</v>
      </c>
      <c r="AI190" s="101">
        <f t="shared" si="48"/>
        <v>1</v>
      </c>
      <c r="AJ190" s="27" t="str">
        <f t="shared" si="30"/>
        <v>UNKNOWN</v>
      </c>
      <c r="AK190" s="40"/>
      <c r="AL190" s="40" t="str">
        <f t="shared" si="33"/>
        <v>3F</v>
      </c>
      <c r="AM190" s="42" t="str">
        <f t="shared" si="34"/>
        <v>00</v>
      </c>
      <c r="AN190" s="42" t="str">
        <f t="shared" si="35"/>
        <v>00</v>
      </c>
      <c r="AO190" s="42" t="str">
        <f t="shared" si="36"/>
        <v>00</v>
      </c>
      <c r="AQ190" t="str">
        <f t="shared" si="31"/>
        <v xml:space="preserve">    (U4)0x0000003FU,                                                           /* 54 UNKNOWN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1</v>
      </c>
      <c r="AE191" s="101">
        <f t="shared" si="48"/>
        <v>1</v>
      </c>
      <c r="AF191" s="101">
        <f t="shared" si="48"/>
        <v>1</v>
      </c>
      <c r="AG191" s="101">
        <f t="shared" si="48"/>
        <v>1</v>
      </c>
      <c r="AH191" s="101">
        <f t="shared" si="48"/>
        <v>1</v>
      </c>
      <c r="AI191" s="101">
        <f t="shared" ref="AI191" si="49">IF(OR(AI61=0,AI61=1),1,0)</f>
        <v>1</v>
      </c>
      <c r="AJ191" s="27" t="str">
        <f t="shared" si="30"/>
        <v>UNKNOWN</v>
      </c>
      <c r="AK191" s="40"/>
      <c r="AL191" s="40" t="str">
        <f t="shared" si="33"/>
        <v>3F</v>
      </c>
      <c r="AM191" s="42" t="str">
        <f t="shared" si="34"/>
        <v>00</v>
      </c>
      <c r="AN191" s="42" t="str">
        <f t="shared" si="35"/>
        <v>00</v>
      </c>
      <c r="AO191" s="42" t="str">
        <f t="shared" si="36"/>
        <v>00</v>
      </c>
      <c r="AQ191" t="str">
        <f t="shared" si="31"/>
        <v xml:space="preserve">    (U4)0x0000003FU,                                                           /* 55 UNKNOWN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1</v>
      </c>
      <c r="AE192" s="101">
        <f t="shared" si="50"/>
        <v>1</v>
      </c>
      <c r="AF192" s="101">
        <f t="shared" si="50"/>
        <v>1</v>
      </c>
      <c r="AG192" s="101">
        <f t="shared" si="50"/>
        <v>1</v>
      </c>
      <c r="AH192" s="101">
        <f t="shared" si="50"/>
        <v>1</v>
      </c>
      <c r="AI192" s="101">
        <f t="shared" si="50"/>
        <v>1</v>
      </c>
      <c r="AJ192" s="27" t="str">
        <f t="shared" si="30"/>
        <v>UNKNOWN</v>
      </c>
      <c r="AK192" s="40"/>
      <c r="AL192" s="40" t="str">
        <f t="shared" si="33"/>
        <v>3F</v>
      </c>
      <c r="AM192" s="42" t="str">
        <f t="shared" si="34"/>
        <v>00</v>
      </c>
      <c r="AN192" s="42" t="str">
        <f t="shared" si="35"/>
        <v>00</v>
      </c>
      <c r="AO192" s="42" t="str">
        <f t="shared" si="36"/>
        <v>00</v>
      </c>
      <c r="AQ192" t="str">
        <f t="shared" si="31"/>
        <v xml:space="preserve">    (U4)0x0000003FU,                                                           /* 56 UNKNOWN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1</v>
      </c>
      <c r="AE193" s="101">
        <f t="shared" si="50"/>
        <v>1</v>
      </c>
      <c r="AF193" s="101">
        <f t="shared" si="50"/>
        <v>1</v>
      </c>
      <c r="AG193" s="101">
        <f t="shared" si="50"/>
        <v>1</v>
      </c>
      <c r="AH193" s="101">
        <f t="shared" si="50"/>
        <v>1</v>
      </c>
      <c r="AI193" s="101">
        <f t="shared" si="50"/>
        <v>1</v>
      </c>
      <c r="AJ193" s="27" t="str">
        <f t="shared" si="30"/>
        <v>MALFUNC</v>
      </c>
      <c r="AK193" s="40"/>
      <c r="AL193" s="40" t="str">
        <f t="shared" si="33"/>
        <v>3F</v>
      </c>
      <c r="AM193" s="42" t="str">
        <f t="shared" si="34"/>
        <v>00</v>
      </c>
      <c r="AN193" s="42" t="str">
        <f t="shared" si="35"/>
        <v>00</v>
      </c>
      <c r="AO193" s="42" t="str">
        <f t="shared" si="36"/>
        <v>00</v>
      </c>
      <c r="AQ193" t="str">
        <f t="shared" si="31"/>
        <v xml:space="preserve">    (U4)0x0000003FU,                                                           /* 57 MALFUNC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1</v>
      </c>
      <c r="AE194" s="101">
        <f t="shared" si="50"/>
        <v>1</v>
      </c>
      <c r="AF194" s="101">
        <f t="shared" si="50"/>
        <v>1</v>
      </c>
      <c r="AG194" s="101">
        <f t="shared" si="50"/>
        <v>1</v>
      </c>
      <c r="AH194" s="101">
        <f t="shared" si="50"/>
        <v>1</v>
      </c>
      <c r="AI194" s="101">
        <f t="shared" si="50"/>
        <v>1</v>
      </c>
      <c r="AJ194" s="27" t="str">
        <f t="shared" si="30"/>
        <v>UNKNOWN</v>
      </c>
      <c r="AK194" s="40"/>
      <c r="AL194" s="40" t="str">
        <f t="shared" si="33"/>
        <v>3F</v>
      </c>
      <c r="AM194" s="42" t="str">
        <f t="shared" si="34"/>
        <v>00</v>
      </c>
      <c r="AN194" s="42" t="str">
        <f t="shared" si="35"/>
        <v>00</v>
      </c>
      <c r="AO194" s="42" t="str">
        <f t="shared" si="36"/>
        <v>00</v>
      </c>
      <c r="AQ194" t="str">
        <f t="shared" si="31"/>
        <v xml:space="preserve">    (U4)0x0000003FU,                                                           /* 58 UNKNOWN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1</v>
      </c>
      <c r="AE195" s="101">
        <f t="shared" si="50"/>
        <v>1</v>
      </c>
      <c r="AF195" s="101">
        <f t="shared" si="50"/>
        <v>1</v>
      </c>
      <c r="AG195" s="101">
        <f t="shared" si="50"/>
        <v>1</v>
      </c>
      <c r="AH195" s="101">
        <f t="shared" si="50"/>
        <v>1</v>
      </c>
      <c r="AI195" s="101">
        <f t="shared" si="50"/>
        <v>1</v>
      </c>
      <c r="AJ195" s="27" t="str">
        <f t="shared" si="30"/>
        <v>UNKNOWN</v>
      </c>
      <c r="AK195" s="40"/>
      <c r="AL195" s="40" t="str">
        <f t="shared" si="33"/>
        <v>3F</v>
      </c>
      <c r="AM195" s="42" t="str">
        <f t="shared" si="34"/>
        <v>00</v>
      </c>
      <c r="AN195" s="42" t="str">
        <f t="shared" si="35"/>
        <v>00</v>
      </c>
      <c r="AO195" s="42" t="str">
        <f t="shared" si="36"/>
        <v>00</v>
      </c>
      <c r="AQ195" t="str">
        <f t="shared" si="31"/>
        <v xml:space="preserve">    (U4)0x0000003FU,                                                           /* 59 UNKNOWN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1</v>
      </c>
      <c r="AE196" s="101">
        <f t="shared" si="50"/>
        <v>1</v>
      </c>
      <c r="AF196" s="101">
        <f t="shared" si="50"/>
        <v>1</v>
      </c>
      <c r="AG196" s="101">
        <f t="shared" si="50"/>
        <v>1</v>
      </c>
      <c r="AH196" s="101">
        <f t="shared" si="50"/>
        <v>1</v>
      </c>
      <c r="AI196" s="101">
        <f t="shared" si="50"/>
        <v>1</v>
      </c>
      <c r="AJ196" s="27" t="str">
        <f t="shared" si="30"/>
        <v>UNKNOWN</v>
      </c>
      <c r="AK196" s="40"/>
      <c r="AL196" s="40" t="str">
        <f t="shared" si="33"/>
        <v>3F</v>
      </c>
      <c r="AM196" s="42" t="str">
        <f t="shared" si="34"/>
        <v>00</v>
      </c>
      <c r="AN196" s="42" t="str">
        <f t="shared" si="35"/>
        <v>00</v>
      </c>
      <c r="AO196" s="42" t="str">
        <f t="shared" si="36"/>
        <v>00</v>
      </c>
      <c r="AQ196" t="str">
        <f t="shared" si="31"/>
        <v xml:space="preserve">    (U4)0x0000003FU,                                                           /* 60 UNKNOWN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1</v>
      </c>
      <c r="AE197" s="101">
        <f t="shared" si="50"/>
        <v>1</v>
      </c>
      <c r="AF197" s="101">
        <f t="shared" si="50"/>
        <v>1</v>
      </c>
      <c r="AG197" s="101">
        <f t="shared" si="50"/>
        <v>1</v>
      </c>
      <c r="AH197" s="101">
        <f t="shared" si="50"/>
        <v>1</v>
      </c>
      <c r="AI197" s="101">
        <f t="shared" si="50"/>
        <v>1</v>
      </c>
      <c r="AJ197" s="27" t="str">
        <f t="shared" si="30"/>
        <v>MALFUNC</v>
      </c>
      <c r="AK197" s="40"/>
      <c r="AL197" s="40" t="str">
        <f t="shared" si="33"/>
        <v>3F</v>
      </c>
      <c r="AM197" s="42" t="str">
        <f t="shared" si="34"/>
        <v>00</v>
      </c>
      <c r="AN197" s="42" t="str">
        <f t="shared" si="35"/>
        <v>00</v>
      </c>
      <c r="AO197" s="42" t="str">
        <f t="shared" si="36"/>
        <v>00</v>
      </c>
      <c r="AQ197" t="str">
        <f t="shared" si="31"/>
        <v xml:space="preserve">    (U4)0x0000003FU,                                                           /* 61 MALFUNC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1</v>
      </c>
      <c r="AE198" s="101">
        <f t="shared" si="50"/>
        <v>1</v>
      </c>
      <c r="AF198" s="101">
        <f t="shared" si="50"/>
        <v>1</v>
      </c>
      <c r="AG198" s="101">
        <f t="shared" si="50"/>
        <v>1</v>
      </c>
      <c r="AH198" s="101">
        <f t="shared" si="50"/>
        <v>1</v>
      </c>
      <c r="AI198" s="101">
        <f t="shared" si="50"/>
        <v>1</v>
      </c>
      <c r="AJ198" s="27" t="str">
        <f t="shared" si="30"/>
        <v>UNKNOWN</v>
      </c>
      <c r="AK198" s="40"/>
      <c r="AL198" s="40" t="str">
        <f t="shared" si="33"/>
        <v>3F</v>
      </c>
      <c r="AM198" s="42" t="str">
        <f t="shared" si="34"/>
        <v>00</v>
      </c>
      <c r="AN198" s="42" t="str">
        <f t="shared" si="35"/>
        <v>00</v>
      </c>
      <c r="AO198" s="42" t="str">
        <f t="shared" si="36"/>
        <v>00</v>
      </c>
      <c r="AQ198" t="str">
        <f t="shared" si="31"/>
        <v xml:space="preserve">    (U4)0x0000003FU,                                                           /* 62 UNKNOWN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1</v>
      </c>
      <c r="AE199" s="101">
        <f t="shared" si="50"/>
        <v>1</v>
      </c>
      <c r="AF199" s="101">
        <f t="shared" si="50"/>
        <v>1</v>
      </c>
      <c r="AG199" s="101">
        <f t="shared" si="50"/>
        <v>1</v>
      </c>
      <c r="AH199" s="101">
        <f t="shared" si="50"/>
        <v>1</v>
      </c>
      <c r="AI199" s="101">
        <f t="shared" ref="AI199" si="51">IF(OR(AI69=0,AI69=1),1,0)</f>
        <v>1</v>
      </c>
      <c r="AJ199" s="27" t="str">
        <f t="shared" si="30"/>
        <v>UNKNOWN</v>
      </c>
      <c r="AK199" s="40"/>
      <c r="AL199" s="40" t="str">
        <f t="shared" si="33"/>
        <v>3F</v>
      </c>
      <c r="AM199" s="42" t="str">
        <f t="shared" si="34"/>
        <v>00</v>
      </c>
      <c r="AN199" s="42" t="str">
        <f t="shared" si="35"/>
        <v>00</v>
      </c>
      <c r="AO199" s="42" t="str">
        <f t="shared" si="36"/>
        <v>00</v>
      </c>
      <c r="AQ199" t="str">
        <f t="shared" si="31"/>
        <v xml:space="preserve">    (U4)0x0000003FU                                                            /* 63 UNKNOWN                                         */</v>
      </c>
    </row>
  </sheetData>
  <protectedRanges>
    <protectedRange sqref="D22:AJ69 AJ6:AJ21 D6:AB6 D7:AI21 L3:AC3" name="Table作成編集範囲"/>
    <protectedRange sqref="AC6:AI6" name="Table作成編集範囲_2"/>
    <protectedRange sqref="B3" name="Table作成編集範囲_2_1"/>
    <protectedRange sqref="AH3" name="Table作成編集範囲_1_2"/>
    <protectedRange sqref="AD3" name="Table作成編集範囲_3"/>
    <protectedRange sqref="AG3" name="Table作成編集範囲_1_3"/>
  </protectedRanges>
  <mergeCells count="4">
    <mergeCell ref="C2:C3"/>
    <mergeCell ref="AJ2:AJ3"/>
    <mergeCell ref="A4:B5"/>
    <mergeCell ref="AE3:AG3"/>
  </mergeCells>
  <phoneticPr fontId="2"/>
  <conditionalFormatting sqref="D22:AI69 D7:AE21 D6:AB6">
    <cfRule type="cellIs" dxfId="12" priority="12" operator="equal">
      <formula>1</formula>
    </cfRule>
    <cfRule type="cellIs" dxfId="11" priority="13" operator="equal">
      <formula>"×"</formula>
    </cfRule>
  </conditionalFormatting>
  <conditionalFormatting sqref="AR5:AS70">
    <cfRule type="expression" dxfId="10" priority="11">
      <formula>$B$3="Index Table"</formula>
    </cfRule>
  </conditionalFormatting>
  <conditionalFormatting sqref="AF6:AI6">
    <cfRule type="cellIs" dxfId="9" priority="9" operator="equal">
      <formula>1</formula>
    </cfRule>
    <cfRule type="cellIs" dxfId="8" priority="10" operator="equal">
      <formula>"×"</formula>
    </cfRule>
  </conditionalFormatting>
  <conditionalFormatting sqref="AC6">
    <cfRule type="cellIs" dxfId="7" priority="7" operator="equal">
      <formula>1</formula>
    </cfRule>
    <cfRule type="cellIs" dxfId="6" priority="8" operator="equal">
      <formula>"×"</formula>
    </cfRule>
  </conditionalFormatting>
  <conditionalFormatting sqref="AD6">
    <cfRule type="cellIs" dxfId="5" priority="5" operator="equal">
      <formula>1</formula>
    </cfRule>
    <cfRule type="cellIs" dxfId="4" priority="6" operator="equal">
      <formula>"×"</formula>
    </cfRule>
  </conditionalFormatting>
  <conditionalFormatting sqref="AE6">
    <cfRule type="cellIs" dxfId="3" priority="3" operator="equal">
      <formula>1</formula>
    </cfRule>
    <cfRule type="cellIs" dxfId="2" priority="4" operator="equal">
      <formula>"×"</formula>
    </cfRule>
  </conditionalFormatting>
  <conditionalFormatting sqref="AF7:AI2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529A-BE1E-4688-8AF3-C8476A15C543}">
  <dimension ref="B2:AV91"/>
  <sheetViews>
    <sheetView topLeftCell="B35" zoomScale="85" zoomScaleNormal="85" workbookViewId="0">
      <selection activeCell="O62" sqref="O62"/>
    </sheetView>
  </sheetViews>
  <sheetFormatPr defaultRowHeight="13.5"/>
  <cols>
    <col min="2" max="2" width="62.125" bestFit="1" customWidth="1"/>
    <col min="3" max="10" width="3.375" customWidth="1"/>
    <col min="11" max="11" width="26.875" customWidth="1"/>
    <col min="12" max="12" width="24" customWidth="1"/>
    <col min="13" max="13" width="26.875" customWidth="1"/>
    <col min="14" max="14" width="24" customWidth="1"/>
    <col min="15" max="15" width="31.125" customWidth="1"/>
    <col min="16" max="16" width="10.875" customWidth="1"/>
    <col min="17" max="17" width="36.125" bestFit="1" customWidth="1"/>
    <col min="18" max="18" width="10.875" customWidth="1"/>
    <col min="19" max="19" width="12.5" bestFit="1" customWidth="1"/>
    <col min="20" max="79" width="10.875" customWidth="1"/>
  </cols>
  <sheetData>
    <row r="2" spans="2:48">
      <c r="AV2" s="250" t="s">
        <v>299</v>
      </c>
    </row>
    <row r="3" spans="2:48" ht="15" thickBot="1">
      <c r="B3" s="158" t="s">
        <v>251</v>
      </c>
    </row>
    <row r="4" spans="2:48" ht="15" thickBot="1">
      <c r="B4" s="159" t="s">
        <v>123</v>
      </c>
      <c r="C4" s="312" t="s">
        <v>228</v>
      </c>
      <c r="D4" s="313"/>
      <c r="E4" s="313"/>
      <c r="F4" s="313"/>
      <c r="G4" s="313"/>
      <c r="H4" s="313"/>
      <c r="I4" s="313"/>
      <c r="J4" s="314"/>
      <c r="K4" s="160"/>
      <c r="L4" s="160"/>
      <c r="M4" s="160"/>
      <c r="N4" s="160"/>
      <c r="O4" s="161"/>
      <c r="P4" s="162"/>
      <c r="Q4" s="162"/>
      <c r="R4" s="162"/>
      <c r="S4" s="163"/>
      <c r="AV4" s="123"/>
    </row>
    <row r="5" spans="2:48">
      <c r="B5" s="164"/>
      <c r="C5" s="165" t="s">
        <v>159</v>
      </c>
      <c r="D5" s="165"/>
      <c r="E5" s="165"/>
      <c r="F5" s="165"/>
      <c r="G5" s="165"/>
      <c r="H5" s="165"/>
      <c r="I5" s="165"/>
      <c r="J5" s="165"/>
      <c r="K5" s="165"/>
      <c r="L5" s="165"/>
      <c r="M5" s="165"/>
      <c r="N5" s="165"/>
      <c r="O5" s="166" t="s">
        <v>51</v>
      </c>
      <c r="P5" s="167" t="s">
        <v>20</v>
      </c>
      <c r="Q5" s="168"/>
      <c r="R5" s="168"/>
      <c r="S5" s="169"/>
    </row>
    <row r="6" spans="2:48">
      <c r="B6" s="170" t="s">
        <v>21</v>
      </c>
      <c r="C6" s="315" t="s">
        <v>174</v>
      </c>
      <c r="D6" s="316"/>
      <c r="E6" s="316"/>
      <c r="F6" s="316"/>
      <c r="G6" s="316"/>
      <c r="H6" s="316"/>
      <c r="I6" s="316"/>
      <c r="J6" s="317"/>
      <c r="K6" s="231" t="s">
        <v>22</v>
      </c>
      <c r="L6" s="231" t="s">
        <v>22</v>
      </c>
      <c r="M6" s="171" t="s">
        <v>22</v>
      </c>
      <c r="N6" s="172" t="s">
        <v>22</v>
      </c>
      <c r="O6" s="173" t="s">
        <v>252</v>
      </c>
      <c r="P6" s="174" t="s">
        <v>253</v>
      </c>
      <c r="Q6" s="175" t="s">
        <v>169</v>
      </c>
      <c r="R6" s="174" t="s">
        <v>234</v>
      </c>
      <c r="S6" s="50" t="s">
        <v>26</v>
      </c>
    </row>
    <row r="7" spans="2:48" ht="27">
      <c r="B7" s="170" t="s">
        <v>33</v>
      </c>
      <c r="C7" s="176" t="s">
        <v>127</v>
      </c>
      <c r="D7" s="176" t="s">
        <v>127</v>
      </c>
      <c r="E7" s="176" t="s">
        <v>127</v>
      </c>
      <c r="F7" s="176" t="s">
        <v>127</v>
      </c>
      <c r="G7" s="176" t="s">
        <v>127</v>
      </c>
      <c r="H7" s="176" t="s">
        <v>127</v>
      </c>
      <c r="I7" s="176" t="s">
        <v>127</v>
      </c>
      <c r="J7" s="176" t="s">
        <v>127</v>
      </c>
      <c r="K7" s="231" t="s">
        <v>223</v>
      </c>
      <c r="L7" s="231" t="s">
        <v>223</v>
      </c>
      <c r="M7" s="171" t="s">
        <v>223</v>
      </c>
      <c r="N7" s="172" t="s">
        <v>223</v>
      </c>
      <c r="O7" s="25" t="s">
        <v>201</v>
      </c>
      <c r="P7" s="177"/>
      <c r="Q7" s="178"/>
      <c r="R7" s="177"/>
      <c r="S7" s="179" t="s">
        <v>254</v>
      </c>
    </row>
    <row r="8" spans="2:48" ht="27">
      <c r="B8" s="180" t="s">
        <v>27</v>
      </c>
      <c r="C8" s="318" t="s">
        <v>35</v>
      </c>
      <c r="D8" s="316"/>
      <c r="E8" s="316"/>
      <c r="F8" s="316"/>
      <c r="G8" s="316"/>
      <c r="H8" s="316"/>
      <c r="I8" s="316"/>
      <c r="J8" s="317"/>
      <c r="K8" s="231" t="s">
        <v>224</v>
      </c>
      <c r="L8" s="232" t="s">
        <v>224</v>
      </c>
      <c r="M8" s="1" t="s">
        <v>207</v>
      </c>
      <c r="N8" s="181" t="s">
        <v>207</v>
      </c>
      <c r="O8" s="182"/>
      <c r="P8" s="177"/>
      <c r="Q8" s="178"/>
      <c r="R8" s="177"/>
      <c r="S8" s="183" t="s">
        <v>255</v>
      </c>
    </row>
    <row r="9" spans="2:48" ht="136.5">
      <c r="B9" s="170" t="s">
        <v>28</v>
      </c>
      <c r="C9" s="184" t="s">
        <v>160</v>
      </c>
      <c r="D9" s="184" t="s">
        <v>62</v>
      </c>
      <c r="E9" s="184" t="s">
        <v>161</v>
      </c>
      <c r="F9" s="184" t="s">
        <v>162</v>
      </c>
      <c r="G9" s="184" t="s">
        <v>163</v>
      </c>
      <c r="H9" s="184" t="s">
        <v>164</v>
      </c>
      <c r="I9" s="184" t="s">
        <v>165</v>
      </c>
      <c r="J9" s="184" t="s">
        <v>166</v>
      </c>
      <c r="K9" s="231" t="s">
        <v>256</v>
      </c>
      <c r="L9" s="232" t="s">
        <v>226</v>
      </c>
      <c r="M9" s="1" t="s">
        <v>219</v>
      </c>
      <c r="N9" s="181" t="s">
        <v>227</v>
      </c>
      <c r="O9" s="25" t="s">
        <v>29</v>
      </c>
      <c r="P9" s="177"/>
      <c r="Q9" s="178"/>
      <c r="R9" s="177"/>
      <c r="S9" s="183" t="s">
        <v>231</v>
      </c>
    </row>
    <row r="10" spans="2:48" ht="41.25" thickBot="1">
      <c r="B10" s="185" t="s">
        <v>30</v>
      </c>
      <c r="C10" s="186" t="s">
        <v>168</v>
      </c>
      <c r="D10" s="186" t="s">
        <v>127</v>
      </c>
      <c r="E10" s="186" t="s">
        <v>168</v>
      </c>
      <c r="F10" s="186" t="s">
        <v>168</v>
      </c>
      <c r="G10" s="186" t="s">
        <v>168</v>
      </c>
      <c r="H10" s="186" t="s">
        <v>168</v>
      </c>
      <c r="I10" s="186" t="s">
        <v>168</v>
      </c>
      <c r="J10" s="186" t="s">
        <v>168</v>
      </c>
      <c r="K10" s="233" t="s">
        <v>257</v>
      </c>
      <c r="L10" s="233" t="s">
        <v>258</v>
      </c>
      <c r="M10" s="187" t="s">
        <v>257</v>
      </c>
      <c r="N10" s="188" t="s">
        <v>259</v>
      </c>
      <c r="O10" s="189" t="s">
        <v>260</v>
      </c>
      <c r="P10" s="190"/>
      <c r="Q10" s="191" t="s">
        <v>261</v>
      </c>
      <c r="R10" s="190"/>
      <c r="S10" s="192" t="s">
        <v>262</v>
      </c>
    </row>
    <row r="11" spans="2:48" ht="14.25" thickTop="1">
      <c r="B11" s="193" t="s">
        <v>275</v>
      </c>
      <c r="C11" s="194" t="s">
        <v>167</v>
      </c>
      <c r="D11" s="194" t="s">
        <v>167</v>
      </c>
      <c r="E11" s="194" t="s">
        <v>167</v>
      </c>
      <c r="F11" s="194" t="s">
        <v>167</v>
      </c>
      <c r="G11" s="194" t="s">
        <v>167</v>
      </c>
      <c r="H11" s="194" t="s">
        <v>167</v>
      </c>
      <c r="I11" s="194" t="s">
        <v>167</v>
      </c>
      <c r="J11" s="194" t="s">
        <v>167</v>
      </c>
      <c r="K11" s="234" t="s">
        <v>229</v>
      </c>
      <c r="L11" s="234" t="s">
        <v>268</v>
      </c>
      <c r="M11" s="195" t="s">
        <v>229</v>
      </c>
      <c r="N11" s="195" t="s">
        <v>229</v>
      </c>
      <c r="O11" s="196" t="s">
        <v>108</v>
      </c>
      <c r="P11" s="194"/>
      <c r="Q11" s="197" t="s">
        <v>127</v>
      </c>
      <c r="R11" s="194"/>
      <c r="S11" s="198" t="s">
        <v>127</v>
      </c>
    </row>
    <row r="12" spans="2:48">
      <c r="B12" s="199" t="s">
        <v>276</v>
      </c>
      <c r="C12" s="200" t="s">
        <v>167</v>
      </c>
      <c r="D12" s="200" t="s">
        <v>167</v>
      </c>
      <c r="E12" s="200" t="s">
        <v>167</v>
      </c>
      <c r="F12" s="200" t="s">
        <v>167</v>
      </c>
      <c r="G12" s="200" t="s">
        <v>167</v>
      </c>
      <c r="H12" s="200" t="s">
        <v>167</v>
      </c>
      <c r="I12" s="200" t="s">
        <v>167</v>
      </c>
      <c r="J12" s="200" t="s">
        <v>167</v>
      </c>
      <c r="K12" s="234" t="s">
        <v>216</v>
      </c>
      <c r="L12" s="234" t="s">
        <v>215</v>
      </c>
      <c r="M12" s="195" t="s">
        <v>216</v>
      </c>
      <c r="N12" s="195" t="s">
        <v>204</v>
      </c>
      <c r="O12" s="201" t="s">
        <v>263</v>
      </c>
      <c r="P12" s="194"/>
      <c r="Q12" s="202" t="s">
        <v>264</v>
      </c>
      <c r="R12" s="194"/>
      <c r="S12" s="198" t="s">
        <v>265</v>
      </c>
    </row>
    <row r="13" spans="2:48">
      <c r="B13" s="236" t="s">
        <v>277</v>
      </c>
      <c r="C13" s="237" t="s">
        <v>167</v>
      </c>
      <c r="D13" s="237" t="s">
        <v>167</v>
      </c>
      <c r="E13" s="237" t="s">
        <v>167</v>
      </c>
      <c r="F13" s="237" t="s">
        <v>167</v>
      </c>
      <c r="G13" s="237" t="s">
        <v>167</v>
      </c>
      <c r="H13" s="237" t="s">
        <v>167</v>
      </c>
      <c r="I13" s="237" t="s">
        <v>167</v>
      </c>
      <c r="J13" s="237" t="s">
        <v>167</v>
      </c>
      <c r="K13" s="234" t="s">
        <v>216</v>
      </c>
      <c r="L13" s="234" t="s">
        <v>215</v>
      </c>
      <c r="M13" s="234" t="s">
        <v>204</v>
      </c>
      <c r="N13" s="234" t="s">
        <v>216</v>
      </c>
      <c r="O13" s="238" t="s">
        <v>108</v>
      </c>
      <c r="P13" s="239"/>
      <c r="Q13" s="240" t="s">
        <v>127</v>
      </c>
      <c r="R13" s="239"/>
      <c r="S13" s="241" t="s">
        <v>127</v>
      </c>
    </row>
    <row r="14" spans="2:48">
      <c r="B14" s="236" t="s">
        <v>278</v>
      </c>
      <c r="C14" s="237" t="s">
        <v>167</v>
      </c>
      <c r="D14" s="237" t="s">
        <v>167</v>
      </c>
      <c r="E14" s="237" t="s">
        <v>167</v>
      </c>
      <c r="F14" s="237" t="s">
        <v>167</v>
      </c>
      <c r="G14" s="237" t="s">
        <v>167</v>
      </c>
      <c r="H14" s="237" t="s">
        <v>167</v>
      </c>
      <c r="I14" s="237" t="s">
        <v>167</v>
      </c>
      <c r="J14" s="237" t="s">
        <v>167</v>
      </c>
      <c r="K14" s="234" t="s">
        <v>216</v>
      </c>
      <c r="L14" s="234" t="s">
        <v>215</v>
      </c>
      <c r="M14" s="234" t="s">
        <v>204</v>
      </c>
      <c r="N14" s="234" t="s">
        <v>232</v>
      </c>
      <c r="O14" s="238" t="s">
        <v>108</v>
      </c>
      <c r="P14" s="239"/>
      <c r="Q14" s="240" t="s">
        <v>127</v>
      </c>
      <c r="R14" s="239"/>
      <c r="S14" s="241" t="s">
        <v>127</v>
      </c>
    </row>
    <row r="15" spans="2:48">
      <c r="B15" s="236" t="s">
        <v>275</v>
      </c>
      <c r="C15" s="237" t="s">
        <v>167</v>
      </c>
      <c r="D15" s="237" t="s">
        <v>167</v>
      </c>
      <c r="E15" s="237" t="s">
        <v>167</v>
      </c>
      <c r="F15" s="237" t="s">
        <v>167</v>
      </c>
      <c r="G15" s="237" t="s">
        <v>167</v>
      </c>
      <c r="H15" s="237" t="s">
        <v>167</v>
      </c>
      <c r="I15" s="237" t="s">
        <v>167</v>
      </c>
      <c r="J15" s="237" t="s">
        <v>167</v>
      </c>
      <c r="K15" s="234" t="s">
        <v>216</v>
      </c>
      <c r="L15" s="234" t="s">
        <v>269</v>
      </c>
      <c r="M15" s="234" t="s">
        <v>216</v>
      </c>
      <c r="N15" s="234" t="s">
        <v>216</v>
      </c>
      <c r="O15" s="238" t="s">
        <v>32</v>
      </c>
      <c r="P15" s="239"/>
      <c r="Q15" s="240" t="s">
        <v>31</v>
      </c>
      <c r="R15" s="239"/>
      <c r="S15" s="241" t="s">
        <v>31</v>
      </c>
    </row>
    <row r="16" spans="2:48">
      <c r="B16" s="242" t="s">
        <v>276</v>
      </c>
      <c r="C16" s="237" t="s">
        <v>167</v>
      </c>
      <c r="D16" s="237" t="s">
        <v>167</v>
      </c>
      <c r="E16" s="237" t="s">
        <v>167</v>
      </c>
      <c r="F16" s="237" t="s">
        <v>167</v>
      </c>
      <c r="G16" s="237" t="s">
        <v>167</v>
      </c>
      <c r="H16" s="237" t="s">
        <v>167</v>
      </c>
      <c r="I16" s="237" t="s">
        <v>167</v>
      </c>
      <c r="J16" s="237" t="s">
        <v>167</v>
      </c>
      <c r="K16" s="234" t="s">
        <v>216</v>
      </c>
      <c r="L16" s="234" t="s">
        <v>208</v>
      </c>
      <c r="M16" s="234" t="s">
        <v>216</v>
      </c>
      <c r="N16" s="234" t="s">
        <v>204</v>
      </c>
      <c r="O16" s="243" t="s">
        <v>263</v>
      </c>
      <c r="P16" s="239"/>
      <c r="Q16" s="244" t="s">
        <v>264</v>
      </c>
      <c r="R16" s="239"/>
      <c r="S16" s="241" t="s">
        <v>265</v>
      </c>
    </row>
    <row r="17" spans="2:19">
      <c r="B17" s="236" t="s">
        <v>277</v>
      </c>
      <c r="C17" s="237" t="s">
        <v>167</v>
      </c>
      <c r="D17" s="237" t="s">
        <v>167</v>
      </c>
      <c r="E17" s="237" t="s">
        <v>167</v>
      </c>
      <c r="F17" s="237" t="s">
        <v>167</v>
      </c>
      <c r="G17" s="237" t="s">
        <v>167</v>
      </c>
      <c r="H17" s="237" t="s">
        <v>167</v>
      </c>
      <c r="I17" s="237" t="s">
        <v>167</v>
      </c>
      <c r="J17" s="237" t="s">
        <v>167</v>
      </c>
      <c r="K17" s="234" t="s">
        <v>216</v>
      </c>
      <c r="L17" s="234" t="s">
        <v>208</v>
      </c>
      <c r="M17" s="234" t="s">
        <v>204</v>
      </c>
      <c r="N17" s="234" t="s">
        <v>216</v>
      </c>
      <c r="O17" s="238" t="s">
        <v>108</v>
      </c>
      <c r="P17" s="239"/>
      <c r="Q17" s="240" t="s">
        <v>127</v>
      </c>
      <c r="R17" s="239"/>
      <c r="S17" s="241" t="s">
        <v>127</v>
      </c>
    </row>
    <row r="18" spans="2:19">
      <c r="B18" s="236" t="s">
        <v>278</v>
      </c>
      <c r="C18" s="237" t="s">
        <v>167</v>
      </c>
      <c r="D18" s="237" t="s">
        <v>167</v>
      </c>
      <c r="E18" s="237" t="s">
        <v>167</v>
      </c>
      <c r="F18" s="237" t="s">
        <v>167</v>
      </c>
      <c r="G18" s="237" t="s">
        <v>167</v>
      </c>
      <c r="H18" s="237" t="s">
        <v>167</v>
      </c>
      <c r="I18" s="237" t="s">
        <v>167</v>
      </c>
      <c r="J18" s="237" t="s">
        <v>167</v>
      </c>
      <c r="K18" s="234" t="s">
        <v>216</v>
      </c>
      <c r="L18" s="234" t="s">
        <v>208</v>
      </c>
      <c r="M18" s="234" t="s">
        <v>204</v>
      </c>
      <c r="N18" s="234" t="s">
        <v>232</v>
      </c>
      <c r="O18" s="238" t="s">
        <v>108</v>
      </c>
      <c r="P18" s="239"/>
      <c r="Q18" s="240" t="s">
        <v>127</v>
      </c>
      <c r="R18" s="239"/>
      <c r="S18" s="241" t="s">
        <v>127</v>
      </c>
    </row>
    <row r="19" spans="2:19">
      <c r="B19" s="236" t="s">
        <v>279</v>
      </c>
      <c r="C19" s="237" t="s">
        <v>167</v>
      </c>
      <c r="D19" s="237" t="s">
        <v>167</v>
      </c>
      <c r="E19" s="237" t="s">
        <v>167</v>
      </c>
      <c r="F19" s="237" t="s">
        <v>167</v>
      </c>
      <c r="G19" s="237" t="s">
        <v>167</v>
      </c>
      <c r="H19" s="237" t="s">
        <v>167</v>
      </c>
      <c r="I19" s="237" t="s">
        <v>167</v>
      </c>
      <c r="J19" s="237" t="s">
        <v>167</v>
      </c>
      <c r="K19" s="234" t="s">
        <v>216</v>
      </c>
      <c r="L19" s="234" t="s">
        <v>266</v>
      </c>
      <c r="M19" s="234" t="s">
        <v>216</v>
      </c>
      <c r="N19" s="234" t="s">
        <v>216</v>
      </c>
      <c r="O19" s="238" t="s">
        <v>39</v>
      </c>
      <c r="P19" s="239"/>
      <c r="Q19" s="240" t="s">
        <v>31</v>
      </c>
      <c r="R19" s="239"/>
      <c r="S19" s="241" t="s">
        <v>265</v>
      </c>
    </row>
    <row r="20" spans="2:19">
      <c r="B20" s="242" t="s">
        <v>280</v>
      </c>
      <c r="C20" s="237" t="s">
        <v>167</v>
      </c>
      <c r="D20" s="237" t="s">
        <v>167</v>
      </c>
      <c r="E20" s="237" t="s">
        <v>167</v>
      </c>
      <c r="F20" s="237" t="s">
        <v>167</v>
      </c>
      <c r="G20" s="237" t="s">
        <v>167</v>
      </c>
      <c r="H20" s="237" t="s">
        <v>167</v>
      </c>
      <c r="I20" s="237" t="s">
        <v>167</v>
      </c>
      <c r="J20" s="237" t="s">
        <v>167</v>
      </c>
      <c r="K20" s="234" t="s">
        <v>216</v>
      </c>
      <c r="L20" s="234" t="s">
        <v>209</v>
      </c>
      <c r="M20" s="234" t="s">
        <v>216</v>
      </c>
      <c r="N20" s="234" t="s">
        <v>232</v>
      </c>
      <c r="O20" s="243" t="s">
        <v>248</v>
      </c>
      <c r="P20" s="239"/>
      <c r="Q20" s="244" t="s">
        <v>249</v>
      </c>
      <c r="R20" s="239"/>
      <c r="S20" s="241" t="s">
        <v>265</v>
      </c>
    </row>
    <row r="21" spans="2:19">
      <c r="B21" s="236" t="s">
        <v>281</v>
      </c>
      <c r="C21" s="237" t="s">
        <v>167</v>
      </c>
      <c r="D21" s="237" t="s">
        <v>167</v>
      </c>
      <c r="E21" s="237" t="s">
        <v>167</v>
      </c>
      <c r="F21" s="237" t="s">
        <v>167</v>
      </c>
      <c r="G21" s="237" t="s">
        <v>167</v>
      </c>
      <c r="H21" s="237" t="s">
        <v>167</v>
      </c>
      <c r="I21" s="237" t="s">
        <v>167</v>
      </c>
      <c r="J21" s="237" t="s">
        <v>167</v>
      </c>
      <c r="K21" s="234" t="s">
        <v>216</v>
      </c>
      <c r="L21" s="234" t="s">
        <v>209</v>
      </c>
      <c r="M21" s="234" t="s">
        <v>232</v>
      </c>
      <c r="N21" s="234" t="s">
        <v>216</v>
      </c>
      <c r="O21" s="238" t="s">
        <v>26</v>
      </c>
      <c r="P21" s="239"/>
      <c r="Q21" s="240" t="s">
        <v>31</v>
      </c>
      <c r="R21" s="239"/>
      <c r="S21" s="241" t="s">
        <v>265</v>
      </c>
    </row>
    <row r="22" spans="2:19">
      <c r="B22" s="236" t="s">
        <v>282</v>
      </c>
      <c r="C22" s="237" t="s">
        <v>167</v>
      </c>
      <c r="D22" s="237" t="s">
        <v>167</v>
      </c>
      <c r="E22" s="237" t="s">
        <v>167</v>
      </c>
      <c r="F22" s="237" t="s">
        <v>167</v>
      </c>
      <c r="G22" s="237" t="s">
        <v>167</v>
      </c>
      <c r="H22" s="237" t="s">
        <v>167</v>
      </c>
      <c r="I22" s="237" t="s">
        <v>167</v>
      </c>
      <c r="J22" s="237" t="s">
        <v>167</v>
      </c>
      <c r="K22" s="234" t="s">
        <v>216</v>
      </c>
      <c r="L22" s="234" t="s">
        <v>209</v>
      </c>
      <c r="M22" s="234" t="s">
        <v>232</v>
      </c>
      <c r="N22" s="234" t="s">
        <v>232</v>
      </c>
      <c r="O22" s="238" t="s">
        <v>26</v>
      </c>
      <c r="P22" s="239"/>
      <c r="Q22" s="240" t="s">
        <v>31</v>
      </c>
      <c r="R22" s="239"/>
      <c r="S22" s="241" t="s">
        <v>265</v>
      </c>
    </row>
    <row r="23" spans="2:19">
      <c r="B23" s="236" t="s">
        <v>275</v>
      </c>
      <c r="C23" s="237" t="s">
        <v>167</v>
      </c>
      <c r="D23" s="237" t="s">
        <v>167</v>
      </c>
      <c r="E23" s="237" t="s">
        <v>167</v>
      </c>
      <c r="F23" s="237" t="s">
        <v>167</v>
      </c>
      <c r="G23" s="237" t="s">
        <v>167</v>
      </c>
      <c r="H23" s="237" t="s">
        <v>167</v>
      </c>
      <c r="I23" s="237" t="s">
        <v>167</v>
      </c>
      <c r="J23" s="237" t="s">
        <v>167</v>
      </c>
      <c r="K23" s="234" t="s">
        <v>216</v>
      </c>
      <c r="L23" s="234" t="s">
        <v>270</v>
      </c>
      <c r="M23" s="234" t="s">
        <v>216</v>
      </c>
      <c r="N23" s="234" t="s">
        <v>216</v>
      </c>
      <c r="O23" s="238" t="s">
        <v>32</v>
      </c>
      <c r="P23" s="239"/>
      <c r="Q23" s="240" t="s">
        <v>31</v>
      </c>
      <c r="R23" s="239"/>
      <c r="S23" s="241" t="s">
        <v>31</v>
      </c>
    </row>
    <row r="24" spans="2:19">
      <c r="B24" s="242" t="s">
        <v>276</v>
      </c>
      <c r="C24" s="237" t="s">
        <v>167</v>
      </c>
      <c r="D24" s="237" t="s">
        <v>167</v>
      </c>
      <c r="E24" s="237" t="s">
        <v>167</v>
      </c>
      <c r="F24" s="237" t="s">
        <v>167</v>
      </c>
      <c r="G24" s="237" t="s">
        <v>167</v>
      </c>
      <c r="H24" s="237" t="s">
        <v>167</v>
      </c>
      <c r="I24" s="237" t="s">
        <v>167</v>
      </c>
      <c r="J24" s="237" t="s">
        <v>167</v>
      </c>
      <c r="K24" s="234" t="s">
        <v>216</v>
      </c>
      <c r="L24" s="234" t="s">
        <v>210</v>
      </c>
      <c r="M24" s="234" t="s">
        <v>216</v>
      </c>
      <c r="N24" s="234" t="s">
        <v>204</v>
      </c>
      <c r="O24" s="243" t="s">
        <v>263</v>
      </c>
      <c r="P24" s="239"/>
      <c r="Q24" s="244" t="s">
        <v>264</v>
      </c>
      <c r="R24" s="239"/>
      <c r="S24" s="241" t="s">
        <v>265</v>
      </c>
    </row>
    <row r="25" spans="2:19">
      <c r="B25" s="236" t="s">
        <v>277</v>
      </c>
      <c r="C25" s="237" t="s">
        <v>167</v>
      </c>
      <c r="D25" s="237" t="s">
        <v>167</v>
      </c>
      <c r="E25" s="237" t="s">
        <v>167</v>
      </c>
      <c r="F25" s="237" t="s">
        <v>167</v>
      </c>
      <c r="G25" s="237" t="s">
        <v>167</v>
      </c>
      <c r="H25" s="237" t="s">
        <v>167</v>
      </c>
      <c r="I25" s="237" t="s">
        <v>167</v>
      </c>
      <c r="J25" s="237" t="s">
        <v>167</v>
      </c>
      <c r="K25" s="234" t="s">
        <v>216</v>
      </c>
      <c r="L25" s="234" t="s">
        <v>210</v>
      </c>
      <c r="M25" s="234" t="s">
        <v>204</v>
      </c>
      <c r="N25" s="234" t="s">
        <v>216</v>
      </c>
      <c r="O25" s="238" t="s">
        <v>108</v>
      </c>
      <c r="P25" s="239"/>
      <c r="Q25" s="240" t="s">
        <v>127</v>
      </c>
      <c r="R25" s="239"/>
      <c r="S25" s="241" t="s">
        <v>127</v>
      </c>
    </row>
    <row r="26" spans="2:19">
      <c r="B26" s="236" t="s">
        <v>278</v>
      </c>
      <c r="C26" s="237" t="s">
        <v>167</v>
      </c>
      <c r="D26" s="237" t="s">
        <v>167</v>
      </c>
      <c r="E26" s="237" t="s">
        <v>167</v>
      </c>
      <c r="F26" s="237" t="s">
        <v>167</v>
      </c>
      <c r="G26" s="237" t="s">
        <v>167</v>
      </c>
      <c r="H26" s="237" t="s">
        <v>167</v>
      </c>
      <c r="I26" s="237" t="s">
        <v>167</v>
      </c>
      <c r="J26" s="237" t="s">
        <v>167</v>
      </c>
      <c r="K26" s="234" t="s">
        <v>216</v>
      </c>
      <c r="L26" s="234" t="s">
        <v>210</v>
      </c>
      <c r="M26" s="234" t="s">
        <v>204</v>
      </c>
      <c r="N26" s="234" t="s">
        <v>232</v>
      </c>
      <c r="O26" s="238" t="s">
        <v>108</v>
      </c>
      <c r="P26" s="239"/>
      <c r="Q26" s="240" t="s">
        <v>127</v>
      </c>
      <c r="R26" s="239"/>
      <c r="S26" s="241" t="s">
        <v>127</v>
      </c>
    </row>
    <row r="27" spans="2:19">
      <c r="B27" s="236" t="s">
        <v>275</v>
      </c>
      <c r="C27" s="237" t="s">
        <v>167</v>
      </c>
      <c r="D27" s="237" t="s">
        <v>167</v>
      </c>
      <c r="E27" s="237" t="s">
        <v>167</v>
      </c>
      <c r="F27" s="237" t="s">
        <v>167</v>
      </c>
      <c r="G27" s="237" t="s">
        <v>167</v>
      </c>
      <c r="H27" s="237" t="s">
        <v>167</v>
      </c>
      <c r="I27" s="237" t="s">
        <v>167</v>
      </c>
      <c r="J27" s="237" t="s">
        <v>167</v>
      </c>
      <c r="K27" s="234" t="s">
        <v>216</v>
      </c>
      <c r="L27" s="234" t="s">
        <v>271</v>
      </c>
      <c r="M27" s="234" t="s">
        <v>216</v>
      </c>
      <c r="N27" s="234" t="s">
        <v>216</v>
      </c>
      <c r="O27" s="238" t="s">
        <v>32</v>
      </c>
      <c r="P27" s="239"/>
      <c r="Q27" s="240" t="s">
        <v>31</v>
      </c>
      <c r="R27" s="239"/>
      <c r="S27" s="241" t="s">
        <v>31</v>
      </c>
    </row>
    <row r="28" spans="2:19">
      <c r="B28" s="242" t="s">
        <v>276</v>
      </c>
      <c r="C28" s="237" t="s">
        <v>167</v>
      </c>
      <c r="D28" s="237" t="s">
        <v>167</v>
      </c>
      <c r="E28" s="237" t="s">
        <v>167</v>
      </c>
      <c r="F28" s="237" t="s">
        <v>167</v>
      </c>
      <c r="G28" s="237" t="s">
        <v>167</v>
      </c>
      <c r="H28" s="237" t="s">
        <v>167</v>
      </c>
      <c r="I28" s="237" t="s">
        <v>167</v>
      </c>
      <c r="J28" s="237" t="s">
        <v>167</v>
      </c>
      <c r="K28" s="234" t="s">
        <v>216</v>
      </c>
      <c r="L28" s="234" t="s">
        <v>211</v>
      </c>
      <c r="M28" s="234" t="s">
        <v>216</v>
      </c>
      <c r="N28" s="234" t="s">
        <v>204</v>
      </c>
      <c r="O28" s="243" t="s">
        <v>263</v>
      </c>
      <c r="P28" s="239"/>
      <c r="Q28" s="244" t="s">
        <v>264</v>
      </c>
      <c r="R28" s="239"/>
      <c r="S28" s="241" t="s">
        <v>265</v>
      </c>
    </row>
    <row r="29" spans="2:19">
      <c r="B29" s="236" t="s">
        <v>277</v>
      </c>
      <c r="C29" s="237" t="s">
        <v>167</v>
      </c>
      <c r="D29" s="237" t="s">
        <v>167</v>
      </c>
      <c r="E29" s="237" t="s">
        <v>167</v>
      </c>
      <c r="F29" s="237" t="s">
        <v>167</v>
      </c>
      <c r="G29" s="237" t="s">
        <v>167</v>
      </c>
      <c r="H29" s="237" t="s">
        <v>167</v>
      </c>
      <c r="I29" s="237" t="s">
        <v>167</v>
      </c>
      <c r="J29" s="237" t="s">
        <v>167</v>
      </c>
      <c r="K29" s="234" t="s">
        <v>216</v>
      </c>
      <c r="L29" s="234" t="s">
        <v>211</v>
      </c>
      <c r="M29" s="234" t="s">
        <v>204</v>
      </c>
      <c r="N29" s="234" t="s">
        <v>216</v>
      </c>
      <c r="O29" s="238" t="s">
        <v>108</v>
      </c>
      <c r="P29" s="239"/>
      <c r="Q29" s="240" t="s">
        <v>127</v>
      </c>
      <c r="R29" s="239"/>
      <c r="S29" s="241" t="s">
        <v>127</v>
      </c>
    </row>
    <row r="30" spans="2:19">
      <c r="B30" s="236" t="s">
        <v>278</v>
      </c>
      <c r="C30" s="237" t="s">
        <v>167</v>
      </c>
      <c r="D30" s="237" t="s">
        <v>167</v>
      </c>
      <c r="E30" s="237" t="s">
        <v>167</v>
      </c>
      <c r="F30" s="237" t="s">
        <v>167</v>
      </c>
      <c r="G30" s="237" t="s">
        <v>167</v>
      </c>
      <c r="H30" s="237" t="s">
        <v>167</v>
      </c>
      <c r="I30" s="237" t="s">
        <v>167</v>
      </c>
      <c r="J30" s="237" t="s">
        <v>167</v>
      </c>
      <c r="K30" s="234" t="s">
        <v>216</v>
      </c>
      <c r="L30" s="234" t="s">
        <v>211</v>
      </c>
      <c r="M30" s="234" t="s">
        <v>204</v>
      </c>
      <c r="N30" s="234" t="s">
        <v>232</v>
      </c>
      <c r="O30" s="238" t="s">
        <v>108</v>
      </c>
      <c r="P30" s="239"/>
      <c r="Q30" s="240" t="s">
        <v>127</v>
      </c>
      <c r="R30" s="239"/>
      <c r="S30" s="241" t="s">
        <v>127</v>
      </c>
    </row>
    <row r="31" spans="2:19">
      <c r="B31" s="236" t="s">
        <v>275</v>
      </c>
      <c r="C31" s="237" t="s">
        <v>167</v>
      </c>
      <c r="D31" s="237" t="s">
        <v>167</v>
      </c>
      <c r="E31" s="237" t="s">
        <v>167</v>
      </c>
      <c r="F31" s="237" t="s">
        <v>167</v>
      </c>
      <c r="G31" s="237" t="s">
        <v>167</v>
      </c>
      <c r="H31" s="237" t="s">
        <v>167</v>
      </c>
      <c r="I31" s="237" t="s">
        <v>167</v>
      </c>
      <c r="J31" s="237" t="s">
        <v>167</v>
      </c>
      <c r="K31" s="234" t="s">
        <v>216</v>
      </c>
      <c r="L31" s="234" t="s">
        <v>272</v>
      </c>
      <c r="M31" s="234" t="s">
        <v>216</v>
      </c>
      <c r="N31" s="234" t="s">
        <v>216</v>
      </c>
      <c r="O31" s="238" t="s">
        <v>32</v>
      </c>
      <c r="P31" s="239"/>
      <c r="Q31" s="240" t="s">
        <v>31</v>
      </c>
      <c r="R31" s="239"/>
      <c r="S31" s="241" t="s">
        <v>31</v>
      </c>
    </row>
    <row r="32" spans="2:19">
      <c r="B32" s="242" t="s">
        <v>276</v>
      </c>
      <c r="C32" s="237" t="s">
        <v>167</v>
      </c>
      <c r="D32" s="237" t="s">
        <v>167</v>
      </c>
      <c r="E32" s="237" t="s">
        <v>167</v>
      </c>
      <c r="F32" s="237" t="s">
        <v>167</v>
      </c>
      <c r="G32" s="237" t="s">
        <v>167</v>
      </c>
      <c r="H32" s="237" t="s">
        <v>167</v>
      </c>
      <c r="I32" s="237" t="s">
        <v>167</v>
      </c>
      <c r="J32" s="237" t="s">
        <v>167</v>
      </c>
      <c r="K32" s="234" t="s">
        <v>216</v>
      </c>
      <c r="L32" s="234" t="s">
        <v>212</v>
      </c>
      <c r="M32" s="234" t="s">
        <v>216</v>
      </c>
      <c r="N32" s="234" t="s">
        <v>204</v>
      </c>
      <c r="O32" s="243" t="s">
        <v>263</v>
      </c>
      <c r="P32" s="239"/>
      <c r="Q32" s="244" t="s">
        <v>264</v>
      </c>
      <c r="R32" s="239"/>
      <c r="S32" s="241" t="s">
        <v>265</v>
      </c>
    </row>
    <row r="33" spans="2:19">
      <c r="B33" s="236" t="s">
        <v>277</v>
      </c>
      <c r="C33" s="237" t="s">
        <v>167</v>
      </c>
      <c r="D33" s="237" t="s">
        <v>167</v>
      </c>
      <c r="E33" s="237" t="s">
        <v>167</v>
      </c>
      <c r="F33" s="237" t="s">
        <v>167</v>
      </c>
      <c r="G33" s="237" t="s">
        <v>167</v>
      </c>
      <c r="H33" s="237" t="s">
        <v>167</v>
      </c>
      <c r="I33" s="237" t="s">
        <v>167</v>
      </c>
      <c r="J33" s="237" t="s">
        <v>167</v>
      </c>
      <c r="K33" s="234" t="s">
        <v>216</v>
      </c>
      <c r="L33" s="234" t="s">
        <v>212</v>
      </c>
      <c r="M33" s="234" t="s">
        <v>204</v>
      </c>
      <c r="N33" s="234" t="s">
        <v>216</v>
      </c>
      <c r="O33" s="238" t="s">
        <v>108</v>
      </c>
      <c r="P33" s="239"/>
      <c r="Q33" s="240" t="s">
        <v>127</v>
      </c>
      <c r="R33" s="239"/>
      <c r="S33" s="241" t="s">
        <v>127</v>
      </c>
    </row>
    <row r="34" spans="2:19">
      <c r="B34" s="236" t="s">
        <v>278</v>
      </c>
      <c r="C34" s="237" t="s">
        <v>167</v>
      </c>
      <c r="D34" s="237" t="s">
        <v>167</v>
      </c>
      <c r="E34" s="237" t="s">
        <v>167</v>
      </c>
      <c r="F34" s="237" t="s">
        <v>167</v>
      </c>
      <c r="G34" s="237" t="s">
        <v>167</v>
      </c>
      <c r="H34" s="237" t="s">
        <v>167</v>
      </c>
      <c r="I34" s="237" t="s">
        <v>167</v>
      </c>
      <c r="J34" s="237" t="s">
        <v>167</v>
      </c>
      <c r="K34" s="234" t="s">
        <v>216</v>
      </c>
      <c r="L34" s="234" t="s">
        <v>212</v>
      </c>
      <c r="M34" s="234" t="s">
        <v>204</v>
      </c>
      <c r="N34" s="234" t="s">
        <v>232</v>
      </c>
      <c r="O34" s="238" t="s">
        <v>108</v>
      </c>
      <c r="P34" s="239"/>
      <c r="Q34" s="240" t="s">
        <v>127</v>
      </c>
      <c r="R34" s="239"/>
      <c r="S34" s="241" t="s">
        <v>127</v>
      </c>
    </row>
    <row r="35" spans="2:19">
      <c r="B35" s="236" t="s">
        <v>275</v>
      </c>
      <c r="C35" s="237" t="s">
        <v>167</v>
      </c>
      <c r="D35" s="237" t="s">
        <v>167</v>
      </c>
      <c r="E35" s="237" t="s">
        <v>167</v>
      </c>
      <c r="F35" s="237" t="s">
        <v>167</v>
      </c>
      <c r="G35" s="237" t="s">
        <v>167</v>
      </c>
      <c r="H35" s="237" t="s">
        <v>167</v>
      </c>
      <c r="I35" s="237" t="s">
        <v>167</v>
      </c>
      <c r="J35" s="237" t="s">
        <v>167</v>
      </c>
      <c r="K35" s="234" t="s">
        <v>216</v>
      </c>
      <c r="L35" s="234" t="s">
        <v>273</v>
      </c>
      <c r="M35" s="234" t="s">
        <v>216</v>
      </c>
      <c r="N35" s="234" t="s">
        <v>216</v>
      </c>
      <c r="O35" s="238" t="s">
        <v>32</v>
      </c>
      <c r="P35" s="239"/>
      <c r="Q35" s="240" t="s">
        <v>31</v>
      </c>
      <c r="R35" s="239"/>
      <c r="S35" s="241" t="s">
        <v>31</v>
      </c>
    </row>
    <row r="36" spans="2:19">
      <c r="B36" s="242" t="s">
        <v>276</v>
      </c>
      <c r="C36" s="237" t="s">
        <v>167</v>
      </c>
      <c r="D36" s="237" t="s">
        <v>167</v>
      </c>
      <c r="E36" s="237" t="s">
        <v>167</v>
      </c>
      <c r="F36" s="237" t="s">
        <v>167</v>
      </c>
      <c r="G36" s="237" t="s">
        <v>167</v>
      </c>
      <c r="H36" s="237" t="s">
        <v>167</v>
      </c>
      <c r="I36" s="237" t="s">
        <v>167</v>
      </c>
      <c r="J36" s="237" t="s">
        <v>167</v>
      </c>
      <c r="K36" s="234" t="s">
        <v>216</v>
      </c>
      <c r="L36" s="234" t="s">
        <v>213</v>
      </c>
      <c r="M36" s="234" t="s">
        <v>216</v>
      </c>
      <c r="N36" s="234" t="s">
        <v>204</v>
      </c>
      <c r="O36" s="243" t="s">
        <v>263</v>
      </c>
      <c r="P36" s="239"/>
      <c r="Q36" s="244" t="s">
        <v>264</v>
      </c>
      <c r="R36" s="239"/>
      <c r="S36" s="241" t="s">
        <v>265</v>
      </c>
    </row>
    <row r="37" spans="2:19">
      <c r="B37" s="236" t="s">
        <v>277</v>
      </c>
      <c r="C37" s="237" t="s">
        <v>167</v>
      </c>
      <c r="D37" s="237" t="s">
        <v>167</v>
      </c>
      <c r="E37" s="237" t="s">
        <v>167</v>
      </c>
      <c r="F37" s="237" t="s">
        <v>167</v>
      </c>
      <c r="G37" s="237" t="s">
        <v>167</v>
      </c>
      <c r="H37" s="237" t="s">
        <v>167</v>
      </c>
      <c r="I37" s="237" t="s">
        <v>167</v>
      </c>
      <c r="J37" s="237" t="s">
        <v>167</v>
      </c>
      <c r="K37" s="234" t="s">
        <v>216</v>
      </c>
      <c r="L37" s="234" t="s">
        <v>213</v>
      </c>
      <c r="M37" s="234" t="s">
        <v>204</v>
      </c>
      <c r="N37" s="234" t="s">
        <v>216</v>
      </c>
      <c r="O37" s="238" t="s">
        <v>108</v>
      </c>
      <c r="P37" s="239"/>
      <c r="Q37" s="240" t="s">
        <v>127</v>
      </c>
      <c r="R37" s="239"/>
      <c r="S37" s="241" t="s">
        <v>127</v>
      </c>
    </row>
    <row r="38" spans="2:19">
      <c r="B38" s="236" t="s">
        <v>278</v>
      </c>
      <c r="C38" s="237" t="s">
        <v>167</v>
      </c>
      <c r="D38" s="237" t="s">
        <v>167</v>
      </c>
      <c r="E38" s="237" t="s">
        <v>167</v>
      </c>
      <c r="F38" s="237" t="s">
        <v>167</v>
      </c>
      <c r="G38" s="237" t="s">
        <v>167</v>
      </c>
      <c r="H38" s="237" t="s">
        <v>167</v>
      </c>
      <c r="I38" s="237" t="s">
        <v>167</v>
      </c>
      <c r="J38" s="237" t="s">
        <v>167</v>
      </c>
      <c r="K38" s="234" t="s">
        <v>216</v>
      </c>
      <c r="L38" s="234" t="s">
        <v>213</v>
      </c>
      <c r="M38" s="234" t="s">
        <v>204</v>
      </c>
      <c r="N38" s="234" t="s">
        <v>232</v>
      </c>
      <c r="O38" s="238" t="s">
        <v>108</v>
      </c>
      <c r="P38" s="239"/>
      <c r="Q38" s="240" t="s">
        <v>127</v>
      </c>
      <c r="R38" s="239"/>
      <c r="S38" s="241" t="s">
        <v>127</v>
      </c>
    </row>
    <row r="39" spans="2:19">
      <c r="B39" s="236" t="s">
        <v>275</v>
      </c>
      <c r="C39" s="237" t="s">
        <v>167</v>
      </c>
      <c r="D39" s="237" t="s">
        <v>167</v>
      </c>
      <c r="E39" s="237" t="s">
        <v>167</v>
      </c>
      <c r="F39" s="237" t="s">
        <v>167</v>
      </c>
      <c r="G39" s="237" t="s">
        <v>167</v>
      </c>
      <c r="H39" s="237" t="s">
        <v>167</v>
      </c>
      <c r="I39" s="237" t="s">
        <v>167</v>
      </c>
      <c r="J39" s="237" t="s">
        <v>167</v>
      </c>
      <c r="K39" s="234" t="s">
        <v>216</v>
      </c>
      <c r="L39" s="234" t="s">
        <v>274</v>
      </c>
      <c r="M39" s="234" t="s">
        <v>216</v>
      </c>
      <c r="N39" s="234" t="s">
        <v>216</v>
      </c>
      <c r="O39" s="238" t="s">
        <v>32</v>
      </c>
      <c r="P39" s="239"/>
      <c r="Q39" s="240" t="s">
        <v>31</v>
      </c>
      <c r="R39" s="239"/>
      <c r="S39" s="241" t="s">
        <v>31</v>
      </c>
    </row>
    <row r="40" spans="2:19">
      <c r="B40" s="242" t="s">
        <v>276</v>
      </c>
      <c r="C40" s="237" t="s">
        <v>167</v>
      </c>
      <c r="D40" s="237" t="s">
        <v>167</v>
      </c>
      <c r="E40" s="237" t="s">
        <v>167</v>
      </c>
      <c r="F40" s="237" t="s">
        <v>167</v>
      </c>
      <c r="G40" s="237" t="s">
        <v>167</v>
      </c>
      <c r="H40" s="237" t="s">
        <v>167</v>
      </c>
      <c r="I40" s="237" t="s">
        <v>167</v>
      </c>
      <c r="J40" s="237" t="s">
        <v>167</v>
      </c>
      <c r="K40" s="234" t="s">
        <v>216</v>
      </c>
      <c r="L40" s="234" t="s">
        <v>214</v>
      </c>
      <c r="M40" s="234" t="s">
        <v>216</v>
      </c>
      <c r="N40" s="234" t="s">
        <v>204</v>
      </c>
      <c r="O40" s="243" t="s">
        <v>263</v>
      </c>
      <c r="P40" s="239"/>
      <c r="Q40" s="244" t="s">
        <v>264</v>
      </c>
      <c r="R40" s="239"/>
      <c r="S40" s="241" t="s">
        <v>265</v>
      </c>
    </row>
    <row r="41" spans="2:19">
      <c r="B41" s="236" t="s">
        <v>277</v>
      </c>
      <c r="C41" s="237" t="s">
        <v>167</v>
      </c>
      <c r="D41" s="237" t="s">
        <v>167</v>
      </c>
      <c r="E41" s="237" t="s">
        <v>167</v>
      </c>
      <c r="F41" s="237" t="s">
        <v>167</v>
      </c>
      <c r="G41" s="237" t="s">
        <v>167</v>
      </c>
      <c r="H41" s="237" t="s">
        <v>167</v>
      </c>
      <c r="I41" s="237" t="s">
        <v>167</v>
      </c>
      <c r="J41" s="237" t="s">
        <v>167</v>
      </c>
      <c r="K41" s="234" t="s">
        <v>216</v>
      </c>
      <c r="L41" s="234" t="s">
        <v>214</v>
      </c>
      <c r="M41" s="234" t="s">
        <v>204</v>
      </c>
      <c r="N41" s="234" t="s">
        <v>216</v>
      </c>
      <c r="O41" s="238" t="s">
        <v>108</v>
      </c>
      <c r="P41" s="239"/>
      <c r="Q41" s="240" t="s">
        <v>127</v>
      </c>
      <c r="R41" s="239"/>
      <c r="S41" s="241" t="s">
        <v>127</v>
      </c>
    </row>
    <row r="42" spans="2:19">
      <c r="B42" s="236" t="s">
        <v>278</v>
      </c>
      <c r="C42" s="237" t="s">
        <v>167</v>
      </c>
      <c r="D42" s="237" t="s">
        <v>167</v>
      </c>
      <c r="E42" s="237" t="s">
        <v>167</v>
      </c>
      <c r="F42" s="237" t="s">
        <v>167</v>
      </c>
      <c r="G42" s="237" t="s">
        <v>167</v>
      </c>
      <c r="H42" s="237" t="s">
        <v>167</v>
      </c>
      <c r="I42" s="237" t="s">
        <v>167</v>
      </c>
      <c r="J42" s="237" t="s">
        <v>167</v>
      </c>
      <c r="K42" s="234" t="s">
        <v>216</v>
      </c>
      <c r="L42" s="234" t="s">
        <v>214</v>
      </c>
      <c r="M42" s="234" t="s">
        <v>204</v>
      </c>
      <c r="N42" s="234" t="s">
        <v>232</v>
      </c>
      <c r="O42" s="238" t="s">
        <v>108</v>
      </c>
      <c r="P42" s="239"/>
      <c r="Q42" s="240" t="s">
        <v>127</v>
      </c>
      <c r="R42" s="239"/>
      <c r="S42" s="241" t="s">
        <v>127</v>
      </c>
    </row>
    <row r="43" spans="2:19">
      <c r="B43" s="236" t="s">
        <v>283</v>
      </c>
      <c r="C43" s="237" t="s">
        <v>167</v>
      </c>
      <c r="D43" s="237" t="s">
        <v>167</v>
      </c>
      <c r="E43" s="237" t="s">
        <v>167</v>
      </c>
      <c r="F43" s="237" t="s">
        <v>167</v>
      </c>
      <c r="G43" s="237" t="s">
        <v>167</v>
      </c>
      <c r="H43" s="237" t="s">
        <v>167</v>
      </c>
      <c r="I43" s="237" t="s">
        <v>167</v>
      </c>
      <c r="J43" s="237" t="s">
        <v>167</v>
      </c>
      <c r="K43" s="234" t="s">
        <v>204</v>
      </c>
      <c r="L43" s="234" t="s">
        <v>206</v>
      </c>
      <c r="M43" s="234" t="s">
        <v>216</v>
      </c>
      <c r="N43" s="234" t="s">
        <v>216</v>
      </c>
      <c r="O43" s="238" t="s">
        <v>32</v>
      </c>
      <c r="P43" s="239"/>
      <c r="Q43" s="240" t="s">
        <v>31</v>
      </c>
      <c r="R43" s="239"/>
      <c r="S43" s="241" t="s">
        <v>31</v>
      </c>
    </row>
    <row r="44" spans="2:19">
      <c r="B44" s="242" t="s">
        <v>284</v>
      </c>
      <c r="C44" s="237" t="s">
        <v>167</v>
      </c>
      <c r="D44" s="237" t="s">
        <v>167</v>
      </c>
      <c r="E44" s="237" t="s">
        <v>167</v>
      </c>
      <c r="F44" s="237" t="s">
        <v>167</v>
      </c>
      <c r="G44" s="237" t="s">
        <v>167</v>
      </c>
      <c r="H44" s="237" t="s">
        <v>167</v>
      </c>
      <c r="I44" s="237" t="s">
        <v>167</v>
      </c>
      <c r="J44" s="237" t="s">
        <v>167</v>
      </c>
      <c r="K44" s="234" t="s">
        <v>232</v>
      </c>
      <c r="L44" s="234" t="s">
        <v>233</v>
      </c>
      <c r="M44" s="234" t="s">
        <v>216</v>
      </c>
      <c r="N44" s="234" t="s">
        <v>232</v>
      </c>
      <c r="O44" s="243" t="s">
        <v>248</v>
      </c>
      <c r="P44" s="239"/>
      <c r="Q44" s="244" t="s">
        <v>249</v>
      </c>
      <c r="R44" s="239"/>
      <c r="S44" s="241" t="s">
        <v>265</v>
      </c>
    </row>
    <row r="45" spans="2:19">
      <c r="B45" s="236" t="s">
        <v>285</v>
      </c>
      <c r="C45" s="237" t="s">
        <v>167</v>
      </c>
      <c r="D45" s="237" t="s">
        <v>167</v>
      </c>
      <c r="E45" s="237" t="s">
        <v>167</v>
      </c>
      <c r="F45" s="237" t="s">
        <v>167</v>
      </c>
      <c r="G45" s="237" t="s">
        <v>167</v>
      </c>
      <c r="H45" s="237" t="s">
        <v>167</v>
      </c>
      <c r="I45" s="237" t="s">
        <v>167</v>
      </c>
      <c r="J45" s="237" t="s">
        <v>167</v>
      </c>
      <c r="K45" s="234" t="s">
        <v>232</v>
      </c>
      <c r="L45" s="234" t="s">
        <v>233</v>
      </c>
      <c r="M45" s="234" t="s">
        <v>232</v>
      </c>
      <c r="N45" s="234" t="s">
        <v>216</v>
      </c>
      <c r="O45" s="238" t="s">
        <v>32</v>
      </c>
      <c r="P45" s="239"/>
      <c r="Q45" s="240" t="s">
        <v>31</v>
      </c>
      <c r="R45" s="239"/>
      <c r="S45" s="241" t="s">
        <v>31</v>
      </c>
    </row>
    <row r="46" spans="2:19">
      <c r="B46" s="236" t="s">
        <v>286</v>
      </c>
      <c r="C46" s="237" t="s">
        <v>167</v>
      </c>
      <c r="D46" s="237" t="s">
        <v>167</v>
      </c>
      <c r="E46" s="237" t="s">
        <v>167</v>
      </c>
      <c r="F46" s="237" t="s">
        <v>167</v>
      </c>
      <c r="G46" s="237" t="s">
        <v>167</v>
      </c>
      <c r="H46" s="237" t="s">
        <v>167</v>
      </c>
      <c r="I46" s="237" t="s">
        <v>167</v>
      </c>
      <c r="J46" s="237" t="s">
        <v>167</v>
      </c>
      <c r="K46" s="234" t="s">
        <v>232</v>
      </c>
      <c r="L46" s="234" t="s">
        <v>233</v>
      </c>
      <c r="M46" s="234" t="s">
        <v>232</v>
      </c>
      <c r="N46" s="234" t="s">
        <v>232</v>
      </c>
      <c r="O46" s="238" t="s">
        <v>32</v>
      </c>
      <c r="P46" s="239"/>
      <c r="Q46" s="240" t="s">
        <v>31</v>
      </c>
      <c r="R46" s="239"/>
      <c r="S46" s="241" t="s">
        <v>31</v>
      </c>
    </row>
    <row r="47" spans="2:19" ht="14.25" thickBot="1">
      <c r="B47" s="245" t="s">
        <v>267</v>
      </c>
      <c r="C47" s="246" t="s">
        <v>167</v>
      </c>
      <c r="D47" s="246" t="s">
        <v>167</v>
      </c>
      <c r="E47" s="246" t="s">
        <v>167</v>
      </c>
      <c r="F47" s="246" t="s">
        <v>167</v>
      </c>
      <c r="G47" s="246" t="s">
        <v>167</v>
      </c>
      <c r="H47" s="246" t="s">
        <v>167</v>
      </c>
      <c r="I47" s="246" t="s">
        <v>167</v>
      </c>
      <c r="J47" s="246" t="s">
        <v>167</v>
      </c>
      <c r="K47" s="235" t="s">
        <v>205</v>
      </c>
      <c r="L47" s="235" t="s">
        <v>233</v>
      </c>
      <c r="M47" s="235" t="s">
        <v>205</v>
      </c>
      <c r="N47" s="235" t="s">
        <v>205</v>
      </c>
      <c r="O47" s="247" t="s">
        <v>32</v>
      </c>
      <c r="P47" s="246"/>
      <c r="Q47" s="248" t="s">
        <v>127</v>
      </c>
      <c r="R47" s="246"/>
      <c r="S47" s="249" t="s">
        <v>127</v>
      </c>
    </row>
    <row r="48" spans="2:19">
      <c r="C48" s="42"/>
      <c r="D48" s="42"/>
      <c r="E48" s="42"/>
      <c r="F48" s="42"/>
      <c r="G48" s="42"/>
      <c r="H48" s="42"/>
      <c r="I48" s="42"/>
      <c r="J48" s="42"/>
      <c r="K48" s="42"/>
      <c r="L48" s="42"/>
      <c r="M48" s="42"/>
      <c r="N48" s="42"/>
      <c r="O48" s="42"/>
      <c r="P48" s="42"/>
      <c r="Q48" s="203"/>
      <c r="R48" s="42"/>
      <c r="S48" s="42"/>
    </row>
    <row r="49" spans="3:19">
      <c r="C49" s="42"/>
      <c r="D49" s="42"/>
      <c r="E49" s="42"/>
      <c r="F49" s="42"/>
      <c r="G49" s="42"/>
      <c r="H49" s="42"/>
      <c r="I49" s="42"/>
      <c r="J49" s="42"/>
      <c r="K49" s="42"/>
      <c r="L49" s="42"/>
      <c r="M49" s="42"/>
      <c r="N49" s="42"/>
      <c r="O49" s="42"/>
      <c r="P49" s="42"/>
      <c r="Q49" s="204"/>
      <c r="R49" s="42"/>
      <c r="S49" s="42"/>
    </row>
    <row r="50" spans="3:19">
      <c r="C50" s="42"/>
      <c r="D50" s="42"/>
      <c r="E50" s="42"/>
      <c r="F50" s="42"/>
      <c r="G50" s="42"/>
      <c r="H50" s="42"/>
      <c r="I50" s="42"/>
      <c r="J50" s="42"/>
      <c r="K50" s="42"/>
      <c r="L50" s="42"/>
      <c r="M50" s="42"/>
      <c r="N50" s="42"/>
      <c r="O50" s="42"/>
      <c r="P50" s="42"/>
      <c r="Q50" s="204"/>
      <c r="R50" s="42"/>
      <c r="S50" s="42"/>
    </row>
    <row r="51" spans="3:19">
      <c r="C51" s="42"/>
      <c r="D51" s="42"/>
      <c r="E51" s="42"/>
      <c r="F51" s="42"/>
      <c r="G51" s="42"/>
      <c r="H51" s="42"/>
      <c r="I51" s="42"/>
      <c r="J51" s="42"/>
      <c r="K51" s="42"/>
      <c r="L51" s="42"/>
      <c r="M51" s="42"/>
      <c r="N51" s="42"/>
      <c r="O51" s="42"/>
      <c r="P51" s="42"/>
      <c r="Q51" s="204"/>
      <c r="R51" s="42"/>
      <c r="S51" s="42"/>
    </row>
    <row r="52" spans="3:19">
      <c r="C52" s="42"/>
      <c r="D52" s="42"/>
      <c r="E52" s="42"/>
      <c r="F52" s="42"/>
      <c r="G52" s="42"/>
      <c r="H52" s="42"/>
      <c r="I52" s="42"/>
      <c r="J52" s="42"/>
      <c r="K52" s="42"/>
      <c r="L52" s="42"/>
      <c r="M52" s="42"/>
      <c r="N52" s="42"/>
      <c r="O52" s="42"/>
      <c r="P52" s="42"/>
      <c r="Q52" s="203"/>
      <c r="R52" s="42"/>
      <c r="S52" s="42"/>
    </row>
    <row r="53" spans="3:19">
      <c r="C53" s="42"/>
      <c r="D53" s="42"/>
      <c r="E53" s="42"/>
      <c r="F53" s="42"/>
      <c r="G53" s="42"/>
      <c r="H53" s="42"/>
      <c r="I53" s="42"/>
      <c r="J53" s="42"/>
      <c r="K53" s="42"/>
      <c r="L53" s="42"/>
      <c r="M53" s="42"/>
      <c r="N53" s="42"/>
      <c r="O53" s="42"/>
      <c r="P53" s="42"/>
      <c r="Q53" s="204"/>
      <c r="R53" s="42"/>
      <c r="S53" s="42"/>
    </row>
    <row r="54" spans="3:19">
      <c r="C54" s="42"/>
      <c r="D54" s="42"/>
      <c r="E54" s="42"/>
      <c r="F54" s="42"/>
      <c r="G54" s="42"/>
      <c r="H54" s="42"/>
      <c r="I54" s="42"/>
      <c r="J54" s="42"/>
      <c r="K54" s="42"/>
      <c r="L54" s="42"/>
      <c r="M54" s="42"/>
      <c r="N54" s="42"/>
      <c r="O54" s="42"/>
      <c r="P54" s="42"/>
      <c r="Q54" s="204"/>
      <c r="R54" s="42"/>
      <c r="S54" s="42"/>
    </row>
    <row r="55" spans="3:19">
      <c r="C55" s="42"/>
      <c r="D55" s="42"/>
      <c r="E55" s="42"/>
      <c r="F55" s="42"/>
      <c r="G55" s="42"/>
      <c r="H55" s="42"/>
      <c r="I55" s="42"/>
      <c r="J55" s="42"/>
      <c r="K55" s="42"/>
      <c r="L55" s="42"/>
      <c r="M55" s="42"/>
      <c r="N55" s="42"/>
      <c r="O55" s="42"/>
      <c r="P55" s="42"/>
      <c r="Q55" s="204"/>
      <c r="R55" s="42"/>
      <c r="S55" s="42"/>
    </row>
    <row r="56" spans="3:19">
      <c r="C56" s="42"/>
      <c r="D56" s="42"/>
      <c r="E56" s="42"/>
      <c r="F56" s="42"/>
      <c r="G56" s="42"/>
      <c r="H56" s="42"/>
      <c r="I56" s="42"/>
      <c r="J56" s="42"/>
      <c r="K56" s="42"/>
      <c r="L56" s="42"/>
      <c r="M56" s="42"/>
      <c r="N56" s="42"/>
      <c r="O56" s="42"/>
      <c r="P56" s="42"/>
      <c r="Q56" s="203"/>
      <c r="R56" s="42"/>
      <c r="S56" s="42"/>
    </row>
    <row r="57" spans="3:19">
      <c r="C57" s="42"/>
      <c r="D57" s="42"/>
      <c r="E57" s="42"/>
      <c r="F57" s="42"/>
      <c r="G57" s="42"/>
      <c r="H57" s="42"/>
      <c r="I57" s="42"/>
      <c r="J57" s="42"/>
      <c r="K57" s="42"/>
      <c r="L57" s="42"/>
      <c r="M57" s="42"/>
      <c r="N57" s="42"/>
      <c r="O57" s="42"/>
      <c r="P57" s="42"/>
      <c r="Q57" s="204"/>
      <c r="R57" s="42"/>
      <c r="S57" s="42"/>
    </row>
    <row r="58" spans="3:19">
      <c r="C58" s="42"/>
      <c r="D58" s="42"/>
      <c r="E58" s="42"/>
      <c r="F58" s="42"/>
      <c r="G58" s="42"/>
      <c r="H58" s="42"/>
      <c r="I58" s="42"/>
      <c r="J58" s="42"/>
      <c r="K58" s="42"/>
      <c r="L58" s="42"/>
      <c r="M58" s="42"/>
      <c r="N58" s="42"/>
      <c r="O58" s="42"/>
      <c r="P58" s="42"/>
      <c r="Q58" s="204"/>
      <c r="R58" s="42"/>
      <c r="S58" s="42"/>
    </row>
    <row r="59" spans="3:19">
      <c r="C59" s="42"/>
      <c r="D59" s="42"/>
      <c r="E59" s="42"/>
      <c r="F59" s="42"/>
      <c r="G59" s="42"/>
      <c r="H59" s="42"/>
      <c r="I59" s="42"/>
      <c r="J59" s="42"/>
      <c r="K59" s="42"/>
      <c r="L59" s="42"/>
      <c r="M59" s="42"/>
      <c r="N59" s="42"/>
      <c r="O59" s="42"/>
      <c r="P59" s="42"/>
      <c r="Q59" s="204"/>
      <c r="R59" s="42"/>
      <c r="S59" s="42"/>
    </row>
    <row r="60" spans="3:19">
      <c r="C60" s="42"/>
      <c r="D60" s="42"/>
      <c r="E60" s="42"/>
      <c r="F60" s="42"/>
      <c r="G60" s="42"/>
      <c r="H60" s="42"/>
      <c r="I60" s="42"/>
      <c r="J60" s="42"/>
      <c r="K60" s="42"/>
      <c r="L60" s="42"/>
      <c r="M60" s="42"/>
      <c r="N60" s="42"/>
      <c r="O60" s="42"/>
      <c r="P60" s="42"/>
      <c r="Q60" s="203"/>
      <c r="R60" s="42"/>
      <c r="S60" s="42"/>
    </row>
    <row r="61" spans="3:19">
      <c r="C61" s="42"/>
      <c r="D61" s="42"/>
      <c r="E61" s="42"/>
      <c r="F61" s="42"/>
      <c r="G61" s="42"/>
      <c r="H61" s="42"/>
      <c r="I61" s="42"/>
      <c r="J61" s="42"/>
      <c r="K61" s="42"/>
      <c r="L61" s="42"/>
      <c r="M61" s="42"/>
      <c r="N61" s="42"/>
      <c r="O61" s="42"/>
      <c r="P61" s="42"/>
      <c r="Q61" s="204"/>
      <c r="R61" s="42"/>
      <c r="S61" s="42"/>
    </row>
    <row r="62" spans="3:19">
      <c r="C62" s="42"/>
      <c r="D62" s="42"/>
      <c r="E62" s="42"/>
      <c r="F62" s="42"/>
      <c r="G62" s="42"/>
      <c r="H62" s="42"/>
      <c r="I62" s="42"/>
      <c r="J62" s="42"/>
      <c r="K62" s="42"/>
      <c r="L62" s="42"/>
      <c r="M62" s="42"/>
      <c r="N62" s="42"/>
      <c r="O62" s="42"/>
      <c r="P62" s="42"/>
      <c r="Q62" s="204"/>
      <c r="R62" s="42"/>
      <c r="S62" s="42"/>
    </row>
    <row r="63" spans="3:19">
      <c r="C63" s="42"/>
      <c r="D63" s="42"/>
      <c r="E63" s="42"/>
      <c r="F63" s="42"/>
      <c r="G63" s="42"/>
      <c r="H63" s="42"/>
      <c r="I63" s="42"/>
      <c r="J63" s="42"/>
      <c r="K63" s="42"/>
      <c r="L63" s="42"/>
      <c r="M63" s="42"/>
      <c r="N63" s="42"/>
      <c r="O63" s="42"/>
      <c r="P63" s="42"/>
      <c r="Q63" s="204"/>
      <c r="R63" s="42"/>
      <c r="S63" s="42"/>
    </row>
    <row r="64" spans="3:19">
      <c r="C64" s="42"/>
      <c r="D64" s="42"/>
      <c r="E64" s="42"/>
      <c r="F64" s="42"/>
      <c r="G64" s="42"/>
      <c r="H64" s="42"/>
      <c r="I64" s="42"/>
      <c r="J64" s="42"/>
      <c r="K64" s="42"/>
      <c r="L64" s="42"/>
      <c r="M64" s="42"/>
      <c r="N64" s="42"/>
      <c r="O64" s="42"/>
      <c r="P64" s="42"/>
      <c r="Q64" s="203"/>
      <c r="R64" s="42"/>
      <c r="S64" s="42"/>
    </row>
    <row r="65" spans="3:19">
      <c r="C65" s="42"/>
      <c r="D65" s="42"/>
      <c r="E65" s="42"/>
      <c r="F65" s="42"/>
      <c r="G65" s="42"/>
      <c r="H65" s="42"/>
      <c r="I65" s="42"/>
      <c r="J65" s="42"/>
      <c r="K65" s="42"/>
      <c r="L65" s="42"/>
      <c r="M65" s="42"/>
      <c r="N65" s="42"/>
      <c r="O65" s="42"/>
      <c r="P65" s="42"/>
      <c r="Q65" s="204"/>
      <c r="R65" s="42"/>
      <c r="S65" s="42"/>
    </row>
    <row r="66" spans="3:19">
      <c r="C66" s="42"/>
      <c r="D66" s="42"/>
      <c r="E66" s="42"/>
      <c r="F66" s="42"/>
      <c r="G66" s="42"/>
      <c r="H66" s="42"/>
      <c r="I66" s="42"/>
      <c r="J66" s="42"/>
      <c r="K66" s="42"/>
      <c r="L66" s="42"/>
      <c r="M66" s="42"/>
      <c r="N66" s="42"/>
      <c r="O66" s="42"/>
      <c r="P66" s="42"/>
      <c r="Q66" s="204"/>
      <c r="R66" s="42"/>
      <c r="S66" s="42"/>
    </row>
    <row r="67" spans="3:19">
      <c r="C67" s="42"/>
      <c r="D67" s="42"/>
      <c r="E67" s="42"/>
      <c r="F67" s="42"/>
      <c r="G67" s="42"/>
      <c r="H67" s="42"/>
      <c r="I67" s="42"/>
      <c r="J67" s="42"/>
      <c r="K67" s="42"/>
      <c r="L67" s="42"/>
      <c r="M67" s="42"/>
      <c r="N67" s="42"/>
      <c r="O67" s="42"/>
      <c r="P67" s="42"/>
      <c r="Q67" s="204"/>
      <c r="R67" s="42"/>
      <c r="S67" s="42"/>
    </row>
    <row r="68" spans="3:19">
      <c r="C68" s="42"/>
      <c r="D68" s="42"/>
      <c r="E68" s="42"/>
      <c r="F68" s="42"/>
      <c r="G68" s="42"/>
      <c r="H68" s="42"/>
      <c r="I68" s="42"/>
      <c r="J68" s="42"/>
      <c r="K68" s="42"/>
      <c r="L68" s="42"/>
      <c r="M68" s="42"/>
      <c r="N68" s="42"/>
      <c r="O68" s="42"/>
      <c r="P68" s="42"/>
      <c r="Q68" s="203"/>
      <c r="R68" s="42"/>
      <c r="S68" s="42"/>
    </row>
    <row r="69" spans="3:19">
      <c r="C69" s="42"/>
      <c r="D69" s="42"/>
      <c r="E69" s="42"/>
      <c r="F69" s="42"/>
      <c r="G69" s="42"/>
      <c r="H69" s="42"/>
      <c r="I69" s="42"/>
      <c r="J69" s="42"/>
      <c r="K69" s="42"/>
      <c r="L69" s="42"/>
      <c r="M69" s="42"/>
      <c r="N69" s="42"/>
      <c r="O69" s="42"/>
      <c r="P69" s="42"/>
      <c r="Q69" s="204"/>
      <c r="R69" s="42"/>
      <c r="S69" s="42"/>
    </row>
    <row r="70" spans="3:19">
      <c r="C70" s="42"/>
      <c r="D70" s="42"/>
      <c r="E70" s="42"/>
      <c r="F70" s="42"/>
      <c r="G70" s="42"/>
      <c r="H70" s="42"/>
      <c r="I70" s="42"/>
      <c r="J70" s="42"/>
      <c r="K70" s="42"/>
      <c r="L70" s="42"/>
      <c r="M70" s="42"/>
      <c r="N70" s="42"/>
      <c r="O70" s="42"/>
      <c r="P70" s="42"/>
      <c r="Q70" s="204"/>
      <c r="R70" s="42"/>
      <c r="S70" s="42"/>
    </row>
    <row r="71" spans="3:19">
      <c r="C71" s="42"/>
      <c r="D71" s="42"/>
      <c r="E71" s="42"/>
      <c r="F71" s="42"/>
      <c r="G71" s="42"/>
      <c r="H71" s="42"/>
      <c r="I71" s="42"/>
      <c r="J71" s="42"/>
      <c r="K71" s="42"/>
      <c r="L71" s="42"/>
      <c r="M71" s="42"/>
      <c r="N71" s="42"/>
      <c r="O71" s="42"/>
      <c r="P71" s="42"/>
      <c r="Q71" s="204"/>
      <c r="R71" s="42"/>
      <c r="S71" s="42"/>
    </row>
    <row r="72" spans="3:19">
      <c r="C72" s="42"/>
      <c r="D72" s="42"/>
      <c r="E72" s="42"/>
      <c r="F72" s="42"/>
      <c r="G72" s="42"/>
      <c r="H72" s="42"/>
      <c r="I72" s="42"/>
      <c r="J72" s="42"/>
      <c r="K72" s="42"/>
      <c r="L72" s="42"/>
      <c r="M72" s="42"/>
      <c r="N72" s="42"/>
      <c r="O72" s="42"/>
      <c r="P72" s="42"/>
      <c r="Q72" s="203"/>
      <c r="R72" s="42"/>
      <c r="S72" s="42"/>
    </row>
    <row r="73" spans="3:19">
      <c r="C73" s="42"/>
      <c r="D73" s="42"/>
      <c r="E73" s="42"/>
      <c r="F73" s="42"/>
      <c r="G73" s="42"/>
      <c r="H73" s="42"/>
      <c r="I73" s="42"/>
      <c r="J73" s="42"/>
      <c r="K73" s="42"/>
      <c r="L73" s="42"/>
      <c r="M73" s="42"/>
      <c r="N73" s="42"/>
      <c r="O73" s="42"/>
      <c r="P73" s="42"/>
      <c r="Q73" s="204"/>
      <c r="R73" s="42"/>
      <c r="S73" s="42"/>
    </row>
    <row r="74" spans="3:19">
      <c r="C74" s="42"/>
      <c r="D74" s="42"/>
      <c r="E74" s="42"/>
      <c r="F74" s="42"/>
      <c r="G74" s="42"/>
      <c r="H74" s="42"/>
      <c r="I74" s="42"/>
      <c r="J74" s="42"/>
      <c r="K74" s="42"/>
      <c r="L74" s="42"/>
      <c r="M74" s="42"/>
      <c r="N74" s="42"/>
      <c r="O74" s="42"/>
      <c r="P74" s="42"/>
      <c r="Q74" s="204"/>
      <c r="R74" s="42"/>
      <c r="S74" s="42"/>
    </row>
    <row r="75" spans="3:19">
      <c r="C75" s="42"/>
      <c r="D75" s="42"/>
      <c r="E75" s="42"/>
      <c r="F75" s="42"/>
      <c r="G75" s="42"/>
      <c r="H75" s="42"/>
      <c r="I75" s="42"/>
      <c r="J75" s="42"/>
      <c r="K75" s="42"/>
      <c r="L75" s="42"/>
      <c r="M75" s="42"/>
      <c r="N75" s="42"/>
      <c r="O75" s="42"/>
      <c r="P75" s="42"/>
      <c r="Q75" s="204"/>
      <c r="R75" s="42"/>
      <c r="S75" s="42"/>
    </row>
    <row r="76" spans="3:19">
      <c r="C76" s="42"/>
      <c r="D76" s="42"/>
      <c r="E76" s="42"/>
      <c r="F76" s="42"/>
      <c r="G76" s="42"/>
      <c r="H76" s="42"/>
      <c r="I76" s="42"/>
      <c r="J76" s="42"/>
      <c r="K76" s="42"/>
      <c r="L76" s="42"/>
      <c r="M76" s="42"/>
      <c r="N76" s="42"/>
      <c r="O76" s="42"/>
      <c r="P76" s="42"/>
      <c r="Q76" s="203"/>
      <c r="R76" s="42"/>
      <c r="S76" s="42"/>
    </row>
    <row r="77" spans="3:19">
      <c r="C77" s="42"/>
      <c r="D77" s="42"/>
      <c r="E77" s="42"/>
      <c r="F77" s="42"/>
      <c r="G77" s="42"/>
      <c r="H77" s="42"/>
      <c r="I77" s="42"/>
      <c r="J77" s="42"/>
      <c r="K77" s="42"/>
      <c r="L77" s="42"/>
      <c r="M77" s="42"/>
      <c r="N77" s="42"/>
      <c r="O77" s="42"/>
      <c r="P77" s="42"/>
      <c r="Q77" s="204"/>
      <c r="R77" s="42"/>
      <c r="S77" s="42"/>
    </row>
    <row r="78" spans="3:19">
      <c r="C78" s="42"/>
      <c r="D78" s="42"/>
      <c r="E78" s="42"/>
      <c r="F78" s="42"/>
      <c r="G78" s="42"/>
      <c r="H78" s="42"/>
      <c r="I78" s="42"/>
      <c r="J78" s="42"/>
      <c r="K78" s="42"/>
      <c r="L78" s="42"/>
      <c r="M78" s="42"/>
      <c r="N78" s="42"/>
      <c r="O78" s="42"/>
      <c r="P78" s="42"/>
      <c r="Q78" s="204"/>
      <c r="R78" s="42"/>
      <c r="S78" s="42"/>
    </row>
    <row r="79" spans="3:19">
      <c r="C79" s="42"/>
      <c r="D79" s="42"/>
      <c r="E79" s="42"/>
      <c r="F79" s="42"/>
      <c r="G79" s="42"/>
      <c r="H79" s="42"/>
      <c r="I79" s="42"/>
      <c r="J79" s="42"/>
      <c r="K79" s="42"/>
      <c r="L79" s="42"/>
      <c r="M79" s="42"/>
      <c r="N79" s="42"/>
      <c r="O79" s="42"/>
      <c r="P79" s="42"/>
      <c r="Q79" s="204"/>
      <c r="R79" s="42"/>
      <c r="S79" s="42"/>
    </row>
    <row r="80" spans="3:19">
      <c r="C80" s="42"/>
      <c r="D80" s="42"/>
      <c r="E80" s="42"/>
      <c r="F80" s="42"/>
      <c r="G80" s="42"/>
      <c r="H80" s="42"/>
      <c r="I80" s="42"/>
      <c r="J80" s="42"/>
      <c r="K80" s="42"/>
      <c r="L80" s="42"/>
      <c r="M80" s="42"/>
      <c r="N80" s="42"/>
      <c r="O80" s="42"/>
      <c r="P80" s="42"/>
      <c r="Q80" s="203"/>
      <c r="R80" s="42"/>
      <c r="S80" s="42"/>
    </row>
    <row r="81" spans="3:48">
      <c r="C81" s="42"/>
      <c r="D81" s="42"/>
      <c r="E81" s="42"/>
      <c r="F81" s="42"/>
      <c r="G81" s="42"/>
      <c r="H81" s="42"/>
      <c r="I81" s="42"/>
      <c r="J81" s="42"/>
      <c r="K81" s="42"/>
      <c r="L81" s="42"/>
      <c r="M81" s="42"/>
      <c r="N81" s="42"/>
      <c r="O81" s="42"/>
      <c r="P81" s="42"/>
      <c r="Q81" s="204"/>
      <c r="R81" s="42"/>
      <c r="S81" s="42"/>
    </row>
    <row r="82" spans="3:48">
      <c r="C82" s="42"/>
      <c r="D82" s="42"/>
      <c r="E82" s="42"/>
      <c r="F82" s="42"/>
      <c r="G82" s="42"/>
      <c r="H82" s="42"/>
      <c r="I82" s="42"/>
      <c r="J82" s="42"/>
      <c r="K82" s="42"/>
      <c r="L82" s="42"/>
      <c r="M82" s="42"/>
      <c r="N82" s="42"/>
      <c r="O82" s="42"/>
      <c r="P82" s="42"/>
      <c r="Q82" s="204"/>
      <c r="R82" s="42"/>
      <c r="S82" s="42"/>
      <c r="AV82" s="123" t="s">
        <v>300</v>
      </c>
    </row>
    <row r="83" spans="3:48">
      <c r="C83" s="42"/>
      <c r="D83" s="42"/>
      <c r="E83" s="42"/>
      <c r="F83" s="42"/>
      <c r="G83" s="42"/>
      <c r="H83" s="42"/>
      <c r="I83" s="42"/>
      <c r="J83" s="42"/>
      <c r="K83" s="42"/>
      <c r="L83" s="42"/>
      <c r="M83" s="42"/>
      <c r="N83" s="42"/>
      <c r="O83" s="42"/>
      <c r="P83" s="42"/>
      <c r="Q83" s="204"/>
      <c r="R83" s="42"/>
      <c r="S83" s="42"/>
    </row>
    <row r="84" spans="3:48">
      <c r="C84" s="42"/>
      <c r="D84" s="42"/>
      <c r="E84" s="42"/>
      <c r="F84" s="42"/>
      <c r="G84" s="42"/>
      <c r="H84" s="42"/>
      <c r="I84" s="42"/>
      <c r="J84" s="42"/>
      <c r="K84" s="42"/>
      <c r="L84" s="42"/>
      <c r="M84" s="42"/>
      <c r="N84" s="42"/>
      <c r="O84" s="42"/>
      <c r="P84" s="42"/>
      <c r="Q84" s="203"/>
      <c r="R84" s="42"/>
      <c r="S84" s="42"/>
    </row>
    <row r="85" spans="3:48">
      <c r="C85" s="42"/>
      <c r="D85" s="42"/>
      <c r="E85" s="42"/>
      <c r="F85" s="42"/>
      <c r="G85" s="42"/>
      <c r="H85" s="42"/>
      <c r="I85" s="42"/>
      <c r="J85" s="42"/>
      <c r="K85" s="42"/>
      <c r="L85" s="42"/>
      <c r="M85" s="42"/>
      <c r="N85" s="42"/>
      <c r="O85" s="42"/>
      <c r="P85" s="42"/>
      <c r="Q85" s="204"/>
      <c r="R85" s="42"/>
      <c r="S85" s="42"/>
    </row>
    <row r="86" spans="3:48">
      <c r="C86" s="42"/>
      <c r="D86" s="42"/>
      <c r="E86" s="42"/>
      <c r="F86" s="42"/>
      <c r="G86" s="42"/>
      <c r="H86" s="42"/>
      <c r="I86" s="42"/>
      <c r="J86" s="42"/>
      <c r="K86" s="42"/>
      <c r="L86" s="42"/>
      <c r="M86" s="42"/>
      <c r="N86" s="42"/>
      <c r="O86" s="42"/>
      <c r="P86" s="42"/>
      <c r="Q86" s="204"/>
      <c r="R86" s="42"/>
      <c r="S86" s="42"/>
    </row>
    <row r="87" spans="3:48">
      <c r="C87" s="42"/>
      <c r="D87" s="42"/>
      <c r="E87" s="42"/>
      <c r="F87" s="42"/>
      <c r="G87" s="42"/>
      <c r="H87" s="42"/>
      <c r="I87" s="42"/>
      <c r="J87" s="42"/>
      <c r="K87" s="42"/>
      <c r="L87" s="42"/>
      <c r="M87" s="42"/>
      <c r="N87" s="42"/>
      <c r="O87" s="42"/>
      <c r="P87" s="42"/>
      <c r="Q87" s="204"/>
      <c r="R87" s="42"/>
      <c r="S87" s="42"/>
    </row>
    <row r="88" spans="3:48">
      <c r="C88" s="42"/>
      <c r="D88" s="42"/>
      <c r="E88" s="42"/>
      <c r="F88" s="42"/>
      <c r="G88" s="42"/>
      <c r="H88" s="42"/>
      <c r="I88" s="42"/>
      <c r="J88" s="42"/>
      <c r="K88" s="42"/>
      <c r="L88" s="42"/>
      <c r="M88" s="42"/>
      <c r="N88" s="42"/>
      <c r="O88" s="42"/>
      <c r="P88" s="42"/>
      <c r="Q88" s="203"/>
      <c r="R88" s="42"/>
      <c r="S88" s="42"/>
    </row>
    <row r="89" spans="3:48">
      <c r="C89" s="42"/>
      <c r="D89" s="42"/>
      <c r="E89" s="42"/>
      <c r="F89" s="42"/>
      <c r="G89" s="42"/>
      <c r="H89" s="42"/>
      <c r="I89" s="42"/>
      <c r="J89" s="42"/>
      <c r="K89" s="42"/>
      <c r="L89" s="42"/>
      <c r="M89" s="42"/>
      <c r="N89" s="42"/>
      <c r="O89" s="42"/>
      <c r="P89" s="42"/>
      <c r="Q89" s="204"/>
      <c r="R89" s="42"/>
      <c r="S89" s="42"/>
    </row>
    <row r="90" spans="3:48">
      <c r="C90" s="42"/>
      <c r="D90" s="42"/>
      <c r="E90" s="42"/>
      <c r="F90" s="42"/>
      <c r="G90" s="42"/>
      <c r="H90" s="42"/>
      <c r="I90" s="42"/>
      <c r="J90" s="42"/>
      <c r="K90" s="42"/>
      <c r="L90" s="42"/>
      <c r="M90" s="42"/>
      <c r="N90" s="42"/>
      <c r="O90" s="42"/>
      <c r="P90" s="42"/>
      <c r="Q90" s="204"/>
      <c r="R90" s="42"/>
      <c r="S90" s="42"/>
    </row>
    <row r="91" spans="3:48">
      <c r="C91" s="42"/>
      <c r="D91" s="42"/>
      <c r="E91" s="42"/>
      <c r="F91" s="42"/>
      <c r="G91" s="42"/>
      <c r="H91" s="42"/>
      <c r="I91" s="42"/>
      <c r="J91" s="42"/>
      <c r="K91" s="42"/>
      <c r="L91" s="42"/>
      <c r="M91" s="42"/>
      <c r="N91" s="42"/>
      <c r="O91" s="42"/>
      <c r="P91" s="42"/>
      <c r="Q91" s="42"/>
      <c r="R91" s="42"/>
      <c r="S91" s="42"/>
    </row>
  </sheetData>
  <mergeCells count="3">
    <mergeCell ref="C4:J4"/>
    <mergeCell ref="C6:J6"/>
    <mergeCell ref="C8:J8"/>
  </mergeCells>
  <phoneticPr fontId="2"/>
  <dataValidations disablePrompts="1" count="1">
    <dataValidation type="list" allowBlank="1" showInputMessage="1" showErrorMessage="1" sqref="C4" xr:uid="{242BB354-1F81-4C6E-A0CC-59B8A9537C7B}">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7" t="s">
        <v>85</v>
      </c>
      <c r="C2" s="58">
        <f>MAX(B4:B28)</f>
        <v>20</v>
      </c>
      <c r="D2" s="58"/>
    </row>
    <row r="3" spans="2:4" ht="14.25" thickBot="1">
      <c r="B3" s="51" t="s">
        <v>85</v>
      </c>
      <c r="C3" s="59" t="s">
        <v>89</v>
      </c>
      <c r="D3" s="52" t="s">
        <v>86</v>
      </c>
    </row>
    <row r="4" spans="2:4" ht="14.25" thickTop="1">
      <c r="B4" s="12">
        <v>0</v>
      </c>
      <c r="C4" s="60" t="s">
        <v>90</v>
      </c>
      <c r="D4" s="14" t="s">
        <v>19</v>
      </c>
    </row>
    <row r="5" spans="2:4" ht="40.5">
      <c r="B5" s="2">
        <v>1</v>
      </c>
      <c r="C5" s="61" t="s">
        <v>90</v>
      </c>
      <c r="D5" s="63" t="s">
        <v>91</v>
      </c>
    </row>
    <row r="6" spans="2:4" ht="27">
      <c r="B6" s="2">
        <v>2</v>
      </c>
      <c r="C6" s="61" t="s">
        <v>93</v>
      </c>
      <c r="D6" s="63" t="s">
        <v>94</v>
      </c>
    </row>
    <row r="7" spans="2:4" ht="54">
      <c r="B7" s="2">
        <v>3</v>
      </c>
      <c r="C7" s="61" t="s">
        <v>90</v>
      </c>
      <c r="D7" s="63" t="s">
        <v>97</v>
      </c>
    </row>
    <row r="8" spans="2:4" ht="81">
      <c r="B8" s="2">
        <v>4</v>
      </c>
      <c r="C8" s="61" t="s">
        <v>105</v>
      </c>
      <c r="D8" s="63" t="s">
        <v>111</v>
      </c>
    </row>
    <row r="9" spans="2:4" ht="41.25" customHeight="1">
      <c r="B9" s="2">
        <v>5</v>
      </c>
      <c r="C9" s="61" t="s">
        <v>106</v>
      </c>
      <c r="D9" s="63" t="s">
        <v>107</v>
      </c>
    </row>
    <row r="10" spans="2:4" ht="27">
      <c r="B10" s="2">
        <v>6</v>
      </c>
      <c r="C10" s="61" t="s">
        <v>90</v>
      </c>
      <c r="D10" s="63" t="s">
        <v>110</v>
      </c>
    </row>
    <row r="11" spans="2:4" ht="27">
      <c r="B11" s="2">
        <v>7</v>
      </c>
      <c r="C11" s="61" t="s">
        <v>105</v>
      </c>
      <c r="D11" s="63" t="s">
        <v>109</v>
      </c>
    </row>
    <row r="12" spans="2:4" ht="27">
      <c r="B12" s="2">
        <v>8</v>
      </c>
      <c r="C12" s="61" t="s">
        <v>90</v>
      </c>
      <c r="D12" s="63" t="s">
        <v>112</v>
      </c>
    </row>
    <row r="13" spans="2:4" ht="27">
      <c r="B13" s="2">
        <v>9</v>
      </c>
      <c r="C13" s="61" t="s">
        <v>90</v>
      </c>
      <c r="D13" s="63" t="s">
        <v>113</v>
      </c>
    </row>
    <row r="14" spans="2:4" ht="27">
      <c r="B14" s="2">
        <v>10</v>
      </c>
      <c r="C14" s="61" t="s">
        <v>114</v>
      </c>
      <c r="D14" s="63" t="s">
        <v>115</v>
      </c>
    </row>
    <row r="15" spans="2:4" ht="135">
      <c r="B15" s="2">
        <v>11</v>
      </c>
      <c r="C15" s="61" t="s">
        <v>90</v>
      </c>
      <c r="D15" s="63" t="s">
        <v>128</v>
      </c>
    </row>
    <row r="16" spans="2:4" ht="191.25" customHeight="1">
      <c r="B16" s="2">
        <v>12</v>
      </c>
      <c r="C16" s="61" t="s">
        <v>156</v>
      </c>
      <c r="D16" s="63" t="s">
        <v>172</v>
      </c>
    </row>
    <row r="17" spans="2:4" ht="27">
      <c r="B17" s="2">
        <v>13</v>
      </c>
      <c r="C17" s="61" t="s">
        <v>93</v>
      </c>
      <c r="D17" s="63" t="s">
        <v>175</v>
      </c>
    </row>
    <row r="18" spans="2:4" ht="67.5">
      <c r="B18" s="2">
        <v>14</v>
      </c>
      <c r="C18" s="61" t="s">
        <v>93</v>
      </c>
      <c r="D18" s="63" t="s">
        <v>177</v>
      </c>
    </row>
    <row r="19" spans="2:4" ht="40.5">
      <c r="B19" s="2">
        <v>15</v>
      </c>
      <c r="C19" s="61" t="s">
        <v>106</v>
      </c>
      <c r="D19" s="63" t="s">
        <v>180</v>
      </c>
    </row>
    <row r="20" spans="2:4" ht="64.5" customHeight="1">
      <c r="B20" s="2">
        <v>16</v>
      </c>
      <c r="C20" s="61" t="s">
        <v>106</v>
      </c>
      <c r="D20" s="63" t="s">
        <v>184</v>
      </c>
    </row>
    <row r="21" spans="2:4" ht="66.75" customHeight="1">
      <c r="B21" s="2">
        <v>17</v>
      </c>
      <c r="C21" s="61" t="s">
        <v>105</v>
      </c>
      <c r="D21" s="63" t="s">
        <v>199</v>
      </c>
    </row>
    <row r="22" spans="2:4" ht="27">
      <c r="B22" s="2">
        <v>18</v>
      </c>
      <c r="C22" s="61" t="s">
        <v>220</v>
      </c>
      <c r="D22" s="63" t="s">
        <v>221</v>
      </c>
    </row>
    <row r="23" spans="2:4" ht="27">
      <c r="B23" s="2">
        <v>19</v>
      </c>
      <c r="C23" s="61" t="s">
        <v>220</v>
      </c>
      <c r="D23" s="63" t="s">
        <v>222</v>
      </c>
    </row>
    <row r="24" spans="2:4" ht="94.5">
      <c r="B24" s="2">
        <v>20</v>
      </c>
      <c r="C24" s="61" t="s">
        <v>238</v>
      </c>
      <c r="D24" s="63" t="s">
        <v>239</v>
      </c>
    </row>
    <row r="25" spans="2:4">
      <c r="B25" s="2"/>
      <c r="C25" s="61"/>
      <c r="D25" s="50"/>
    </row>
    <row r="26" spans="2:4">
      <c r="B26" s="2"/>
      <c r="C26" s="61"/>
      <c r="D26" s="50"/>
    </row>
    <row r="27" spans="2:4" ht="14.25" thickBot="1">
      <c r="B27" s="3"/>
      <c r="C27" s="6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_表紙</vt:lpstr>
      <vt:lpstr>はじめに</vt:lpstr>
      <vt:lpstr>Matrix</vt:lpstr>
      <vt:lpstr>Config_IF</vt:lpstr>
      <vt:lpstr>CH_Design</vt:lpstr>
      <vt:lpstr>D_ATMAL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2024-01-15T08:27:50Z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2024-01-11T10:39:02Z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2c895923-bcb1-428f-a4e2-bd16ba0b340e</vt:lpwstr>
  </property>
  <property fmtid="{D5CDD505-2E9C-101B-9397-08002B2CF9AE}" pid="8" name="MSIP_Label_6add209e-37c4-4e15-ab1b-f9befe71def1_ContentBits">
    <vt:lpwstr>0</vt:lpwstr>
  </property>
</Properties>
</file>