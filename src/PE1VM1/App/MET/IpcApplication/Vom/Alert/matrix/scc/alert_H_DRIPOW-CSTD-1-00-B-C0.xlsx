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B893F392-5DA3-4C35-8193-0C884E2CEA92}" xr6:coauthVersionLast="47" xr6:coauthVersionMax="47" xr10:uidLastSave="{00000000-0000-0000-0000-000000000000}"/>
  <bookViews>
    <workbookView xWindow="-14265" yWindow="-16320" windowWidth="29040" windowHeight="15720" tabRatio="696"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DRIPOW" sheetId="8" r:id="rId7"/>
    <sheet name="Reference" sheetId="3" r:id="rId8"/>
    <sheet name="History" sheetId="7" r:id="rId9"/>
  </sheets>
  <externalReferences>
    <externalReference r:id="rId10"/>
    <externalReference r:id="rId11"/>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'[2]#REF'!$C$3:$C$1000</definedName>
    <definedName name="_Key1" hidden="1">'[2]#REF'!$A$3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'[2]#REF'!$A$3:$AE$787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[4]Sheet1!$A$1:$I$233</definedName>
    <definedName name="_xlnm.Print_Titles">[5]車両仕様!$A$1:$C$65536,[5]車両仕様!$A$3:$IV$4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'[6]Config - dspmgr'!#REF!</definedName>
    <definedName name="関数名_確定_IGOFF">'[6]Config - dspmgr'!#REF!</definedName>
    <definedName name="関数名_確定_IGON">'[6]Config - dspmgr'!#REF!</definedName>
    <definedName name="関数名_確定_WKUP">'[6]Config - dspmgr'!#REF!</definedName>
    <definedName name="関数名_確定_状態遷移_0">'[6]Config - dspmgr'!#REF!</definedName>
    <definedName name="関数名_確定_状態遷移_1">'[6]Config - dspmgr'!#REF!</definedName>
    <definedName name="関数名_確定_状態遷移_2">'[6]Config - dspmgr'!#REF!</definedName>
    <definedName name="関数名_確定_状態遷移_3">'[6]Config - dspmgr'!#REF!</definedName>
    <definedName name="関数名_確定_状態遷移_4">'[6]Config - dspmgr'!#REF!</definedName>
    <definedName name="関数名_確定_定期">'[6]Config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D3" i="1"/>
  <c r="AU11" i="8"/>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40" i="8"/>
  <c r="AS65"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R25" i="8" s="1"/>
  <c r="AM97" i="8"/>
  <c r="AN106" i="8"/>
  <c r="AR41" i="8"/>
  <c r="AO117" i="8"/>
  <c r="AN117" i="8"/>
  <c r="AL117" i="8"/>
  <c r="AL122" i="8"/>
  <c r="AM136" i="8"/>
  <c r="AO137" i="8"/>
  <c r="AN137" i="8"/>
  <c r="AM137" i="8"/>
  <c r="AS43" i="8"/>
  <c r="AS42" i="8"/>
  <c r="AS55" i="8"/>
  <c r="AS54" i="8"/>
  <c r="AN72" i="8"/>
  <c r="AO96" i="8"/>
  <c r="AN96" i="8"/>
  <c r="AM96" i="8"/>
  <c r="AL96" i="8"/>
  <c r="AQ96" i="8" s="1"/>
  <c r="AR31"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Q75" i="8" s="1"/>
  <c r="AR10" i="8" s="1"/>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R29" i="8" s="1"/>
  <c r="AN99" i="8"/>
  <c r="AM99" i="8"/>
  <c r="AL99" i="8"/>
  <c r="AQ99" i="8" s="1"/>
  <c r="AR34" i="8" s="1"/>
  <c r="AN102" i="8"/>
  <c r="AO112" i="8"/>
  <c r="AN112" i="8"/>
  <c r="AM112" i="8"/>
  <c r="AL112" i="8"/>
  <c r="AN121" i="8"/>
  <c r="AL121" i="8"/>
  <c r="AO125" i="8"/>
  <c r="AN125" i="8"/>
  <c r="AL125" i="8"/>
  <c r="AO129" i="8"/>
  <c r="AM129" i="8"/>
  <c r="AL130" i="8"/>
  <c r="AN141" i="8"/>
  <c r="AM141" i="8"/>
  <c r="AL141" i="8"/>
  <c r="AQ141" i="8" s="1"/>
  <c r="AS1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M176" i="8"/>
  <c r="AL180" i="8"/>
  <c r="AO188" i="8"/>
  <c r="AM188" i="8"/>
  <c r="AL188" i="8"/>
  <c r="AO199" i="8"/>
  <c r="AN199" i="8"/>
  <c r="AM199" i="8"/>
  <c r="AL199" i="8"/>
  <c r="AQ83" i="8" l="1"/>
  <c r="AQ150" i="8"/>
  <c r="AS20" i="8" s="1"/>
  <c r="AQ76" i="8"/>
  <c r="AR11" i="8" s="1"/>
  <c r="AQ145" i="8"/>
  <c r="AQ85" i="8"/>
  <c r="AR20" i="8" s="1"/>
  <c r="AS33" i="8"/>
  <c r="AQ84" i="8"/>
  <c r="AR19" i="8" s="1"/>
  <c r="AQ148" i="8"/>
  <c r="AS18" i="8" s="1"/>
  <c r="AQ82" i="8"/>
  <c r="AQ147" i="8"/>
  <c r="AS17" i="8" s="1"/>
  <c r="AQ142" i="8"/>
  <c r="AS12" i="8" s="1"/>
  <c r="AQ80" i="8"/>
  <c r="AQ140" i="8"/>
  <c r="AS10" i="8" s="1"/>
  <c r="AQ77" i="8"/>
  <c r="AR12" i="8" s="1"/>
  <c r="AQ78" i="8"/>
  <c r="AR13" i="8" s="1"/>
  <c r="AQ146" i="8"/>
  <c r="AQ86" i="8"/>
  <c r="AR21" i="8" s="1"/>
  <c r="AQ149" i="8"/>
  <c r="AS19" i="8" s="1"/>
  <c r="AR27" i="8"/>
  <c r="AS27" i="8"/>
  <c r="AS30" i="8"/>
  <c r="AS31" i="8"/>
  <c r="AR36" i="8"/>
  <c r="AR30" i="8"/>
  <c r="AS34" i="8"/>
  <c r="AR33" i="8"/>
  <c r="AS36" i="8"/>
  <c r="AR28" i="8"/>
  <c r="AS29" i="8"/>
  <c r="AS26" i="8"/>
  <c r="AR26" i="8"/>
  <c r="AS25" i="8"/>
  <c r="AS37" i="8"/>
  <c r="AS38" i="8"/>
  <c r="AR37" i="8"/>
  <c r="AR38" i="8"/>
  <c r="AS24" i="8"/>
  <c r="AS23" i="8"/>
  <c r="AR24" i="8"/>
  <c r="AR23" i="8"/>
  <c r="AQ74" i="8"/>
  <c r="AR9" i="8" s="1"/>
  <c r="AQ139" i="8"/>
  <c r="AS9" i="8" s="1"/>
  <c r="AQ138" i="8"/>
  <c r="AS8" i="8" s="1"/>
  <c r="AQ73" i="8"/>
  <c r="AR17" i="8"/>
  <c r="AR16" i="8"/>
  <c r="AR18" i="8"/>
  <c r="AS16" i="8"/>
  <c r="AR22" i="8"/>
  <c r="AS21" i="8"/>
  <c r="AS22" i="8"/>
  <c r="AQ79" i="8"/>
  <c r="AR14" i="8" s="1"/>
  <c r="AQ144" i="8"/>
  <c r="AS14" i="8" s="1"/>
  <c r="AQ137" i="8"/>
  <c r="AS7" i="8" s="1"/>
  <c r="AQ72" i="8"/>
  <c r="AQ71" i="8"/>
  <c r="AR6" i="8" s="1"/>
  <c r="AQ136" i="8"/>
  <c r="AS6" i="8" s="1"/>
  <c r="B136" i="8"/>
  <c r="B71" i="8"/>
  <c r="D7" i="4"/>
  <c r="M13" i="4"/>
  <c r="N13" i="4" s="1"/>
  <c r="AR8" i="8" l="1"/>
  <c r="AR15" i="8"/>
  <c r="AS15" i="8"/>
  <c r="AR7" i="8"/>
  <c r="D5" i="4"/>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<sst xmlns="http://schemas.openxmlformats.org/spreadsheetml/2006/main" count="2727" uniqueCount="354">
  <si>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</si>
  <si>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</si>
  <si>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</si>
  <si>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</si>
  <si>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</si>
  <si>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</si>
  <si>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</si>
  <si>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</si>
  <si>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</si>
  <si>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</si>
  <si>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</si>
  <si>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</si>
  <si>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</si>
  <si>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</si>
  <si>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</si>
  <si>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</si>
  <si>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</si>
  <si>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</si>
  <si>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</si>
  <si>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</si>
  <si>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</si>
  <si>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</si>
  <si>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</si>
  <si>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</si>
  <si>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</si>
  <si>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</si>
  <si>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</si>
  <si>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</si>
  <si>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</si>
  <si>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</si>
  <si>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</si>
  <si>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</si>
  <si>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</si>
  <si>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</si>
  <si>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</si>
  <si>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</si>
  <si>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</si>
  <si>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</si>
  <si>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</si>
  <si>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</si>
  <si>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</si>
  <si>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</si>
  <si>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</si>
  <si>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</si>
  <si>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</si>
  <si>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</si>
  <si>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</si>
  <si>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</si>
  <si>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</si>
  <si>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</si>
  <si>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</si>
  <si>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</si>
  <si>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</si>
  <si>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</si>
  <si>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</si>
  <si>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</si>
  <si>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</si>
  <si>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</si>
  <si>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</si>
  <si>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</si>
  <si>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</si>
  <si>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</si>
  <si>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</si>
  <si>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</si>
  <si>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</si>
  <si>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</si>
  <si>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</si>
  <si>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</si>
  <si>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</si>
  <si>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</si>
  <si>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</si>
  <si>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</si>
  <si>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</si>
  <si>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</si>
  <si>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</si>
  <si>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</si>
  <si>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</si>
  <si>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</si>
  <si>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</si>
  <si>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</si>
  <si>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</si>
  <si>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</si>
  <si>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</si>
  <si>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</si>
  <si>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</si>
  <si>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</si>
  <si>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</si>
  <si>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</si>
  <si>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</si>
  <si>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</si>
  <si>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</si>
  <si>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</si>
  <si>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</si>
  <si>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</si>
  <si>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</si>
  <si>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</si>
  <si>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</si>
  <si>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</si>
  <si>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</si>
  <si>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</si>
  <si>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</si>
  <si>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</si>
  <si>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</si>
  <si>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</si>
  <si>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</si>
  <si>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</si>
  <si>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</si>
  <si>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</si>
  <si>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</si>
  <si>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</si>
  <si>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</si>
  <si>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</si>
  <si>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</si>
  <si>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</si>
  <si>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</si>
  <si>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</si>
  <si>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</si>
  <si>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</si>
  <si>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</si>
  <si>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</si>
  <si>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</si>
  <si>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</si>
  <si>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</si>
  <si>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</si>
  <si>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</si>
  <si>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</si>
  <si>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</si>
  <si>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</si>
  <si>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</si>
  <si>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</si>
  <si>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</si>
  <si>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</si>
  <si>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</si>
  <si>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</si>
  <si>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</si>
  <si>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</si>
  <si>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</si>
  <si>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</si>
  <si>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</si>
  <si>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</si>
  <si>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</si>
  <si>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</si>
  <si>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</si>
  <si>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</si>
  <si>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</si>
  <si>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</si>
  <si>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</si>
  <si>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</si>
  <si>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</si>
  <si>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</si>
  <si>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</si>
  <si>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</si>
  <si>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</si>
  <si>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</si>
  <si>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</si>
  <si>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</si>
  <si>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</si>
  <si>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</si>
  <si>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</si>
  <si>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</si>
  <si>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</si>
  <si>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</si>
  <si>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</si>
  <si>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</si>
  <si>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</si>
  <si>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</si>
  <si>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</si>
  <si>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</si>
  <si>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</si>
  <si>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</si>
  <si>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</si>
  <si>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</si>
  <si>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</si>
  <si>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</si>
  <si>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</si>
  <si>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</si>
  <si>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</si>
  <si>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</si>
  <si>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</si>
  <si>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</si>
  <si>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</si>
  <si>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</si>
  <si>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</si>
  <si>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</si>
  <si>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</si>
  <si>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</si>
  <si>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</si>
  <si>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</si>
  <si>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</si>
  <si>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</si>
  <si>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</si>
  <si>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</si>
  <si>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</si>
  <si>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</si>
  <si>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</si>
  <si>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</si>
  <si>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</si>
  <si>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</si>
  <si>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</si>
  <si>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</si>
  <si>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</si>
  <si>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</si>
  <si>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</si>
  <si>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</si>
  <si>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</si>
  <si>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</si>
  <si>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</si>
  <si>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</si>
  <si>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</si>
  <si>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</si>
  <si>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</si>
  <si>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</si>
  <si>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</si>
  <si>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</si>
  <si>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</si>
  <si>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</si>
  <si>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</si>
  <si>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</si>
  <si>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</si>
  <si>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</si>
  <si>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</si>
  <si>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</si>
  <si>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</si>
  <si>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</si>
  <si>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</si>
  <si>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通常(0b)/
未受信(1b)</t>
    <phoneticPr fontId="2"/>
  </si>
  <si>
    <t>0b</t>
    <phoneticPr fontId="2"/>
  </si>
  <si>
    <t>0b</t>
    <phoneticPr fontId="2"/>
  </si>
  <si>
    <t>0b</t>
    <phoneticPr fontId="2"/>
  </si>
  <si>
    <t>Index</t>
  </si>
  <si>
    <t>－</t>
    <phoneticPr fontId="2"/>
  </si>
  <si>
    <t>NULL</t>
    <phoneticPr fontId="2"/>
  </si>
  <si>
    <t>1b</t>
    <phoneticPr fontId="2"/>
  </si>
  <si>
    <t>*b</t>
    <phoneticPr fontId="2"/>
  </si>
  <si>
    <t>Index Table</t>
  </si>
  <si>
    <t>UNKNOWN</t>
    <phoneticPr fontId="2"/>
  </si>
  <si>
    <t>UNKNOWN</t>
    <phoneticPr fontId="2"/>
  </si>
  <si>
    <t>UNKNOWN</t>
    <phoneticPr fontId="2"/>
  </si>
  <si>
    <t>000b</t>
    <phoneticPr fontId="2"/>
  </si>
  <si>
    <t>001b</t>
    <phoneticPr fontId="2"/>
  </si>
  <si>
    <t>011b</t>
    <phoneticPr fontId="2"/>
  </si>
  <si>
    <t>100b</t>
    <phoneticPr fontId="2"/>
  </si>
  <si>
    <t>***b</t>
    <phoneticPr fontId="2"/>
  </si>
  <si>
    <t>010b</t>
    <phoneticPr fontId="2"/>
  </si>
  <si>
    <t>101b</t>
    <phoneticPr fontId="2"/>
  </si>
  <si>
    <t>110b</t>
    <phoneticPr fontId="2"/>
  </si>
  <si>
    <t>111b</t>
    <phoneticPr fontId="2"/>
  </si>
  <si>
    <t>-</t>
    <phoneticPr fontId="2"/>
  </si>
  <si>
    <t>-</t>
    <phoneticPr fontId="2"/>
  </si>
  <si>
    <t>-</t>
    <phoneticPr fontId="2"/>
  </si>
  <si>
    <t>制御仕様→TT</t>
    <rPh sb="0" eb="5">
      <t>セイギョシヨウミギ</t>
    </rPh>
    <phoneticPr fontId="2"/>
  </si>
  <si>
    <t>EHV1S26</t>
    <phoneticPr fontId="2"/>
  </si>
  <si>
    <t>EHV1S26</t>
    <phoneticPr fontId="2"/>
  </si>
  <si>
    <t>EHV1S26_STS</t>
    <phoneticPr fontId="2"/>
  </si>
  <si>
    <t>ALERT_CH_H_DRIPOW</t>
  </si>
  <si>
    <t>ALERT_CH_H_DRIPOW</t>
    <phoneticPr fontId="2"/>
  </si>
  <si>
    <t>制御仕様→MID</t>
    <rPh sb="0" eb="5">
      <t>セイギョシヨウミギ</t>
    </rPh>
    <phoneticPr fontId="2"/>
  </si>
  <si>
    <t>RW制御仕様　MET-M_REMWAR-CSTD-1-01-A-C0.xlsx</t>
    <rPh sb="2" eb="4">
      <t>セイギョ</t>
    </rPh>
    <rPh sb="4" eb="6">
      <t>シヨウ</t>
    </rPh>
    <phoneticPr fontId="2"/>
  </si>
  <si>
    <t>MET1S36</t>
    <phoneticPr fontId="2"/>
  </si>
  <si>
    <t>RWT_EN
機能有無：-</t>
    <phoneticPr fontId="2"/>
  </si>
  <si>
    <t xml:space="preserve">EVHW
</t>
    <phoneticPr fontId="2"/>
  </si>
  <si>
    <t>要求あり/
-</t>
    <phoneticPr fontId="2"/>
  </si>
  <si>
    <t>制御仕様→Detailed Spec</t>
    <rPh sb="0" eb="5">
      <t>セイギョシヨウミギ</t>
    </rPh>
    <phoneticPr fontId="2"/>
  </si>
  <si>
    <t>点灯/
-</t>
    <phoneticPr fontId="2"/>
  </si>
  <si>
    <t>REQ02</t>
    <phoneticPr fontId="2"/>
  </si>
  <si>
    <t>REQ04</t>
    <phoneticPr fontId="2"/>
  </si>
  <si>
    <t>REQ03</t>
    <phoneticPr fontId="2"/>
  </si>
  <si>
    <t>-</t>
    <phoneticPr fontId="2"/>
  </si>
  <si>
    <t>要求あり</t>
    <rPh sb="0" eb="2">
      <t>ヨウキュウ</t>
    </rPh>
    <phoneticPr fontId="2"/>
  </si>
  <si>
    <t>-</t>
    <phoneticPr fontId="2"/>
  </si>
  <si>
    <t>-</t>
    <phoneticPr fontId="2"/>
  </si>
  <si>
    <t>-</t>
    <phoneticPr fontId="2"/>
  </si>
  <si>
    <t>-</t>
    <phoneticPr fontId="2"/>
  </si>
  <si>
    <t>H_DRIPOW判定</t>
    <rPh sb="8" eb="10">
      <t>ハンテイ</t>
    </rPh>
    <phoneticPr fontId="2"/>
  </si>
  <si>
    <t>PWRLMID</t>
    <phoneticPr fontId="2"/>
  </si>
  <si>
    <t>IG-ON + 通常 + 未定義</t>
    <phoneticPr fontId="2"/>
  </si>
  <si>
    <t>IG-ON + 未受信 + ***</t>
    <rPh sb="8" eb="9">
      <t>ミ</t>
    </rPh>
    <rPh sb="9" eb="11">
      <t>ジュシン</t>
    </rPh>
    <phoneticPr fontId="2"/>
  </si>
  <si>
    <t>PWRLMID</t>
    <phoneticPr fontId="2"/>
  </si>
  <si>
    <t xml:space="preserve">UNKNOWN/
PRMRYCHK/
OVHT/
BATLOW/
OTHER
</t>
    <phoneticPr fontId="2"/>
  </si>
  <si>
    <t>OVHT</t>
  </si>
  <si>
    <t>OVHT</t>
    <phoneticPr fontId="2"/>
  </si>
  <si>
    <t>BATLOW</t>
  </si>
  <si>
    <t>BATLOW</t>
    <phoneticPr fontId="2"/>
  </si>
  <si>
    <t>OTHER</t>
  </si>
  <si>
    <t>OTHER</t>
    <phoneticPr fontId="2"/>
  </si>
  <si>
    <t xml:space="preserve">正常(000b)/
バルブチェック(001b)/
オーバーヒートによる駆動力制限状態(010b)/
電池低温による出力低下(011b)/
他の要因による出力制限(100b)/
未定義(上記以外)
</t>
    <rPh sb="0" eb="2">
      <t>セイジョウ</t>
    </rPh>
    <rPh sb="35" eb="38">
      <t>クドウリョク</t>
    </rPh>
    <rPh sb="38" eb="40">
      <t>セイゲン</t>
    </rPh>
    <rPh sb="40" eb="42">
      <t>ジョウタイ</t>
    </rPh>
    <rPh sb="50" eb="52">
      <t>デンチ</t>
    </rPh>
    <rPh sb="52" eb="54">
      <t>テイオン</t>
    </rPh>
    <rPh sb="57" eb="59">
      <t>シュツリョク</t>
    </rPh>
    <rPh sb="59" eb="61">
      <t>テイカ</t>
    </rPh>
    <rPh sb="69" eb="70">
      <t>タ</t>
    </rPh>
    <rPh sb="71" eb="73">
      <t>ヨウイン</t>
    </rPh>
    <rPh sb="76" eb="78">
      <t>シュツリョク</t>
    </rPh>
    <rPh sb="78" eb="80">
      <t>セイゲン</t>
    </rPh>
    <rPh sb="88" eb="91">
      <t>ミテイギ</t>
    </rPh>
    <rPh sb="92" eb="94">
      <t>ジョウキ</t>
    </rPh>
    <rPh sb="94" eb="96">
      <t>イガイ</t>
    </rPh>
    <phoneticPr fontId="2"/>
  </si>
  <si>
    <t>IG-ON + 通常 + 正常</t>
    <rPh sb="13" eb="15">
      <t>セイジョウ</t>
    </rPh>
    <phoneticPr fontId="2"/>
  </si>
  <si>
    <t>IG-ON + 通常 + バルブチェック</t>
    <phoneticPr fontId="2"/>
  </si>
  <si>
    <t>IG-ON + 通常 + オーバーヒートによる駆動力制限状態</t>
    <phoneticPr fontId="2"/>
  </si>
  <si>
    <t>IG-ON + 通常 + 電池低温による出力低下</t>
    <phoneticPr fontId="2"/>
  </si>
  <si>
    <t>IG-ON + 通常 + 他の要因による出力制限</t>
    <phoneticPr fontId="2"/>
  </si>
  <si>
    <t>IG-ON + 通常 + 未定義</t>
    <phoneticPr fontId="2"/>
  </si>
  <si>
    <t>IG-ON + 通常 + 未定義</t>
    <phoneticPr fontId="2"/>
  </si>
  <si>
    <t>IG-OFF +　* + ***</t>
    <phoneticPr fontId="2"/>
  </si>
  <si>
    <t>MSE鈴木大</t>
    <rPh sb="3" eb="5">
      <t>スズキ</t>
    </rPh>
    <rPh sb="5" eb="6">
      <t>ダイ</t>
    </rPh>
    <phoneticPr fontId="2"/>
  </si>
  <si>
    <t>MSE鈴木直行</t>
    <rPh sb="3" eb="7">
      <t>スズキナオユキ</t>
    </rPh>
    <phoneticPr fontId="2"/>
  </si>
  <si>
    <t>岩永</t>
    <rPh sb="0" eb="2">
      <t>イワナガ</t>
    </rPh>
    <phoneticPr fontId="2"/>
  </si>
  <si>
    <t>1.1.0</t>
    <phoneticPr fontId="2"/>
  </si>
  <si>
    <t>-</t>
    <phoneticPr fontId="2"/>
  </si>
  <si>
    <t>5.5.0</t>
    <phoneticPr fontId="2"/>
  </si>
  <si>
    <t>仕様書修正に伴い設計書の修正
[Reference]シート
・対象仕様書の更新
・特別処理変更内容の説明追記
　TT、PDの特別条件が対象外になったことを追記
[Matrix]シート
・対象仕様書名の変更
　MET-H_DRIPOW-CSTD-0-00-B-C0.xlsm → MET-H_DRIPOW-CSTD-0-01-A-C0.xlsm
対象ロケーションの変更
　https://aip01.dndev.net/svn/aip/toyota/rd/spec/tags/800B/00.Product/v2.0.4/ECU/MET → https://aip01.dndev.net/svn/met/toyota/std/rd/spec/個車/800B/tags/00.Product/v3.0.2/MET</t>
    <rPh sb="0" eb="3">
      <t>シヨウショ</t>
    </rPh>
    <rPh sb="3" eb="5">
      <t>シュウセイ</t>
    </rPh>
    <rPh sb="6" eb="7">
      <t>トモナ</t>
    </rPh>
    <rPh sb="8" eb="11">
      <t>セッケイショ</t>
    </rPh>
    <rPh sb="12" eb="14">
      <t>シュウセイ</t>
    </rPh>
    <rPh sb="31" eb="33">
      <t>タイショウ</t>
    </rPh>
    <rPh sb="33" eb="36">
      <t>シヨウショ</t>
    </rPh>
    <rPh sb="37" eb="39">
      <t>コウシン</t>
    </rPh>
    <rPh sb="41" eb="43">
      <t>トクベツ</t>
    </rPh>
    <rPh sb="43" eb="45">
      <t>ショリ</t>
    </rPh>
    <rPh sb="45" eb="47">
      <t>ヘンコウ</t>
    </rPh>
    <rPh sb="47" eb="49">
      <t>ナイヨウ</t>
    </rPh>
    <rPh sb="50" eb="52">
      <t>セツメイ</t>
    </rPh>
    <rPh sb="52" eb="54">
      <t>ツイキ</t>
    </rPh>
    <rPh sb="62" eb="64">
      <t>トクベツ</t>
    </rPh>
    <rPh sb="64" eb="66">
      <t>ジョウケン</t>
    </rPh>
    <rPh sb="67" eb="70">
      <t>タイショウガイ</t>
    </rPh>
    <rPh sb="77" eb="79">
      <t>ツイキ</t>
    </rPh>
    <rPh sb="93" eb="95">
      <t>タイショウ</t>
    </rPh>
    <rPh sb="95" eb="98">
      <t>シヨウショ</t>
    </rPh>
    <rPh sb="98" eb="99">
      <t>メイ</t>
    </rPh>
    <rPh sb="100" eb="102">
      <t>ヘンコウ</t>
    </rPh>
    <rPh sb="172" eb="174">
      <t>タイショウ</t>
    </rPh>
    <rPh sb="181" eb="183">
      <t>ヘンコウ</t>
    </rPh>
    <phoneticPr fontId="2"/>
  </si>
  <si>
    <t>CHINA_JDG</t>
    <phoneticPr fontId="2"/>
  </si>
  <si>
    <t>OVHT_CHN</t>
  </si>
  <si>
    <t>OVHT_CHN</t>
    <phoneticPr fontId="2"/>
  </si>
  <si>
    <t>BATLOW_CHN</t>
  </si>
  <si>
    <t>BATLOW_CHN</t>
    <phoneticPr fontId="2"/>
  </si>
  <si>
    <t>OTHER_CHN</t>
  </si>
  <si>
    <t>OTHER_CHN</t>
    <phoneticPr fontId="2"/>
  </si>
  <si>
    <t>-</t>
    <phoneticPr fontId="2"/>
  </si>
  <si>
    <t>H_DRIPOW-CSTD-1-MEF01-REQ03-</t>
  </si>
  <si>
    <t>H_DRIPOW-CSTD-1-MEF01-REQ04-</t>
  </si>
  <si>
    <t>H_DRIPOW-CSTD-1-MEF01-REQ05-</t>
  </si>
  <si>
    <t>H_DRIPOW-CSTD-1-MEF01-REQ06-</t>
  </si>
  <si>
    <t>H_DRIPOW-CSTD-1-MEF01-REQ07-</t>
  </si>
  <si>
    <t>2.0.0</t>
    <phoneticPr fontId="2"/>
  </si>
  <si>
    <t>仕様書修正に伴い設計書の修正
[Matrix]シート
・対象仕様書名の変更
　MET-H_DRIPOW-CSTD-0-01-A-C0.xlsm → MET-H_DRIPOW-CSTD-1-00-A-C0.xlsm
・対象ロケーションの変更
　https://aip01.dndev.net/svn/met/toyota/std/rd/spec/個車/800B/tags/00.Product/v3.0.2/MET　→　https://svn.geniie.net/bevs3/bevs3cdc/仕様書/MET/%231/tags/00.Product/v0.1.0/制御仕様/
[CH_Design]シート
・TTを「あり」→「-」に変更
・中国向け以外のPD追加
[H_DRIPOW]シート
・中国判定「CHINA_JDG」の追加</t>
    <rPh sb="317" eb="319">
      <t>ヘンコウ</t>
    </rPh>
    <rPh sb="321" eb="324">
      <t>チュウゴクム</t>
    </rPh>
    <rPh sb="325" eb="327">
      <t>イガイ</t>
    </rPh>
    <rPh sb="330" eb="332">
      <t>ツイカ</t>
    </rPh>
    <rPh sb="348" eb="350">
      <t>チュウゴク</t>
    </rPh>
    <rPh sb="350" eb="352">
      <t>ハンテイ</t>
    </rPh>
    <rPh sb="364" eb="366">
      <t>ツイカ</t>
    </rPh>
    <phoneticPr fontId="2"/>
  </si>
  <si>
    <t>H_DRIPOW-CSTD-1-MEF01-REQ02-</t>
    <phoneticPr fontId="2"/>
  </si>
  <si>
    <t>H_DRIPOW-CSTD-1-MEF01-REQ02～7/
-</t>
    <phoneticPr fontId="2"/>
  </si>
  <si>
    <t>Variation</t>
    <phoneticPr fontId="2"/>
  </si>
  <si>
    <t>0b</t>
  </si>
  <si>
    <t>1b</t>
  </si>
  <si>
    <t>中国向け以外FALSE(0b)
/中国向けTRUE(1b)</t>
    <rPh sb="0" eb="2">
      <t>チュウゴク</t>
    </rPh>
    <rPh sb="2" eb="3">
      <t>ム</t>
    </rPh>
    <rPh sb="4" eb="6">
      <t>イガイ</t>
    </rPh>
    <rPh sb="17" eb="19">
      <t>チュウゴク</t>
    </rPh>
    <rPh sb="19" eb="20">
      <t>ム</t>
    </rPh>
    <phoneticPr fontId="2"/>
  </si>
  <si>
    <t>REQ05</t>
    <phoneticPr fontId="2"/>
  </si>
  <si>
    <t>REQ06</t>
    <phoneticPr fontId="2"/>
  </si>
  <si>
    <t>REQ07</t>
    <phoneticPr fontId="2"/>
  </si>
  <si>
    <t>-</t>
    <phoneticPr fontId="2"/>
  </si>
  <si>
    <t>中国向け</t>
    <rPh sb="0" eb="3">
      <t>チュウゴクム</t>
    </rPh>
    <phoneticPr fontId="2"/>
  </si>
  <si>
    <t>中国向け以外</t>
    <rPh sb="0" eb="3">
      <t>チュウゴクム</t>
    </rPh>
    <rPh sb="4" eb="6">
      <t>イガイ</t>
    </rPh>
    <phoneticPr fontId="2"/>
  </si>
  <si>
    <t>OVHT</t>
    <phoneticPr fontId="2"/>
  </si>
  <si>
    <t>－</t>
  </si>
  <si>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</si>
  <si>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</si>
  <si>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</si>
  <si>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2.1.0</t>
    <phoneticPr fontId="2"/>
  </si>
  <si>
    <t>DTPH Kiko</t>
  </si>
  <si>
    <t>2.1.1</t>
    <phoneticPr fontId="2"/>
  </si>
  <si>
    <t>MET-H_DRIPOW-CSTD-1-00-B-C0.xlsm</t>
    <phoneticPr fontId="2"/>
  </si>
  <si>
    <t>https://svn.geniie.net/bevs3/bevs3cdc/仕様書/MET/#1/tags/00.Product/v1.19/制御仕様/</t>
    <phoneticPr fontId="2"/>
  </si>
  <si>
    <t>BEVシス検ADAS
課題対応（BEV3CDCMET-2941）
ファイル名変更
・流用元：alert_H_DRIPOW-CSTD-1-00-A-C0.xlsx
[Matrix]シート
・対象仕様書の記載を変更
・ロケーションの記載を変更
[H_DRIPOW]シート
・AU8の数式を修正</t>
    <rPh sb="11" eb="13">
      <t>カダイ</t>
    </rPh>
    <rPh sb="13" eb="15">
      <t>タイオウ</t>
    </rPh>
    <rPh sb="38" eb="41">
      <t>メイヘンコウ</t>
    </rPh>
    <rPh sb="43" eb="46">
      <t>リュウヨウモト</t>
    </rPh>
    <rPh sb="141" eb="143">
      <t>スウシキ</t>
    </rPh>
    <rPh sb="144" eb="146">
      <t>シュウセイ</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</si>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</sst>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2" borderId="31" xfId="0" applyFill="1" applyBorder="1" applyAlignment="1" applyProtection="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15" fillId="0" borderId="29"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9" xfId="0" applyFill="1" applyBorder="1" applyAlignment="1">
      <alignment horizontal="center" vertical="center"/>
    </xf>
    <xf numFmtId="0" fontId="0" fillId="0" borderId="2" xfId="0" applyBorder="1" applyAlignment="1">
      <alignment horizontal="center" vertical="center"/>
    </xf>
    <xf numFmtId="0" fontId="0" fillId="25" borderId="0" xfId="0" applyFill="1">
      <alignment vertical="center"/>
    </xf>
    <xf numFmtId="0" fontId="0" fillId="23"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80" xfId="0" applyFill="1" applyBorder="1" applyAlignment="1">
      <alignment horizontal="center" vertical="center"/>
    </xf>
    <xf numFmtId="0" fontId="0" fillId="23" borderId="7" xfId="0" applyFill="1" applyBorder="1" applyAlignment="1">
      <alignment vertical="center" wrapText="1"/>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8" borderId="12" xfId="0" quotePrefix="1" applyFill="1" applyBorder="1">
      <alignment vertical="center"/>
    </xf>
    <xf numFmtId="0" fontId="0" fillId="18" borderId="12" xfId="0" applyFill="1" applyBorder="1" applyAlignment="1">
      <alignment vertical="center" textRotation="255"/>
    </xf>
    <xf numFmtId="0" fontId="0" fillId="18" borderId="81" xfId="0" applyFill="1" applyBorder="1" applyAlignment="1">
      <alignment vertical="center" wrapText="1"/>
    </xf>
    <xf numFmtId="0" fontId="0" fillId="0" borderId="27" xfId="0" applyBorder="1" applyAlignment="1">
      <alignment vertical="center"/>
    </xf>
    <xf numFmtId="0" fontId="0" fillId="0" borderId="2" xfId="0" quotePrefix="1" applyBorder="1">
      <alignment vertical="center"/>
    </xf>
    <xf numFmtId="0" fontId="0" fillId="0" borderId="16"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5" fillId="0" borderId="74" xfId="0" applyFont="1" applyBorder="1" applyAlignment="1">
      <alignment horizontal="center" vertical="center"/>
    </xf>
    <xf numFmtId="0" fontId="0" fillId="4" borderId="62" xfId="0" applyFill="1" applyBorder="1" applyAlignment="1">
      <alignment vertical="center" textRotation="90"/>
    </xf>
    <xf numFmtId="0" fontId="11" fillId="23" borderId="2" xfId="0" applyFont="1" applyFill="1" applyBorder="1" applyAlignment="1">
      <alignment horizontal="center" vertical="center" wrapText="1"/>
    </xf>
    <xf numFmtId="0" fontId="11" fillId="0" borderId="24" xfId="0" applyFont="1" applyBorder="1" applyAlignment="1">
      <alignment horizontal="center" vertical="center"/>
    </xf>
    <xf numFmtId="0" fontId="0" fillId="4" borderId="2" xfId="0" applyFill="1" applyBorder="1" applyAlignment="1">
      <alignment horizontal="left" vertical="center"/>
    </xf>
    <xf numFmtId="0" fontId="0" fillId="4" borderId="2" xfId="0" quotePrefix="1" applyFill="1" applyBorder="1">
      <alignment vertical="center"/>
    </xf>
    <xf numFmtId="0" fontId="0" fillId="4" borderId="16" xfId="0" applyFill="1" applyBorder="1" applyAlignment="1">
      <alignment vertical="center" wrapText="1"/>
    </xf>
    <xf numFmtId="0" fontId="0" fillId="4" borderId="62" xfId="0" applyFill="1" applyBorder="1" applyAlignment="1">
      <alignment vertical="center"/>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78" xfId="0" applyFill="1" applyBorder="1" applyAlignment="1">
      <alignment horizontal="center" vertical="center"/>
    </xf>
    <xf numFmtId="0" fontId="18" fillId="0" borderId="0" xfId="0" applyFont="1">
      <alignment vertical="center"/>
    </xf>
    <xf numFmtId="0" fontId="0" fillId="0" borderId="63" xfId="0" applyBorder="1">
      <alignment vertical="center"/>
    </xf>
    <xf numFmtId="14" fontId="0" fillId="0" borderId="63" xfId="0" applyNumberFormat="1" applyBorder="1">
      <alignment vertical="center"/>
    </xf>
    <xf numFmtId="14" fontId="0" fillId="0" borderId="72" xfId="0" applyNumberFormat="1" applyBorder="1">
      <alignment vertical="center"/>
    </xf>
    <xf numFmtId="0" fontId="11" fillId="0" borderId="82"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83"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4" xfId="2" applyFont="1" applyBorder="1">
      <alignment vertical="center"/>
    </xf>
    <xf numFmtId="0" fontId="21" fillId="0" borderId="85" xfId="2" applyFont="1" applyBorder="1">
      <alignment vertical="center"/>
    </xf>
    <xf numFmtId="0" fontId="21" fillId="0" borderId="85" xfId="2" applyFont="1" applyBorder="1" applyAlignment="1">
      <alignment horizontal="center" vertical="center"/>
    </xf>
    <xf numFmtId="0" fontId="21" fillId="0" borderId="84"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cellXfs>
  <cellStyles count="3">
    <cellStyle name="ハイパーリンク" xfId="1" builtinId="8"/>
    <cellStyle name="標準" xfId="0" builtinId="0"/>
    <cellStyle name="標準 3 3 4 3" xfId="2" xr:uid="{3E190FEE-C7AE-4085-9660-37CD58BC21E6}"/>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DD1BDCD-7354-450B-9EB7-A828F8DAB75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9A4241EE-D881-4EA6-85F7-DDAA667F184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6CF55BFD-59B7-4FFE-B48D-0E8C102D2BA0}"/>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461E415E-3E06-4696-AE37-3D2756D8E065}"/>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177786</xdr:colOff>
          <xdr:row>110</xdr:row>
          <xdr:rowOff>1</xdr:rowOff>
        </xdr:from>
        <xdr:to>
          <xdr:col>46</xdr:col>
          <xdr:colOff>639854</xdr:colOff>
          <xdr:row>163</xdr:row>
          <xdr:rowOff>145676</xdr:rowOff>
        </xdr:to>
        <xdr:pic>
          <xdr:nvPicPr>
            <xdr:cNvPr id="9" name="図 8">
              <a:extLst>
                <a:ext uri="{FF2B5EF4-FFF2-40B4-BE49-F238E27FC236}">
                  <a16:creationId xmlns:a16="http://schemas.microsoft.com/office/drawing/2014/main" id="{73780496-6D43-D193-C4AA-67F1B0E48620}"/>
                </a:ext>
              </a:extLst>
            </xdr:cNvPr>
            <xdr:cNvPicPr>
              <a:picLocks noChangeAspect="1" noChangeArrowheads="1"/>
              <a:extLst>
                <a:ext uri="{84589F7E-364E-4C9E-8A38-B11213B215E9}">
                  <a14:cameraTool cellRange="[1]MID!$D$2:$AD$27" spid="_x0000_s1544"/>
                </a:ext>
              </a:extLst>
            </xdr:cNvPicPr>
          </xdr:nvPicPr>
          <xdr:blipFill>
            <a:blip xmlns:r="http://schemas.openxmlformats.org/officeDocument/2006/relationships" r:embed="rId1"/>
            <a:srcRect/>
            <a:stretch>
              <a:fillRect/>
            </a:stretch>
          </xdr:blipFill>
          <xdr:spPr bwMode="auto">
            <a:xfrm>
              <a:off x="18992462" y="21885089"/>
              <a:ext cx="17551039" cy="905435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661146</xdr:colOff>
          <xdr:row>4</xdr:row>
          <xdr:rowOff>123266</xdr:rowOff>
        </xdr:from>
        <xdr:to>
          <xdr:col>40</xdr:col>
          <xdr:colOff>289930</xdr:colOff>
          <xdr:row>25</xdr:row>
          <xdr:rowOff>44824</xdr:rowOff>
        </xdr:to>
        <xdr:pic>
          <xdr:nvPicPr>
            <xdr:cNvPr id="7" name="図 6">
              <a:extLst>
                <a:ext uri="{FF2B5EF4-FFF2-40B4-BE49-F238E27FC236}">
                  <a16:creationId xmlns:a16="http://schemas.microsoft.com/office/drawing/2014/main" id="{0820A0E2-CD9A-7B32-7084-475750B83FA9}"/>
                </a:ext>
              </a:extLst>
            </xdr:cNvPr>
            <xdr:cNvPicPr>
              <a:picLocks noChangeAspect="1" noChangeArrowheads="1"/>
              <a:extLst>
                <a:ext uri="{84589F7E-364E-4C9E-8A38-B11213B215E9}">
                  <a14:cameraTool cellRange="[1]TT!$D$2:$O$25" spid="_x0000_s1545"/>
                </a:ext>
              </a:extLst>
            </xdr:cNvPicPr>
          </xdr:nvPicPr>
          <xdr:blipFill>
            <a:blip xmlns:r="http://schemas.openxmlformats.org/officeDocument/2006/relationships" r:embed="rId2"/>
            <a:srcRect/>
            <a:stretch>
              <a:fillRect/>
            </a:stretch>
          </xdr:blipFill>
          <xdr:spPr bwMode="auto">
            <a:xfrm>
              <a:off x="18792264" y="840442"/>
              <a:ext cx="12616402" cy="679076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682450</xdr:colOff>
          <xdr:row>35</xdr:row>
          <xdr:rowOff>1</xdr:rowOff>
        </xdr:from>
        <xdr:to>
          <xdr:col>58</xdr:col>
          <xdr:colOff>302559</xdr:colOff>
          <xdr:row>96</xdr:row>
          <xdr:rowOff>20011</xdr:rowOff>
        </xdr:to>
        <xdr:pic>
          <xdr:nvPicPr>
            <xdr:cNvPr id="6" name="図 5">
              <a:extLst>
                <a:ext uri="{FF2B5EF4-FFF2-40B4-BE49-F238E27FC236}">
                  <a16:creationId xmlns:a16="http://schemas.microsoft.com/office/drawing/2014/main" id="{CC6F065C-B688-7091-DA0F-D097B1781ED9}"/>
                </a:ext>
              </a:extLst>
            </xdr:cNvPr>
            <xdr:cNvPicPr>
              <a:picLocks noChangeAspect="1" noChangeArrowheads="1"/>
              <a:extLst>
                <a:ext uri="{84589F7E-364E-4C9E-8A38-B11213B215E9}">
                  <a14:cameraTool cellRange="[1]TT!$D$26:$U$49" spid="_x0000_s1546"/>
                </a:ext>
              </a:extLst>
            </xdr:cNvPicPr>
          </xdr:nvPicPr>
          <xdr:blipFill>
            <a:blip xmlns:r="http://schemas.openxmlformats.org/officeDocument/2006/relationships" r:embed="rId3"/>
            <a:srcRect/>
            <a:stretch>
              <a:fillRect/>
            </a:stretch>
          </xdr:blipFill>
          <xdr:spPr bwMode="auto">
            <a:xfrm>
              <a:off x="18813568" y="9009530"/>
              <a:ext cx="24911786" cy="1027339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21</xdr:col>
      <xdr:colOff>623456</xdr:colOff>
      <xdr:row>267</xdr:row>
      <xdr:rowOff>86591</xdr:rowOff>
    </xdr:from>
    <xdr:to>
      <xdr:col>50</xdr:col>
      <xdr:colOff>196858</xdr:colOff>
      <xdr:row>277</xdr:row>
      <xdr:rowOff>69273</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a:stretch>
          <a:fillRect/>
        </a:stretch>
      </xdr:blipFill>
      <xdr:spPr>
        <a:xfrm>
          <a:off x="15517092" y="33441409"/>
          <a:ext cx="19662493" cy="1714500"/>
        </a:xfrm>
        <a:prstGeom prst="rect">
          <a:avLst/>
        </a:prstGeom>
      </xdr:spPr>
    </xdr:pic>
    <xdr:clientData/>
  </xdr:twoCellAnchor>
  <xdr:twoCellAnchor>
    <xdr:from>
      <xdr:col>1</xdr:col>
      <xdr:colOff>448235</xdr:colOff>
      <xdr:row>31</xdr:row>
      <xdr:rowOff>131993</xdr:rowOff>
    </xdr:from>
    <xdr:to>
      <xdr:col>9</xdr:col>
      <xdr:colOff>179294</xdr:colOff>
      <xdr:row>35</xdr:row>
      <xdr:rowOff>98478</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131794" y="8469169"/>
          <a:ext cx="4840941"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12</xdr:col>
      <xdr:colOff>698767</xdr:colOff>
      <xdr:row>30</xdr:row>
      <xdr:rowOff>99734</xdr:rowOff>
    </xdr:from>
    <xdr:to>
      <xdr:col>14</xdr:col>
      <xdr:colOff>638737</xdr:colOff>
      <xdr:row>34</xdr:row>
      <xdr:rowOff>83886</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8049826" y="8268822"/>
          <a:ext cx="4355087" cy="656505"/>
        </a:xfrm>
        <a:prstGeom prst="borderCallout1">
          <a:avLst>
            <a:gd name="adj1" fmla="val 42429"/>
            <a:gd name="adj2" fmla="val -3670"/>
            <a:gd name="adj3" fmla="val -25142"/>
            <a:gd name="adj4" fmla="val -16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545645</xdr:colOff>
      <xdr:row>274</xdr:row>
      <xdr:rowOff>110220</xdr:rowOff>
    </xdr:from>
    <xdr:to>
      <xdr:col>45</xdr:col>
      <xdr:colOff>431346</xdr:colOff>
      <xdr:row>277</xdr:row>
      <xdr:rowOff>20412</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9082545" y="34390695"/>
          <a:ext cx="2628901" cy="424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186419</xdr:colOff>
      <xdr:row>279</xdr:row>
      <xdr:rowOff>88445</xdr:rowOff>
    </xdr:from>
    <xdr:to>
      <xdr:col>47</xdr:col>
      <xdr:colOff>475736</xdr:colOff>
      <xdr:row>282</xdr:row>
      <xdr:rowOff>54826</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0094919" y="35226170"/>
          <a:ext cx="3032517" cy="480731"/>
        </a:xfrm>
        <a:prstGeom prst="borderCallout1">
          <a:avLst>
            <a:gd name="adj1" fmla="val 45277"/>
            <a:gd name="adj2" fmla="val -3670"/>
            <a:gd name="adj3" fmla="val -84577"/>
            <a:gd name="adj4" fmla="val -23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信号の判定条件あり</a:t>
          </a:r>
        </a:p>
      </xdr:txBody>
    </xdr:sp>
    <xdr:clientData/>
  </xdr:twoCellAnchor>
  <xdr:twoCellAnchor>
    <xdr:from>
      <xdr:col>33</xdr:col>
      <xdr:colOff>160878</xdr:colOff>
      <xdr:row>279</xdr:row>
      <xdr:rowOff>53244</xdr:rowOff>
    </xdr:from>
    <xdr:to>
      <xdr:col>36</xdr:col>
      <xdr:colOff>302264</xdr:colOff>
      <xdr:row>281</xdr:row>
      <xdr:rowOff>55656</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2626271" y="32016423"/>
          <a:ext cx="2182457" cy="356197"/>
        </a:xfrm>
        <a:prstGeom prst="borderCallout1">
          <a:avLst>
            <a:gd name="adj1" fmla="val 42429"/>
            <a:gd name="adj2" fmla="val -3670"/>
            <a:gd name="adj3" fmla="val -103286"/>
            <a:gd name="adj4" fmla="val -2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EVHW</a:t>
          </a:r>
        </a:p>
      </xdr:txBody>
    </xdr:sp>
    <xdr:clientData/>
  </xdr:twoCellAnchor>
  <xdr:twoCellAnchor>
    <xdr:from>
      <xdr:col>23</xdr:col>
      <xdr:colOff>381001</xdr:colOff>
      <xdr:row>279</xdr:row>
      <xdr:rowOff>69056</xdr:rowOff>
    </xdr:from>
    <xdr:to>
      <xdr:col>29</xdr:col>
      <xdr:colOff>164765</xdr:colOff>
      <xdr:row>281</xdr:row>
      <xdr:rowOff>72221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6042822" y="32032235"/>
          <a:ext cx="3865907" cy="356950"/>
        </a:xfrm>
        <a:prstGeom prst="borderCallout1">
          <a:avLst>
            <a:gd name="adj1" fmla="val 42429"/>
            <a:gd name="adj2" fmla="val -3670"/>
            <a:gd name="adj3" fmla="val -221106"/>
            <a:gd name="adj4" fmla="val -8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MET1S36</a:t>
          </a:r>
        </a:p>
      </xdr:txBody>
    </xdr:sp>
    <xdr:clientData/>
  </xdr:twoCellAnchor>
  <xdr:twoCellAnchor>
    <xdr:from>
      <xdr:col>31</xdr:col>
      <xdr:colOff>311604</xdr:colOff>
      <xdr:row>274</xdr:row>
      <xdr:rowOff>92527</xdr:rowOff>
    </xdr:from>
    <xdr:to>
      <xdr:col>33</xdr:col>
      <xdr:colOff>216354</xdr:colOff>
      <xdr:row>277</xdr:row>
      <xdr:rowOff>34017</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1990504" y="34373002"/>
          <a:ext cx="1276350" cy="4558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628650</xdr:colOff>
      <xdr:row>273</xdr:row>
      <xdr:rowOff>110218</xdr:rowOff>
    </xdr:from>
    <xdr:to>
      <xdr:col>23</xdr:col>
      <xdr:colOff>419100</xdr:colOff>
      <xdr:row>274</xdr:row>
      <xdr:rowOff>151040</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15449550" y="34219243"/>
          <a:ext cx="1162050" cy="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40822</xdr:colOff>
      <xdr:row>6</xdr:row>
      <xdr:rowOff>13608</xdr:rowOff>
    </xdr:from>
    <xdr:to>
      <xdr:col>20</xdr:col>
      <xdr:colOff>470648</xdr:colOff>
      <xdr:row>7</xdr:row>
      <xdr:rowOff>291353</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16804822" y="1246255"/>
          <a:ext cx="1796944" cy="625127"/>
        </a:xfrm>
        <a:prstGeom prst="borderCallout1">
          <a:avLst>
            <a:gd name="adj1" fmla="val -2079"/>
            <a:gd name="adj2" fmla="val 22940"/>
            <a:gd name="adj3" fmla="val -35388"/>
            <a:gd name="adj4" fmla="val -1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1171575</xdr:colOff>
      <xdr:row>0</xdr:row>
      <xdr:rowOff>161926</xdr:rowOff>
    </xdr:from>
    <xdr:to>
      <xdr:col>13</xdr:col>
      <xdr:colOff>1352549</xdr:colOff>
      <xdr:row>2</xdr:row>
      <xdr:rowOff>142876</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6610350" y="161926"/>
          <a:ext cx="3286124" cy="342900"/>
        </a:xfrm>
        <a:prstGeom prst="borderCallout1">
          <a:avLst>
            <a:gd name="adj1" fmla="val 38295"/>
            <a:gd name="adj2" fmla="val -1002"/>
            <a:gd name="adj3" fmla="val 156866"/>
            <a:gd name="adj4" fmla="val -14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32904</xdr:colOff>
      <xdr:row>27</xdr:row>
      <xdr:rowOff>27709</xdr:rowOff>
    </xdr:from>
    <xdr:to>
      <xdr:col>26</xdr:col>
      <xdr:colOff>556408</xdr:colOff>
      <xdr:row>30</xdr:row>
      <xdr:rowOff>45011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5"/>
        <a:stretch>
          <a:fillRect/>
        </a:stretch>
      </xdr:blipFill>
      <xdr:spPr>
        <a:xfrm>
          <a:off x="31316468" y="7564582"/>
          <a:ext cx="2961905" cy="527271"/>
        </a:xfrm>
        <a:prstGeom prst="rect">
          <a:avLst/>
        </a:prstGeom>
      </xdr:spPr>
    </xdr:pic>
    <xdr:clientData/>
  </xdr:twoCellAnchor>
  <xdr:twoCellAnchor editAs="oneCell">
    <xdr:from>
      <xdr:col>22</xdr:col>
      <xdr:colOff>55419</xdr:colOff>
      <xdr:row>31</xdr:row>
      <xdr:rowOff>1</xdr:rowOff>
    </xdr:from>
    <xdr:to>
      <xdr:col>26</xdr:col>
      <xdr:colOff>578923</xdr:colOff>
      <xdr:row>34</xdr:row>
      <xdr:rowOff>104698</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6"/>
        <a:stretch>
          <a:fillRect/>
        </a:stretch>
      </xdr:blipFill>
      <xdr:spPr>
        <a:xfrm>
          <a:off x="31338983" y="8201892"/>
          <a:ext cx="2961905" cy="603461"/>
        </a:xfrm>
        <a:prstGeom prst="rect">
          <a:avLst/>
        </a:prstGeom>
      </xdr:spPr>
    </xdr:pic>
    <xdr:clientData/>
  </xdr:twoCellAnchor>
  <xdr:twoCellAnchor editAs="oneCell">
    <xdr:from>
      <xdr:col>22</xdr:col>
      <xdr:colOff>50324</xdr:colOff>
      <xdr:row>98</xdr:row>
      <xdr:rowOff>125914</xdr:rowOff>
    </xdr:from>
    <xdr:to>
      <xdr:col>26</xdr:col>
      <xdr:colOff>647787</xdr:colOff>
      <xdr:row>102</xdr:row>
      <xdr:rowOff>100619</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7"/>
        <a:stretch>
          <a:fillRect/>
        </a:stretch>
      </xdr:blipFill>
      <xdr:spPr>
        <a:xfrm>
          <a:off x="18865000" y="19725002"/>
          <a:ext cx="3331699" cy="647058"/>
        </a:xfrm>
        <a:prstGeom prst="rect">
          <a:avLst/>
        </a:prstGeom>
      </xdr:spPr>
    </xdr:pic>
    <xdr:clientData/>
  </xdr:twoCellAnchor>
  <xdr:twoCellAnchor editAs="oneCell">
    <xdr:from>
      <xdr:col>21</xdr:col>
      <xdr:colOff>398318</xdr:colOff>
      <xdr:row>167</xdr:row>
      <xdr:rowOff>98712</xdr:rowOff>
    </xdr:from>
    <xdr:to>
      <xdr:col>44</xdr:col>
      <xdr:colOff>227507</xdr:colOff>
      <xdr:row>214</xdr:row>
      <xdr:rowOff>152399</xdr:rowOff>
    </xdr:to>
    <xdr:pic>
      <xdr:nvPicPr>
        <xdr:cNvPr id="45" name="図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8"/>
        <a:stretch>
          <a:fillRect/>
        </a:stretch>
      </xdr:blipFill>
      <xdr:spPr>
        <a:xfrm>
          <a:off x="32291482" y="30246203"/>
          <a:ext cx="13849989" cy="7867651"/>
        </a:xfrm>
        <a:prstGeom prst="rect">
          <a:avLst/>
        </a:prstGeom>
      </xdr:spPr>
    </xdr:pic>
    <xdr:clientData/>
  </xdr:twoCellAnchor>
  <xdr:twoCellAnchor>
    <xdr:from>
      <xdr:col>21</xdr:col>
      <xdr:colOff>638734</xdr:colOff>
      <xdr:row>8</xdr:row>
      <xdr:rowOff>1219200</xdr:rowOff>
    </xdr:from>
    <xdr:to>
      <xdr:col>40</xdr:col>
      <xdr:colOff>257735</xdr:colOff>
      <xdr:row>9</xdr:row>
      <xdr:rowOff>201706</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19453410" y="4536141"/>
          <a:ext cx="12606619" cy="2711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74978</xdr:colOff>
      <xdr:row>8</xdr:row>
      <xdr:rowOff>935589</xdr:rowOff>
    </xdr:from>
    <xdr:to>
      <xdr:col>49</xdr:col>
      <xdr:colOff>12054</xdr:colOff>
      <xdr:row>10</xdr:row>
      <xdr:rowOff>5727</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3244390" y="4252530"/>
          <a:ext cx="4721988" cy="582932"/>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無しとなっているが、</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送信有りとして設計する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後述</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xdr:colOff>
      <xdr:row>27</xdr:row>
      <xdr:rowOff>0</xdr:rowOff>
    </xdr:from>
    <xdr:to>
      <xdr:col>26</xdr:col>
      <xdr:colOff>540329</xdr:colOff>
      <xdr:row>34</xdr:row>
      <xdr:rowOff>83127</xdr:rowOff>
    </xdr:to>
    <xdr:sp macro="" textlink="">
      <xdr:nvSpPr>
        <xdr:cNvPr id="60" name="正方形/長方形 59">
          <a:extLst>
            <a:ext uri="{FF2B5EF4-FFF2-40B4-BE49-F238E27FC236}">
              <a16:creationId xmlns:a16="http://schemas.microsoft.com/office/drawing/2014/main" id="{00000000-0008-0000-0600-00003C000000}"/>
            </a:ext>
          </a:extLst>
        </xdr:cNvPr>
        <xdr:cNvSpPr/>
      </xdr:nvSpPr>
      <xdr:spPr>
        <a:xfrm>
          <a:off x="31283565" y="7536873"/>
          <a:ext cx="2978728" cy="1246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55418</xdr:colOff>
      <xdr:row>29</xdr:row>
      <xdr:rowOff>55418</xdr:rowOff>
    </xdr:from>
    <xdr:to>
      <xdr:col>34</xdr:col>
      <xdr:colOff>124691</xdr:colOff>
      <xdr:row>32</xdr:row>
      <xdr:rowOff>81520</xdr:rowOff>
    </xdr:to>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34996582" y="7924800"/>
          <a:ext cx="3726873" cy="524865"/>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メンテナンス・点灯・警告灯、停車警告灯は要求なし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50324</xdr:colOff>
      <xdr:row>98</xdr:row>
      <xdr:rowOff>82517</xdr:rowOff>
    </xdr:from>
    <xdr:to>
      <xdr:col>26</xdr:col>
      <xdr:colOff>678465</xdr:colOff>
      <xdr:row>102</xdr:row>
      <xdr:rowOff>167477</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8865000" y="19681605"/>
          <a:ext cx="3362377" cy="757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22615</xdr:colOff>
      <xdr:row>98</xdr:row>
      <xdr:rowOff>167478</xdr:rowOff>
    </xdr:from>
    <xdr:to>
      <xdr:col>30</xdr:col>
      <xdr:colOff>22615</xdr:colOff>
      <xdr:row>102</xdr:row>
      <xdr:rowOff>25491</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2938644" y="19766566"/>
          <a:ext cx="1367118" cy="530366"/>
        </a:xfrm>
        <a:prstGeom prst="borderCallout1">
          <a:avLst>
            <a:gd name="adj1" fmla="val 42429"/>
            <a:gd name="adj2" fmla="val -3670"/>
            <a:gd name="adj3" fmla="val 61790"/>
            <a:gd name="adj4" fmla="val -58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648311</xdr:colOff>
      <xdr:row>124</xdr:row>
      <xdr:rowOff>58679</xdr:rowOff>
    </xdr:from>
    <xdr:to>
      <xdr:col>41</xdr:col>
      <xdr:colOff>493060</xdr:colOff>
      <xdr:row>148</xdr:row>
      <xdr:rowOff>134471</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2450605" y="24297003"/>
          <a:ext cx="528308" cy="4109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220245</xdr:colOff>
      <xdr:row>116</xdr:row>
      <xdr:rowOff>83741</xdr:rowOff>
    </xdr:from>
    <xdr:to>
      <xdr:col>44</xdr:col>
      <xdr:colOff>497337</xdr:colOff>
      <xdr:row>118</xdr:row>
      <xdr:rowOff>56032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3389657" y="22977359"/>
          <a:ext cx="1644209" cy="308467"/>
        </a:xfrm>
        <a:prstGeom prst="borderCallout1">
          <a:avLst>
            <a:gd name="adj1" fmla="val 33093"/>
            <a:gd name="adj2" fmla="val -2637"/>
            <a:gd name="adj3" fmla="val 435048"/>
            <a:gd name="adj4" fmla="val -38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558054</xdr:colOff>
      <xdr:row>121</xdr:row>
      <xdr:rowOff>150973</xdr:rowOff>
    </xdr:from>
    <xdr:to>
      <xdr:col>31</xdr:col>
      <xdr:colOff>268942</xdr:colOff>
      <xdr:row>148</xdr:row>
      <xdr:rowOff>100853</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4841201" y="23885032"/>
          <a:ext cx="1078006" cy="44882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453125</xdr:colOff>
      <xdr:row>124</xdr:row>
      <xdr:rowOff>54806</xdr:rowOff>
    </xdr:from>
    <xdr:to>
      <xdr:col>34</xdr:col>
      <xdr:colOff>672353</xdr:colOff>
      <xdr:row>148</xdr:row>
      <xdr:rowOff>134470</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7470507" y="24293130"/>
          <a:ext cx="902787" cy="41137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429897</xdr:colOff>
      <xdr:row>108</xdr:row>
      <xdr:rowOff>114708</xdr:rowOff>
    </xdr:from>
    <xdr:to>
      <xdr:col>39</xdr:col>
      <xdr:colOff>605118</xdr:colOff>
      <xdr:row>114</xdr:row>
      <xdr:rowOff>11206</xdr:rowOff>
    </xdr:to>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30181515" y="21663620"/>
          <a:ext cx="1542338" cy="905027"/>
        </a:xfrm>
        <a:prstGeom prst="borderCallout1">
          <a:avLst>
            <a:gd name="adj1" fmla="val 42429"/>
            <a:gd name="adj2" fmla="val -3670"/>
            <a:gd name="adj3" fmla="val 311709"/>
            <a:gd name="adj4" fmla="val -12138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シス検で追加</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581075</xdr:colOff>
      <xdr:row>115</xdr:row>
      <xdr:rowOff>26486</xdr:rowOff>
    </xdr:from>
    <xdr:to>
      <xdr:col>34</xdr:col>
      <xdr:colOff>303986</xdr:colOff>
      <xdr:row>118</xdr:row>
      <xdr:rowOff>27214</xdr:rowOff>
    </xdr:to>
    <xdr:sp macro="" textlink="">
      <xdr:nvSpPr>
        <xdr:cNvPr id="84" name="線吹き出し 1 (枠付き) 83">
          <a:extLst>
            <a:ext uri="{FF2B5EF4-FFF2-40B4-BE49-F238E27FC236}">
              <a16:creationId xmlns:a16="http://schemas.microsoft.com/office/drawing/2014/main" id="{00000000-0008-0000-0600-000054000000}"/>
            </a:ext>
          </a:extLst>
        </xdr:cNvPr>
        <xdr:cNvSpPr/>
      </xdr:nvSpPr>
      <xdr:spPr>
        <a:xfrm>
          <a:off x="26231340" y="22752015"/>
          <a:ext cx="1773587" cy="504993"/>
        </a:xfrm>
        <a:prstGeom prst="borderCallout1">
          <a:avLst>
            <a:gd name="adj1" fmla="val 43705"/>
            <a:gd name="adj2" fmla="val 1432"/>
            <a:gd name="adj3" fmla="val 214449"/>
            <a:gd name="adj4" fmla="val -18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21</xdr:col>
      <xdr:colOff>605322</xdr:colOff>
      <xdr:row>151</xdr:row>
      <xdr:rowOff>33618</xdr:rowOff>
    </xdr:from>
    <xdr:to>
      <xdr:col>24</xdr:col>
      <xdr:colOff>336176</xdr:colOff>
      <xdr:row>155</xdr:row>
      <xdr:rowOff>122655</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19419998" y="28810324"/>
          <a:ext cx="1781531" cy="761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583724</xdr:colOff>
      <xdr:row>151</xdr:row>
      <xdr:rowOff>29137</xdr:rowOff>
    </xdr:from>
    <xdr:to>
      <xdr:col>31</xdr:col>
      <xdr:colOff>235323</xdr:colOff>
      <xdr:row>155</xdr:row>
      <xdr:rowOff>100853</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24866871" y="28805843"/>
          <a:ext cx="1018717" cy="7440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233692</xdr:colOff>
      <xdr:row>151</xdr:row>
      <xdr:rowOff>26487</xdr:rowOff>
    </xdr:from>
    <xdr:to>
      <xdr:col>33</xdr:col>
      <xdr:colOff>425824</xdr:colOff>
      <xdr:row>155</xdr:row>
      <xdr:rowOff>112059</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5883957" y="28803193"/>
          <a:ext cx="1559249" cy="7579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696191</xdr:colOff>
      <xdr:row>153</xdr:row>
      <xdr:rowOff>136507</xdr:rowOff>
    </xdr:from>
    <xdr:to>
      <xdr:col>20</xdr:col>
      <xdr:colOff>437029</xdr:colOff>
      <xdr:row>161</xdr:row>
      <xdr:rowOff>78440</xdr:rowOff>
    </xdr:to>
    <xdr:sp macro="" textlink="">
      <xdr:nvSpPr>
        <xdr:cNvPr id="89" name="線吹き出し 1 (枠付き) 88">
          <a:extLst>
            <a:ext uri="{FF2B5EF4-FFF2-40B4-BE49-F238E27FC236}">
              <a16:creationId xmlns:a16="http://schemas.microsoft.com/office/drawing/2014/main" id="{00000000-0008-0000-0600-000059000000}"/>
            </a:ext>
          </a:extLst>
        </xdr:cNvPr>
        <xdr:cNvSpPr/>
      </xdr:nvSpPr>
      <xdr:spPr>
        <a:xfrm>
          <a:off x="14972485" y="29249389"/>
          <a:ext cx="3595662" cy="1286639"/>
        </a:xfrm>
        <a:prstGeom prst="borderCallout1">
          <a:avLst>
            <a:gd name="adj1" fmla="val 46784"/>
            <a:gd name="adj2" fmla="val 101356"/>
            <a:gd name="adj3" fmla="val -2935"/>
            <a:gd name="adj4" fmla="val 123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送信無しとなっているが、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表示で使用される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p>
      </xdr:txBody>
    </xdr:sp>
    <xdr:clientData/>
  </xdr:twoCellAnchor>
  <xdr:twoCellAnchor>
    <xdr:from>
      <xdr:col>40</xdr:col>
      <xdr:colOff>209245</xdr:colOff>
      <xdr:row>159</xdr:row>
      <xdr:rowOff>160957</xdr:rowOff>
    </xdr:from>
    <xdr:to>
      <xdr:col>44</xdr:col>
      <xdr:colOff>445222</xdr:colOff>
      <xdr:row>162</xdr:row>
      <xdr:rowOff>127337</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32011539" y="30282369"/>
          <a:ext cx="2970212" cy="470644"/>
        </a:xfrm>
        <a:prstGeom prst="borderCallout1">
          <a:avLst>
            <a:gd name="adj1" fmla="val 45277"/>
            <a:gd name="adj2" fmla="val -3670"/>
            <a:gd name="adj3" fmla="val -164998"/>
            <a:gd name="adj4" fmla="val -206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39</xdr:col>
      <xdr:colOff>362256</xdr:colOff>
      <xdr:row>150</xdr:row>
      <xdr:rowOff>147101</xdr:rowOff>
    </xdr:from>
    <xdr:to>
      <xdr:col>44</xdr:col>
      <xdr:colOff>29746</xdr:colOff>
      <xdr:row>154</xdr:row>
      <xdr:rowOff>119518</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31480991" y="28755719"/>
          <a:ext cx="3085284" cy="644770"/>
        </a:xfrm>
        <a:prstGeom prst="borderCallout1">
          <a:avLst>
            <a:gd name="adj1" fmla="val 38295"/>
            <a:gd name="adj2" fmla="val -1002"/>
            <a:gd name="adj3" fmla="val 79241"/>
            <a:gd name="adj4" fmla="val -1294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2408145</xdr:colOff>
      <xdr:row>0</xdr:row>
      <xdr:rowOff>61073</xdr:rowOff>
    </xdr:from>
    <xdr:to>
      <xdr:col>10</xdr:col>
      <xdr:colOff>1345267</xdr:colOff>
      <xdr:row>2</xdr:row>
      <xdr:rowOff>42023</xdr:rowOff>
    </xdr:to>
    <xdr:sp macro="" textlink="">
      <xdr:nvSpPr>
        <xdr:cNvPr id="2" name="線吹き出し 1 (枠付き) 55">
          <a:extLst>
            <a:ext uri="{FF2B5EF4-FFF2-40B4-BE49-F238E27FC236}">
              <a16:creationId xmlns:a16="http://schemas.microsoft.com/office/drawing/2014/main" id="{F617A68B-5A2B-47D0-8886-9CEFFCCF87F1}"/>
            </a:ext>
          </a:extLst>
        </xdr:cNvPr>
        <xdr:cNvSpPr/>
      </xdr:nvSpPr>
      <xdr:spPr>
        <a:xfrm>
          <a:off x="3091704" y="61073"/>
          <a:ext cx="4304739" cy="339538"/>
        </a:xfrm>
        <a:prstGeom prst="borderCallout1">
          <a:avLst>
            <a:gd name="adj1" fmla="val 107602"/>
            <a:gd name="adj2" fmla="val 70064"/>
            <a:gd name="adj3" fmla="val 193170"/>
            <a:gd name="adj4" fmla="val 747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からの仕向け地情報（中国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中国以外）を受け取る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239326</xdr:colOff>
      <xdr:row>8</xdr:row>
      <xdr:rowOff>760882</xdr:rowOff>
    </xdr:from>
    <xdr:to>
      <xdr:col>21</xdr:col>
      <xdr:colOff>515471</xdr:colOff>
      <xdr:row>17</xdr:row>
      <xdr:rowOff>0</xdr:rowOff>
    </xdr:to>
    <xdr:sp macro="" textlink="">
      <xdr:nvSpPr>
        <xdr:cNvPr id="3" name="線吹き出し 1 (枠付き) 17">
          <a:extLst>
            <a:ext uri="{FF2B5EF4-FFF2-40B4-BE49-F238E27FC236}">
              <a16:creationId xmlns:a16="http://schemas.microsoft.com/office/drawing/2014/main" id="{AFD1E5A6-1D51-4529-B39F-594FFFABD946}"/>
            </a:ext>
          </a:extLst>
        </xdr:cNvPr>
        <xdr:cNvSpPr/>
      </xdr:nvSpPr>
      <xdr:spPr>
        <a:xfrm>
          <a:off x="17003326" y="4077823"/>
          <a:ext cx="2326821" cy="2152648"/>
        </a:xfrm>
        <a:prstGeom prst="borderCallout1">
          <a:avLst>
            <a:gd name="adj1" fmla="val 42429"/>
            <a:gd name="adj2" fmla="val -3670"/>
            <a:gd name="adj3" fmla="val 51116"/>
            <a:gd name="adj4" fmla="val -19253"/>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31</xdr:col>
      <xdr:colOff>571499</xdr:colOff>
      <xdr:row>38</xdr:row>
      <xdr:rowOff>123264</xdr:rowOff>
    </xdr:from>
    <xdr:to>
      <xdr:col>33</xdr:col>
      <xdr:colOff>616323</xdr:colOff>
      <xdr:row>41</xdr:row>
      <xdr:rowOff>149366</xdr:rowOff>
    </xdr:to>
    <xdr:sp macro="" textlink="">
      <xdr:nvSpPr>
        <xdr:cNvPr id="8" name="線吹き出し 1 (枠付き) 60">
          <a:extLst>
            <a:ext uri="{FF2B5EF4-FFF2-40B4-BE49-F238E27FC236}">
              <a16:creationId xmlns:a16="http://schemas.microsoft.com/office/drawing/2014/main" id="{3E4DEA16-13EE-4B97-BDD9-3A5536B8BE4D}"/>
            </a:ext>
          </a:extLst>
        </xdr:cNvPr>
        <xdr:cNvSpPr/>
      </xdr:nvSpPr>
      <xdr:spPr>
        <a:xfrm>
          <a:off x="26221764" y="9905999"/>
          <a:ext cx="1411941" cy="530367"/>
        </a:xfrm>
        <a:prstGeom prst="borderCallout1">
          <a:avLst>
            <a:gd name="adj1" fmla="val 42429"/>
            <a:gd name="adj2" fmla="val -3670"/>
            <a:gd name="adj3" fmla="val 128869"/>
            <a:gd name="adj4" fmla="val -375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33618</xdr:colOff>
      <xdr:row>136</xdr:row>
      <xdr:rowOff>67236</xdr:rowOff>
    </xdr:from>
    <xdr:to>
      <xdr:col>47</xdr:col>
      <xdr:colOff>470647</xdr:colOff>
      <xdr:row>148</xdr:row>
      <xdr:rowOff>78441</xdr:rowOff>
    </xdr:to>
    <xdr:sp macro="" textlink="">
      <xdr:nvSpPr>
        <xdr:cNvPr id="10" name="右中かっこ 9">
          <a:extLst>
            <a:ext uri="{FF2B5EF4-FFF2-40B4-BE49-F238E27FC236}">
              <a16:creationId xmlns:a16="http://schemas.microsoft.com/office/drawing/2014/main" id="{DF40BD9D-ADCA-CDB0-0A74-FE1375FDB867}"/>
            </a:ext>
          </a:extLst>
        </xdr:cNvPr>
        <xdr:cNvSpPr/>
      </xdr:nvSpPr>
      <xdr:spPr>
        <a:xfrm>
          <a:off x="36620824" y="26322618"/>
          <a:ext cx="437029" cy="202826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17930</xdr:colOff>
      <xdr:row>124</xdr:row>
      <xdr:rowOff>67234</xdr:rowOff>
    </xdr:from>
    <xdr:to>
      <xdr:col>47</xdr:col>
      <xdr:colOff>454959</xdr:colOff>
      <xdr:row>135</xdr:row>
      <xdr:rowOff>163605</xdr:rowOff>
    </xdr:to>
    <xdr:sp macro="" textlink="">
      <xdr:nvSpPr>
        <xdr:cNvPr id="11" name="右中かっこ 10">
          <a:extLst>
            <a:ext uri="{FF2B5EF4-FFF2-40B4-BE49-F238E27FC236}">
              <a16:creationId xmlns:a16="http://schemas.microsoft.com/office/drawing/2014/main" id="{CCC6AFE7-B61D-40D5-A08F-5CABC8F61E3B}"/>
            </a:ext>
          </a:extLst>
        </xdr:cNvPr>
        <xdr:cNvSpPr/>
      </xdr:nvSpPr>
      <xdr:spPr>
        <a:xfrm>
          <a:off x="36605136" y="24305558"/>
          <a:ext cx="437029" cy="194534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51</xdr:col>
      <xdr:colOff>33209</xdr:colOff>
      <xdr:row>126</xdr:row>
      <xdr:rowOff>132638</xdr:rowOff>
    </xdr:from>
    <xdr:to>
      <xdr:col>53</xdr:col>
      <xdr:colOff>107576</xdr:colOff>
      <xdr:row>130</xdr:row>
      <xdr:rowOff>146492</xdr:rowOff>
    </xdr:to>
    <xdr:sp macro="" textlink="">
      <xdr:nvSpPr>
        <xdr:cNvPr id="12" name="線吹き出し 1 (枠付き) 74">
          <a:extLst>
            <a:ext uri="{FF2B5EF4-FFF2-40B4-BE49-F238E27FC236}">
              <a16:creationId xmlns:a16="http://schemas.microsoft.com/office/drawing/2014/main" id="{293AE2C7-5620-461D-9239-7217E4242C7B}"/>
            </a:ext>
          </a:extLst>
        </xdr:cNvPr>
        <xdr:cNvSpPr/>
      </xdr:nvSpPr>
      <xdr:spPr>
        <a:xfrm>
          <a:off x="39354650" y="24707138"/>
          <a:ext cx="1441485" cy="686207"/>
        </a:xfrm>
        <a:prstGeom prst="borderCallout1">
          <a:avLst>
            <a:gd name="adj1" fmla="val 42429"/>
            <a:gd name="adj2" fmla="val -3670"/>
            <a:gd name="adj3" fmla="val 201519"/>
            <a:gd name="adj4" fmla="val -858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414617</xdr:colOff>
      <xdr:row>31</xdr:row>
      <xdr:rowOff>156882</xdr:rowOff>
    </xdr:from>
    <xdr:to>
      <xdr:col>37</xdr:col>
      <xdr:colOff>488984</xdr:colOff>
      <xdr:row>36</xdr:row>
      <xdr:rowOff>2648</xdr:rowOff>
    </xdr:to>
    <xdr:sp macro="" textlink="">
      <xdr:nvSpPr>
        <xdr:cNvPr id="15" name="線吹き出し 1 (枠付き) 74">
          <a:extLst>
            <a:ext uri="{FF2B5EF4-FFF2-40B4-BE49-F238E27FC236}">
              <a16:creationId xmlns:a16="http://schemas.microsoft.com/office/drawing/2014/main" id="{2004DADA-6DBB-4478-B576-D7A63D807B0E}"/>
            </a:ext>
          </a:extLst>
        </xdr:cNvPr>
        <xdr:cNvSpPr/>
      </xdr:nvSpPr>
      <xdr:spPr>
        <a:xfrm>
          <a:off x="28799117" y="8763000"/>
          <a:ext cx="1441485" cy="686207"/>
        </a:xfrm>
        <a:prstGeom prst="borderCallout1">
          <a:avLst>
            <a:gd name="adj1" fmla="val 42429"/>
            <a:gd name="adj2" fmla="val -3670"/>
            <a:gd name="adj3" fmla="val 201519"/>
            <a:gd name="adj4" fmla="val -858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シス検で要求なしに変更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0</xdr:colOff>
      <xdr:row>166</xdr:row>
      <xdr:rowOff>134470</xdr:rowOff>
    </xdr:from>
    <xdr:to>
      <xdr:col>20</xdr:col>
      <xdr:colOff>593911</xdr:colOff>
      <xdr:row>176</xdr:row>
      <xdr:rowOff>89646</xdr:rowOff>
    </xdr:to>
    <xdr:sp macro="" textlink="">
      <xdr:nvSpPr>
        <xdr:cNvPr id="16" name="線吹き出し 1 (枠付き) 74">
          <a:extLst>
            <a:ext uri="{FF2B5EF4-FFF2-40B4-BE49-F238E27FC236}">
              <a16:creationId xmlns:a16="http://schemas.microsoft.com/office/drawing/2014/main" id="{37785BF2-651C-474D-888A-3F19C744A569}"/>
            </a:ext>
          </a:extLst>
        </xdr:cNvPr>
        <xdr:cNvSpPr/>
      </xdr:nvSpPr>
      <xdr:spPr>
        <a:xfrm>
          <a:off x="15105529" y="31432499"/>
          <a:ext cx="3619500" cy="1636059"/>
        </a:xfrm>
        <a:prstGeom prst="borderCallout1">
          <a:avLst>
            <a:gd name="adj1" fmla="val -1407"/>
            <a:gd name="adj2" fmla="val 31005"/>
            <a:gd name="adj3" fmla="val -69714"/>
            <a:gd name="adj4" fmla="val 6708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mc:AlternateContent xmlns:mc="http://schemas.openxmlformats.org/markup-compatibility/2006">
    <mc:Choice xmlns:a14="http://schemas.microsoft.com/office/drawing/2010/main" Requires="a14">
      <xdr:twoCellAnchor editAs="oneCell">
        <xdr:from>
          <xdr:col>21</xdr:col>
          <xdr:colOff>414617</xdr:colOff>
          <xdr:row>216</xdr:row>
          <xdr:rowOff>1232</xdr:rowOff>
        </xdr:from>
        <xdr:to>
          <xdr:col>46</xdr:col>
          <xdr:colOff>168088</xdr:colOff>
          <xdr:row>260</xdr:row>
          <xdr:rowOff>113062</xdr:rowOff>
        </xdr:to>
        <xdr:pic>
          <xdr:nvPicPr>
            <xdr:cNvPr id="19" name="図 18">
              <a:extLst>
                <a:ext uri="{FF2B5EF4-FFF2-40B4-BE49-F238E27FC236}">
                  <a16:creationId xmlns:a16="http://schemas.microsoft.com/office/drawing/2014/main" id="{D87F9FD3-C98D-E382-4E6C-5469ABBEAEA1}"/>
                </a:ext>
              </a:extLst>
            </xdr:cNvPr>
            <xdr:cNvPicPr>
              <a:picLocks noChangeAspect="1" noChangeArrowheads="1"/>
              <a:extLst>
                <a:ext uri="{84589F7E-364E-4C9E-8A38-B11213B215E9}">
                  <a14:cameraTool cellRange="'[1]Detailed Spec'!$D$57:$H$67" spid="_x0000_s1547"/>
                </a:ext>
              </a:extLst>
            </xdr:cNvPicPr>
          </xdr:nvPicPr>
          <xdr:blipFill>
            <a:blip xmlns:r="http://schemas.openxmlformats.org/officeDocument/2006/relationships" r:embed="rId9"/>
            <a:srcRect/>
            <a:stretch>
              <a:fillRect/>
            </a:stretch>
          </xdr:blipFill>
          <xdr:spPr bwMode="auto">
            <a:xfrm>
              <a:off x="19229293" y="39703673"/>
              <a:ext cx="16842442" cy="75077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33</xdr:col>
      <xdr:colOff>392207</xdr:colOff>
      <xdr:row>221</xdr:row>
      <xdr:rowOff>33618</xdr:rowOff>
    </xdr:from>
    <xdr:to>
      <xdr:col>46</xdr:col>
      <xdr:colOff>123265</xdr:colOff>
      <xdr:row>228</xdr:row>
      <xdr:rowOff>123265</xdr:rowOff>
    </xdr:to>
    <xdr:sp macro="" textlink="">
      <xdr:nvSpPr>
        <xdr:cNvPr id="20" name="正方形/長方形 19">
          <a:extLst>
            <a:ext uri="{FF2B5EF4-FFF2-40B4-BE49-F238E27FC236}">
              <a16:creationId xmlns:a16="http://schemas.microsoft.com/office/drawing/2014/main" id="{88801076-33D0-410D-AE5E-B2D3EAD96BF8}"/>
            </a:ext>
          </a:extLst>
        </xdr:cNvPr>
        <xdr:cNvSpPr/>
      </xdr:nvSpPr>
      <xdr:spPr>
        <a:xfrm>
          <a:off x="27409589" y="40576500"/>
          <a:ext cx="8617323" cy="1266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537882</xdr:colOff>
      <xdr:row>231</xdr:row>
      <xdr:rowOff>78441</xdr:rowOff>
    </xdr:from>
    <xdr:to>
      <xdr:col>46</xdr:col>
      <xdr:colOff>205372</xdr:colOff>
      <xdr:row>236</xdr:row>
      <xdr:rowOff>156882</xdr:rowOff>
    </xdr:to>
    <xdr:sp macro="" textlink="">
      <xdr:nvSpPr>
        <xdr:cNvPr id="21" name="線吹き出し 1 (枠付き) 90">
          <a:extLst>
            <a:ext uri="{FF2B5EF4-FFF2-40B4-BE49-F238E27FC236}">
              <a16:creationId xmlns:a16="http://schemas.microsoft.com/office/drawing/2014/main" id="{85590003-1C8A-4CE5-AC85-B0851A19A075}"/>
            </a:ext>
          </a:extLst>
        </xdr:cNvPr>
        <xdr:cNvSpPr/>
      </xdr:nvSpPr>
      <xdr:spPr>
        <a:xfrm>
          <a:off x="33023735" y="42302206"/>
          <a:ext cx="3085284" cy="918882"/>
        </a:xfrm>
        <a:prstGeom prst="borderCallout1">
          <a:avLst>
            <a:gd name="adj1" fmla="val 38295"/>
            <a:gd name="adj2" fmla="val -1002"/>
            <a:gd name="adj3" fmla="val -47207"/>
            <a:gd name="adj4" fmla="val -3249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中国向けと中国向け以外で警告が異なる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で切り分けて通知する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シス検で変更）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504264</xdr:colOff>
      <xdr:row>265</xdr:row>
      <xdr:rowOff>89646</xdr:rowOff>
    </xdr:from>
    <xdr:to>
      <xdr:col>20</xdr:col>
      <xdr:colOff>268940</xdr:colOff>
      <xdr:row>276</xdr:row>
      <xdr:rowOff>22411</xdr:rowOff>
    </xdr:to>
    <xdr:sp macro="" textlink="">
      <xdr:nvSpPr>
        <xdr:cNvPr id="24" name="線吹き出し 1 (枠付き) 74">
          <a:extLst>
            <a:ext uri="{FF2B5EF4-FFF2-40B4-BE49-F238E27FC236}">
              <a16:creationId xmlns:a16="http://schemas.microsoft.com/office/drawing/2014/main" id="{C58B5454-844C-492F-B0FE-7238075C9D02}"/>
            </a:ext>
          </a:extLst>
        </xdr:cNvPr>
        <xdr:cNvSpPr/>
      </xdr:nvSpPr>
      <xdr:spPr>
        <a:xfrm>
          <a:off x="14780558" y="48028411"/>
          <a:ext cx="3619500" cy="1781735"/>
        </a:xfrm>
        <a:prstGeom prst="borderCallout1">
          <a:avLst>
            <a:gd name="adj1" fmla="val 16203"/>
            <a:gd name="adj2" fmla="val 100355"/>
            <a:gd name="adj3" fmla="val 30286"/>
            <a:gd name="adj4" fmla="val 11352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までの仕様記載</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20181;&#27096;&#26360;\BEV_v0.1.0\&#21046;&#24481;&#20181;&#27096;\MET-H_DRIPOW-CSTD-1-00-A-C0\MET-H_DRIPOW-CSTD-1-00-A-C0.xlsm" TargetMode="External"/><Relationship Id="rId1" Type="http://schemas.openxmlformats.org/officeDocument/2006/relationships/externalLinkPath" Target="file:///C:\work\&#20181;&#27096;&#26360;\BEV_v0.1.0\&#21046;&#24481;&#20181;&#27096;\MET-H_DRIPOW-CSTD-1-00-A-C0\MET-H_DRIPOW-CSTD-1-00-A-C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58BC-3386-4066-B7E4-D6607342BCC9}">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303" customWidth="1"/>
    <col min="53" max="16384" width="8.81640625" style="30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04"/>
    </row>
    <row r="11" spans="6:20" ht="13.15" customHeight="1"/>
    <row r="12" spans="6:20" ht="13.15" customHeight="1"/>
    <row r="13" spans="6:20" ht="13.15" customHeight="1">
      <c r="T13" s="305" t="str">
        <f ca="1">MID(CELL("filename",A1),FIND("[",CELL("filename",A1))+1,FIND("]",CELL("filename",A1))-FIND("[",CELL("filename",A1))-1)</f>
        <v>alert_H_DRIPOW-CSTD-1-00-B-C0.xlsx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06"/>
      <c r="V32" s="306"/>
    </row>
    <row r="33" spans="3:39" ht="13.15" customHeight="1">
      <c r="M33" s="307"/>
      <c r="N33" s="307"/>
      <c r="O33" s="307"/>
      <c r="P33" s="307"/>
      <c r="Q33" s="307"/>
      <c r="AF33" s="307"/>
      <c r="AG33" s="307"/>
      <c r="AH33" s="307"/>
      <c r="AI33" s="307"/>
      <c r="AJ33" s="307"/>
    </row>
    <row r="34" spans="3:39" ht="13.15" customHeight="1">
      <c r="Y34" s="150" t="s">
        <v>339</v>
      </c>
    </row>
    <row r="35" spans="3:39" ht="13.15" customHeight="1">
      <c r="Y35" s="308" t="s">
        <v>340</v>
      </c>
      <c r="Z35" s="309"/>
      <c r="AA35" s="309"/>
      <c r="AB35" s="309"/>
      <c r="AC35" s="310"/>
      <c r="AD35" s="308" t="s">
        <v>341</v>
      </c>
      <c r="AE35" s="309"/>
      <c r="AF35" s="309"/>
      <c r="AG35" s="309"/>
      <c r="AH35" s="310"/>
      <c r="AI35" s="308" t="s">
        <v>342</v>
      </c>
      <c r="AJ35" s="309"/>
      <c r="AK35" s="309"/>
      <c r="AL35" s="309"/>
      <c r="AM35" s="310"/>
    </row>
    <row r="36" spans="3:39" ht="13.15" customHeight="1">
      <c r="D36" s="307"/>
      <c r="E36" s="311"/>
      <c r="F36" s="307"/>
      <c r="G36" s="307"/>
      <c r="I36" s="307"/>
      <c r="J36" s="311"/>
      <c r="K36" s="307"/>
      <c r="L36" s="307"/>
      <c r="M36" s="307"/>
      <c r="N36" s="307"/>
      <c r="O36" s="311"/>
      <c r="P36" s="307"/>
      <c r="Q36" s="307"/>
      <c r="W36" s="307"/>
      <c r="X36" s="311"/>
      <c r="Y36" s="312"/>
      <c r="Z36" s="313"/>
      <c r="AA36" s="313"/>
      <c r="AB36" s="313"/>
      <c r="AC36" s="314"/>
      <c r="AD36" s="312"/>
      <c r="AE36" s="313"/>
      <c r="AF36" s="313"/>
      <c r="AG36" s="313"/>
      <c r="AH36" s="314"/>
      <c r="AI36" s="312"/>
      <c r="AJ36" s="313"/>
      <c r="AK36" s="313"/>
      <c r="AL36" s="313"/>
      <c r="AM36" s="314"/>
    </row>
    <row r="37" spans="3:39" ht="13.15" customHeight="1">
      <c r="Y37" s="315"/>
      <c r="AC37" s="316"/>
      <c r="AD37" s="315"/>
      <c r="AH37" s="316"/>
      <c r="AI37" s="315"/>
      <c r="AM37" s="316"/>
    </row>
    <row r="38" spans="3:39" ht="13.15" customHeight="1">
      <c r="Y38" s="315"/>
      <c r="Z38" s="307"/>
      <c r="AA38" s="311" t="s">
        <v>343</v>
      </c>
      <c r="AB38" s="307"/>
      <c r="AC38" s="317"/>
      <c r="AD38" s="315"/>
      <c r="AE38" s="307"/>
      <c r="AF38" s="311" t="s">
        <v>344</v>
      </c>
      <c r="AG38" s="307"/>
      <c r="AH38" s="317"/>
      <c r="AI38" s="318"/>
      <c r="AJ38" s="307"/>
      <c r="AK38" s="311" t="s">
        <v>345</v>
      </c>
      <c r="AL38" s="307"/>
      <c r="AM38" s="317"/>
    </row>
    <row r="39" spans="3:39" ht="13.15" customHeight="1">
      <c r="Y39" s="315"/>
      <c r="AC39" s="316"/>
      <c r="AD39" s="315"/>
      <c r="AH39" s="316"/>
      <c r="AI39" s="315"/>
      <c r="AM39" s="316"/>
    </row>
    <row r="40" spans="3:39" ht="13.15" customHeight="1">
      <c r="C40" s="306"/>
      <c r="V40" s="306"/>
      <c r="Y40" s="319"/>
      <c r="Z40" s="320"/>
      <c r="AA40" s="320"/>
      <c r="AB40" s="320"/>
      <c r="AC40" s="321"/>
      <c r="AD40" s="319"/>
      <c r="AE40" s="320"/>
      <c r="AF40" s="320"/>
      <c r="AG40" s="320"/>
      <c r="AH40" s="321"/>
      <c r="AI40" s="319"/>
      <c r="AJ40" s="320"/>
      <c r="AK40" s="320"/>
      <c r="AL40" s="320"/>
      <c r="AM40" s="321"/>
    </row>
    <row r="41" spans="3:39" ht="13.15" customHeight="1"/>
    <row r="42" spans="3:39" ht="13.15" customHeight="1">
      <c r="Y42" s="306" t="s">
        <v>346</v>
      </c>
    </row>
    <row r="43" spans="3:39" ht="13.15" customHeight="1">
      <c r="Y43" s="308" t="s">
        <v>340</v>
      </c>
      <c r="Z43" s="309"/>
      <c r="AA43" s="309"/>
      <c r="AB43" s="309"/>
      <c r="AC43" s="310"/>
      <c r="AD43" s="308" t="s">
        <v>341</v>
      </c>
      <c r="AE43" s="309"/>
      <c r="AF43" s="309"/>
      <c r="AG43" s="309"/>
      <c r="AH43" s="310"/>
      <c r="AI43" s="308" t="s">
        <v>342</v>
      </c>
      <c r="AJ43" s="309"/>
      <c r="AK43" s="309"/>
      <c r="AL43" s="309"/>
      <c r="AM43" s="310"/>
    </row>
    <row r="44" spans="3:39" ht="13.15" customHeight="1">
      <c r="D44" s="307"/>
      <c r="E44" s="311"/>
      <c r="F44" s="307"/>
      <c r="G44" s="307"/>
      <c r="H44" s="307"/>
      <c r="I44" s="307"/>
      <c r="J44" s="311"/>
      <c r="K44" s="307"/>
      <c r="L44" s="307"/>
      <c r="M44" s="307"/>
      <c r="N44" s="307"/>
      <c r="O44" s="311"/>
      <c r="P44" s="307"/>
      <c r="Q44" s="307"/>
      <c r="W44" s="307"/>
      <c r="X44" s="311"/>
      <c r="Y44" s="312"/>
      <c r="Z44" s="313"/>
      <c r="AA44" s="313"/>
      <c r="AB44" s="313"/>
      <c r="AC44" s="314"/>
      <c r="AD44" s="313"/>
      <c r="AE44" s="313"/>
      <c r="AF44" s="313"/>
      <c r="AG44" s="313"/>
      <c r="AH44" s="314"/>
      <c r="AI44" s="312"/>
      <c r="AJ44" s="313"/>
      <c r="AK44" s="313"/>
      <c r="AL44" s="313"/>
      <c r="AM44" s="314"/>
    </row>
    <row r="45" spans="3:39" ht="13.15" customHeight="1">
      <c r="Y45" s="315"/>
      <c r="AC45" s="316"/>
      <c r="AH45" s="316"/>
      <c r="AI45" s="315"/>
      <c r="AM45" s="316"/>
    </row>
    <row r="46" spans="3:39" ht="13.15" customHeight="1">
      <c r="Y46" s="315"/>
      <c r="Z46" s="307"/>
      <c r="AA46" s="311" t="s">
        <v>347</v>
      </c>
      <c r="AB46" s="307"/>
      <c r="AC46" s="317"/>
      <c r="AD46" s="307"/>
      <c r="AE46" s="307"/>
      <c r="AF46" s="311" t="s">
        <v>348</v>
      </c>
      <c r="AG46" s="307"/>
      <c r="AH46" s="317"/>
      <c r="AI46" s="318"/>
      <c r="AJ46" s="307"/>
      <c r="AK46" s="311" t="s">
        <v>349</v>
      </c>
      <c r="AL46" s="307"/>
      <c r="AM46" s="317"/>
    </row>
    <row r="47" spans="3:39" ht="13.15" customHeight="1">
      <c r="Y47" s="315"/>
      <c r="AC47" s="316"/>
      <c r="AH47" s="316"/>
      <c r="AI47" s="315"/>
      <c r="AM47" s="316"/>
    </row>
    <row r="48" spans="3:39" ht="13.15" customHeight="1">
      <c r="C48" s="306"/>
      <c r="V48" s="306"/>
      <c r="Y48" s="319"/>
      <c r="Z48" s="320"/>
      <c r="AA48" s="320"/>
      <c r="AB48" s="320"/>
      <c r="AC48" s="321"/>
      <c r="AD48" s="320"/>
      <c r="AE48" s="320"/>
      <c r="AF48" s="320"/>
      <c r="AG48" s="320"/>
      <c r="AH48" s="321"/>
      <c r="AI48" s="319"/>
      <c r="AJ48" s="320"/>
      <c r="AK48" s="320"/>
      <c r="AL48" s="320"/>
      <c r="AM48" s="321"/>
    </row>
    <row r="49" spans="4:39" ht="13.15" customHeight="1"/>
    <row r="50" spans="4:39" ht="13.15" customHeight="1">
      <c r="Y50" s="306" t="s">
        <v>350</v>
      </c>
    </row>
    <row r="51" spans="4:39" ht="13.15" customHeight="1">
      <c r="Y51" s="308" t="s">
        <v>340</v>
      </c>
      <c r="Z51" s="309"/>
      <c r="AA51" s="309"/>
      <c r="AB51" s="309"/>
      <c r="AC51" s="310"/>
      <c r="AD51" s="308" t="s">
        <v>341</v>
      </c>
      <c r="AE51" s="309"/>
      <c r="AF51" s="309"/>
      <c r="AG51" s="309"/>
      <c r="AH51" s="310"/>
      <c r="AI51" s="308" t="s">
        <v>342</v>
      </c>
      <c r="AJ51" s="309"/>
      <c r="AK51" s="309"/>
      <c r="AL51" s="309"/>
      <c r="AM51" s="310"/>
    </row>
    <row r="52" spans="4:39" ht="13.15" customHeight="1">
      <c r="D52" s="307"/>
      <c r="E52" s="311"/>
      <c r="F52" s="307"/>
      <c r="G52" s="307"/>
      <c r="H52" s="307"/>
      <c r="I52" s="307"/>
      <c r="J52" s="311"/>
      <c r="K52" s="307"/>
      <c r="L52" s="307"/>
      <c r="M52" s="307"/>
      <c r="N52" s="307"/>
      <c r="O52" s="311"/>
      <c r="P52" s="307"/>
      <c r="Q52" s="307"/>
      <c r="W52" s="307"/>
      <c r="X52" s="311"/>
      <c r="Y52" s="312"/>
      <c r="Z52" s="313"/>
      <c r="AA52" s="313"/>
      <c r="AB52" s="313"/>
      <c r="AC52" s="314"/>
      <c r="AD52" s="313"/>
      <c r="AE52" s="313"/>
      <c r="AF52" s="313"/>
      <c r="AG52" s="313"/>
      <c r="AH52" s="314"/>
      <c r="AI52" s="312"/>
      <c r="AJ52" s="313"/>
      <c r="AK52" s="313"/>
      <c r="AL52" s="313"/>
      <c r="AM52" s="314"/>
    </row>
    <row r="53" spans="4:39" ht="13.15" customHeight="1">
      <c r="Y53" s="315"/>
      <c r="AC53" s="316"/>
      <c r="AH53" s="316"/>
      <c r="AI53" s="315"/>
      <c r="AM53" s="316"/>
    </row>
    <row r="54" spans="4:39" ht="13.15" customHeight="1">
      <c r="Y54" s="315"/>
      <c r="Z54" s="307"/>
      <c r="AA54" s="311" t="s">
        <v>351</v>
      </c>
      <c r="AB54" s="307"/>
      <c r="AC54" s="317"/>
      <c r="AD54" s="307"/>
      <c r="AE54" s="307"/>
      <c r="AF54" s="311" t="s">
        <v>352</v>
      </c>
      <c r="AG54" s="307"/>
      <c r="AH54" s="317"/>
      <c r="AI54" s="318"/>
      <c r="AJ54" s="307"/>
      <c r="AK54" s="311" t="s">
        <v>345</v>
      </c>
      <c r="AL54" s="307"/>
      <c r="AM54" s="317"/>
    </row>
    <row r="55" spans="4:39" ht="13.15" customHeight="1">
      <c r="Y55" s="315"/>
      <c r="AC55" s="316"/>
      <c r="AH55" s="316"/>
      <c r="AI55" s="315"/>
      <c r="AM55" s="316"/>
    </row>
    <row r="56" spans="4:39" ht="13.15" customHeight="1">
      <c r="Y56" s="319"/>
      <c r="Z56" s="320"/>
      <c r="AA56" s="320"/>
      <c r="AB56" s="320"/>
      <c r="AC56" s="321"/>
      <c r="AD56" s="320"/>
      <c r="AE56" s="320"/>
      <c r="AF56" s="320"/>
      <c r="AG56" s="320"/>
      <c r="AH56" s="321"/>
      <c r="AI56" s="319"/>
      <c r="AJ56" s="320"/>
      <c r="AK56" s="320"/>
      <c r="AL56" s="320"/>
      <c r="AM56" s="321"/>
    </row>
    <row r="57" spans="4:39" ht="13.15" customHeight="1">
      <c r="AK57" s="303" t="s">
        <v>353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Normal="100" workbookViewId="0"/>
  </sheetViews>
  <sheetFormatPr defaultRowHeight="13"/>
  <cols>
    <col min="1" max="1" width="4.453125" customWidth="1"/>
    <col min="2" max="2" width="9" style="10" hidden="1" customWidth="1"/>
    <col min="4" max="4" width="89.6328125" customWidth="1"/>
    <col min="5" max="6" width="12.7265625" customWidth="1"/>
    <col min="7" max="10" width="13.08984375" hidden="1" customWidth="1"/>
    <col min="11" max="12" width="13.08984375" customWidth="1"/>
    <col min="13" max="18" width="13.08984375" hidden="1" customWidth="1"/>
  </cols>
  <sheetData>
    <row r="2" spans="2:18" ht="25.5" customHeight="1">
      <c r="C2" s="7"/>
      <c r="D2" s="7"/>
      <c r="E2" s="7"/>
      <c r="F2" s="7"/>
      <c r="H2" s="8" t="s">
        <v>13</v>
      </c>
      <c r="I2" s="252" t="s">
        <v>14</v>
      </c>
      <c r="J2" s="252"/>
      <c r="K2" s="252"/>
      <c r="L2" s="252"/>
      <c r="M2" s="252"/>
      <c r="N2" s="252"/>
      <c r="O2" s="252"/>
      <c r="P2" s="252"/>
      <c r="Q2" s="252"/>
      <c r="R2" s="252"/>
    </row>
    <row r="3" spans="2:18" ht="25.5" customHeight="1">
      <c r="C3" s="7"/>
      <c r="D3" s="11" t="str">
        <f ca="1">REPLACE(LEFT(CELL("filename",$B$1),FIND(".xls",CELL("filename",$B$1))-1),1,FIND("[",CELL("filename",$B$1)),)</f>
        <v>alert_H_DRIPOW-CSTD-1-00-B-C0</v>
      </c>
      <c r="E3" s="7"/>
      <c r="F3" s="7"/>
      <c r="H3" s="9" t="s">
        <v>195</v>
      </c>
      <c r="I3" s="253" t="s">
        <v>223</v>
      </c>
      <c r="J3" s="254"/>
      <c r="K3" s="254"/>
      <c r="L3" s="254"/>
      <c r="M3" s="254"/>
      <c r="N3" s="254"/>
      <c r="O3" s="254"/>
      <c r="P3" s="254"/>
      <c r="Q3" s="254"/>
      <c r="R3" s="254"/>
    </row>
    <row r="4" spans="2:18" ht="25.5" customHeight="1">
      <c r="C4" s="7"/>
      <c r="D4" s="7"/>
      <c r="E4" s="24" t="str">
        <f>DGET(B8:C15,"Ver.",H4:H5)</f>
        <v>2.1.0</v>
      </c>
      <c r="F4" s="7"/>
      <c r="H4" s="10" t="s">
        <v>16</v>
      </c>
    </row>
    <row r="5" spans="2:18" ht="25.5" customHeight="1">
      <c r="C5" s="7"/>
      <c r="D5" s="7"/>
      <c r="E5" s="7"/>
      <c r="F5" s="7"/>
      <c r="H5" s="12">
        <f>MAX(B9:B15)</f>
        <v>4</v>
      </c>
    </row>
    <row r="6" spans="2:18" ht="13.5" thickBot="1"/>
    <row r="7" spans="2:18">
      <c r="C7" s="246" t="s">
        <v>0</v>
      </c>
      <c r="D7" s="247"/>
      <c r="E7" s="248" t="s">
        <v>2</v>
      </c>
      <c r="F7" s="248"/>
      <c r="G7" s="249" t="s">
        <v>5</v>
      </c>
      <c r="H7" s="249"/>
      <c r="I7" s="249"/>
      <c r="J7" s="249"/>
      <c r="K7" s="249"/>
      <c r="L7" s="249"/>
      <c r="M7" s="250" t="s">
        <v>12</v>
      </c>
      <c r="N7" s="250"/>
      <c r="O7" s="250"/>
      <c r="P7" s="250"/>
      <c r="Q7" s="250"/>
      <c r="R7" s="251"/>
    </row>
    <row r="8" spans="2:18" ht="26.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5" thickTop="1">
      <c r="B9" s="10">
        <f>IF(C9=0,0,ROW()-ROW($B$8))</f>
        <v>1</v>
      </c>
      <c r="C9" s="13" t="s">
        <v>15</v>
      </c>
      <c r="D9" s="14" t="s">
        <v>20</v>
      </c>
      <c r="E9" s="14" t="s">
        <v>32</v>
      </c>
      <c r="F9" s="14" t="s">
        <v>222</v>
      </c>
      <c r="G9" s="14" t="s">
        <v>32</v>
      </c>
      <c r="H9" s="14" t="s">
        <v>32</v>
      </c>
      <c r="I9" s="14" t="s">
        <v>32</v>
      </c>
      <c r="J9" s="14" t="s">
        <v>32</v>
      </c>
      <c r="K9" s="14" t="s">
        <v>32</v>
      </c>
      <c r="L9" s="14" t="s">
        <v>32</v>
      </c>
      <c r="M9" s="14" t="s">
        <v>295</v>
      </c>
      <c r="N9" s="222">
        <v>43916</v>
      </c>
      <c r="O9" s="14" t="s">
        <v>294</v>
      </c>
      <c r="P9" s="222">
        <v>43916</v>
      </c>
      <c r="Q9" s="14" t="s">
        <v>224</v>
      </c>
      <c r="R9" s="187">
        <v>43894</v>
      </c>
    </row>
    <row r="10" spans="2:18" ht="143">
      <c r="B10" s="10">
        <f t="shared" ref="B10:B14" si="0">IF(C10=0,0,ROW()-ROW($B$8))</f>
        <v>2</v>
      </c>
      <c r="C10" s="2" t="s">
        <v>297</v>
      </c>
      <c r="D10" s="224" t="s">
        <v>300</v>
      </c>
      <c r="E10" s="1" t="s">
        <v>298</v>
      </c>
      <c r="F10" s="1" t="s">
        <v>299</v>
      </c>
      <c r="G10" s="1" t="s">
        <v>298</v>
      </c>
      <c r="H10" s="1" t="s">
        <v>298</v>
      </c>
      <c r="I10" s="1" t="s">
        <v>298</v>
      </c>
      <c r="J10" s="1" t="s">
        <v>298</v>
      </c>
      <c r="K10" s="1" t="s">
        <v>298</v>
      </c>
      <c r="L10" s="1" t="s">
        <v>298</v>
      </c>
      <c r="M10" s="1"/>
      <c r="N10" s="1"/>
      <c r="O10" s="1"/>
      <c r="P10" s="1"/>
      <c r="Q10" s="1" t="s">
        <v>296</v>
      </c>
      <c r="R10" s="223">
        <v>44033</v>
      </c>
    </row>
    <row r="11" spans="2:18" ht="180.75" customHeight="1">
      <c r="B11" s="10">
        <f t="shared" si="0"/>
        <v>3</v>
      </c>
      <c r="C11" s="2" t="s">
        <v>314</v>
      </c>
      <c r="D11" s="224" t="s">
        <v>315</v>
      </c>
      <c r="E11" s="1" t="s">
        <v>134</v>
      </c>
      <c r="F11" s="1" t="s">
        <v>222</v>
      </c>
      <c r="G11" s="1" t="s">
        <v>134</v>
      </c>
      <c r="H11" s="1" t="s">
        <v>134</v>
      </c>
      <c r="I11" s="1" t="s">
        <v>134</v>
      </c>
      <c r="J11" s="1" t="s">
        <v>134</v>
      </c>
      <c r="K11" s="1" t="s">
        <v>134</v>
      </c>
      <c r="L11" s="1" t="s">
        <v>134</v>
      </c>
      <c r="M11" s="1" t="s">
        <v>32</v>
      </c>
      <c r="N11" s="1" t="s">
        <v>32</v>
      </c>
      <c r="O11" s="1" t="s">
        <v>32</v>
      </c>
      <c r="P11" s="1" t="s">
        <v>32</v>
      </c>
      <c r="Q11" s="1" t="s">
        <v>32</v>
      </c>
      <c r="R11" s="3" t="s">
        <v>32</v>
      </c>
    </row>
    <row r="12" spans="2:18" ht="39">
      <c r="B12" s="10">
        <f t="shared" si="0"/>
        <v>4</v>
      </c>
      <c r="C12" s="2" t="s">
        <v>333</v>
      </c>
      <c r="D12" s="224" t="s">
        <v>330</v>
      </c>
      <c r="E12" s="14" t="s">
        <v>32</v>
      </c>
      <c r="F12" s="14" t="s">
        <v>331</v>
      </c>
      <c r="G12" s="14" t="s">
        <v>32</v>
      </c>
      <c r="H12" s="14" t="s">
        <v>32</v>
      </c>
      <c r="I12" s="14" t="s">
        <v>32</v>
      </c>
      <c r="J12" s="14" t="s">
        <v>32</v>
      </c>
      <c r="K12" s="14" t="s">
        <v>32</v>
      </c>
      <c r="L12" s="14" t="s">
        <v>32</v>
      </c>
      <c r="M12" s="14" t="s">
        <v>32</v>
      </c>
      <c r="N12" s="222" t="s">
        <v>32</v>
      </c>
      <c r="O12" s="14" t="s">
        <v>32</v>
      </c>
      <c r="P12" s="222" t="s">
        <v>32</v>
      </c>
      <c r="Q12" s="14" t="s">
        <v>332</v>
      </c>
      <c r="R12" s="187">
        <v>45974</v>
      </c>
    </row>
    <row r="13" spans="2:18" ht="143">
      <c r="C13" s="241" t="s">
        <v>335</v>
      </c>
      <c r="D13" s="242" t="s">
        <v>338</v>
      </c>
      <c r="E13" s="243" t="s">
        <v>32</v>
      </c>
      <c r="F13" s="243" t="s">
        <v>32</v>
      </c>
      <c r="G13" s="238"/>
      <c r="H13" s="238"/>
      <c r="I13" s="238"/>
      <c r="J13" s="238"/>
      <c r="K13" s="244" t="s">
        <v>334</v>
      </c>
      <c r="L13" s="245">
        <v>46009</v>
      </c>
      <c r="M13" s="238"/>
      <c r="N13" s="239"/>
      <c r="O13" s="238"/>
      <c r="P13" s="239"/>
      <c r="Q13" s="238"/>
      <c r="R13" s="240"/>
    </row>
    <row r="14" spans="2:18" ht="13.5" thickBot="1">
      <c r="B14" s="10">
        <f t="shared" si="0"/>
        <v>0</v>
      </c>
      <c r="C14" s="4"/>
      <c r="D14" s="5"/>
      <c r="E14" s="5"/>
      <c r="F14" s="5"/>
      <c r="G14" s="5"/>
      <c r="H14" s="5"/>
      <c r="I14" s="5"/>
      <c r="J14" s="5"/>
      <c r="K14" s="5"/>
      <c r="L14" s="5"/>
      <c r="M14" s="5"/>
      <c r="N14" s="5"/>
      <c r="O14" s="5"/>
      <c r="P14" s="5"/>
      <c r="Q14" s="5"/>
      <c r="R14"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50" t="s">
        <v>136</v>
      </c>
    </row>
    <row r="3" spans="2:5">
      <c r="C3" t="s">
        <v>146</v>
      </c>
    </row>
    <row r="6" spans="2:5" ht="13.5" thickBot="1">
      <c r="B6" s="150" t="s">
        <v>137</v>
      </c>
      <c r="C6" s="150"/>
    </row>
    <row r="7" spans="2:5" ht="13.5" thickBot="1">
      <c r="C7" s="76" t="s">
        <v>139</v>
      </c>
      <c r="D7" s="84"/>
      <c r="E7" s="77" t="s">
        <v>147</v>
      </c>
    </row>
    <row r="8" spans="2:5" ht="20.25" customHeight="1" thickTop="1">
      <c r="C8" s="154">
        <v>0</v>
      </c>
      <c r="D8" s="85" t="s">
        <v>148</v>
      </c>
      <c r="E8" s="153" t="s">
        <v>149</v>
      </c>
    </row>
    <row r="9" spans="2:5" ht="26">
      <c r="C9" s="160">
        <v>1</v>
      </c>
      <c r="D9" s="162" t="s">
        <v>170</v>
      </c>
      <c r="E9" s="161" t="s">
        <v>169</v>
      </c>
    </row>
    <row r="10" spans="2:5" ht="13.5" thickBot="1">
      <c r="C10" s="158"/>
      <c r="D10" s="87"/>
      <c r="E10" s="6"/>
    </row>
    <row r="11" spans="2:5">
      <c r="C11" s="156"/>
    </row>
    <row r="12" spans="2:5" ht="13.5" thickBot="1">
      <c r="B12" s="151" t="s">
        <v>138</v>
      </c>
      <c r="C12" s="83"/>
      <c r="D12" s="83"/>
    </row>
    <row r="13" spans="2:5" ht="13.5" thickBot="1">
      <c r="B13" s="152"/>
      <c r="C13" s="157" t="s">
        <v>139</v>
      </c>
      <c r="D13" s="84" t="s">
        <v>140</v>
      </c>
      <c r="E13" s="77" t="s">
        <v>141</v>
      </c>
    </row>
    <row r="14" spans="2:5" ht="13.5" thickTop="1">
      <c r="C14" s="154">
        <v>0</v>
      </c>
      <c r="D14" s="85" t="s">
        <v>154</v>
      </c>
      <c r="E14" s="159" t="s">
        <v>155</v>
      </c>
    </row>
    <row r="15" spans="2:5">
      <c r="C15" s="155">
        <v>1</v>
      </c>
      <c r="D15" s="86" t="s">
        <v>24</v>
      </c>
      <c r="E15" s="72" t="s">
        <v>142</v>
      </c>
    </row>
    <row r="16" spans="2:5">
      <c r="C16" s="155">
        <v>2</v>
      </c>
      <c r="D16" s="86" t="s">
        <v>25</v>
      </c>
      <c r="E16" s="72" t="s">
        <v>143</v>
      </c>
    </row>
    <row r="17" spans="2:5">
      <c r="C17" s="155">
        <v>3</v>
      </c>
      <c r="D17" s="86" t="s">
        <v>26</v>
      </c>
      <c r="E17" s="72" t="s">
        <v>144</v>
      </c>
    </row>
    <row r="18" spans="2:5">
      <c r="C18" s="155">
        <v>4</v>
      </c>
      <c r="D18" s="86" t="s">
        <v>27</v>
      </c>
      <c r="E18" s="72" t="s">
        <v>145</v>
      </c>
    </row>
    <row r="19" spans="2:5">
      <c r="C19" s="155">
        <v>5</v>
      </c>
      <c r="D19" s="86" t="s">
        <v>156</v>
      </c>
      <c r="E19" s="72" t="s">
        <v>158</v>
      </c>
    </row>
    <row r="20" spans="2:5">
      <c r="C20" s="155">
        <v>6</v>
      </c>
      <c r="D20" s="86" t="s">
        <v>163</v>
      </c>
      <c r="E20" s="72" t="s">
        <v>189</v>
      </c>
    </row>
    <row r="21" spans="2:5" ht="13.5" thickBot="1">
      <c r="C21" s="158"/>
      <c r="D21" s="87"/>
      <c r="E21" s="6"/>
    </row>
    <row r="24" spans="2:5" ht="13.5" thickBot="1">
      <c r="B24" s="150" t="s">
        <v>150</v>
      </c>
    </row>
    <row r="25" spans="2:5" ht="13.5" thickBot="1">
      <c r="C25" s="157" t="s">
        <v>139</v>
      </c>
      <c r="D25" s="84" t="s">
        <v>140</v>
      </c>
      <c r="E25" s="77" t="s">
        <v>141</v>
      </c>
    </row>
    <row r="26" spans="2:5" ht="30.75" customHeight="1" thickTop="1">
      <c r="C26" s="154">
        <v>0</v>
      </c>
      <c r="D26" s="85" t="s">
        <v>151</v>
      </c>
      <c r="E26" s="159" t="s">
        <v>160</v>
      </c>
    </row>
    <row r="27" spans="2:5" ht="120" customHeight="1">
      <c r="C27" s="155">
        <v>1</v>
      </c>
      <c r="D27" s="86" t="s">
        <v>192</v>
      </c>
      <c r="E27" s="88" t="s">
        <v>194</v>
      </c>
    </row>
    <row r="28" spans="2:5" ht="81" customHeight="1">
      <c r="C28" s="155">
        <v>2</v>
      </c>
      <c r="D28" s="86" t="s">
        <v>188</v>
      </c>
      <c r="E28" s="88" t="s">
        <v>199</v>
      </c>
    </row>
    <row r="29" spans="2:5" ht="45" customHeight="1">
      <c r="C29" s="155">
        <v>3</v>
      </c>
      <c r="D29" s="86" t="s">
        <v>157</v>
      </c>
      <c r="E29" s="88" t="s">
        <v>161</v>
      </c>
    </row>
    <row r="30" spans="2:5" ht="16.5" customHeight="1">
      <c r="C30" s="155">
        <v>4</v>
      </c>
      <c r="D30" s="86" t="s">
        <v>152</v>
      </c>
      <c r="E30" s="72" t="s">
        <v>168</v>
      </c>
    </row>
    <row r="31" spans="2:5" ht="16.5" customHeight="1">
      <c r="C31" s="155">
        <v>5</v>
      </c>
      <c r="D31" s="86" t="s">
        <v>153</v>
      </c>
      <c r="E31" s="72" t="s">
        <v>162</v>
      </c>
    </row>
    <row r="32" spans="2:5">
      <c r="C32" s="155"/>
      <c r="D32" s="86"/>
      <c r="E32" s="72"/>
    </row>
    <row r="33" spans="2:5">
      <c r="C33" s="155"/>
      <c r="D33" s="86"/>
      <c r="E33" s="72"/>
    </row>
    <row r="34" spans="2:5" ht="13.5" thickBot="1">
      <c r="C34" s="158"/>
      <c r="D34" s="87"/>
      <c r="E34" s="6"/>
    </row>
    <row r="37" spans="2:5" ht="13.5" thickBot="1">
      <c r="B37" s="150" t="s">
        <v>185</v>
      </c>
    </row>
    <row r="38" spans="2:5">
      <c r="C38" s="255"/>
      <c r="D38" s="256"/>
      <c r="E38" s="111" t="s">
        <v>125</v>
      </c>
    </row>
    <row r="39" spans="2:5" ht="13.5" thickBot="1">
      <c r="C39" s="257"/>
      <c r="D39" s="258"/>
      <c r="E39" s="6"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84" t="s">
        <v>19</v>
      </c>
      <c r="C2" s="285"/>
      <c r="D2" s="272" t="s">
        <v>336</v>
      </c>
      <c r="E2" s="273"/>
      <c r="F2" s="273"/>
      <c r="G2" s="273"/>
      <c r="H2" s="274"/>
    </row>
    <row r="3" spans="2:14">
      <c r="B3" s="259" t="s">
        <v>122</v>
      </c>
      <c r="C3" s="260"/>
      <c r="D3" s="275" t="s">
        <v>337</v>
      </c>
      <c r="E3" s="276"/>
      <c r="F3" s="276"/>
      <c r="G3" s="276"/>
      <c r="H3" s="277"/>
    </row>
    <row r="4" spans="2:14" ht="13.5" thickBot="1">
      <c r="B4" s="270" t="s">
        <v>18</v>
      </c>
      <c r="C4" s="271"/>
      <c r="D4" s="278" t="str">
        <f ca="1">表紙!D3&amp;".c"</f>
        <v>alert_H_DRIPOW-CSTD-1-00-B-C0.c</v>
      </c>
      <c r="E4" s="279"/>
      <c r="F4" s="279"/>
      <c r="G4" s="279"/>
      <c r="H4" s="280"/>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84" t="s">
        <v>37</v>
      </c>
      <c r="C6" s="285"/>
      <c r="D6" s="281" t="str">
        <f ca="1">MID(D4, LEN("alert_") + 1, FIND("-",D4,1) - LEN("alert_") - 1)</f>
        <v>H_DRIPOW</v>
      </c>
      <c r="E6" s="282"/>
      <c r="F6" s="282"/>
      <c r="G6" s="282"/>
      <c r="H6" s="283"/>
    </row>
    <row r="7" spans="2:14">
      <c r="B7" s="259" t="s">
        <v>38</v>
      </c>
      <c r="C7" s="260"/>
      <c r="D7" s="261">
        <f>COUNTA($D$13:$D$37)</f>
        <v>1</v>
      </c>
      <c r="E7" s="262"/>
      <c r="F7" s="262"/>
      <c r="G7" s="262"/>
      <c r="H7" s="263"/>
    </row>
    <row r="8" spans="2:14">
      <c r="B8" s="259" t="s">
        <v>98</v>
      </c>
      <c r="C8" s="260"/>
      <c r="D8" s="261" t="str">
        <f ca="1">"st_gp_ALERT_"&amp;UPPER(D6)&amp;"_MTRX"</f>
        <v>st_gp_ALERT_H_DRIPOW_MTRX</v>
      </c>
      <c r="E8" s="262"/>
      <c r="F8" s="262"/>
      <c r="G8" s="262"/>
      <c r="H8" s="263"/>
    </row>
    <row r="9" spans="2:14">
      <c r="B9" s="259" t="s">
        <v>39</v>
      </c>
      <c r="C9" s="260"/>
      <c r="D9" s="264" t="s">
        <v>231</v>
      </c>
      <c r="E9" s="265"/>
      <c r="F9" s="265"/>
      <c r="G9" s="265"/>
      <c r="H9" s="266"/>
    </row>
    <row r="10" spans="2:14" ht="13.5" thickBot="1">
      <c r="B10" s="270" t="s">
        <v>45</v>
      </c>
      <c r="C10" s="271"/>
      <c r="D10" s="267">
        <v>80</v>
      </c>
      <c r="E10" s="268"/>
      <c r="F10" s="268"/>
      <c r="G10" s="268"/>
      <c r="H10" s="269"/>
    </row>
    <row r="11" spans="2:14" ht="13.5" thickBot="1"/>
    <row r="12" spans="2:14" ht="13.5" thickBot="1">
      <c r="B12" s="141" t="s">
        <v>35</v>
      </c>
      <c r="C12" s="102" t="s">
        <v>44</v>
      </c>
      <c r="D12" s="103" t="s">
        <v>36</v>
      </c>
      <c r="E12" s="103" t="s">
        <v>40</v>
      </c>
      <c r="F12" s="103" t="s">
        <v>41</v>
      </c>
      <c r="G12" s="103" t="s">
        <v>42</v>
      </c>
      <c r="H12" s="104" t="s">
        <v>43</v>
      </c>
      <c r="I12" s="146" t="s">
        <v>52</v>
      </c>
      <c r="K12" s="43" t="s">
        <v>46</v>
      </c>
      <c r="L12" s="43" t="s">
        <v>39</v>
      </c>
      <c r="M12" t="s">
        <v>89</v>
      </c>
    </row>
    <row r="13" spans="2:14" ht="13.5" thickTop="1">
      <c r="B13" s="105">
        <v>1</v>
      </c>
      <c r="C13" s="109" t="s">
        <v>230</v>
      </c>
      <c r="D13" s="110" t="s">
        <v>49</v>
      </c>
      <c r="E13" s="110" t="s">
        <v>329</v>
      </c>
      <c r="F13" s="49" t="str">
        <f t="shared" ref="F13:F37" ca="1" si="0">IF($D13&lt;&gt;"","u4_s_Alert"&amp;UPPER(LEFT($D$6,1))&amp;LOWER(MID($D$6,2,100))&amp;IF($D$7=1,"",N13)&amp;"Srcchk","")</f>
        <v>u4_s_AlertH_dripowSrcchk</v>
      </c>
      <c r="G13" s="49" t="str">
        <f t="shared" ref="G13:G37" si="1">IF($D13&lt;&gt;"",IF($E13="○","vd_s_Alert"&amp;UPPER(LEFT($D$6,1))&amp;LOWER(MID($D$6,2,100))&amp;IF($D$7=1,"",N13)&amp;"RwTx","NULL"),"")</f>
        <v>NULL</v>
      </c>
      <c r="H13" s="108" t="str">
        <f ca="1">IF($D13&lt;&gt;"","ALERT_CH_"&amp;UPPER($D$6)&amp;IF($D$7=1,"","_"&amp;UPPER($C13)),"")</f>
        <v>ALERT_CH_H_DRIPOW</v>
      </c>
      <c r="I13" s="147" t="str">
        <f ca="1">IF($D13&lt;&gt;"","ALERT_REQ_"&amp;UPPER($D$6)&amp;IF($D$7=1,"","_"&amp;UPPER($C13)),"")</f>
        <v>ALERT_REQ_H_DRIPOW</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5">
        <v>2</v>
      </c>
      <c r="C14" s="144"/>
      <c r="D14" s="145"/>
      <c r="E14" s="145"/>
      <c r="F14" s="44" t="str">
        <f t="shared" si="0"/>
        <v/>
      </c>
      <c r="G14" s="44" t="str">
        <f t="shared" si="1"/>
        <v/>
      </c>
      <c r="H14" s="65" t="str">
        <f t="shared" ref="H14:H37" si="4">IF($D14&lt;&gt;"","ALERT_CH_"&amp;UPPER($D$6)&amp;IF($D$7=1,"","_"&amp;UPPER($C14)),"")</f>
        <v/>
      </c>
      <c r="I14" s="148" t="str">
        <f t="shared" ref="I14:I37" si="5">IF($D14&lt;&gt;"","ALERT_REQ_"&amp;UPPER($D$6)&amp;IF($D$7=1,"","_"&amp;UPPER($C14)),"")</f>
        <v/>
      </c>
      <c r="K14" t="s">
        <v>48</v>
      </c>
      <c r="L14" t="str">
        <f ca="1">"vd_g_Alert"&amp;UPPER(LEFT(D6,1))&amp;LOWER(MID(D6,2,100))&amp;"Init"</f>
        <v>vd_g_AlertH_dripowInit</v>
      </c>
      <c r="M14" t="e">
        <f t="shared" si="2"/>
        <v>#VALUE!</v>
      </c>
      <c r="N14" t="str">
        <f t="shared" si="3"/>
        <v/>
      </c>
    </row>
    <row r="15" spans="2:14">
      <c r="B15" s="95">
        <v>3</v>
      </c>
      <c r="C15" s="144"/>
      <c r="D15" s="145"/>
      <c r="E15" s="145"/>
      <c r="F15" s="44" t="str">
        <f t="shared" si="0"/>
        <v/>
      </c>
      <c r="G15" s="44" t="str">
        <f t="shared" si="1"/>
        <v/>
      </c>
      <c r="H15" s="65" t="str">
        <f t="shared" si="4"/>
        <v/>
      </c>
      <c r="I15" s="148" t="str">
        <f t="shared" si="5"/>
        <v/>
      </c>
      <c r="K15" t="s">
        <v>127</v>
      </c>
      <c r="M15" t="e">
        <f t="shared" si="2"/>
        <v>#VALUE!</v>
      </c>
      <c r="N15" t="str">
        <f t="shared" si="3"/>
        <v/>
      </c>
    </row>
    <row r="16" spans="2:14">
      <c r="B16" s="95">
        <v>4</v>
      </c>
      <c r="C16" s="144"/>
      <c r="D16" s="145"/>
      <c r="E16" s="145"/>
      <c r="F16" s="44" t="str">
        <f t="shared" si="0"/>
        <v/>
      </c>
      <c r="G16" s="44" t="str">
        <f t="shared" si="1"/>
        <v/>
      </c>
      <c r="H16" s="65" t="str">
        <f t="shared" si="4"/>
        <v/>
      </c>
      <c r="I16" s="148" t="str">
        <f t="shared" si="5"/>
        <v/>
      </c>
      <c r="K16" t="s">
        <v>128</v>
      </c>
      <c r="M16" t="e">
        <f t="shared" si="2"/>
        <v>#VALUE!</v>
      </c>
      <c r="N16" t="str">
        <f t="shared" si="3"/>
        <v/>
      </c>
    </row>
    <row r="17" spans="2:14">
      <c r="B17" s="95">
        <v>5</v>
      </c>
      <c r="C17" s="144"/>
      <c r="D17" s="145"/>
      <c r="E17" s="145"/>
      <c r="F17" s="44" t="str">
        <f t="shared" si="0"/>
        <v/>
      </c>
      <c r="G17" s="44" t="str">
        <f t="shared" si="1"/>
        <v/>
      </c>
      <c r="H17" s="65" t="str">
        <f t="shared" si="4"/>
        <v/>
      </c>
      <c r="I17" s="148" t="str">
        <f t="shared" si="5"/>
        <v/>
      </c>
      <c r="K17" t="s">
        <v>49</v>
      </c>
      <c r="M17" t="e">
        <f t="shared" si="2"/>
        <v>#VALUE!</v>
      </c>
      <c r="N17" t="str">
        <f t="shared" si="3"/>
        <v/>
      </c>
    </row>
    <row r="18" spans="2:14">
      <c r="B18" s="95">
        <v>6</v>
      </c>
      <c r="C18" s="144"/>
      <c r="D18" s="145"/>
      <c r="E18" s="145"/>
      <c r="F18" s="44" t="str">
        <f t="shared" si="0"/>
        <v/>
      </c>
      <c r="G18" s="44" t="str">
        <f t="shared" si="1"/>
        <v/>
      </c>
      <c r="H18" s="65" t="str">
        <f t="shared" si="4"/>
        <v/>
      </c>
      <c r="I18" s="148" t="str">
        <f t="shared" si="5"/>
        <v/>
      </c>
      <c r="K18" t="s">
        <v>50</v>
      </c>
      <c r="M18" t="e">
        <f t="shared" si="2"/>
        <v>#VALUE!</v>
      </c>
      <c r="N18" t="str">
        <f t="shared" si="3"/>
        <v/>
      </c>
    </row>
    <row r="19" spans="2:14">
      <c r="B19" s="95">
        <v>7</v>
      </c>
      <c r="C19" s="144"/>
      <c r="D19" s="145"/>
      <c r="E19" s="145"/>
      <c r="F19" s="44" t="str">
        <f t="shared" si="0"/>
        <v/>
      </c>
      <c r="G19" s="44" t="str">
        <f t="shared" si="1"/>
        <v/>
      </c>
      <c r="H19" s="65" t="str">
        <f t="shared" si="4"/>
        <v/>
      </c>
      <c r="I19" s="148" t="str">
        <f t="shared" si="5"/>
        <v/>
      </c>
      <c r="K19" t="s">
        <v>50</v>
      </c>
      <c r="M19" t="e">
        <f t="shared" si="2"/>
        <v>#VALUE!</v>
      </c>
      <c r="N19" t="str">
        <f t="shared" si="3"/>
        <v/>
      </c>
    </row>
    <row r="20" spans="2:14">
      <c r="B20" s="95">
        <v>8</v>
      </c>
      <c r="C20" s="144"/>
      <c r="D20" s="145"/>
      <c r="E20" s="145"/>
      <c r="F20" s="44" t="str">
        <f t="shared" si="0"/>
        <v/>
      </c>
      <c r="G20" s="44" t="str">
        <f t="shared" si="1"/>
        <v/>
      </c>
      <c r="H20" s="65" t="str">
        <f t="shared" si="4"/>
        <v/>
      </c>
      <c r="I20" s="148" t="str">
        <f t="shared" si="5"/>
        <v/>
      </c>
      <c r="K20" t="s">
        <v>50</v>
      </c>
      <c r="M20" t="e">
        <f t="shared" si="2"/>
        <v>#VALUE!</v>
      </c>
      <c r="N20" t="str">
        <f t="shared" si="3"/>
        <v/>
      </c>
    </row>
    <row r="21" spans="2:14">
      <c r="B21" s="95">
        <v>9</v>
      </c>
      <c r="C21" s="144"/>
      <c r="D21" s="145"/>
      <c r="E21" s="145"/>
      <c r="F21" s="44" t="str">
        <f t="shared" si="0"/>
        <v/>
      </c>
      <c r="G21" s="44" t="str">
        <f t="shared" si="1"/>
        <v/>
      </c>
      <c r="H21" s="65" t="str">
        <f t="shared" si="4"/>
        <v/>
      </c>
      <c r="I21" s="148" t="str">
        <f t="shared" si="5"/>
        <v/>
      </c>
      <c r="K21" t="s">
        <v>50</v>
      </c>
      <c r="M21" t="e">
        <f t="shared" si="2"/>
        <v>#VALUE!</v>
      </c>
      <c r="N21" t="str">
        <f t="shared" si="3"/>
        <v/>
      </c>
    </row>
    <row r="22" spans="2:14">
      <c r="B22" s="95">
        <v>10</v>
      </c>
      <c r="C22" s="144"/>
      <c r="D22" s="145"/>
      <c r="E22" s="145"/>
      <c r="F22" s="44" t="str">
        <f t="shared" si="0"/>
        <v/>
      </c>
      <c r="G22" s="44" t="str">
        <f t="shared" si="1"/>
        <v/>
      </c>
      <c r="H22" s="65" t="str">
        <f t="shared" si="4"/>
        <v/>
      </c>
      <c r="I22" s="148" t="str">
        <f t="shared" si="5"/>
        <v/>
      </c>
      <c r="K22" t="s">
        <v>50</v>
      </c>
      <c r="M22" t="e">
        <f t="shared" si="2"/>
        <v>#VALUE!</v>
      </c>
      <c r="N22" t="str">
        <f t="shared" si="3"/>
        <v/>
      </c>
    </row>
    <row r="23" spans="2:14">
      <c r="B23" s="95">
        <v>11</v>
      </c>
      <c r="C23" s="144"/>
      <c r="D23" s="145"/>
      <c r="E23" s="145"/>
      <c r="F23" s="44" t="str">
        <f t="shared" si="0"/>
        <v/>
      </c>
      <c r="G23" s="44" t="str">
        <f t="shared" si="1"/>
        <v/>
      </c>
      <c r="H23" s="65" t="str">
        <f t="shared" si="4"/>
        <v/>
      </c>
      <c r="I23" s="148" t="str">
        <f t="shared" si="5"/>
        <v/>
      </c>
      <c r="K23" t="s">
        <v>50</v>
      </c>
      <c r="M23" t="e">
        <f t="shared" si="2"/>
        <v>#VALUE!</v>
      </c>
      <c r="N23" t="str">
        <f t="shared" si="3"/>
        <v/>
      </c>
    </row>
    <row r="24" spans="2:14">
      <c r="B24" s="95">
        <v>12</v>
      </c>
      <c r="C24" s="144"/>
      <c r="D24" s="145"/>
      <c r="E24" s="145"/>
      <c r="F24" s="44" t="str">
        <f t="shared" si="0"/>
        <v/>
      </c>
      <c r="G24" s="44" t="str">
        <f t="shared" si="1"/>
        <v/>
      </c>
      <c r="H24" s="65" t="str">
        <f t="shared" si="4"/>
        <v/>
      </c>
      <c r="I24" s="148" t="str">
        <f t="shared" si="5"/>
        <v/>
      </c>
      <c r="K24" t="s">
        <v>50</v>
      </c>
      <c r="M24" t="e">
        <f t="shared" si="2"/>
        <v>#VALUE!</v>
      </c>
      <c r="N24" t="str">
        <f t="shared" si="3"/>
        <v/>
      </c>
    </row>
    <row r="25" spans="2:14">
      <c r="B25" s="95">
        <v>13</v>
      </c>
      <c r="C25" s="144"/>
      <c r="D25" s="145"/>
      <c r="E25" s="145"/>
      <c r="F25" s="44" t="str">
        <f t="shared" si="0"/>
        <v/>
      </c>
      <c r="G25" s="44" t="str">
        <f t="shared" si="1"/>
        <v/>
      </c>
      <c r="H25" s="65" t="str">
        <f t="shared" si="4"/>
        <v/>
      </c>
      <c r="I25" s="148" t="str">
        <f t="shared" si="5"/>
        <v/>
      </c>
      <c r="K25" t="s">
        <v>50</v>
      </c>
      <c r="M25" t="e">
        <f t="shared" si="2"/>
        <v>#VALUE!</v>
      </c>
      <c r="N25" t="str">
        <f t="shared" si="3"/>
        <v/>
      </c>
    </row>
    <row r="26" spans="2:14">
      <c r="B26" s="95">
        <v>14</v>
      </c>
      <c r="C26" s="144"/>
      <c r="D26" s="145"/>
      <c r="E26" s="145"/>
      <c r="F26" s="44" t="str">
        <f t="shared" si="0"/>
        <v/>
      </c>
      <c r="G26" s="44" t="str">
        <f t="shared" si="1"/>
        <v/>
      </c>
      <c r="H26" s="65" t="str">
        <f t="shared" si="4"/>
        <v/>
      </c>
      <c r="I26" s="148" t="str">
        <f t="shared" si="5"/>
        <v/>
      </c>
      <c r="K26" t="s">
        <v>50</v>
      </c>
      <c r="M26" t="e">
        <f t="shared" si="2"/>
        <v>#VALUE!</v>
      </c>
      <c r="N26" t="str">
        <f t="shared" si="3"/>
        <v/>
      </c>
    </row>
    <row r="27" spans="2:14">
      <c r="B27" s="95">
        <v>15</v>
      </c>
      <c r="C27" s="144"/>
      <c r="D27" s="145"/>
      <c r="E27" s="145"/>
      <c r="F27" s="44" t="str">
        <f t="shared" si="0"/>
        <v/>
      </c>
      <c r="G27" s="44" t="str">
        <f t="shared" si="1"/>
        <v/>
      </c>
      <c r="H27" s="65" t="str">
        <f t="shared" si="4"/>
        <v/>
      </c>
      <c r="I27" s="148" t="str">
        <f t="shared" si="5"/>
        <v/>
      </c>
      <c r="K27" t="s">
        <v>50</v>
      </c>
      <c r="M27" t="e">
        <f t="shared" si="2"/>
        <v>#VALUE!</v>
      </c>
      <c r="N27" t="str">
        <f t="shared" si="3"/>
        <v/>
      </c>
    </row>
    <row r="28" spans="2:14">
      <c r="B28" s="95">
        <v>16</v>
      </c>
      <c r="C28" s="144"/>
      <c r="D28" s="145"/>
      <c r="E28" s="145"/>
      <c r="F28" s="44" t="str">
        <f t="shared" si="0"/>
        <v/>
      </c>
      <c r="G28" s="44" t="str">
        <f t="shared" si="1"/>
        <v/>
      </c>
      <c r="H28" s="65" t="str">
        <f t="shared" si="4"/>
        <v/>
      </c>
      <c r="I28" s="148" t="str">
        <f t="shared" si="5"/>
        <v/>
      </c>
      <c r="K28" t="s">
        <v>50</v>
      </c>
      <c r="M28" t="e">
        <f t="shared" si="2"/>
        <v>#VALUE!</v>
      </c>
      <c r="N28" t="str">
        <f t="shared" si="3"/>
        <v/>
      </c>
    </row>
    <row r="29" spans="2:14">
      <c r="B29" s="95">
        <v>17</v>
      </c>
      <c r="C29" s="144"/>
      <c r="D29" s="145"/>
      <c r="E29" s="145"/>
      <c r="F29" s="44" t="str">
        <f t="shared" si="0"/>
        <v/>
      </c>
      <c r="G29" s="44" t="str">
        <f t="shared" si="1"/>
        <v/>
      </c>
      <c r="H29" s="65" t="str">
        <f t="shared" si="4"/>
        <v/>
      </c>
      <c r="I29" s="148" t="str">
        <f t="shared" si="5"/>
        <v/>
      </c>
      <c r="K29" t="s">
        <v>50</v>
      </c>
      <c r="M29" t="e">
        <f t="shared" si="2"/>
        <v>#VALUE!</v>
      </c>
      <c r="N29" t="str">
        <f t="shared" si="3"/>
        <v/>
      </c>
    </row>
    <row r="30" spans="2:14">
      <c r="B30" s="95">
        <v>18</v>
      </c>
      <c r="C30" s="144"/>
      <c r="D30" s="145"/>
      <c r="E30" s="145"/>
      <c r="F30" s="44" t="str">
        <f t="shared" si="0"/>
        <v/>
      </c>
      <c r="G30" s="44" t="str">
        <f t="shared" si="1"/>
        <v/>
      </c>
      <c r="H30" s="65" t="str">
        <f t="shared" si="4"/>
        <v/>
      </c>
      <c r="I30" s="148" t="str">
        <f t="shared" si="5"/>
        <v/>
      </c>
      <c r="K30" t="s">
        <v>50</v>
      </c>
      <c r="M30" t="e">
        <f t="shared" si="2"/>
        <v>#VALUE!</v>
      </c>
      <c r="N30" t="str">
        <f t="shared" si="3"/>
        <v/>
      </c>
    </row>
    <row r="31" spans="2:14">
      <c r="B31" s="95">
        <v>19</v>
      </c>
      <c r="C31" s="144"/>
      <c r="D31" s="145"/>
      <c r="E31" s="145"/>
      <c r="F31" s="44" t="str">
        <f t="shared" si="0"/>
        <v/>
      </c>
      <c r="G31" s="44" t="str">
        <f t="shared" si="1"/>
        <v/>
      </c>
      <c r="H31" s="65" t="str">
        <f t="shared" si="4"/>
        <v/>
      </c>
      <c r="I31" s="148" t="str">
        <f t="shared" si="5"/>
        <v/>
      </c>
      <c r="K31" t="s">
        <v>50</v>
      </c>
      <c r="M31" t="e">
        <f t="shared" si="2"/>
        <v>#VALUE!</v>
      </c>
      <c r="N31" t="str">
        <f t="shared" si="3"/>
        <v/>
      </c>
    </row>
    <row r="32" spans="2:14">
      <c r="B32" s="95">
        <v>20</v>
      </c>
      <c r="C32" s="144"/>
      <c r="D32" s="145"/>
      <c r="E32" s="145"/>
      <c r="F32" s="44" t="str">
        <f t="shared" si="0"/>
        <v/>
      </c>
      <c r="G32" s="44" t="str">
        <f t="shared" si="1"/>
        <v/>
      </c>
      <c r="H32" s="65" t="str">
        <f t="shared" si="4"/>
        <v/>
      </c>
      <c r="I32" s="148" t="str">
        <f t="shared" si="5"/>
        <v/>
      </c>
      <c r="K32" t="s">
        <v>50</v>
      </c>
      <c r="M32" t="e">
        <f t="shared" si="2"/>
        <v>#VALUE!</v>
      </c>
      <c r="N32" t="str">
        <f t="shared" si="3"/>
        <v/>
      </c>
    </row>
    <row r="33" spans="2:14">
      <c r="B33" s="95">
        <v>21</v>
      </c>
      <c r="C33" s="144"/>
      <c r="D33" s="145"/>
      <c r="E33" s="145"/>
      <c r="F33" s="44" t="str">
        <f t="shared" si="0"/>
        <v/>
      </c>
      <c r="G33" s="44" t="str">
        <f t="shared" si="1"/>
        <v/>
      </c>
      <c r="H33" s="65" t="str">
        <f t="shared" si="4"/>
        <v/>
      </c>
      <c r="I33" s="148" t="str">
        <f t="shared" si="5"/>
        <v/>
      </c>
      <c r="K33" t="s">
        <v>50</v>
      </c>
      <c r="M33" t="e">
        <f t="shared" si="2"/>
        <v>#VALUE!</v>
      </c>
      <c r="N33" t="str">
        <f t="shared" si="3"/>
        <v/>
      </c>
    </row>
    <row r="34" spans="2:14">
      <c r="B34" s="95">
        <v>22</v>
      </c>
      <c r="C34" s="144"/>
      <c r="D34" s="145"/>
      <c r="E34" s="145"/>
      <c r="F34" s="44" t="str">
        <f t="shared" si="0"/>
        <v/>
      </c>
      <c r="G34" s="44" t="str">
        <f t="shared" si="1"/>
        <v/>
      </c>
      <c r="H34" s="65" t="str">
        <f t="shared" si="4"/>
        <v/>
      </c>
      <c r="I34" s="148" t="str">
        <f t="shared" si="5"/>
        <v/>
      </c>
      <c r="K34" t="s">
        <v>50</v>
      </c>
      <c r="M34" t="e">
        <f t="shared" si="2"/>
        <v>#VALUE!</v>
      </c>
      <c r="N34" t="str">
        <f t="shared" si="3"/>
        <v/>
      </c>
    </row>
    <row r="35" spans="2:14">
      <c r="B35" s="95">
        <v>23</v>
      </c>
      <c r="C35" s="144"/>
      <c r="D35" s="145"/>
      <c r="E35" s="145"/>
      <c r="F35" s="44" t="str">
        <f t="shared" si="0"/>
        <v/>
      </c>
      <c r="G35" s="44" t="str">
        <f t="shared" si="1"/>
        <v/>
      </c>
      <c r="H35" s="65" t="str">
        <f t="shared" si="4"/>
        <v/>
      </c>
      <c r="I35" s="148" t="str">
        <f t="shared" si="5"/>
        <v/>
      </c>
      <c r="K35" t="s">
        <v>50</v>
      </c>
      <c r="M35" t="e">
        <f t="shared" si="2"/>
        <v>#VALUE!</v>
      </c>
      <c r="N35" t="str">
        <f t="shared" si="3"/>
        <v/>
      </c>
    </row>
    <row r="36" spans="2:14">
      <c r="B36" s="95">
        <v>24</v>
      </c>
      <c r="C36" s="144"/>
      <c r="D36" s="145"/>
      <c r="E36" s="145"/>
      <c r="F36" s="44" t="str">
        <f t="shared" si="0"/>
        <v/>
      </c>
      <c r="G36" s="44" t="str">
        <f t="shared" si="1"/>
        <v/>
      </c>
      <c r="H36" s="65" t="str">
        <f t="shared" si="4"/>
        <v/>
      </c>
      <c r="I36" s="148" t="str">
        <f t="shared" si="5"/>
        <v/>
      </c>
      <c r="K36" t="s">
        <v>50</v>
      </c>
      <c r="M36" t="e">
        <f t="shared" si="2"/>
        <v>#VALUE!</v>
      </c>
      <c r="N36" t="str">
        <f t="shared" si="3"/>
        <v/>
      </c>
    </row>
    <row r="37" spans="2:14" ht="13.5" thickBot="1">
      <c r="B37" s="96">
        <v>25</v>
      </c>
      <c r="C37" s="142"/>
      <c r="D37" s="143"/>
      <c r="E37" s="143"/>
      <c r="F37" s="52" t="str">
        <f t="shared" si="0"/>
        <v/>
      </c>
      <c r="G37" s="52" t="str">
        <f t="shared" si="1"/>
        <v/>
      </c>
      <c r="H37" s="66" t="str">
        <f t="shared" si="4"/>
        <v/>
      </c>
      <c r="I37" s="149"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8" priority="4">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212</v>
      </c>
      <c r="O2" t="s">
        <v>214</v>
      </c>
    </row>
    <row r="3" spans="2:18" ht="13.5" thickBot="1">
      <c r="B3" s="141" t="s">
        <v>35</v>
      </c>
      <c r="C3" s="103" t="s">
        <v>201</v>
      </c>
      <c r="D3" s="103" t="s">
        <v>207</v>
      </c>
      <c r="E3" s="104" t="s">
        <v>208</v>
      </c>
      <c r="F3" s="184" t="s">
        <v>203</v>
      </c>
      <c r="G3" s="181" t="s">
        <v>217</v>
      </c>
      <c r="H3" s="43"/>
      <c r="I3" s="43"/>
      <c r="J3" s="43"/>
      <c r="K3" s="43"/>
      <c r="L3" s="43"/>
      <c r="M3" s="43"/>
      <c r="O3" s="141" t="s">
        <v>35</v>
      </c>
      <c r="P3" s="180" t="s">
        <v>197</v>
      </c>
      <c r="Q3" s="180" t="s">
        <v>211</v>
      </c>
      <c r="R3" s="181" t="s">
        <v>203</v>
      </c>
    </row>
    <row r="4" spans="2:18" ht="13.5" hidden="1" thickTop="1">
      <c r="B4" s="172">
        <v>0</v>
      </c>
      <c r="C4" s="173" t="s">
        <v>186</v>
      </c>
      <c r="D4" s="173"/>
      <c r="E4" s="174"/>
      <c r="F4" s="185"/>
      <c r="G4" s="186"/>
      <c r="H4" s="43"/>
      <c r="I4" s="43"/>
      <c r="J4" s="43"/>
      <c r="K4" s="43"/>
      <c r="L4" s="43"/>
      <c r="M4" s="43"/>
      <c r="O4" s="182">
        <v>0</v>
      </c>
      <c r="P4" s="179" t="s">
        <v>186</v>
      </c>
      <c r="Q4" s="179" t="s">
        <v>186</v>
      </c>
      <c r="R4" s="140"/>
    </row>
    <row r="5" spans="2:18" ht="13.5" thickTop="1">
      <c r="B5" s="175">
        <v>1</v>
      </c>
      <c r="C5" s="145"/>
      <c r="D5" s="25"/>
      <c r="E5" s="65" t="str">
        <f>IF($C5&lt;&gt;"","ALERT_" &amp; D5 &amp; "_ID_"&amp;UPPER(Matrix!$D$6) &amp; "_" &amp; $C5,"")</f>
        <v/>
      </c>
      <c r="F5" s="115"/>
      <c r="G5" s="65" t="str">
        <f>IF(E5&lt;&gt;"",LEN(E5),"")</f>
        <v/>
      </c>
      <c r="O5" s="175">
        <v>1</v>
      </c>
      <c r="P5" s="145"/>
      <c r="Q5" s="145"/>
      <c r="R5" s="116"/>
    </row>
    <row r="6" spans="2:18">
      <c r="B6" s="175">
        <v>2</v>
      </c>
      <c r="C6" s="145"/>
      <c r="D6" s="25"/>
      <c r="E6" s="65" t="str">
        <f>IF($C6&lt;&gt;"","ALERT_" &amp; D6 &amp; "_ID_"&amp;UPPER(Matrix!$D$6) &amp; "_" &amp; $C6,"")</f>
        <v/>
      </c>
      <c r="F6" s="115"/>
      <c r="G6" s="65" t="str">
        <f t="shared" ref="G6:G29" si="0">IF(E6&lt;&gt;"",LEN(E6),"")</f>
        <v/>
      </c>
      <c r="O6" s="175">
        <v>2</v>
      </c>
      <c r="P6" s="145"/>
      <c r="Q6" s="145"/>
      <c r="R6" s="116"/>
    </row>
    <row r="7" spans="2:18">
      <c r="B7" s="175">
        <v>3</v>
      </c>
      <c r="C7" s="145"/>
      <c r="D7" s="25"/>
      <c r="E7" s="65" t="str">
        <f>IF($C7&lt;&gt;"","ALERT_" &amp; D7 &amp; "_ID_"&amp;UPPER(Matrix!$D$6) &amp; "_" &amp; $C7,"")</f>
        <v/>
      </c>
      <c r="F7" s="115"/>
      <c r="G7" s="65" t="str">
        <f t="shared" si="0"/>
        <v/>
      </c>
      <c r="O7" s="175">
        <v>3</v>
      </c>
      <c r="P7" s="145"/>
      <c r="Q7" s="145"/>
      <c r="R7" s="116"/>
    </row>
    <row r="8" spans="2:18">
      <c r="B8" s="175">
        <v>4</v>
      </c>
      <c r="C8" s="145"/>
      <c r="D8" s="25"/>
      <c r="E8" s="65" t="str">
        <f>IF($C8&lt;&gt;"","ALERT_" &amp; D8 &amp; "_ID_"&amp;UPPER(Matrix!$D$6) &amp; "_" &amp; $C8,"")</f>
        <v/>
      </c>
      <c r="F8" s="115"/>
      <c r="G8" s="65" t="str">
        <f t="shared" si="0"/>
        <v/>
      </c>
      <c r="O8" s="175">
        <v>4</v>
      </c>
      <c r="P8" s="145"/>
      <c r="Q8" s="145"/>
      <c r="R8" s="116"/>
    </row>
    <row r="9" spans="2:18">
      <c r="B9" s="175">
        <v>5</v>
      </c>
      <c r="C9" s="145"/>
      <c r="D9" s="25"/>
      <c r="E9" s="65" t="str">
        <f>IF($C9&lt;&gt;"","ALERT_" &amp; D9 &amp; "_ID_"&amp;UPPER(Matrix!$D$6) &amp; "_" &amp; $C9,"")</f>
        <v/>
      </c>
      <c r="F9" s="115"/>
      <c r="G9" s="65" t="str">
        <f t="shared" si="0"/>
        <v/>
      </c>
      <c r="O9" s="175">
        <v>5</v>
      </c>
      <c r="P9" s="145"/>
      <c r="Q9" s="145"/>
      <c r="R9" s="116"/>
    </row>
    <row r="10" spans="2:18">
      <c r="B10" s="175">
        <v>6</v>
      </c>
      <c r="C10" s="145"/>
      <c r="D10" s="25"/>
      <c r="E10" s="65" t="str">
        <f>IF($C10&lt;&gt;"","ALERT_" &amp; D10 &amp; "_ID_"&amp;UPPER(Matrix!$D$6) &amp; "_" &amp; $C10,"")</f>
        <v/>
      </c>
      <c r="F10" s="115"/>
      <c r="G10" s="65" t="str">
        <f t="shared" si="0"/>
        <v/>
      </c>
      <c r="O10" s="175">
        <v>6</v>
      </c>
      <c r="P10" s="145"/>
      <c r="Q10" s="145"/>
      <c r="R10" s="116"/>
    </row>
    <row r="11" spans="2:18">
      <c r="B11" s="175">
        <v>7</v>
      </c>
      <c r="C11" s="145"/>
      <c r="D11" s="25"/>
      <c r="E11" s="65" t="str">
        <f>IF($C11&lt;&gt;"","ALERT_" &amp; D11 &amp; "_ID_"&amp;UPPER(Matrix!$D$6) &amp; "_" &amp; $C11,"")</f>
        <v/>
      </c>
      <c r="F11" s="115"/>
      <c r="G11" s="65" t="str">
        <f t="shared" si="0"/>
        <v/>
      </c>
      <c r="O11" s="175">
        <v>7</v>
      </c>
      <c r="P11" s="145"/>
      <c r="Q11" s="145"/>
      <c r="R11" s="116"/>
    </row>
    <row r="12" spans="2:18">
      <c r="B12" s="175">
        <v>8</v>
      </c>
      <c r="C12" s="145"/>
      <c r="D12" s="25"/>
      <c r="E12" s="65" t="str">
        <f>IF($C12&lt;&gt;"","ALERT_" &amp; D12 &amp; "_ID_"&amp;UPPER(Matrix!$D$6) &amp; "_" &amp; $C12,"")</f>
        <v/>
      </c>
      <c r="F12" s="115"/>
      <c r="G12" s="65" t="str">
        <f t="shared" si="0"/>
        <v/>
      </c>
      <c r="O12" s="175">
        <v>8</v>
      </c>
      <c r="P12" s="145"/>
      <c r="Q12" s="145"/>
      <c r="R12" s="116"/>
    </row>
    <row r="13" spans="2:18">
      <c r="B13" s="175">
        <v>9</v>
      </c>
      <c r="C13" s="145"/>
      <c r="D13" s="25"/>
      <c r="E13" s="65" t="str">
        <f>IF($C13&lt;&gt;"","ALERT_" &amp; D13 &amp; "_ID_"&amp;UPPER(Matrix!$D$6) &amp; "_" &amp; $C13,"")</f>
        <v/>
      </c>
      <c r="F13" s="115"/>
      <c r="G13" s="65" t="str">
        <f t="shared" si="0"/>
        <v/>
      </c>
      <c r="O13" s="175">
        <v>9</v>
      </c>
      <c r="P13" s="145"/>
      <c r="Q13" s="145"/>
      <c r="R13" s="116"/>
    </row>
    <row r="14" spans="2:18">
      <c r="B14" s="175">
        <v>10</v>
      </c>
      <c r="C14" s="145"/>
      <c r="D14" s="25"/>
      <c r="E14" s="65" t="str">
        <f>IF($C14&lt;&gt;"","ALERT_" &amp; D14 &amp; "_ID_"&amp;UPPER(Matrix!$D$6) &amp; "_" &amp; $C14,"")</f>
        <v/>
      </c>
      <c r="F14" s="115"/>
      <c r="G14" s="65" t="str">
        <f t="shared" si="0"/>
        <v/>
      </c>
      <c r="O14" s="175">
        <v>10</v>
      </c>
      <c r="P14" s="145"/>
      <c r="Q14" s="145"/>
      <c r="R14" s="116"/>
    </row>
    <row r="15" spans="2:18">
      <c r="B15" s="175">
        <v>11</v>
      </c>
      <c r="C15" s="145"/>
      <c r="D15" s="25"/>
      <c r="E15" s="65" t="str">
        <f>IF($C15&lt;&gt;"","ALERT_" &amp; D15 &amp; "_ID_"&amp;UPPER(Matrix!$D$6) &amp; "_" &amp; $C15,"")</f>
        <v/>
      </c>
      <c r="F15" s="115"/>
      <c r="G15" s="65" t="str">
        <f t="shared" si="0"/>
        <v/>
      </c>
      <c r="O15" s="175">
        <v>11</v>
      </c>
      <c r="P15" s="145"/>
      <c r="Q15" s="145"/>
      <c r="R15" s="116"/>
    </row>
    <row r="16" spans="2:18">
      <c r="B16" s="175">
        <v>12</v>
      </c>
      <c r="C16" s="145"/>
      <c r="D16" s="25"/>
      <c r="E16" s="65" t="str">
        <f>IF($C16&lt;&gt;"","ALERT_" &amp; D16 &amp; "_ID_"&amp;UPPER(Matrix!$D$6) &amp; "_" &amp; $C16,"")</f>
        <v/>
      </c>
      <c r="F16" s="115"/>
      <c r="G16" s="65" t="str">
        <f t="shared" si="0"/>
        <v/>
      </c>
      <c r="O16" s="175">
        <v>12</v>
      </c>
      <c r="P16" s="145"/>
      <c r="Q16" s="145"/>
      <c r="R16" s="116"/>
    </row>
    <row r="17" spans="2:18">
      <c r="B17" s="175">
        <v>13</v>
      </c>
      <c r="C17" s="145"/>
      <c r="D17" s="25"/>
      <c r="E17" s="65" t="str">
        <f>IF($C17&lt;&gt;"","ALERT_" &amp; D17 &amp; "_ID_"&amp;UPPER(Matrix!$D$6) &amp; "_" &amp; $C17,"")</f>
        <v/>
      </c>
      <c r="F17" s="115"/>
      <c r="G17" s="65" t="str">
        <f t="shared" si="0"/>
        <v/>
      </c>
      <c r="O17" s="175">
        <v>13</v>
      </c>
      <c r="P17" s="145"/>
      <c r="Q17" s="145"/>
      <c r="R17" s="116"/>
    </row>
    <row r="18" spans="2:18">
      <c r="B18" s="175">
        <v>14</v>
      </c>
      <c r="C18" s="145"/>
      <c r="D18" s="25"/>
      <c r="E18" s="65" t="str">
        <f>IF($C18&lt;&gt;"","ALERT_" &amp; D18 &amp; "_ID_"&amp;UPPER(Matrix!$D$6) &amp; "_" &amp; $C18,"")</f>
        <v/>
      </c>
      <c r="F18" s="115"/>
      <c r="G18" s="65" t="str">
        <f t="shared" si="0"/>
        <v/>
      </c>
      <c r="O18" s="175">
        <v>14</v>
      </c>
      <c r="P18" s="145"/>
      <c r="Q18" s="145"/>
      <c r="R18" s="116"/>
    </row>
    <row r="19" spans="2:18">
      <c r="B19" s="175">
        <v>15</v>
      </c>
      <c r="C19" s="145"/>
      <c r="D19" s="25"/>
      <c r="E19" s="65" t="str">
        <f>IF($C19&lt;&gt;"","ALERT_" &amp; D19 &amp; "_ID_"&amp;UPPER(Matrix!$D$6) &amp; "_" &amp; $C19,"")</f>
        <v/>
      </c>
      <c r="F19" s="115"/>
      <c r="G19" s="65" t="str">
        <f t="shared" si="0"/>
        <v/>
      </c>
      <c r="O19" s="175">
        <v>15</v>
      </c>
      <c r="P19" s="145"/>
      <c r="Q19" s="145"/>
      <c r="R19" s="116"/>
    </row>
    <row r="20" spans="2:18">
      <c r="B20" s="175">
        <v>16</v>
      </c>
      <c r="C20" s="145"/>
      <c r="D20" s="25"/>
      <c r="E20" s="65" t="str">
        <f>IF($C20&lt;&gt;"","ALERT_" &amp; D20 &amp; "_ID_"&amp;UPPER(Matrix!$D$6) &amp; "_" &amp; $C20,"")</f>
        <v/>
      </c>
      <c r="F20" s="115"/>
      <c r="G20" s="65" t="str">
        <f t="shared" si="0"/>
        <v/>
      </c>
      <c r="O20" s="175">
        <v>16</v>
      </c>
      <c r="P20" s="145"/>
      <c r="Q20" s="145"/>
      <c r="R20" s="116"/>
    </row>
    <row r="21" spans="2:18">
      <c r="B21" s="175">
        <v>17</v>
      </c>
      <c r="C21" s="145"/>
      <c r="D21" s="25"/>
      <c r="E21" s="65" t="str">
        <f>IF($C21&lt;&gt;"","ALERT_" &amp; D21 &amp; "_ID_"&amp;UPPER(Matrix!$D$6) &amp; "_" &amp; $C21,"")</f>
        <v/>
      </c>
      <c r="F21" s="115"/>
      <c r="G21" s="65" t="str">
        <f t="shared" si="0"/>
        <v/>
      </c>
      <c r="O21" s="175">
        <v>17</v>
      </c>
      <c r="P21" s="145"/>
      <c r="Q21" s="145"/>
      <c r="R21" s="116"/>
    </row>
    <row r="22" spans="2:18">
      <c r="B22" s="175">
        <v>18</v>
      </c>
      <c r="C22" s="145"/>
      <c r="D22" s="25"/>
      <c r="E22" s="65" t="str">
        <f>IF($C22&lt;&gt;"","ALERT_" &amp; D22 &amp; "_ID_"&amp;UPPER(Matrix!$D$6) &amp; "_" &amp; $C22,"")</f>
        <v/>
      </c>
      <c r="F22" s="115"/>
      <c r="G22" s="65" t="str">
        <f t="shared" si="0"/>
        <v/>
      </c>
      <c r="O22" s="175">
        <v>18</v>
      </c>
      <c r="P22" s="145"/>
      <c r="Q22" s="145"/>
      <c r="R22" s="116"/>
    </row>
    <row r="23" spans="2:18">
      <c r="B23" s="175">
        <v>19</v>
      </c>
      <c r="C23" s="145"/>
      <c r="D23" s="25"/>
      <c r="E23" s="65" t="str">
        <f>IF($C23&lt;&gt;"","ALERT_" &amp; D23 &amp; "_ID_"&amp;UPPER(Matrix!$D$6) &amp; "_" &amp; $C23,"")</f>
        <v/>
      </c>
      <c r="F23" s="115"/>
      <c r="G23" s="65" t="str">
        <f t="shared" si="0"/>
        <v/>
      </c>
      <c r="O23" s="175">
        <v>19</v>
      </c>
      <c r="P23" s="145"/>
      <c r="Q23" s="145"/>
      <c r="R23" s="116"/>
    </row>
    <row r="24" spans="2:18">
      <c r="B24" s="175">
        <v>20</v>
      </c>
      <c r="C24" s="145"/>
      <c r="D24" s="25"/>
      <c r="E24" s="65" t="str">
        <f>IF($C24&lt;&gt;"","ALERT_" &amp; D24 &amp; "_ID_"&amp;UPPER(Matrix!$D$6) &amp; "_" &amp; $C24,"")</f>
        <v/>
      </c>
      <c r="F24" s="115"/>
      <c r="G24" s="65" t="str">
        <f t="shared" si="0"/>
        <v/>
      </c>
      <c r="O24" s="175">
        <v>20</v>
      </c>
      <c r="P24" s="145"/>
      <c r="Q24" s="145"/>
      <c r="R24" s="116"/>
    </row>
    <row r="25" spans="2:18">
      <c r="B25" s="175">
        <v>21</v>
      </c>
      <c r="C25" s="145"/>
      <c r="D25" s="25"/>
      <c r="E25" s="65" t="str">
        <f>IF($C25&lt;&gt;"","ALERT_" &amp; D25 &amp; "_ID_"&amp;UPPER(Matrix!$D$6) &amp; "_" &amp; $C25,"")</f>
        <v/>
      </c>
      <c r="F25" s="115"/>
      <c r="G25" s="65" t="str">
        <f t="shared" si="0"/>
        <v/>
      </c>
      <c r="O25" s="175">
        <v>21</v>
      </c>
      <c r="P25" s="145"/>
      <c r="Q25" s="145"/>
      <c r="R25" s="116"/>
    </row>
    <row r="26" spans="2:18">
      <c r="B26" s="175">
        <v>22</v>
      </c>
      <c r="C26" s="145"/>
      <c r="D26" s="25"/>
      <c r="E26" s="65" t="str">
        <f>IF($C26&lt;&gt;"","ALERT_" &amp; D26 &amp; "_ID_"&amp;UPPER(Matrix!$D$6) &amp; "_" &amp; $C26,"")</f>
        <v/>
      </c>
      <c r="F26" s="115"/>
      <c r="G26" s="65" t="str">
        <f t="shared" si="0"/>
        <v/>
      </c>
      <c r="O26" s="175">
        <v>22</v>
      </c>
      <c r="P26" s="145"/>
      <c r="Q26" s="145"/>
      <c r="R26" s="116"/>
    </row>
    <row r="27" spans="2:18">
      <c r="B27" s="175">
        <v>23</v>
      </c>
      <c r="C27" s="145"/>
      <c r="D27" s="25"/>
      <c r="E27" s="65" t="str">
        <f>IF($C27&lt;&gt;"","ALERT_" &amp; D27 &amp; "_ID_"&amp;UPPER(Matrix!$D$6) &amp; "_" &amp; $C27,"")</f>
        <v/>
      </c>
      <c r="F27" s="115"/>
      <c r="G27" s="65" t="str">
        <f t="shared" si="0"/>
        <v/>
      </c>
      <c r="O27" s="175">
        <v>23</v>
      </c>
      <c r="P27" s="145"/>
      <c r="Q27" s="145"/>
      <c r="R27" s="116"/>
    </row>
    <row r="28" spans="2:18">
      <c r="B28" s="175">
        <v>24</v>
      </c>
      <c r="C28" s="145"/>
      <c r="D28" s="25"/>
      <c r="E28" s="65" t="str">
        <f>IF($C28&lt;&gt;"","ALERT_" &amp; D28 &amp; "_ID_"&amp;UPPER(Matrix!$D$6) &amp; "_" &amp; $C28,"")</f>
        <v/>
      </c>
      <c r="F28" s="115"/>
      <c r="G28" s="65" t="str">
        <f t="shared" si="0"/>
        <v/>
      </c>
      <c r="O28" s="175">
        <v>24</v>
      </c>
      <c r="P28" s="145"/>
      <c r="Q28" s="145"/>
      <c r="R28" s="116"/>
    </row>
    <row r="29" spans="2:18" ht="13.5" thickBot="1">
      <c r="B29" s="176">
        <v>25</v>
      </c>
      <c r="C29" s="143"/>
      <c r="D29" s="51"/>
      <c r="E29" s="66" t="str">
        <f>IF($C29&lt;&gt;"","ALERT_" &amp; D29 &amp; "_ID_"&amp;UPPER(Matrix!$D$6) &amp; "_" &amp; $C29,"")</f>
        <v/>
      </c>
      <c r="F29" s="117"/>
      <c r="G29" s="66" t="str">
        <f t="shared" si="0"/>
        <v/>
      </c>
      <c r="O29" s="176">
        <v>25</v>
      </c>
      <c r="P29" s="143"/>
      <c r="Q29" s="143"/>
      <c r="R29" s="118"/>
    </row>
    <row r="32" spans="2:18" ht="13.5" thickBot="1">
      <c r="B32" t="s">
        <v>213</v>
      </c>
      <c r="O32" t="s">
        <v>210</v>
      </c>
    </row>
    <row r="33" spans="2:18" ht="13.5" thickBot="1">
      <c r="B33" s="141" t="s">
        <v>35</v>
      </c>
      <c r="C33" s="103" t="s">
        <v>201</v>
      </c>
      <c r="D33" s="103" t="s">
        <v>206</v>
      </c>
      <c r="E33" s="104" t="s">
        <v>204</v>
      </c>
      <c r="F33" s="181" t="s">
        <v>205</v>
      </c>
      <c r="G33" s="181" t="s">
        <v>217</v>
      </c>
      <c r="O33" s="141" t="s">
        <v>35</v>
      </c>
      <c r="P33" s="180" t="s">
        <v>198</v>
      </c>
      <c r="Q33" s="180" t="s">
        <v>215</v>
      </c>
      <c r="R33" s="181" t="s">
        <v>202</v>
      </c>
    </row>
    <row r="34" spans="2:18" ht="13.5" hidden="1" thickTop="1">
      <c r="B34" s="172">
        <v>0</v>
      </c>
      <c r="C34" s="173" t="s">
        <v>186</v>
      </c>
      <c r="D34" s="173"/>
      <c r="E34" s="174"/>
      <c r="F34" s="183" t="s">
        <v>186</v>
      </c>
      <c r="G34" s="186"/>
      <c r="O34" s="182">
        <v>0</v>
      </c>
      <c r="P34" s="179" t="s">
        <v>186</v>
      </c>
      <c r="Q34" s="179" t="s">
        <v>186</v>
      </c>
      <c r="R34" s="183" t="s">
        <v>186</v>
      </c>
    </row>
    <row r="35" spans="2:18" ht="13.5" thickTop="1">
      <c r="B35" s="175">
        <v>1</v>
      </c>
      <c r="C35" s="145"/>
      <c r="D35" s="25"/>
      <c r="E35" s="65" t="str">
        <f>IF($C35&lt;&gt;"","ALERT_" &amp; UPPER(Matrix!$D$6) &amp; "_" &amp; $C35,"")</f>
        <v/>
      </c>
      <c r="F35" s="177"/>
      <c r="G35" s="65" t="str">
        <f>IF(E35&lt;&gt;"",LEN(E35),"")</f>
        <v/>
      </c>
      <c r="O35" s="175">
        <v>1</v>
      </c>
      <c r="P35" s="145"/>
      <c r="Q35" s="145"/>
      <c r="R35" s="177"/>
    </row>
    <row r="36" spans="2:18">
      <c r="B36" s="175">
        <v>2</v>
      </c>
      <c r="C36" s="145"/>
      <c r="D36" s="25"/>
      <c r="E36" s="65" t="str">
        <f>IF($C36&lt;&gt;"","ALERT_" &amp; UPPER(Matrix!$D$6) &amp; "_" &amp; $C36,"")</f>
        <v/>
      </c>
      <c r="F36" s="177"/>
      <c r="G36" s="65" t="str">
        <f>IF(E36&lt;&gt;"",LEN(E36),"")</f>
        <v/>
      </c>
      <c r="O36" s="175">
        <v>2</v>
      </c>
      <c r="P36" s="145"/>
      <c r="Q36" s="145"/>
      <c r="R36" s="177"/>
    </row>
    <row r="37" spans="2:18">
      <c r="B37" s="175">
        <v>3</v>
      </c>
      <c r="C37" s="145"/>
      <c r="D37" s="25"/>
      <c r="E37" s="65" t="str">
        <f>IF($C37&lt;&gt;"","ALERT_" &amp; UPPER(Matrix!$D$6) &amp; "_" &amp; $C37,"")</f>
        <v/>
      </c>
      <c r="F37" s="177"/>
      <c r="G37" s="65" t="str">
        <f>IF(E37&lt;&gt;"",LEN(E37),"")</f>
        <v/>
      </c>
      <c r="O37" s="175">
        <v>3</v>
      </c>
      <c r="P37" s="145"/>
      <c r="Q37" s="145"/>
      <c r="R37" s="177"/>
    </row>
    <row r="38" spans="2:18">
      <c r="B38" s="175">
        <v>4</v>
      </c>
      <c r="C38" s="145"/>
      <c r="D38" s="25"/>
      <c r="E38" s="65" t="str">
        <f>IF($C38&lt;&gt;"","ALERT_" &amp; UPPER(Matrix!$D$6) &amp; "_" &amp; $C38,"")</f>
        <v/>
      </c>
      <c r="F38" s="177"/>
      <c r="G38" s="65" t="str">
        <f t="shared" ref="G38:G59" si="1">IF(E38&lt;&gt;"",LEN(E38),"")</f>
        <v/>
      </c>
      <c r="O38" s="175">
        <v>4</v>
      </c>
      <c r="P38" s="145"/>
      <c r="Q38" s="145"/>
      <c r="R38" s="177"/>
    </row>
    <row r="39" spans="2:18">
      <c r="B39" s="175">
        <v>5</v>
      </c>
      <c r="C39" s="145"/>
      <c r="D39" s="25"/>
      <c r="E39" s="65" t="str">
        <f>IF($C39&lt;&gt;"","ALERT_" &amp; UPPER(Matrix!$D$6) &amp; "_" &amp; $C39,"")</f>
        <v/>
      </c>
      <c r="F39" s="177"/>
      <c r="G39" s="65" t="str">
        <f t="shared" si="1"/>
        <v/>
      </c>
      <c r="O39" s="175">
        <v>5</v>
      </c>
      <c r="P39" s="145"/>
      <c r="Q39" s="145"/>
      <c r="R39" s="177"/>
    </row>
    <row r="40" spans="2:18">
      <c r="B40" s="175">
        <v>6</v>
      </c>
      <c r="C40" s="145"/>
      <c r="D40" s="25"/>
      <c r="E40" s="65" t="str">
        <f>IF($C40&lt;&gt;"","ALERT_" &amp; UPPER(Matrix!$D$6) &amp; "_" &amp; $C40,"")</f>
        <v/>
      </c>
      <c r="F40" s="177"/>
      <c r="G40" s="65" t="str">
        <f t="shared" si="1"/>
        <v/>
      </c>
      <c r="O40" s="175">
        <v>6</v>
      </c>
      <c r="P40" s="145"/>
      <c r="Q40" s="145"/>
      <c r="R40" s="177"/>
    </row>
    <row r="41" spans="2:18">
      <c r="B41" s="175">
        <v>7</v>
      </c>
      <c r="C41" s="145"/>
      <c r="D41" s="25"/>
      <c r="E41" s="65" t="str">
        <f>IF($C41&lt;&gt;"","ALERT_" &amp; UPPER(Matrix!$D$6) &amp; "_" &amp; $C41,"")</f>
        <v/>
      </c>
      <c r="F41" s="177"/>
      <c r="G41" s="65" t="str">
        <f t="shared" si="1"/>
        <v/>
      </c>
      <c r="O41" s="175">
        <v>7</v>
      </c>
      <c r="P41" s="145"/>
      <c r="Q41" s="145"/>
      <c r="R41" s="177"/>
    </row>
    <row r="42" spans="2:18">
      <c r="B42" s="175">
        <v>8</v>
      </c>
      <c r="C42" s="145"/>
      <c r="D42" s="25"/>
      <c r="E42" s="65" t="str">
        <f>IF($C42&lt;&gt;"","ALERT_" &amp; UPPER(Matrix!$D$6) &amp; "_" &amp; $C42,"")</f>
        <v/>
      </c>
      <c r="F42" s="177"/>
      <c r="G42" s="65" t="str">
        <f t="shared" si="1"/>
        <v/>
      </c>
      <c r="O42" s="175">
        <v>8</v>
      </c>
      <c r="P42" s="145"/>
      <c r="Q42" s="145"/>
      <c r="R42" s="177"/>
    </row>
    <row r="43" spans="2:18">
      <c r="B43" s="175">
        <v>9</v>
      </c>
      <c r="C43" s="145"/>
      <c r="D43" s="25"/>
      <c r="E43" s="65" t="str">
        <f>IF($C43&lt;&gt;"","ALERT_" &amp; UPPER(Matrix!$D$6) &amp; "_" &amp; $C43,"")</f>
        <v/>
      </c>
      <c r="F43" s="177"/>
      <c r="G43" s="65" t="str">
        <f t="shared" si="1"/>
        <v/>
      </c>
      <c r="O43" s="175">
        <v>9</v>
      </c>
      <c r="P43" s="145"/>
      <c r="Q43" s="145"/>
      <c r="R43" s="177"/>
    </row>
    <row r="44" spans="2:18">
      <c r="B44" s="175">
        <v>10</v>
      </c>
      <c r="C44" s="145"/>
      <c r="D44" s="25"/>
      <c r="E44" s="65" t="str">
        <f>IF($C44&lt;&gt;"","ALERT_" &amp; UPPER(Matrix!$D$6) &amp; "_" &amp; $C44,"")</f>
        <v/>
      </c>
      <c r="F44" s="177"/>
      <c r="G44" s="65" t="str">
        <f t="shared" si="1"/>
        <v/>
      </c>
      <c r="O44" s="175">
        <v>10</v>
      </c>
      <c r="P44" s="145"/>
      <c r="Q44" s="145"/>
      <c r="R44" s="177"/>
    </row>
    <row r="45" spans="2:18">
      <c r="B45" s="175">
        <v>11</v>
      </c>
      <c r="C45" s="145"/>
      <c r="D45" s="25"/>
      <c r="E45" s="65" t="str">
        <f>IF($C45&lt;&gt;"","ALERT_" &amp; UPPER(Matrix!$D$6) &amp; "_" &amp; $C45,"")</f>
        <v/>
      </c>
      <c r="F45" s="177"/>
      <c r="G45" s="65" t="str">
        <f t="shared" si="1"/>
        <v/>
      </c>
      <c r="O45" s="175">
        <v>11</v>
      </c>
      <c r="P45" s="145"/>
      <c r="Q45" s="145"/>
      <c r="R45" s="177"/>
    </row>
    <row r="46" spans="2:18">
      <c r="B46" s="175">
        <v>12</v>
      </c>
      <c r="C46" s="145"/>
      <c r="D46" s="25"/>
      <c r="E46" s="65" t="str">
        <f>IF($C46&lt;&gt;"","ALERT_" &amp; UPPER(Matrix!$D$6) &amp; "_" &amp; $C46,"")</f>
        <v/>
      </c>
      <c r="F46" s="177"/>
      <c r="G46" s="65" t="str">
        <f t="shared" si="1"/>
        <v/>
      </c>
      <c r="O46" s="175">
        <v>12</v>
      </c>
      <c r="P46" s="145"/>
      <c r="Q46" s="145"/>
      <c r="R46" s="177"/>
    </row>
    <row r="47" spans="2:18">
      <c r="B47" s="175">
        <v>13</v>
      </c>
      <c r="C47" s="145"/>
      <c r="D47" s="25"/>
      <c r="E47" s="65" t="str">
        <f>IF($C47&lt;&gt;"","ALERT_" &amp; UPPER(Matrix!$D$6) &amp; "_" &amp; $C47,"")</f>
        <v/>
      </c>
      <c r="F47" s="177"/>
      <c r="G47" s="65" t="str">
        <f t="shared" si="1"/>
        <v/>
      </c>
      <c r="O47" s="175">
        <v>13</v>
      </c>
      <c r="P47" s="145"/>
      <c r="Q47" s="145"/>
      <c r="R47" s="177"/>
    </row>
    <row r="48" spans="2:18">
      <c r="B48" s="175">
        <v>14</v>
      </c>
      <c r="C48" s="145"/>
      <c r="D48" s="25"/>
      <c r="E48" s="65" t="str">
        <f>IF($C48&lt;&gt;"","ALERT_" &amp; UPPER(Matrix!$D$6) &amp; "_" &amp; $C48,"")</f>
        <v/>
      </c>
      <c r="F48" s="177"/>
      <c r="G48" s="65" t="str">
        <f t="shared" si="1"/>
        <v/>
      </c>
      <c r="O48" s="175">
        <v>14</v>
      </c>
      <c r="P48" s="145"/>
      <c r="Q48" s="145"/>
      <c r="R48" s="177"/>
    </row>
    <row r="49" spans="2:18">
      <c r="B49" s="175">
        <v>15</v>
      </c>
      <c r="C49" s="145"/>
      <c r="D49" s="25"/>
      <c r="E49" s="65" t="str">
        <f>IF($C49&lt;&gt;"","ALERT_" &amp; UPPER(Matrix!$D$6) &amp; "_" &amp; $C49,"")</f>
        <v/>
      </c>
      <c r="F49" s="177"/>
      <c r="G49" s="65" t="str">
        <f t="shared" si="1"/>
        <v/>
      </c>
      <c r="O49" s="175">
        <v>15</v>
      </c>
      <c r="P49" s="145"/>
      <c r="Q49" s="145"/>
      <c r="R49" s="177"/>
    </row>
    <row r="50" spans="2:18">
      <c r="B50" s="175">
        <v>16</v>
      </c>
      <c r="C50" s="145"/>
      <c r="D50" s="25"/>
      <c r="E50" s="65" t="str">
        <f>IF($C50&lt;&gt;"","ALERT_" &amp; UPPER(Matrix!$D$6) &amp; "_" &amp; $C50,"")</f>
        <v/>
      </c>
      <c r="F50" s="177"/>
      <c r="G50" s="65" t="str">
        <f t="shared" si="1"/>
        <v/>
      </c>
      <c r="O50" s="175">
        <v>16</v>
      </c>
      <c r="P50" s="145"/>
      <c r="Q50" s="145"/>
      <c r="R50" s="177"/>
    </row>
    <row r="51" spans="2:18">
      <c r="B51" s="175">
        <v>17</v>
      </c>
      <c r="C51" s="145"/>
      <c r="D51" s="25"/>
      <c r="E51" s="65" t="str">
        <f>IF($C51&lt;&gt;"","ALERT_" &amp; UPPER(Matrix!$D$6) &amp; "_" &amp; $C51,"")</f>
        <v/>
      </c>
      <c r="F51" s="177"/>
      <c r="G51" s="65" t="str">
        <f t="shared" si="1"/>
        <v/>
      </c>
      <c r="O51" s="175">
        <v>17</v>
      </c>
      <c r="P51" s="145"/>
      <c r="Q51" s="145"/>
      <c r="R51" s="177"/>
    </row>
    <row r="52" spans="2:18">
      <c r="B52" s="175">
        <v>18</v>
      </c>
      <c r="C52" s="145"/>
      <c r="D52" s="25"/>
      <c r="E52" s="65" t="str">
        <f>IF($C52&lt;&gt;"","ALERT_" &amp; UPPER(Matrix!$D$6) &amp; "_" &amp; $C52,"")</f>
        <v/>
      </c>
      <c r="F52" s="177"/>
      <c r="G52" s="65" t="str">
        <f t="shared" si="1"/>
        <v/>
      </c>
      <c r="O52" s="175">
        <v>18</v>
      </c>
      <c r="P52" s="145"/>
      <c r="Q52" s="145"/>
      <c r="R52" s="177"/>
    </row>
    <row r="53" spans="2:18">
      <c r="B53" s="175">
        <v>19</v>
      </c>
      <c r="C53" s="145"/>
      <c r="D53" s="25"/>
      <c r="E53" s="65" t="str">
        <f>IF($C53&lt;&gt;"","ALERT_" &amp; UPPER(Matrix!$D$6) &amp; "_" &amp; $C53,"")</f>
        <v/>
      </c>
      <c r="F53" s="177"/>
      <c r="G53" s="65" t="str">
        <f t="shared" si="1"/>
        <v/>
      </c>
      <c r="O53" s="175">
        <v>19</v>
      </c>
      <c r="P53" s="145"/>
      <c r="Q53" s="145"/>
      <c r="R53" s="177"/>
    </row>
    <row r="54" spans="2:18">
      <c r="B54" s="175">
        <v>20</v>
      </c>
      <c r="C54" s="145"/>
      <c r="D54" s="25"/>
      <c r="E54" s="65" t="str">
        <f>IF($C54&lt;&gt;"","ALERT_" &amp; UPPER(Matrix!$D$6) &amp; "_" &amp; $C54,"")</f>
        <v/>
      </c>
      <c r="F54" s="177"/>
      <c r="G54" s="65" t="str">
        <f t="shared" si="1"/>
        <v/>
      </c>
      <c r="O54" s="175">
        <v>20</v>
      </c>
      <c r="P54" s="145"/>
      <c r="Q54" s="145"/>
      <c r="R54" s="177"/>
    </row>
    <row r="55" spans="2:18">
      <c r="B55" s="175">
        <v>21</v>
      </c>
      <c r="C55" s="145"/>
      <c r="D55" s="25"/>
      <c r="E55" s="65" t="str">
        <f>IF($C55&lt;&gt;"","ALERT_" &amp; UPPER(Matrix!$D$6) &amp; "_" &amp; $C55,"")</f>
        <v/>
      </c>
      <c r="F55" s="177"/>
      <c r="G55" s="65" t="str">
        <f t="shared" si="1"/>
        <v/>
      </c>
      <c r="O55" s="175">
        <v>21</v>
      </c>
      <c r="P55" s="145"/>
      <c r="Q55" s="145"/>
      <c r="R55" s="177"/>
    </row>
    <row r="56" spans="2:18">
      <c r="B56" s="175">
        <v>22</v>
      </c>
      <c r="C56" s="145"/>
      <c r="D56" s="25"/>
      <c r="E56" s="65" t="str">
        <f>IF($C56&lt;&gt;"","ALERT_" &amp; UPPER(Matrix!$D$6) &amp; "_" &amp; $C56,"")</f>
        <v/>
      </c>
      <c r="F56" s="177"/>
      <c r="G56" s="65" t="str">
        <f t="shared" si="1"/>
        <v/>
      </c>
      <c r="O56" s="175">
        <v>22</v>
      </c>
      <c r="P56" s="145"/>
      <c r="Q56" s="145"/>
      <c r="R56" s="177"/>
    </row>
    <row r="57" spans="2:18">
      <c r="B57" s="175">
        <v>23</v>
      </c>
      <c r="C57" s="145"/>
      <c r="D57" s="25"/>
      <c r="E57" s="65" t="str">
        <f>IF($C57&lt;&gt;"","ALERT_" &amp; UPPER(Matrix!$D$6) &amp; "_" &amp; $C57,"")</f>
        <v/>
      </c>
      <c r="F57" s="177"/>
      <c r="G57" s="65" t="str">
        <f t="shared" si="1"/>
        <v/>
      </c>
      <c r="O57" s="175">
        <v>23</v>
      </c>
      <c r="P57" s="145"/>
      <c r="Q57" s="145"/>
      <c r="R57" s="177"/>
    </row>
    <row r="58" spans="2:18">
      <c r="B58" s="175">
        <v>24</v>
      </c>
      <c r="C58" s="145"/>
      <c r="D58" s="25"/>
      <c r="E58" s="65" t="str">
        <f>IF($C58&lt;&gt;"","ALERT_" &amp; UPPER(Matrix!$D$6) &amp; "_" &amp; $C58,"")</f>
        <v/>
      </c>
      <c r="F58" s="177"/>
      <c r="G58" s="65" t="str">
        <f t="shared" si="1"/>
        <v/>
      </c>
      <c r="O58" s="175">
        <v>24</v>
      </c>
      <c r="P58" s="145"/>
      <c r="Q58" s="145"/>
      <c r="R58" s="177"/>
    </row>
    <row r="59" spans="2:18" ht="13.5" thickBot="1">
      <c r="B59" s="176">
        <v>25</v>
      </c>
      <c r="C59" s="143"/>
      <c r="D59" s="51"/>
      <c r="E59" s="66" t="str">
        <f>IF($C59&lt;&gt;"","ALERT_" &amp; UPPER(Matrix!$D$6) &amp; "_" &amp; $C59,"")</f>
        <v/>
      </c>
      <c r="F59" s="178"/>
      <c r="G59" s="66" t="str">
        <f t="shared" si="1"/>
        <v/>
      </c>
      <c r="O59" s="176">
        <v>25</v>
      </c>
      <c r="P59" s="143"/>
      <c r="Q59" s="143"/>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9" width="12.36328125" customWidth="1"/>
    <col min="10" max="10" width="34.0898437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9" t="s">
        <v>107</v>
      </c>
    </row>
    <row r="2" spans="2:21" ht="13.5" thickBot="1">
      <c r="B2" s="97" t="s">
        <v>59</v>
      </c>
      <c r="C2" s="98" t="s">
        <v>129</v>
      </c>
      <c r="D2" s="99" t="s">
        <v>53</v>
      </c>
      <c r="E2" s="100" t="s">
        <v>54</v>
      </c>
      <c r="F2" s="101" t="s">
        <v>24</v>
      </c>
      <c r="G2" s="100" t="s">
        <v>55</v>
      </c>
      <c r="H2" s="101" t="s">
        <v>26</v>
      </c>
      <c r="I2" s="100" t="s">
        <v>56</v>
      </c>
      <c r="J2" s="101" t="s">
        <v>184</v>
      </c>
      <c r="K2" s="100" t="s">
        <v>57</v>
      </c>
      <c r="L2" s="101" t="s">
        <v>27</v>
      </c>
      <c r="M2" s="98" t="s">
        <v>58</v>
      </c>
      <c r="N2" s="101" t="s">
        <v>124</v>
      </c>
      <c r="O2" s="121" t="s">
        <v>84</v>
      </c>
    </row>
    <row r="3" spans="2:21" ht="14" hidden="1" thickTop="1" thickBot="1">
      <c r="B3" s="26"/>
      <c r="C3" s="48" t="s">
        <v>111</v>
      </c>
      <c r="D3" s="112"/>
      <c r="E3" s="13"/>
      <c r="F3" s="15"/>
      <c r="G3" s="13"/>
      <c r="H3" s="15"/>
      <c r="I3" s="13"/>
      <c r="J3" s="15"/>
      <c r="K3" s="13"/>
      <c r="L3" s="15"/>
      <c r="M3" s="49"/>
      <c r="N3" s="108"/>
      <c r="O3" s="122"/>
      <c r="U3" s="93" t="s">
        <v>101</v>
      </c>
    </row>
    <row r="4" spans="2:21" ht="13.5" thickTop="1">
      <c r="B4" s="26" t="s">
        <v>254</v>
      </c>
      <c r="C4" s="25" t="s">
        <v>303</v>
      </c>
      <c r="D4" s="112">
        <v>0</v>
      </c>
      <c r="E4" s="113" t="s">
        <v>133</v>
      </c>
      <c r="F4" s="114" t="s">
        <v>308</v>
      </c>
      <c r="G4" s="113" t="s">
        <v>133</v>
      </c>
      <c r="H4" s="114" t="s">
        <v>32</v>
      </c>
      <c r="I4" s="113" t="s">
        <v>133</v>
      </c>
      <c r="J4" s="114" t="s">
        <v>316</v>
      </c>
      <c r="K4" s="113" t="s">
        <v>133</v>
      </c>
      <c r="L4" s="114" t="s">
        <v>325</v>
      </c>
      <c r="M4" s="49">
        <f ca="1">LEN(N4)</f>
        <v>27</v>
      </c>
      <c r="N4" s="108" t="str">
        <f ca="1">VLOOKUP($B4,Matrix!$H$13:$I$37,2,FALSE)&amp;"_"&amp;C4</f>
        <v>ALERT_REQ_H_DRIPOW_OVHT_CHN</v>
      </c>
      <c r="O4" s="122" t="str">
        <f t="shared" ref="O4:O35" ca="1" si="0">"#define "&amp;N4&amp;REPT(" ",48-M4)&amp;"("&amp;D4&amp;"U)"</f>
        <v>#define ALERT_REQ_H_DRIPOW_OVHT_CHN                     (0U)</v>
      </c>
      <c r="U4" s="93" t="s">
        <v>101</v>
      </c>
    </row>
    <row r="5" spans="2:21">
      <c r="B5" s="26" t="s">
        <v>254</v>
      </c>
      <c r="C5" s="25" t="s">
        <v>305</v>
      </c>
      <c r="D5" s="115">
        <v>1</v>
      </c>
      <c r="E5" s="212" t="s">
        <v>133</v>
      </c>
      <c r="F5" s="213" t="s">
        <v>32</v>
      </c>
      <c r="G5" s="212" t="s">
        <v>133</v>
      </c>
      <c r="H5" s="213" t="s">
        <v>32</v>
      </c>
      <c r="I5" s="212" t="s">
        <v>133</v>
      </c>
      <c r="J5" s="213" t="s">
        <v>309</v>
      </c>
      <c r="K5" s="212" t="s">
        <v>133</v>
      </c>
      <c r="L5" s="213" t="s">
        <v>32</v>
      </c>
      <c r="M5" s="44">
        <f t="shared" ref="M5:M68" ca="1" si="1">LEN(N5)</f>
        <v>29</v>
      </c>
      <c r="N5" s="108" t="str">
        <f ca="1">VLOOKUP($B5,Matrix!$H$13:$I$37,2,FALSE)&amp;"_"&amp;C5</f>
        <v>ALERT_REQ_H_DRIPOW_BATLOW_CHN</v>
      </c>
      <c r="O5" s="123" t="str">
        <f t="shared" ca="1" si="0"/>
        <v>#define ALERT_REQ_H_DRIPOW_BATLOW_CHN                   (1U)</v>
      </c>
      <c r="U5" s="91" t="s">
        <v>102</v>
      </c>
    </row>
    <row r="6" spans="2:21">
      <c r="B6" s="26" t="s">
        <v>254</v>
      </c>
      <c r="C6" s="106" t="s">
        <v>307</v>
      </c>
      <c r="D6" s="119">
        <v>2</v>
      </c>
      <c r="E6" s="212" t="s">
        <v>133</v>
      </c>
      <c r="F6" s="213" t="s">
        <v>32</v>
      </c>
      <c r="G6" s="212" t="s">
        <v>133</v>
      </c>
      <c r="H6" s="213" t="s">
        <v>32</v>
      </c>
      <c r="I6" s="212" t="s">
        <v>133</v>
      </c>
      <c r="J6" s="213" t="s">
        <v>310</v>
      </c>
      <c r="K6" s="212" t="s">
        <v>133</v>
      </c>
      <c r="L6" s="213" t="s">
        <v>32</v>
      </c>
      <c r="M6" s="44">
        <f t="shared" ca="1" si="1"/>
        <v>28</v>
      </c>
      <c r="N6" s="108" t="str">
        <f ca="1">VLOOKUP($B6,Matrix!$H$13:$I$37,2,FALSE)&amp;"_"&amp;C6</f>
        <v>ALERT_REQ_H_DRIPOW_OTHER_CHN</v>
      </c>
      <c r="O6" s="123" t="str">
        <f t="shared" ca="1" si="0"/>
        <v>#define ALERT_REQ_H_DRIPOW_OTHER_CHN                    (2U)</v>
      </c>
      <c r="U6" s="31" t="s">
        <v>103</v>
      </c>
    </row>
    <row r="7" spans="2:21">
      <c r="B7" s="107" t="s">
        <v>254</v>
      </c>
      <c r="C7" s="106" t="s">
        <v>328</v>
      </c>
      <c r="D7" s="120">
        <v>3</v>
      </c>
      <c r="E7" s="212" t="s">
        <v>133</v>
      </c>
      <c r="F7" s="213" t="s">
        <v>32</v>
      </c>
      <c r="G7" s="212" t="s">
        <v>133</v>
      </c>
      <c r="H7" s="213" t="s">
        <v>32</v>
      </c>
      <c r="I7" s="212" t="s">
        <v>133</v>
      </c>
      <c r="J7" s="213" t="s">
        <v>311</v>
      </c>
      <c r="K7" s="26" t="s">
        <v>133</v>
      </c>
      <c r="L7" s="213" t="s">
        <v>32</v>
      </c>
      <c r="M7" s="44">
        <f t="shared" ca="1" si="1"/>
        <v>23</v>
      </c>
      <c r="N7" s="108" t="str">
        <f ca="1">VLOOKUP($B7,Matrix!$H$13:$I$37,2,FALSE)&amp;"_"&amp;C7</f>
        <v>ALERT_REQ_H_DRIPOW_OVHT</v>
      </c>
      <c r="O7" s="123" t="str">
        <f t="shared" ca="1" si="0"/>
        <v>#define ALERT_REQ_H_DRIPOW_OVHT                         (3U)</v>
      </c>
      <c r="U7" s="31" t="s">
        <v>104</v>
      </c>
    </row>
    <row r="8" spans="2:21">
      <c r="B8" s="107" t="s">
        <v>254</v>
      </c>
      <c r="C8" s="106" t="s">
        <v>281</v>
      </c>
      <c r="D8" s="120">
        <v>4</v>
      </c>
      <c r="E8" s="26" t="s">
        <v>133</v>
      </c>
      <c r="F8" s="116" t="s">
        <v>32</v>
      </c>
      <c r="G8" s="26" t="s">
        <v>133</v>
      </c>
      <c r="H8" s="116" t="s">
        <v>32</v>
      </c>
      <c r="I8" s="26" t="s">
        <v>133</v>
      </c>
      <c r="J8" s="116" t="s">
        <v>312</v>
      </c>
      <c r="K8" s="26" t="s">
        <v>133</v>
      </c>
      <c r="L8" s="116" t="s">
        <v>32</v>
      </c>
      <c r="M8" s="44">
        <f t="shared" ca="1" si="1"/>
        <v>25</v>
      </c>
      <c r="N8" s="108" t="str">
        <f ca="1">VLOOKUP($B8,Matrix!$H$13:$I$37,2,FALSE)&amp;"_"&amp;C8</f>
        <v>ALERT_REQ_H_DRIPOW_BATLOW</v>
      </c>
      <c r="O8" s="123" t="str">
        <f t="shared" ca="1" si="0"/>
        <v>#define ALERT_REQ_H_DRIPOW_BATLOW                       (4U)</v>
      </c>
      <c r="U8" s="31" t="s">
        <v>105</v>
      </c>
    </row>
    <row r="9" spans="2:21">
      <c r="B9" s="26" t="s">
        <v>254</v>
      </c>
      <c r="C9" s="25" t="s">
        <v>283</v>
      </c>
      <c r="D9" s="115">
        <v>5</v>
      </c>
      <c r="E9" s="26" t="s">
        <v>133</v>
      </c>
      <c r="F9" s="116" t="s">
        <v>32</v>
      </c>
      <c r="G9" s="26" t="s">
        <v>133</v>
      </c>
      <c r="H9" s="116" t="s">
        <v>32</v>
      </c>
      <c r="I9" s="26" t="s">
        <v>133</v>
      </c>
      <c r="J9" s="116" t="s">
        <v>313</v>
      </c>
      <c r="K9" s="26" t="s">
        <v>133</v>
      </c>
      <c r="L9" s="116" t="s">
        <v>32</v>
      </c>
      <c r="M9" s="44">
        <f t="shared" ca="1" si="1"/>
        <v>24</v>
      </c>
      <c r="N9" s="108" t="str">
        <f ca="1">VLOOKUP($B9,Matrix!$H$13:$I$37,2,FALSE)&amp;"_"&amp;C9</f>
        <v>ALERT_REQ_H_DRIPOW_OTHER</v>
      </c>
      <c r="O9" s="123" t="str">
        <f t="shared" ca="1" si="0"/>
        <v>#define ALERT_REQ_H_DRIPOW_OTHER                        (5U)</v>
      </c>
      <c r="U9" s="31" t="s">
        <v>106</v>
      </c>
    </row>
    <row r="10" spans="2:21">
      <c r="B10" s="26"/>
      <c r="C10" s="25"/>
      <c r="D10" s="115"/>
      <c r="E10" s="26"/>
      <c r="F10" s="116"/>
      <c r="G10" s="26"/>
      <c r="H10" s="116"/>
      <c r="I10" s="26"/>
      <c r="J10" s="116"/>
      <c r="K10" s="26"/>
      <c r="L10" s="116"/>
      <c r="M10" s="44" t="e">
        <f t="shared" ca="1" si="1"/>
        <v>#N/A</v>
      </c>
      <c r="N10" s="108" t="e">
        <f ca="1">VLOOKUP($B10,Matrix!$H$13:$I$37,2,FALSE)&amp;"_"&amp;C10</f>
        <v>#N/A</v>
      </c>
      <c r="O10" s="123" t="e">
        <f t="shared" ca="1" si="0"/>
        <v>#N/A</v>
      </c>
      <c r="U10" s="31"/>
    </row>
    <row r="11" spans="2:21">
      <c r="B11" s="26"/>
      <c r="C11" s="25"/>
      <c r="D11" s="115"/>
      <c r="E11" s="26"/>
      <c r="F11" s="116"/>
      <c r="G11" s="26"/>
      <c r="H11" s="116"/>
      <c r="I11" s="26"/>
      <c r="J11" s="116"/>
      <c r="K11" s="26"/>
      <c r="L11" s="116"/>
      <c r="M11" s="44" t="e">
        <f t="shared" ca="1" si="1"/>
        <v>#N/A</v>
      </c>
      <c r="N11" s="108" t="e">
        <f ca="1">VLOOKUP($B11,Matrix!$H$13:$I$37,2,FALSE)&amp;"_"&amp;C11</f>
        <v>#N/A</v>
      </c>
      <c r="O11" s="123" t="e">
        <f t="shared" ca="1" si="0"/>
        <v>#N/A</v>
      </c>
      <c r="U11" s="31"/>
    </row>
    <row r="12" spans="2:21">
      <c r="B12" s="26"/>
      <c r="C12" s="25"/>
      <c r="D12" s="115"/>
      <c r="E12" s="26"/>
      <c r="F12" s="116"/>
      <c r="G12" s="26"/>
      <c r="H12" s="116"/>
      <c r="I12" s="26"/>
      <c r="J12" s="116"/>
      <c r="K12" s="26"/>
      <c r="L12" s="116"/>
      <c r="M12" s="44" t="e">
        <f t="shared" ca="1" si="1"/>
        <v>#N/A</v>
      </c>
      <c r="N12" s="108" t="e">
        <f ca="1">VLOOKUP($B12,Matrix!$H$13:$I$37,2,FALSE)&amp;"_"&amp;C12</f>
        <v>#N/A</v>
      </c>
      <c r="O12" s="123" t="e">
        <f t="shared" ca="1" si="0"/>
        <v>#N/A</v>
      </c>
      <c r="U12" s="31"/>
    </row>
    <row r="13" spans="2:21" ht="13.5" thickBot="1">
      <c r="B13" s="26"/>
      <c r="C13" s="25"/>
      <c r="D13" s="115"/>
      <c r="E13" s="26"/>
      <c r="F13" s="116"/>
      <c r="G13" s="26"/>
      <c r="H13" s="116"/>
      <c r="I13" s="26"/>
      <c r="J13" s="116"/>
      <c r="K13" s="26"/>
      <c r="L13" s="116"/>
      <c r="M13" s="44" t="e">
        <f t="shared" ca="1" si="1"/>
        <v>#N/A</v>
      </c>
      <c r="N13" s="108" t="e">
        <f ca="1">VLOOKUP($B13,Matrix!$H$13:$I$37,2,FALSE)&amp;"_"&amp;C13</f>
        <v>#N/A</v>
      </c>
      <c r="O13" s="123" t="e">
        <f t="shared" ca="1" si="0"/>
        <v>#N/A</v>
      </c>
      <c r="U13" s="92"/>
    </row>
    <row r="14" spans="2:21">
      <c r="B14" s="26"/>
      <c r="C14" s="25"/>
      <c r="D14" s="115"/>
      <c r="E14" s="26"/>
      <c r="F14" s="116"/>
      <c r="G14" s="26"/>
      <c r="H14" s="116"/>
      <c r="I14" s="26"/>
      <c r="J14" s="116"/>
      <c r="K14" s="26"/>
      <c r="L14" s="116"/>
      <c r="M14" s="44" t="e">
        <f t="shared" ca="1" si="1"/>
        <v>#N/A</v>
      </c>
      <c r="N14" s="108" t="e">
        <f ca="1">VLOOKUP($B14,Matrix!$H$13:$I$37,2,FALSE)&amp;"_"&amp;C14</f>
        <v>#N/A</v>
      </c>
      <c r="O14" s="123" t="e">
        <f t="shared" ca="1" si="0"/>
        <v>#N/A</v>
      </c>
    </row>
    <row r="15" spans="2:21">
      <c r="B15" s="26"/>
      <c r="C15" s="25"/>
      <c r="D15" s="115"/>
      <c r="E15" s="26"/>
      <c r="F15" s="116"/>
      <c r="G15" s="26"/>
      <c r="H15" s="116"/>
      <c r="I15" s="26"/>
      <c r="J15" s="116"/>
      <c r="K15" s="26"/>
      <c r="L15" s="116"/>
      <c r="M15" s="44" t="e">
        <f t="shared" ca="1" si="1"/>
        <v>#N/A</v>
      </c>
      <c r="N15" s="108" t="e">
        <f ca="1">VLOOKUP($B15,Matrix!$H$13:$I$37,2,FALSE)&amp;"_"&amp;C15</f>
        <v>#N/A</v>
      </c>
      <c r="O15" s="123" t="e">
        <f t="shared" ca="1" si="0"/>
        <v>#N/A</v>
      </c>
    </row>
    <row r="16" spans="2:21">
      <c r="B16" s="26"/>
      <c r="C16" s="25"/>
      <c r="D16" s="115"/>
      <c r="E16" s="26"/>
      <c r="F16" s="116"/>
      <c r="G16" s="26"/>
      <c r="H16" s="116"/>
      <c r="I16" s="26"/>
      <c r="J16" s="116"/>
      <c r="K16" s="26"/>
      <c r="L16" s="116"/>
      <c r="M16" s="44" t="e">
        <f t="shared" ca="1" si="1"/>
        <v>#N/A</v>
      </c>
      <c r="N16" s="108" t="e">
        <f ca="1">VLOOKUP($B16,Matrix!$H$13:$I$37,2,FALSE)&amp;"_"&amp;C16</f>
        <v>#N/A</v>
      </c>
      <c r="O16" s="123" t="e">
        <f t="shared" ca="1" si="0"/>
        <v>#N/A</v>
      </c>
    </row>
    <row r="17" spans="2:15">
      <c r="B17" s="26"/>
      <c r="C17" s="25"/>
      <c r="D17" s="115"/>
      <c r="E17" s="26"/>
      <c r="F17" s="116"/>
      <c r="G17" s="26"/>
      <c r="H17" s="116"/>
      <c r="I17" s="26"/>
      <c r="J17" s="116"/>
      <c r="K17" s="26"/>
      <c r="L17" s="116"/>
      <c r="M17" s="44" t="e">
        <f t="shared" ca="1" si="1"/>
        <v>#N/A</v>
      </c>
      <c r="N17" s="108" t="e">
        <f ca="1">VLOOKUP($B17,Matrix!$H$13:$I$37,2,FALSE)&amp;"_"&amp;C17</f>
        <v>#N/A</v>
      </c>
      <c r="O17" s="123" t="e">
        <f t="shared" ca="1" si="0"/>
        <v>#N/A</v>
      </c>
    </row>
    <row r="18" spans="2:15">
      <c r="B18" s="26"/>
      <c r="C18" s="25"/>
      <c r="D18" s="115"/>
      <c r="E18" s="26"/>
      <c r="F18" s="116"/>
      <c r="G18" s="26"/>
      <c r="H18" s="116"/>
      <c r="I18" s="26"/>
      <c r="J18" s="116"/>
      <c r="K18" s="26"/>
      <c r="L18" s="116"/>
      <c r="M18" s="44" t="e">
        <f t="shared" ca="1" si="1"/>
        <v>#N/A</v>
      </c>
      <c r="N18" s="108" t="e">
        <f ca="1">VLOOKUP($B18,Matrix!$H$13:$I$37,2,FALSE)&amp;"_"&amp;C18</f>
        <v>#N/A</v>
      </c>
      <c r="O18" s="123" t="e">
        <f t="shared" ca="1" si="0"/>
        <v>#N/A</v>
      </c>
    </row>
    <row r="19" spans="2:15">
      <c r="B19" s="26"/>
      <c r="C19" s="25"/>
      <c r="D19" s="115"/>
      <c r="E19" s="26"/>
      <c r="F19" s="116"/>
      <c r="G19" s="26"/>
      <c r="H19" s="116"/>
      <c r="I19" s="26"/>
      <c r="J19" s="116"/>
      <c r="K19" s="26"/>
      <c r="L19" s="116"/>
      <c r="M19" s="44" t="e">
        <f t="shared" ca="1" si="1"/>
        <v>#N/A</v>
      </c>
      <c r="N19" s="108" t="e">
        <f ca="1">VLOOKUP($B19,Matrix!$H$13:$I$37,2,FALSE)&amp;"_"&amp;C19</f>
        <v>#N/A</v>
      </c>
      <c r="O19" s="123" t="e">
        <f t="shared" ca="1" si="0"/>
        <v>#N/A</v>
      </c>
    </row>
    <row r="20" spans="2:15">
      <c r="B20" s="26"/>
      <c r="C20" s="25"/>
      <c r="D20" s="115"/>
      <c r="E20" s="26"/>
      <c r="F20" s="116"/>
      <c r="G20" s="26"/>
      <c r="H20" s="116"/>
      <c r="I20" s="26"/>
      <c r="J20" s="116"/>
      <c r="K20" s="26"/>
      <c r="L20" s="116"/>
      <c r="M20" s="44" t="e">
        <f t="shared" ca="1" si="1"/>
        <v>#N/A</v>
      </c>
      <c r="N20" s="108" t="e">
        <f ca="1">VLOOKUP($B20,Matrix!$H$13:$I$37,2,FALSE)&amp;"_"&amp;C20</f>
        <v>#N/A</v>
      </c>
      <c r="O20" s="123" t="e">
        <f t="shared" ca="1" si="0"/>
        <v>#N/A</v>
      </c>
    </row>
    <row r="21" spans="2:15">
      <c r="B21" s="26"/>
      <c r="C21" s="25"/>
      <c r="D21" s="115"/>
      <c r="E21" s="26"/>
      <c r="F21" s="116"/>
      <c r="G21" s="26"/>
      <c r="H21" s="116"/>
      <c r="I21" s="26"/>
      <c r="J21" s="116"/>
      <c r="K21" s="26"/>
      <c r="L21" s="116"/>
      <c r="M21" s="44" t="e">
        <f t="shared" ca="1" si="1"/>
        <v>#N/A</v>
      </c>
      <c r="N21" s="108" t="e">
        <f ca="1">VLOOKUP($B21,Matrix!$H$13:$I$37,2,FALSE)&amp;"_"&amp;C21</f>
        <v>#N/A</v>
      </c>
      <c r="O21" s="123" t="e">
        <f t="shared" ca="1" si="0"/>
        <v>#N/A</v>
      </c>
    </row>
    <row r="22" spans="2:15">
      <c r="B22" s="26"/>
      <c r="C22" s="25"/>
      <c r="D22" s="115"/>
      <c r="E22" s="26"/>
      <c r="F22" s="116"/>
      <c r="G22" s="26"/>
      <c r="H22" s="116"/>
      <c r="I22" s="26"/>
      <c r="J22" s="116"/>
      <c r="K22" s="26"/>
      <c r="L22" s="116"/>
      <c r="M22" s="44" t="e">
        <f t="shared" ca="1" si="1"/>
        <v>#N/A</v>
      </c>
      <c r="N22" s="108" t="e">
        <f ca="1">VLOOKUP($B22,Matrix!$H$13:$I$37,2,FALSE)&amp;"_"&amp;C22</f>
        <v>#N/A</v>
      </c>
      <c r="O22" s="123" t="e">
        <f t="shared" ca="1" si="0"/>
        <v>#N/A</v>
      </c>
    </row>
    <row r="23" spans="2:15">
      <c r="B23" s="26"/>
      <c r="C23" s="25"/>
      <c r="D23" s="115"/>
      <c r="E23" s="26"/>
      <c r="F23" s="116"/>
      <c r="G23" s="26"/>
      <c r="H23" s="116"/>
      <c r="I23" s="26"/>
      <c r="J23" s="116"/>
      <c r="K23" s="26"/>
      <c r="L23" s="116"/>
      <c r="M23" s="44" t="e">
        <f t="shared" ca="1" si="1"/>
        <v>#N/A</v>
      </c>
      <c r="N23" s="108" t="e">
        <f ca="1">VLOOKUP($B23,Matrix!$H$13:$I$37,2,FALSE)&amp;"_"&amp;C23</f>
        <v>#N/A</v>
      </c>
      <c r="O23" s="123" t="e">
        <f t="shared" ca="1" si="0"/>
        <v>#N/A</v>
      </c>
    </row>
    <row r="24" spans="2:15">
      <c r="B24" s="26"/>
      <c r="C24" s="25"/>
      <c r="D24" s="115"/>
      <c r="E24" s="26"/>
      <c r="F24" s="116"/>
      <c r="G24" s="26"/>
      <c r="H24" s="116"/>
      <c r="I24" s="26"/>
      <c r="J24" s="116"/>
      <c r="K24" s="26"/>
      <c r="L24" s="116"/>
      <c r="M24" s="44" t="e">
        <f t="shared" ca="1" si="1"/>
        <v>#N/A</v>
      </c>
      <c r="N24" s="108" t="e">
        <f ca="1">VLOOKUP($B24,Matrix!$H$13:$I$37,2,FALSE)&amp;"_"&amp;C24</f>
        <v>#N/A</v>
      </c>
      <c r="O24" s="123" t="e">
        <f t="shared" ca="1" si="0"/>
        <v>#N/A</v>
      </c>
    </row>
    <row r="25" spans="2:15">
      <c r="B25" s="26"/>
      <c r="C25" s="25"/>
      <c r="D25" s="115"/>
      <c r="E25" s="26"/>
      <c r="F25" s="116"/>
      <c r="G25" s="26"/>
      <c r="H25" s="116"/>
      <c r="I25" s="26"/>
      <c r="J25" s="116"/>
      <c r="K25" s="26"/>
      <c r="L25" s="116"/>
      <c r="M25" s="44" t="e">
        <f t="shared" ca="1" si="1"/>
        <v>#N/A</v>
      </c>
      <c r="N25" s="108" t="e">
        <f ca="1">VLOOKUP($B25,Matrix!$H$13:$I$37,2,FALSE)&amp;"_"&amp;C25</f>
        <v>#N/A</v>
      </c>
      <c r="O25" s="123" t="e">
        <f t="shared" ca="1" si="0"/>
        <v>#N/A</v>
      </c>
    </row>
    <row r="26" spans="2:15">
      <c r="B26" s="26"/>
      <c r="C26" s="25"/>
      <c r="D26" s="115"/>
      <c r="E26" s="26"/>
      <c r="F26" s="116"/>
      <c r="G26" s="26"/>
      <c r="H26" s="116"/>
      <c r="I26" s="26"/>
      <c r="J26" s="116"/>
      <c r="K26" s="26"/>
      <c r="L26" s="116"/>
      <c r="M26" s="44" t="e">
        <f t="shared" ca="1" si="1"/>
        <v>#N/A</v>
      </c>
      <c r="N26" s="108" t="e">
        <f ca="1">VLOOKUP($B26,Matrix!$H$13:$I$37,2,FALSE)&amp;"_"&amp;C26</f>
        <v>#N/A</v>
      </c>
      <c r="O26" s="123" t="e">
        <f t="shared" ca="1" si="0"/>
        <v>#N/A</v>
      </c>
    </row>
    <row r="27" spans="2:15">
      <c r="B27" s="26"/>
      <c r="C27" s="25"/>
      <c r="D27" s="115"/>
      <c r="E27" s="26"/>
      <c r="F27" s="116"/>
      <c r="G27" s="26"/>
      <c r="H27" s="116"/>
      <c r="I27" s="26"/>
      <c r="J27" s="116"/>
      <c r="K27" s="26"/>
      <c r="L27" s="116"/>
      <c r="M27" s="44" t="e">
        <f t="shared" ca="1" si="1"/>
        <v>#N/A</v>
      </c>
      <c r="N27" s="108" t="e">
        <f ca="1">VLOOKUP($B27,Matrix!$H$13:$I$37,2,FALSE)&amp;"_"&amp;C27</f>
        <v>#N/A</v>
      </c>
      <c r="O27" s="123" t="e">
        <f t="shared" ca="1" si="0"/>
        <v>#N/A</v>
      </c>
    </row>
    <row r="28" spans="2:15">
      <c r="B28" s="26"/>
      <c r="C28" s="25"/>
      <c r="D28" s="115"/>
      <c r="E28" s="26"/>
      <c r="F28" s="116"/>
      <c r="G28" s="26"/>
      <c r="H28" s="116"/>
      <c r="I28" s="26"/>
      <c r="J28" s="116"/>
      <c r="K28" s="26"/>
      <c r="L28" s="116"/>
      <c r="M28" s="44" t="e">
        <f t="shared" ca="1" si="1"/>
        <v>#N/A</v>
      </c>
      <c r="N28" s="108" t="e">
        <f ca="1">VLOOKUP($B28,Matrix!$H$13:$I$37,2,FALSE)&amp;"_"&amp;C28</f>
        <v>#N/A</v>
      </c>
      <c r="O28" s="123" t="e">
        <f t="shared" ca="1" si="0"/>
        <v>#N/A</v>
      </c>
    </row>
    <row r="29" spans="2:15">
      <c r="B29" s="26"/>
      <c r="C29" s="25"/>
      <c r="D29" s="115"/>
      <c r="E29" s="26"/>
      <c r="F29" s="116"/>
      <c r="G29" s="26"/>
      <c r="H29" s="116"/>
      <c r="I29" s="26"/>
      <c r="J29" s="116"/>
      <c r="K29" s="26"/>
      <c r="L29" s="116"/>
      <c r="M29" s="44" t="e">
        <f t="shared" ca="1" si="1"/>
        <v>#N/A</v>
      </c>
      <c r="N29" s="108" t="e">
        <f ca="1">VLOOKUP($B29,Matrix!$H$13:$I$37,2,FALSE)&amp;"_"&amp;C29</f>
        <v>#N/A</v>
      </c>
      <c r="O29" s="123" t="e">
        <f t="shared" ca="1" si="0"/>
        <v>#N/A</v>
      </c>
    </row>
    <row r="30" spans="2:15">
      <c r="B30" s="26"/>
      <c r="C30" s="25"/>
      <c r="D30" s="115"/>
      <c r="E30" s="26"/>
      <c r="F30" s="116"/>
      <c r="G30" s="26"/>
      <c r="H30" s="116"/>
      <c r="I30" s="26"/>
      <c r="J30" s="116"/>
      <c r="K30" s="26"/>
      <c r="L30" s="116"/>
      <c r="M30" s="44" t="e">
        <f t="shared" ca="1" si="1"/>
        <v>#N/A</v>
      </c>
      <c r="N30" s="108" t="e">
        <f ca="1">VLOOKUP($B30,Matrix!$H$13:$I$37,2,FALSE)&amp;"_"&amp;C30</f>
        <v>#N/A</v>
      </c>
      <c r="O30" s="123" t="e">
        <f t="shared" ca="1" si="0"/>
        <v>#N/A</v>
      </c>
    </row>
    <row r="31" spans="2:15">
      <c r="B31" s="26"/>
      <c r="C31" s="25"/>
      <c r="D31" s="115"/>
      <c r="E31" s="26"/>
      <c r="F31" s="116"/>
      <c r="G31" s="26"/>
      <c r="H31" s="116"/>
      <c r="I31" s="26"/>
      <c r="J31" s="116"/>
      <c r="K31" s="26"/>
      <c r="L31" s="116"/>
      <c r="M31" s="44" t="e">
        <f t="shared" ca="1" si="1"/>
        <v>#N/A</v>
      </c>
      <c r="N31" s="108" t="e">
        <f ca="1">VLOOKUP($B31,Matrix!$H$13:$I$37,2,FALSE)&amp;"_"&amp;C31</f>
        <v>#N/A</v>
      </c>
      <c r="O31" s="123" t="e">
        <f t="shared" ca="1" si="0"/>
        <v>#N/A</v>
      </c>
    </row>
    <row r="32" spans="2:15">
      <c r="B32" s="26"/>
      <c r="C32" s="25"/>
      <c r="D32" s="115"/>
      <c r="E32" s="26"/>
      <c r="F32" s="116"/>
      <c r="G32" s="26"/>
      <c r="H32" s="116"/>
      <c r="I32" s="26"/>
      <c r="J32" s="116"/>
      <c r="K32" s="26"/>
      <c r="L32" s="116"/>
      <c r="M32" s="44" t="e">
        <f t="shared" ca="1" si="1"/>
        <v>#N/A</v>
      </c>
      <c r="N32" s="108" t="e">
        <f ca="1">VLOOKUP($B32,Matrix!$H$13:$I$37,2,FALSE)&amp;"_"&amp;C32</f>
        <v>#N/A</v>
      </c>
      <c r="O32" s="123" t="e">
        <f t="shared" ca="1" si="0"/>
        <v>#N/A</v>
      </c>
    </row>
    <row r="33" spans="2:15">
      <c r="B33" s="26"/>
      <c r="C33" s="25"/>
      <c r="D33" s="115"/>
      <c r="E33" s="26"/>
      <c r="F33" s="116"/>
      <c r="G33" s="26"/>
      <c r="H33" s="116"/>
      <c r="I33" s="26"/>
      <c r="J33" s="116"/>
      <c r="K33" s="26"/>
      <c r="L33" s="116"/>
      <c r="M33" s="44" t="e">
        <f t="shared" ca="1" si="1"/>
        <v>#N/A</v>
      </c>
      <c r="N33" s="108" t="e">
        <f ca="1">VLOOKUP($B33,Matrix!$H$13:$I$37,2,FALSE)&amp;"_"&amp;C33</f>
        <v>#N/A</v>
      </c>
      <c r="O33" s="123" t="e">
        <f t="shared" ca="1" si="0"/>
        <v>#N/A</v>
      </c>
    </row>
    <row r="34" spans="2:15">
      <c r="B34" s="26"/>
      <c r="C34" s="25"/>
      <c r="D34" s="115"/>
      <c r="E34" s="26"/>
      <c r="F34" s="116"/>
      <c r="G34" s="26"/>
      <c r="H34" s="116"/>
      <c r="I34" s="26"/>
      <c r="J34" s="116"/>
      <c r="K34" s="26"/>
      <c r="L34" s="116"/>
      <c r="M34" s="44" t="e">
        <f t="shared" ca="1" si="1"/>
        <v>#N/A</v>
      </c>
      <c r="N34" s="108" t="e">
        <f ca="1">VLOOKUP($B34,Matrix!$H$13:$I$37,2,FALSE)&amp;"_"&amp;C34</f>
        <v>#N/A</v>
      </c>
      <c r="O34" s="123" t="e">
        <f t="shared" ca="1" si="0"/>
        <v>#N/A</v>
      </c>
    </row>
    <row r="35" spans="2:15">
      <c r="B35" s="26"/>
      <c r="C35" s="25"/>
      <c r="D35" s="115"/>
      <c r="E35" s="26"/>
      <c r="F35" s="116"/>
      <c r="G35" s="26"/>
      <c r="H35" s="116"/>
      <c r="I35" s="26"/>
      <c r="J35" s="116"/>
      <c r="K35" s="26"/>
      <c r="L35" s="116"/>
      <c r="M35" s="44" t="e">
        <f t="shared" ca="1" si="1"/>
        <v>#N/A</v>
      </c>
      <c r="N35" s="108" t="e">
        <f ca="1">VLOOKUP($B35,Matrix!$H$13:$I$37,2,FALSE)&amp;"_"&amp;C35</f>
        <v>#N/A</v>
      </c>
      <c r="O35" s="123" t="e">
        <f t="shared" ca="1" si="0"/>
        <v>#N/A</v>
      </c>
    </row>
    <row r="36" spans="2:15">
      <c r="B36" s="26"/>
      <c r="C36" s="25"/>
      <c r="D36" s="115"/>
      <c r="E36" s="26"/>
      <c r="F36" s="116"/>
      <c r="G36" s="26"/>
      <c r="H36" s="116"/>
      <c r="I36" s="26"/>
      <c r="J36" s="116"/>
      <c r="K36" s="26"/>
      <c r="L36" s="116"/>
      <c r="M36" s="44" t="e">
        <f t="shared" ca="1" si="1"/>
        <v>#N/A</v>
      </c>
      <c r="N36" s="108" t="e">
        <f ca="1">VLOOKUP($B36,Matrix!$H$13:$I$37,2,FALSE)&amp;"_"&amp;C36</f>
        <v>#N/A</v>
      </c>
      <c r="O36" s="123" t="e">
        <f t="shared" ref="O36:O67" ca="1" si="2">"#define "&amp;N36&amp;REPT(" ",48-M36)&amp;"("&amp;D36&amp;"U)"</f>
        <v>#N/A</v>
      </c>
    </row>
    <row r="37" spans="2:15">
      <c r="B37" s="26"/>
      <c r="C37" s="25"/>
      <c r="D37" s="115"/>
      <c r="E37" s="26"/>
      <c r="F37" s="116"/>
      <c r="G37" s="26"/>
      <c r="H37" s="116"/>
      <c r="I37" s="26"/>
      <c r="J37" s="116"/>
      <c r="K37" s="26"/>
      <c r="L37" s="116"/>
      <c r="M37" s="44" t="e">
        <f t="shared" ca="1" si="1"/>
        <v>#N/A</v>
      </c>
      <c r="N37" s="108" t="e">
        <f ca="1">VLOOKUP($B37,Matrix!$H$13:$I$37,2,FALSE)&amp;"_"&amp;C37</f>
        <v>#N/A</v>
      </c>
      <c r="O37" s="123" t="e">
        <f t="shared" ca="1" si="2"/>
        <v>#N/A</v>
      </c>
    </row>
    <row r="38" spans="2:15">
      <c r="B38" s="26"/>
      <c r="C38" s="25"/>
      <c r="D38" s="115"/>
      <c r="E38" s="26"/>
      <c r="F38" s="116"/>
      <c r="G38" s="26"/>
      <c r="H38" s="116"/>
      <c r="I38" s="26"/>
      <c r="J38" s="116"/>
      <c r="K38" s="26"/>
      <c r="L38" s="116"/>
      <c r="M38" s="44" t="e">
        <f t="shared" ca="1" si="1"/>
        <v>#N/A</v>
      </c>
      <c r="N38" s="108" t="e">
        <f ca="1">VLOOKUP($B38,Matrix!$H$13:$I$37,2,FALSE)&amp;"_"&amp;C38</f>
        <v>#N/A</v>
      </c>
      <c r="O38" s="123" t="e">
        <f t="shared" ca="1" si="2"/>
        <v>#N/A</v>
      </c>
    </row>
    <row r="39" spans="2:15">
      <c r="B39" s="26"/>
      <c r="C39" s="25"/>
      <c r="D39" s="115"/>
      <c r="E39" s="26"/>
      <c r="F39" s="116"/>
      <c r="G39" s="26"/>
      <c r="H39" s="116"/>
      <c r="I39" s="26"/>
      <c r="J39" s="116"/>
      <c r="K39" s="26"/>
      <c r="L39" s="116"/>
      <c r="M39" s="44" t="e">
        <f t="shared" ca="1" si="1"/>
        <v>#N/A</v>
      </c>
      <c r="N39" s="108" t="e">
        <f ca="1">VLOOKUP($B39,Matrix!$H$13:$I$37,2,FALSE)&amp;"_"&amp;C39</f>
        <v>#N/A</v>
      </c>
      <c r="O39" s="123" t="e">
        <f t="shared" ca="1" si="2"/>
        <v>#N/A</v>
      </c>
    </row>
    <row r="40" spans="2:15">
      <c r="B40" s="26"/>
      <c r="C40" s="25"/>
      <c r="D40" s="115"/>
      <c r="E40" s="26"/>
      <c r="F40" s="116"/>
      <c r="G40" s="26"/>
      <c r="H40" s="116"/>
      <c r="I40" s="26"/>
      <c r="J40" s="116"/>
      <c r="K40" s="26"/>
      <c r="L40" s="116"/>
      <c r="M40" s="44" t="e">
        <f t="shared" ca="1" si="1"/>
        <v>#N/A</v>
      </c>
      <c r="N40" s="108" t="e">
        <f ca="1">VLOOKUP($B40,Matrix!$H$13:$I$37,2,FALSE)&amp;"_"&amp;C40</f>
        <v>#N/A</v>
      </c>
      <c r="O40" s="123" t="e">
        <f t="shared" ca="1" si="2"/>
        <v>#N/A</v>
      </c>
    </row>
    <row r="41" spans="2:15">
      <c r="B41" s="26"/>
      <c r="C41" s="25"/>
      <c r="D41" s="115"/>
      <c r="E41" s="26"/>
      <c r="F41" s="116"/>
      <c r="G41" s="26"/>
      <c r="H41" s="116"/>
      <c r="I41" s="26"/>
      <c r="J41" s="116"/>
      <c r="K41" s="26"/>
      <c r="L41" s="116"/>
      <c r="M41" s="44" t="e">
        <f t="shared" ca="1" si="1"/>
        <v>#N/A</v>
      </c>
      <c r="N41" s="108" t="e">
        <f ca="1">VLOOKUP($B41,Matrix!$H$13:$I$37,2,FALSE)&amp;"_"&amp;C41</f>
        <v>#N/A</v>
      </c>
      <c r="O41" s="123" t="e">
        <f t="shared" ca="1" si="2"/>
        <v>#N/A</v>
      </c>
    </row>
    <row r="42" spans="2:15">
      <c r="B42" s="26"/>
      <c r="C42" s="25"/>
      <c r="D42" s="115"/>
      <c r="E42" s="26"/>
      <c r="F42" s="116"/>
      <c r="G42" s="26"/>
      <c r="H42" s="116"/>
      <c r="I42" s="26"/>
      <c r="J42" s="116"/>
      <c r="K42" s="26"/>
      <c r="L42" s="116"/>
      <c r="M42" s="44" t="e">
        <f t="shared" ca="1" si="1"/>
        <v>#N/A</v>
      </c>
      <c r="N42" s="108" t="e">
        <f ca="1">VLOOKUP($B42,Matrix!$H$13:$I$37,2,FALSE)&amp;"_"&amp;C42</f>
        <v>#N/A</v>
      </c>
      <c r="O42" s="123" t="e">
        <f t="shared" ca="1" si="2"/>
        <v>#N/A</v>
      </c>
    </row>
    <row r="43" spans="2:15">
      <c r="B43" s="26"/>
      <c r="C43" s="25"/>
      <c r="D43" s="115"/>
      <c r="E43" s="26"/>
      <c r="F43" s="116"/>
      <c r="G43" s="26"/>
      <c r="H43" s="116"/>
      <c r="I43" s="26"/>
      <c r="J43" s="116"/>
      <c r="K43" s="26"/>
      <c r="L43" s="116"/>
      <c r="M43" s="44" t="e">
        <f t="shared" ca="1" si="1"/>
        <v>#N/A</v>
      </c>
      <c r="N43" s="108" t="e">
        <f ca="1">VLOOKUP($B43,Matrix!$H$13:$I$37,2,FALSE)&amp;"_"&amp;C43</f>
        <v>#N/A</v>
      </c>
      <c r="O43" s="123" t="e">
        <f t="shared" ca="1" si="2"/>
        <v>#N/A</v>
      </c>
    </row>
    <row r="44" spans="2:15">
      <c r="B44" s="26"/>
      <c r="C44" s="25"/>
      <c r="D44" s="115"/>
      <c r="E44" s="26"/>
      <c r="F44" s="116"/>
      <c r="G44" s="26"/>
      <c r="H44" s="116"/>
      <c r="I44" s="26"/>
      <c r="J44" s="116"/>
      <c r="K44" s="26"/>
      <c r="L44" s="116"/>
      <c r="M44" s="44" t="e">
        <f t="shared" ca="1" si="1"/>
        <v>#N/A</v>
      </c>
      <c r="N44" s="108" t="e">
        <f ca="1">VLOOKUP($B44,Matrix!$H$13:$I$37,2,FALSE)&amp;"_"&amp;C44</f>
        <v>#N/A</v>
      </c>
      <c r="O44" s="123" t="e">
        <f t="shared" ca="1" si="2"/>
        <v>#N/A</v>
      </c>
    </row>
    <row r="45" spans="2:15">
      <c r="B45" s="26"/>
      <c r="C45" s="25"/>
      <c r="D45" s="115"/>
      <c r="E45" s="26"/>
      <c r="F45" s="116"/>
      <c r="G45" s="26"/>
      <c r="H45" s="116"/>
      <c r="I45" s="26"/>
      <c r="J45" s="116"/>
      <c r="K45" s="26"/>
      <c r="L45" s="116"/>
      <c r="M45" s="44" t="e">
        <f t="shared" ca="1" si="1"/>
        <v>#N/A</v>
      </c>
      <c r="N45" s="108" t="e">
        <f ca="1">VLOOKUP($B45,Matrix!$H$13:$I$37,2,FALSE)&amp;"_"&amp;C45</f>
        <v>#N/A</v>
      </c>
      <c r="O45" s="123" t="e">
        <f t="shared" ca="1" si="2"/>
        <v>#N/A</v>
      </c>
    </row>
    <row r="46" spans="2:15">
      <c r="B46" s="26"/>
      <c r="C46" s="25"/>
      <c r="D46" s="115"/>
      <c r="E46" s="26"/>
      <c r="F46" s="116"/>
      <c r="G46" s="26"/>
      <c r="H46" s="116"/>
      <c r="I46" s="26"/>
      <c r="J46" s="116"/>
      <c r="K46" s="26"/>
      <c r="L46" s="116"/>
      <c r="M46" s="44" t="e">
        <f t="shared" ca="1" si="1"/>
        <v>#N/A</v>
      </c>
      <c r="N46" s="108" t="e">
        <f ca="1">VLOOKUP($B46,Matrix!$H$13:$I$37,2,FALSE)&amp;"_"&amp;C46</f>
        <v>#N/A</v>
      </c>
      <c r="O46" s="123" t="e">
        <f t="shared" ca="1" si="2"/>
        <v>#N/A</v>
      </c>
    </row>
    <row r="47" spans="2:15">
      <c r="B47" s="26"/>
      <c r="C47" s="25"/>
      <c r="D47" s="115"/>
      <c r="E47" s="26"/>
      <c r="F47" s="116"/>
      <c r="G47" s="26"/>
      <c r="H47" s="116"/>
      <c r="I47" s="26"/>
      <c r="J47" s="116"/>
      <c r="K47" s="26"/>
      <c r="L47" s="116"/>
      <c r="M47" s="44" t="e">
        <f t="shared" ca="1" si="1"/>
        <v>#N/A</v>
      </c>
      <c r="N47" s="108" t="e">
        <f ca="1">VLOOKUP($B47,Matrix!$H$13:$I$37,2,FALSE)&amp;"_"&amp;C47</f>
        <v>#N/A</v>
      </c>
      <c r="O47" s="123" t="e">
        <f t="shared" ca="1" si="2"/>
        <v>#N/A</v>
      </c>
    </row>
    <row r="48" spans="2:15">
      <c r="B48" s="26"/>
      <c r="C48" s="25"/>
      <c r="D48" s="115"/>
      <c r="E48" s="26"/>
      <c r="F48" s="116"/>
      <c r="G48" s="26"/>
      <c r="H48" s="116"/>
      <c r="I48" s="26"/>
      <c r="J48" s="116"/>
      <c r="K48" s="26"/>
      <c r="L48" s="116"/>
      <c r="M48" s="44" t="e">
        <f t="shared" ca="1" si="1"/>
        <v>#N/A</v>
      </c>
      <c r="N48" s="108" t="e">
        <f ca="1">VLOOKUP($B48,Matrix!$H$13:$I$37,2,FALSE)&amp;"_"&amp;C48</f>
        <v>#N/A</v>
      </c>
      <c r="O48" s="123" t="e">
        <f t="shared" ca="1" si="2"/>
        <v>#N/A</v>
      </c>
    </row>
    <row r="49" spans="2:15">
      <c r="B49" s="26"/>
      <c r="C49" s="25"/>
      <c r="D49" s="115"/>
      <c r="E49" s="26"/>
      <c r="F49" s="116"/>
      <c r="G49" s="26"/>
      <c r="H49" s="116"/>
      <c r="I49" s="26"/>
      <c r="J49" s="116"/>
      <c r="K49" s="26"/>
      <c r="L49" s="116"/>
      <c r="M49" s="44" t="e">
        <f t="shared" ca="1" si="1"/>
        <v>#N/A</v>
      </c>
      <c r="N49" s="108" t="e">
        <f ca="1">VLOOKUP($B49,Matrix!$H$13:$I$37,2,FALSE)&amp;"_"&amp;C49</f>
        <v>#N/A</v>
      </c>
      <c r="O49" s="123" t="e">
        <f t="shared" ca="1" si="2"/>
        <v>#N/A</v>
      </c>
    </row>
    <row r="50" spans="2:15">
      <c r="B50" s="26"/>
      <c r="C50" s="25"/>
      <c r="D50" s="115"/>
      <c r="E50" s="26"/>
      <c r="F50" s="116"/>
      <c r="G50" s="26"/>
      <c r="H50" s="116"/>
      <c r="I50" s="26"/>
      <c r="J50" s="116"/>
      <c r="K50" s="26"/>
      <c r="L50" s="116"/>
      <c r="M50" s="44" t="e">
        <f t="shared" ca="1" si="1"/>
        <v>#N/A</v>
      </c>
      <c r="N50" s="108" t="e">
        <f ca="1">VLOOKUP($B50,Matrix!$H$13:$I$37,2,FALSE)&amp;"_"&amp;C50</f>
        <v>#N/A</v>
      </c>
      <c r="O50" s="123" t="e">
        <f t="shared" ca="1" si="2"/>
        <v>#N/A</v>
      </c>
    </row>
    <row r="51" spans="2:15">
      <c r="B51" s="26"/>
      <c r="C51" s="25"/>
      <c r="D51" s="115"/>
      <c r="E51" s="26"/>
      <c r="F51" s="116"/>
      <c r="G51" s="26"/>
      <c r="H51" s="116"/>
      <c r="I51" s="26"/>
      <c r="J51" s="116"/>
      <c r="K51" s="26"/>
      <c r="L51" s="116"/>
      <c r="M51" s="44" t="e">
        <f t="shared" ca="1" si="1"/>
        <v>#N/A</v>
      </c>
      <c r="N51" s="108" t="e">
        <f ca="1">VLOOKUP($B51,Matrix!$H$13:$I$37,2,FALSE)&amp;"_"&amp;C51</f>
        <v>#N/A</v>
      </c>
      <c r="O51" s="123" t="e">
        <f t="shared" ca="1" si="2"/>
        <v>#N/A</v>
      </c>
    </row>
    <row r="52" spans="2:15">
      <c r="B52" s="26"/>
      <c r="C52" s="25"/>
      <c r="D52" s="115"/>
      <c r="E52" s="26"/>
      <c r="F52" s="116"/>
      <c r="G52" s="26"/>
      <c r="H52" s="116"/>
      <c r="I52" s="26"/>
      <c r="J52" s="116"/>
      <c r="K52" s="26"/>
      <c r="L52" s="116"/>
      <c r="M52" s="44" t="e">
        <f t="shared" ca="1" si="1"/>
        <v>#N/A</v>
      </c>
      <c r="N52" s="108" t="e">
        <f ca="1">VLOOKUP($B52,Matrix!$H$13:$I$37,2,FALSE)&amp;"_"&amp;C52</f>
        <v>#N/A</v>
      </c>
      <c r="O52" s="123" t="e">
        <f t="shared" ca="1" si="2"/>
        <v>#N/A</v>
      </c>
    </row>
    <row r="53" spans="2:15">
      <c r="B53" s="26"/>
      <c r="C53" s="25"/>
      <c r="D53" s="115"/>
      <c r="E53" s="26"/>
      <c r="F53" s="116"/>
      <c r="G53" s="26"/>
      <c r="H53" s="116"/>
      <c r="I53" s="26"/>
      <c r="J53" s="116"/>
      <c r="K53" s="26"/>
      <c r="L53" s="116"/>
      <c r="M53" s="44" t="e">
        <f t="shared" ca="1" si="1"/>
        <v>#N/A</v>
      </c>
      <c r="N53" s="108" t="e">
        <f ca="1">VLOOKUP($B53,Matrix!$H$13:$I$37,2,FALSE)&amp;"_"&amp;C53</f>
        <v>#N/A</v>
      </c>
      <c r="O53" s="123" t="e">
        <f t="shared" ca="1" si="2"/>
        <v>#N/A</v>
      </c>
    </row>
    <row r="54" spans="2:15">
      <c r="B54" s="26"/>
      <c r="C54" s="25"/>
      <c r="D54" s="115"/>
      <c r="E54" s="26"/>
      <c r="F54" s="116"/>
      <c r="G54" s="26"/>
      <c r="H54" s="116"/>
      <c r="I54" s="26"/>
      <c r="J54" s="116"/>
      <c r="K54" s="26"/>
      <c r="L54" s="116"/>
      <c r="M54" s="44" t="e">
        <f t="shared" ca="1" si="1"/>
        <v>#N/A</v>
      </c>
      <c r="N54" s="108" t="e">
        <f ca="1">VLOOKUP($B54,Matrix!$H$13:$I$37,2,FALSE)&amp;"_"&amp;C54</f>
        <v>#N/A</v>
      </c>
      <c r="O54" s="123" t="e">
        <f t="shared" ca="1" si="2"/>
        <v>#N/A</v>
      </c>
    </row>
    <row r="55" spans="2:15">
      <c r="B55" s="26"/>
      <c r="C55" s="25"/>
      <c r="D55" s="115"/>
      <c r="E55" s="26"/>
      <c r="F55" s="116"/>
      <c r="G55" s="26"/>
      <c r="H55" s="116"/>
      <c r="I55" s="26"/>
      <c r="J55" s="116"/>
      <c r="K55" s="26"/>
      <c r="L55" s="116"/>
      <c r="M55" s="44" t="e">
        <f t="shared" ca="1" si="1"/>
        <v>#N/A</v>
      </c>
      <c r="N55" s="108" t="e">
        <f ca="1">VLOOKUP($B55,Matrix!$H$13:$I$37,2,FALSE)&amp;"_"&amp;C55</f>
        <v>#N/A</v>
      </c>
      <c r="O55" s="123" t="e">
        <f t="shared" ca="1" si="2"/>
        <v>#N/A</v>
      </c>
    </row>
    <row r="56" spans="2:15">
      <c r="B56" s="26"/>
      <c r="C56" s="25"/>
      <c r="D56" s="115"/>
      <c r="E56" s="26"/>
      <c r="F56" s="116"/>
      <c r="G56" s="26"/>
      <c r="H56" s="116"/>
      <c r="I56" s="26"/>
      <c r="J56" s="116"/>
      <c r="K56" s="26"/>
      <c r="L56" s="116"/>
      <c r="M56" s="44" t="e">
        <f t="shared" ca="1" si="1"/>
        <v>#N/A</v>
      </c>
      <c r="N56" s="108" t="e">
        <f ca="1">VLOOKUP($B56,Matrix!$H$13:$I$37,2,FALSE)&amp;"_"&amp;C56</f>
        <v>#N/A</v>
      </c>
      <c r="O56" s="123" t="e">
        <f t="shared" ca="1" si="2"/>
        <v>#N/A</v>
      </c>
    </row>
    <row r="57" spans="2:15">
      <c r="B57" s="26"/>
      <c r="C57" s="25"/>
      <c r="D57" s="115"/>
      <c r="E57" s="26"/>
      <c r="F57" s="116"/>
      <c r="G57" s="26"/>
      <c r="H57" s="116"/>
      <c r="I57" s="26"/>
      <c r="J57" s="116"/>
      <c r="K57" s="26"/>
      <c r="L57" s="116"/>
      <c r="M57" s="44" t="e">
        <f t="shared" ca="1" si="1"/>
        <v>#N/A</v>
      </c>
      <c r="N57" s="108" t="e">
        <f ca="1">VLOOKUP($B57,Matrix!$H$13:$I$37,2,FALSE)&amp;"_"&amp;C57</f>
        <v>#N/A</v>
      </c>
      <c r="O57" s="123" t="e">
        <f t="shared" ca="1" si="2"/>
        <v>#N/A</v>
      </c>
    </row>
    <row r="58" spans="2:15">
      <c r="B58" s="26"/>
      <c r="C58" s="25"/>
      <c r="D58" s="115"/>
      <c r="E58" s="26"/>
      <c r="F58" s="116"/>
      <c r="G58" s="26"/>
      <c r="H58" s="116"/>
      <c r="I58" s="26"/>
      <c r="J58" s="116"/>
      <c r="K58" s="26"/>
      <c r="L58" s="116"/>
      <c r="M58" s="44" t="e">
        <f t="shared" ca="1" si="1"/>
        <v>#N/A</v>
      </c>
      <c r="N58" s="108" t="e">
        <f ca="1">VLOOKUP($B58,Matrix!$H$13:$I$37,2,FALSE)&amp;"_"&amp;C58</f>
        <v>#N/A</v>
      </c>
      <c r="O58" s="123" t="e">
        <f t="shared" ca="1" si="2"/>
        <v>#N/A</v>
      </c>
    </row>
    <row r="59" spans="2:15">
      <c r="B59" s="26"/>
      <c r="C59" s="25"/>
      <c r="D59" s="115"/>
      <c r="E59" s="26"/>
      <c r="F59" s="116"/>
      <c r="G59" s="26"/>
      <c r="H59" s="116"/>
      <c r="I59" s="26"/>
      <c r="J59" s="116"/>
      <c r="K59" s="26"/>
      <c r="L59" s="116"/>
      <c r="M59" s="44" t="e">
        <f t="shared" ca="1" si="1"/>
        <v>#N/A</v>
      </c>
      <c r="N59" s="108" t="e">
        <f ca="1">VLOOKUP($B59,Matrix!$H$13:$I$37,2,FALSE)&amp;"_"&amp;C59</f>
        <v>#N/A</v>
      </c>
      <c r="O59" s="123" t="e">
        <f t="shared" ca="1" si="2"/>
        <v>#N/A</v>
      </c>
    </row>
    <row r="60" spans="2:15">
      <c r="B60" s="26"/>
      <c r="C60" s="25"/>
      <c r="D60" s="115"/>
      <c r="E60" s="26"/>
      <c r="F60" s="116"/>
      <c r="G60" s="26"/>
      <c r="H60" s="116"/>
      <c r="I60" s="26"/>
      <c r="J60" s="116"/>
      <c r="K60" s="26"/>
      <c r="L60" s="116"/>
      <c r="M60" s="44" t="e">
        <f t="shared" ca="1" si="1"/>
        <v>#N/A</v>
      </c>
      <c r="N60" s="108" t="e">
        <f ca="1">VLOOKUP($B60,Matrix!$H$13:$I$37,2,FALSE)&amp;"_"&amp;C60</f>
        <v>#N/A</v>
      </c>
      <c r="O60" s="123" t="e">
        <f t="shared" ca="1" si="2"/>
        <v>#N/A</v>
      </c>
    </row>
    <row r="61" spans="2:15">
      <c r="B61" s="26"/>
      <c r="C61" s="25"/>
      <c r="D61" s="115"/>
      <c r="E61" s="26"/>
      <c r="F61" s="116"/>
      <c r="G61" s="26"/>
      <c r="H61" s="116"/>
      <c r="I61" s="26"/>
      <c r="J61" s="116"/>
      <c r="K61" s="26"/>
      <c r="L61" s="116"/>
      <c r="M61" s="44" t="e">
        <f t="shared" ca="1" si="1"/>
        <v>#N/A</v>
      </c>
      <c r="N61" s="108" t="e">
        <f ca="1">VLOOKUP($B61,Matrix!$H$13:$I$37,2,FALSE)&amp;"_"&amp;C61</f>
        <v>#N/A</v>
      </c>
      <c r="O61" s="123" t="e">
        <f t="shared" ca="1" si="2"/>
        <v>#N/A</v>
      </c>
    </row>
    <row r="62" spans="2:15">
      <c r="B62" s="26"/>
      <c r="C62" s="25"/>
      <c r="D62" s="115"/>
      <c r="E62" s="26"/>
      <c r="F62" s="116"/>
      <c r="G62" s="26"/>
      <c r="H62" s="116"/>
      <c r="I62" s="26"/>
      <c r="J62" s="116"/>
      <c r="K62" s="26"/>
      <c r="L62" s="116"/>
      <c r="M62" s="44" t="e">
        <f t="shared" ca="1" si="1"/>
        <v>#N/A</v>
      </c>
      <c r="N62" s="108" t="e">
        <f ca="1">VLOOKUP($B62,Matrix!$H$13:$I$37,2,FALSE)&amp;"_"&amp;C62</f>
        <v>#N/A</v>
      </c>
      <c r="O62" s="123" t="e">
        <f t="shared" ca="1" si="2"/>
        <v>#N/A</v>
      </c>
    </row>
    <row r="63" spans="2:15">
      <c r="B63" s="26"/>
      <c r="C63" s="25"/>
      <c r="D63" s="115"/>
      <c r="E63" s="26"/>
      <c r="F63" s="116"/>
      <c r="G63" s="26"/>
      <c r="H63" s="116"/>
      <c r="I63" s="26"/>
      <c r="J63" s="116"/>
      <c r="K63" s="26"/>
      <c r="L63" s="116"/>
      <c r="M63" s="44" t="e">
        <f t="shared" ca="1" si="1"/>
        <v>#N/A</v>
      </c>
      <c r="N63" s="108" t="e">
        <f ca="1">VLOOKUP($B63,Matrix!$H$13:$I$37,2,FALSE)&amp;"_"&amp;C63</f>
        <v>#N/A</v>
      </c>
      <c r="O63" s="123" t="e">
        <f t="shared" ca="1" si="2"/>
        <v>#N/A</v>
      </c>
    </row>
    <row r="64" spans="2:15">
      <c r="B64" s="26"/>
      <c r="C64" s="25"/>
      <c r="D64" s="115"/>
      <c r="E64" s="26"/>
      <c r="F64" s="116"/>
      <c r="G64" s="26"/>
      <c r="H64" s="116"/>
      <c r="I64" s="26"/>
      <c r="J64" s="116"/>
      <c r="K64" s="26"/>
      <c r="L64" s="116"/>
      <c r="M64" s="44" t="e">
        <f t="shared" ca="1" si="1"/>
        <v>#N/A</v>
      </c>
      <c r="N64" s="108" t="e">
        <f ca="1">VLOOKUP($B64,Matrix!$H$13:$I$37,2,FALSE)&amp;"_"&amp;C64</f>
        <v>#N/A</v>
      </c>
      <c r="O64" s="123" t="e">
        <f t="shared" ca="1" si="2"/>
        <v>#N/A</v>
      </c>
    </row>
    <row r="65" spans="2:15">
      <c r="B65" s="26"/>
      <c r="C65" s="25"/>
      <c r="D65" s="115"/>
      <c r="E65" s="26"/>
      <c r="F65" s="116"/>
      <c r="G65" s="26"/>
      <c r="H65" s="116"/>
      <c r="I65" s="26"/>
      <c r="J65" s="116"/>
      <c r="K65" s="26"/>
      <c r="L65" s="116"/>
      <c r="M65" s="44" t="e">
        <f t="shared" ca="1" si="1"/>
        <v>#N/A</v>
      </c>
      <c r="N65" s="108" t="e">
        <f ca="1">VLOOKUP($B65,Matrix!$H$13:$I$37,2,FALSE)&amp;"_"&amp;C65</f>
        <v>#N/A</v>
      </c>
      <c r="O65" s="123" t="e">
        <f t="shared" ca="1" si="2"/>
        <v>#N/A</v>
      </c>
    </row>
    <row r="66" spans="2:15">
      <c r="B66" s="26"/>
      <c r="C66" s="25"/>
      <c r="D66" s="115"/>
      <c r="E66" s="26"/>
      <c r="F66" s="116"/>
      <c r="G66" s="26"/>
      <c r="H66" s="116"/>
      <c r="I66" s="26"/>
      <c r="J66" s="116"/>
      <c r="K66" s="26"/>
      <c r="L66" s="116"/>
      <c r="M66" s="44" t="e">
        <f t="shared" ca="1" si="1"/>
        <v>#N/A</v>
      </c>
      <c r="N66" s="108" t="e">
        <f ca="1">VLOOKUP($B66,Matrix!$H$13:$I$37,2,FALSE)&amp;"_"&amp;C66</f>
        <v>#N/A</v>
      </c>
      <c r="O66" s="123" t="e">
        <f t="shared" ca="1" si="2"/>
        <v>#N/A</v>
      </c>
    </row>
    <row r="67" spans="2:15">
      <c r="B67" s="26"/>
      <c r="C67" s="25"/>
      <c r="D67" s="115"/>
      <c r="E67" s="26"/>
      <c r="F67" s="116"/>
      <c r="G67" s="26"/>
      <c r="H67" s="116"/>
      <c r="I67" s="26"/>
      <c r="J67" s="116"/>
      <c r="K67" s="26"/>
      <c r="L67" s="116"/>
      <c r="M67" s="44" t="e">
        <f t="shared" ca="1" si="1"/>
        <v>#N/A</v>
      </c>
      <c r="N67" s="108" t="e">
        <f ca="1">VLOOKUP($B67,Matrix!$H$13:$I$37,2,FALSE)&amp;"_"&amp;C67</f>
        <v>#N/A</v>
      </c>
      <c r="O67" s="123" t="e">
        <f t="shared" ca="1" si="2"/>
        <v>#N/A</v>
      </c>
    </row>
    <row r="68" spans="2:15">
      <c r="B68" s="26"/>
      <c r="C68" s="25"/>
      <c r="D68" s="115"/>
      <c r="E68" s="26"/>
      <c r="F68" s="116"/>
      <c r="G68" s="26"/>
      <c r="H68" s="116"/>
      <c r="I68" s="26"/>
      <c r="J68" s="116"/>
      <c r="K68" s="26"/>
      <c r="L68" s="116"/>
      <c r="M68" s="44" t="e">
        <f t="shared" ca="1" si="1"/>
        <v>#N/A</v>
      </c>
      <c r="N68" s="108" t="e">
        <f ca="1">VLOOKUP($B68,Matrix!$H$13:$I$37,2,FALSE)&amp;"_"&amp;C68</f>
        <v>#N/A</v>
      </c>
      <c r="O68" s="123" t="e">
        <f t="shared" ref="O68:O99" ca="1" si="3">"#define "&amp;N68&amp;REPT(" ",48-M68)&amp;"("&amp;D68&amp;"U)"</f>
        <v>#N/A</v>
      </c>
    </row>
    <row r="69" spans="2:15">
      <c r="B69" s="26"/>
      <c r="C69" s="25"/>
      <c r="D69" s="115"/>
      <c r="E69" s="26"/>
      <c r="F69" s="116"/>
      <c r="G69" s="26"/>
      <c r="H69" s="116"/>
      <c r="I69" s="26"/>
      <c r="J69" s="116"/>
      <c r="K69" s="26"/>
      <c r="L69" s="116"/>
      <c r="M69" s="44" t="e">
        <f t="shared" ref="M69:M103" ca="1" si="4">LEN(N69)</f>
        <v>#N/A</v>
      </c>
      <c r="N69" s="108" t="e">
        <f ca="1">VLOOKUP($B69,Matrix!$H$13:$I$37,2,FALSE)&amp;"_"&amp;C69</f>
        <v>#N/A</v>
      </c>
      <c r="O69" s="123" t="e">
        <f t="shared" ca="1" si="3"/>
        <v>#N/A</v>
      </c>
    </row>
    <row r="70" spans="2:15">
      <c r="B70" s="26"/>
      <c r="C70" s="25"/>
      <c r="D70" s="115"/>
      <c r="E70" s="26"/>
      <c r="F70" s="116"/>
      <c r="G70" s="26"/>
      <c r="H70" s="116"/>
      <c r="I70" s="26"/>
      <c r="J70" s="116"/>
      <c r="K70" s="26"/>
      <c r="L70" s="116"/>
      <c r="M70" s="44" t="e">
        <f t="shared" ca="1" si="4"/>
        <v>#N/A</v>
      </c>
      <c r="N70" s="108" t="e">
        <f ca="1">VLOOKUP($B70,Matrix!$H$13:$I$37,2,FALSE)&amp;"_"&amp;C70</f>
        <v>#N/A</v>
      </c>
      <c r="O70" s="123" t="e">
        <f t="shared" ca="1" si="3"/>
        <v>#N/A</v>
      </c>
    </row>
    <row r="71" spans="2:15">
      <c r="B71" s="26"/>
      <c r="C71" s="25"/>
      <c r="D71" s="115"/>
      <c r="E71" s="26"/>
      <c r="F71" s="116"/>
      <c r="G71" s="26"/>
      <c r="H71" s="116"/>
      <c r="I71" s="26"/>
      <c r="J71" s="116"/>
      <c r="K71" s="26"/>
      <c r="L71" s="116"/>
      <c r="M71" s="44" t="e">
        <f t="shared" ca="1" si="4"/>
        <v>#N/A</v>
      </c>
      <c r="N71" s="108" t="e">
        <f ca="1">VLOOKUP($B71,Matrix!$H$13:$I$37,2,FALSE)&amp;"_"&amp;C71</f>
        <v>#N/A</v>
      </c>
      <c r="O71" s="123" t="e">
        <f t="shared" ca="1" si="3"/>
        <v>#N/A</v>
      </c>
    </row>
    <row r="72" spans="2:15">
      <c r="B72" s="26"/>
      <c r="C72" s="25"/>
      <c r="D72" s="115"/>
      <c r="E72" s="26"/>
      <c r="F72" s="116"/>
      <c r="G72" s="26"/>
      <c r="H72" s="116"/>
      <c r="I72" s="26"/>
      <c r="J72" s="116"/>
      <c r="K72" s="26"/>
      <c r="L72" s="116"/>
      <c r="M72" s="44" t="e">
        <f t="shared" ca="1" si="4"/>
        <v>#N/A</v>
      </c>
      <c r="N72" s="108" t="e">
        <f ca="1">VLOOKUP($B72,Matrix!$H$13:$I$37,2,FALSE)&amp;"_"&amp;C72</f>
        <v>#N/A</v>
      </c>
      <c r="O72" s="123" t="e">
        <f t="shared" ca="1" si="3"/>
        <v>#N/A</v>
      </c>
    </row>
    <row r="73" spans="2:15">
      <c r="B73" s="26"/>
      <c r="C73" s="25"/>
      <c r="D73" s="115"/>
      <c r="E73" s="26"/>
      <c r="F73" s="116"/>
      <c r="G73" s="26"/>
      <c r="H73" s="116"/>
      <c r="I73" s="26"/>
      <c r="J73" s="116"/>
      <c r="K73" s="26"/>
      <c r="L73" s="116"/>
      <c r="M73" s="44" t="e">
        <f t="shared" ca="1" si="4"/>
        <v>#N/A</v>
      </c>
      <c r="N73" s="108" t="e">
        <f ca="1">VLOOKUP($B73,Matrix!$H$13:$I$37,2,FALSE)&amp;"_"&amp;C73</f>
        <v>#N/A</v>
      </c>
      <c r="O73" s="123" t="e">
        <f t="shared" ca="1" si="3"/>
        <v>#N/A</v>
      </c>
    </row>
    <row r="74" spans="2:15">
      <c r="B74" s="26"/>
      <c r="C74" s="25"/>
      <c r="D74" s="115"/>
      <c r="E74" s="26"/>
      <c r="F74" s="116"/>
      <c r="G74" s="26"/>
      <c r="H74" s="116"/>
      <c r="I74" s="26"/>
      <c r="J74" s="116"/>
      <c r="K74" s="26"/>
      <c r="L74" s="116"/>
      <c r="M74" s="44" t="e">
        <f t="shared" ca="1" si="4"/>
        <v>#N/A</v>
      </c>
      <c r="N74" s="108" t="e">
        <f ca="1">VLOOKUP($B74,Matrix!$H$13:$I$37,2,FALSE)&amp;"_"&amp;C74</f>
        <v>#N/A</v>
      </c>
      <c r="O74" s="123" t="e">
        <f t="shared" ca="1" si="3"/>
        <v>#N/A</v>
      </c>
    </row>
    <row r="75" spans="2:15">
      <c r="B75" s="26"/>
      <c r="C75" s="25"/>
      <c r="D75" s="115"/>
      <c r="E75" s="26"/>
      <c r="F75" s="116"/>
      <c r="G75" s="26"/>
      <c r="H75" s="116"/>
      <c r="I75" s="26"/>
      <c r="J75" s="116"/>
      <c r="K75" s="26"/>
      <c r="L75" s="116"/>
      <c r="M75" s="44" t="e">
        <f t="shared" ca="1" si="4"/>
        <v>#N/A</v>
      </c>
      <c r="N75" s="108" t="e">
        <f ca="1">VLOOKUP($B75,Matrix!$H$13:$I$37,2,FALSE)&amp;"_"&amp;C75</f>
        <v>#N/A</v>
      </c>
      <c r="O75" s="123" t="e">
        <f t="shared" ca="1" si="3"/>
        <v>#N/A</v>
      </c>
    </row>
    <row r="76" spans="2:15">
      <c r="B76" s="26"/>
      <c r="C76" s="25"/>
      <c r="D76" s="115"/>
      <c r="E76" s="26"/>
      <c r="F76" s="116"/>
      <c r="G76" s="26"/>
      <c r="H76" s="116"/>
      <c r="I76" s="26"/>
      <c r="J76" s="116"/>
      <c r="K76" s="26"/>
      <c r="L76" s="116"/>
      <c r="M76" s="44" t="e">
        <f t="shared" ca="1" si="4"/>
        <v>#N/A</v>
      </c>
      <c r="N76" s="108" t="e">
        <f ca="1">VLOOKUP($B76,Matrix!$H$13:$I$37,2,FALSE)&amp;"_"&amp;C76</f>
        <v>#N/A</v>
      </c>
      <c r="O76" s="123" t="e">
        <f t="shared" ca="1" si="3"/>
        <v>#N/A</v>
      </c>
    </row>
    <row r="77" spans="2:15">
      <c r="B77" s="26"/>
      <c r="C77" s="25"/>
      <c r="D77" s="115"/>
      <c r="E77" s="26"/>
      <c r="F77" s="116"/>
      <c r="G77" s="26"/>
      <c r="H77" s="116"/>
      <c r="I77" s="26"/>
      <c r="J77" s="116"/>
      <c r="K77" s="26"/>
      <c r="L77" s="116"/>
      <c r="M77" s="44" t="e">
        <f t="shared" ca="1" si="4"/>
        <v>#N/A</v>
      </c>
      <c r="N77" s="108" t="e">
        <f ca="1">VLOOKUP($B77,Matrix!$H$13:$I$37,2,FALSE)&amp;"_"&amp;C77</f>
        <v>#N/A</v>
      </c>
      <c r="O77" s="123" t="e">
        <f t="shared" ca="1" si="3"/>
        <v>#N/A</v>
      </c>
    </row>
    <row r="78" spans="2:15">
      <c r="B78" s="26"/>
      <c r="C78" s="25"/>
      <c r="D78" s="115"/>
      <c r="E78" s="26"/>
      <c r="F78" s="116"/>
      <c r="G78" s="26"/>
      <c r="H78" s="116"/>
      <c r="I78" s="26"/>
      <c r="J78" s="116"/>
      <c r="K78" s="26"/>
      <c r="L78" s="116"/>
      <c r="M78" s="44" t="e">
        <f t="shared" ca="1" si="4"/>
        <v>#N/A</v>
      </c>
      <c r="N78" s="108" t="e">
        <f ca="1">VLOOKUP($B78,Matrix!$H$13:$I$37,2,FALSE)&amp;"_"&amp;C78</f>
        <v>#N/A</v>
      </c>
      <c r="O78" s="123" t="e">
        <f t="shared" ca="1" si="3"/>
        <v>#N/A</v>
      </c>
    </row>
    <row r="79" spans="2:15">
      <c r="B79" s="26"/>
      <c r="C79" s="25"/>
      <c r="D79" s="115"/>
      <c r="E79" s="26"/>
      <c r="F79" s="116"/>
      <c r="G79" s="26"/>
      <c r="H79" s="116"/>
      <c r="I79" s="26"/>
      <c r="J79" s="116"/>
      <c r="K79" s="26"/>
      <c r="L79" s="116"/>
      <c r="M79" s="44" t="e">
        <f t="shared" ca="1" si="4"/>
        <v>#N/A</v>
      </c>
      <c r="N79" s="108" t="e">
        <f ca="1">VLOOKUP($B79,Matrix!$H$13:$I$37,2,FALSE)&amp;"_"&amp;C79</f>
        <v>#N/A</v>
      </c>
      <c r="O79" s="123" t="e">
        <f t="shared" ca="1" si="3"/>
        <v>#N/A</v>
      </c>
    </row>
    <row r="80" spans="2:15">
      <c r="B80" s="26"/>
      <c r="C80" s="25"/>
      <c r="D80" s="115"/>
      <c r="E80" s="26"/>
      <c r="F80" s="116"/>
      <c r="G80" s="26"/>
      <c r="H80" s="116"/>
      <c r="I80" s="26"/>
      <c r="J80" s="116"/>
      <c r="K80" s="26"/>
      <c r="L80" s="116"/>
      <c r="M80" s="44" t="e">
        <f t="shared" ca="1" si="4"/>
        <v>#N/A</v>
      </c>
      <c r="N80" s="108" t="e">
        <f ca="1">VLOOKUP($B80,Matrix!$H$13:$I$37,2,FALSE)&amp;"_"&amp;C80</f>
        <v>#N/A</v>
      </c>
      <c r="O80" s="123" t="e">
        <f t="shared" ca="1" si="3"/>
        <v>#N/A</v>
      </c>
    </row>
    <row r="81" spans="2:15">
      <c r="B81" s="26"/>
      <c r="C81" s="25"/>
      <c r="D81" s="115"/>
      <c r="E81" s="26"/>
      <c r="F81" s="116"/>
      <c r="G81" s="26"/>
      <c r="H81" s="116"/>
      <c r="I81" s="26"/>
      <c r="J81" s="116"/>
      <c r="K81" s="26"/>
      <c r="L81" s="116"/>
      <c r="M81" s="44" t="e">
        <f t="shared" ca="1" si="4"/>
        <v>#N/A</v>
      </c>
      <c r="N81" s="108" t="e">
        <f ca="1">VLOOKUP($B81,Matrix!$H$13:$I$37,2,FALSE)&amp;"_"&amp;C81</f>
        <v>#N/A</v>
      </c>
      <c r="O81" s="123" t="e">
        <f t="shared" ca="1" si="3"/>
        <v>#N/A</v>
      </c>
    </row>
    <row r="82" spans="2:15">
      <c r="B82" s="26"/>
      <c r="C82" s="25"/>
      <c r="D82" s="115"/>
      <c r="E82" s="26"/>
      <c r="F82" s="116"/>
      <c r="G82" s="26"/>
      <c r="H82" s="116"/>
      <c r="I82" s="26"/>
      <c r="J82" s="116"/>
      <c r="K82" s="26"/>
      <c r="L82" s="116"/>
      <c r="M82" s="44" t="e">
        <f t="shared" ca="1" si="4"/>
        <v>#N/A</v>
      </c>
      <c r="N82" s="108" t="e">
        <f ca="1">VLOOKUP($B82,Matrix!$H$13:$I$37,2,FALSE)&amp;"_"&amp;C82</f>
        <v>#N/A</v>
      </c>
      <c r="O82" s="123" t="e">
        <f t="shared" ca="1" si="3"/>
        <v>#N/A</v>
      </c>
    </row>
    <row r="83" spans="2:15">
      <c r="B83" s="26"/>
      <c r="C83" s="25"/>
      <c r="D83" s="115"/>
      <c r="E83" s="26"/>
      <c r="F83" s="116"/>
      <c r="G83" s="26"/>
      <c r="H83" s="116"/>
      <c r="I83" s="26"/>
      <c r="J83" s="116"/>
      <c r="K83" s="26"/>
      <c r="L83" s="116"/>
      <c r="M83" s="44" t="e">
        <f t="shared" ca="1" si="4"/>
        <v>#N/A</v>
      </c>
      <c r="N83" s="108" t="e">
        <f ca="1">VLOOKUP($B83,Matrix!$H$13:$I$37,2,FALSE)&amp;"_"&amp;C83</f>
        <v>#N/A</v>
      </c>
      <c r="O83" s="123" t="e">
        <f t="shared" ca="1" si="3"/>
        <v>#N/A</v>
      </c>
    </row>
    <row r="84" spans="2:15">
      <c r="B84" s="26"/>
      <c r="C84" s="25"/>
      <c r="D84" s="115"/>
      <c r="E84" s="26"/>
      <c r="F84" s="116"/>
      <c r="G84" s="26"/>
      <c r="H84" s="116"/>
      <c r="I84" s="26"/>
      <c r="J84" s="116"/>
      <c r="K84" s="26"/>
      <c r="L84" s="116"/>
      <c r="M84" s="44" t="e">
        <f t="shared" ca="1" si="4"/>
        <v>#N/A</v>
      </c>
      <c r="N84" s="108" t="e">
        <f ca="1">VLOOKUP($B84,Matrix!$H$13:$I$37,2,FALSE)&amp;"_"&amp;C84</f>
        <v>#N/A</v>
      </c>
      <c r="O84" s="123" t="e">
        <f t="shared" ca="1" si="3"/>
        <v>#N/A</v>
      </c>
    </row>
    <row r="85" spans="2:15">
      <c r="B85" s="26"/>
      <c r="C85" s="25"/>
      <c r="D85" s="115"/>
      <c r="E85" s="26"/>
      <c r="F85" s="116"/>
      <c r="G85" s="26"/>
      <c r="H85" s="116"/>
      <c r="I85" s="26"/>
      <c r="J85" s="116"/>
      <c r="K85" s="26"/>
      <c r="L85" s="116"/>
      <c r="M85" s="44" t="e">
        <f t="shared" ca="1" si="4"/>
        <v>#N/A</v>
      </c>
      <c r="N85" s="108" t="e">
        <f ca="1">VLOOKUP($B85,Matrix!$H$13:$I$37,2,FALSE)&amp;"_"&amp;C85</f>
        <v>#N/A</v>
      </c>
      <c r="O85" s="123" t="e">
        <f t="shared" ca="1" si="3"/>
        <v>#N/A</v>
      </c>
    </row>
    <row r="86" spans="2:15">
      <c r="B86" s="26"/>
      <c r="C86" s="25"/>
      <c r="D86" s="115"/>
      <c r="E86" s="26"/>
      <c r="F86" s="116"/>
      <c r="G86" s="26"/>
      <c r="H86" s="116"/>
      <c r="I86" s="26"/>
      <c r="J86" s="116"/>
      <c r="K86" s="26"/>
      <c r="L86" s="116"/>
      <c r="M86" s="44" t="e">
        <f t="shared" ca="1" si="4"/>
        <v>#N/A</v>
      </c>
      <c r="N86" s="108" t="e">
        <f ca="1">VLOOKUP($B86,Matrix!$H$13:$I$37,2,FALSE)&amp;"_"&amp;C86</f>
        <v>#N/A</v>
      </c>
      <c r="O86" s="123" t="e">
        <f t="shared" ca="1" si="3"/>
        <v>#N/A</v>
      </c>
    </row>
    <row r="87" spans="2:15">
      <c r="B87" s="26"/>
      <c r="C87" s="25"/>
      <c r="D87" s="115"/>
      <c r="E87" s="26"/>
      <c r="F87" s="116"/>
      <c r="G87" s="26"/>
      <c r="H87" s="116"/>
      <c r="I87" s="26"/>
      <c r="J87" s="116"/>
      <c r="K87" s="26"/>
      <c r="L87" s="116"/>
      <c r="M87" s="44" t="e">
        <f t="shared" ca="1" si="4"/>
        <v>#N/A</v>
      </c>
      <c r="N87" s="65" t="e">
        <f ca="1">VLOOKUP($B87,Matrix!$H$13:$I$37,2,FALSE)&amp;"_"&amp;C87</f>
        <v>#N/A</v>
      </c>
      <c r="O87" s="123" t="e">
        <f t="shared" ca="1" si="3"/>
        <v>#N/A</v>
      </c>
    </row>
    <row r="88" spans="2:15">
      <c r="B88" s="26"/>
      <c r="C88" s="25"/>
      <c r="D88" s="115"/>
      <c r="E88" s="26"/>
      <c r="F88" s="116"/>
      <c r="G88" s="26"/>
      <c r="H88" s="116"/>
      <c r="I88" s="26"/>
      <c r="J88" s="116"/>
      <c r="K88" s="26"/>
      <c r="L88" s="116"/>
      <c r="M88" s="44" t="e">
        <f t="shared" ca="1" si="4"/>
        <v>#N/A</v>
      </c>
      <c r="N88" s="65" t="e">
        <f ca="1">VLOOKUP($B88,Matrix!$H$13:$I$37,2,FALSE)&amp;"_"&amp;C88</f>
        <v>#N/A</v>
      </c>
      <c r="O88" s="123" t="e">
        <f t="shared" ca="1" si="3"/>
        <v>#N/A</v>
      </c>
    </row>
    <row r="89" spans="2:15">
      <c r="B89" s="26"/>
      <c r="C89" s="25"/>
      <c r="D89" s="115"/>
      <c r="E89" s="26"/>
      <c r="F89" s="116"/>
      <c r="G89" s="26"/>
      <c r="H89" s="116"/>
      <c r="I89" s="26"/>
      <c r="J89" s="116"/>
      <c r="K89" s="26"/>
      <c r="L89" s="116"/>
      <c r="M89" s="44" t="e">
        <f t="shared" ca="1" si="4"/>
        <v>#N/A</v>
      </c>
      <c r="N89" s="65" t="e">
        <f ca="1">VLOOKUP($B89,Matrix!$H$13:$I$37,2,FALSE)&amp;"_"&amp;C89</f>
        <v>#N/A</v>
      </c>
      <c r="O89" s="123" t="e">
        <f t="shared" ca="1" si="3"/>
        <v>#N/A</v>
      </c>
    </row>
    <row r="90" spans="2:15">
      <c r="B90" s="26"/>
      <c r="C90" s="25"/>
      <c r="D90" s="115"/>
      <c r="E90" s="26"/>
      <c r="F90" s="116"/>
      <c r="G90" s="26"/>
      <c r="H90" s="116"/>
      <c r="I90" s="26"/>
      <c r="J90" s="116"/>
      <c r="K90" s="26"/>
      <c r="L90" s="116"/>
      <c r="M90" s="44" t="e">
        <f t="shared" ca="1" si="4"/>
        <v>#N/A</v>
      </c>
      <c r="N90" s="65" t="e">
        <f ca="1">VLOOKUP($B90,Matrix!$H$13:$I$37,2,FALSE)&amp;"_"&amp;C90</f>
        <v>#N/A</v>
      </c>
      <c r="O90" s="123" t="e">
        <f t="shared" ca="1" si="3"/>
        <v>#N/A</v>
      </c>
    </row>
    <row r="91" spans="2:15">
      <c r="B91" s="26"/>
      <c r="C91" s="25"/>
      <c r="D91" s="115"/>
      <c r="E91" s="26"/>
      <c r="F91" s="116"/>
      <c r="G91" s="26"/>
      <c r="H91" s="116"/>
      <c r="I91" s="26"/>
      <c r="J91" s="116"/>
      <c r="K91" s="26"/>
      <c r="L91" s="116"/>
      <c r="M91" s="44" t="e">
        <f t="shared" ca="1" si="4"/>
        <v>#N/A</v>
      </c>
      <c r="N91" s="65" t="e">
        <f ca="1">VLOOKUP($B91,Matrix!$H$13:$I$37,2,FALSE)&amp;"_"&amp;C91</f>
        <v>#N/A</v>
      </c>
      <c r="O91" s="123" t="e">
        <f t="shared" ca="1" si="3"/>
        <v>#N/A</v>
      </c>
    </row>
    <row r="92" spans="2:15">
      <c r="B92" s="26"/>
      <c r="C92" s="25"/>
      <c r="D92" s="115"/>
      <c r="E92" s="26"/>
      <c r="F92" s="116"/>
      <c r="G92" s="26"/>
      <c r="H92" s="116"/>
      <c r="I92" s="26"/>
      <c r="J92" s="116"/>
      <c r="K92" s="26"/>
      <c r="L92" s="116"/>
      <c r="M92" s="44" t="e">
        <f t="shared" ca="1" si="4"/>
        <v>#N/A</v>
      </c>
      <c r="N92" s="65" t="e">
        <f ca="1">VLOOKUP($B92,Matrix!$H$13:$I$37,2,FALSE)&amp;"_"&amp;C92</f>
        <v>#N/A</v>
      </c>
      <c r="O92" s="123" t="e">
        <f t="shared" ca="1" si="3"/>
        <v>#N/A</v>
      </c>
    </row>
    <row r="93" spans="2:15">
      <c r="B93" s="26"/>
      <c r="C93" s="25"/>
      <c r="D93" s="115"/>
      <c r="E93" s="26"/>
      <c r="F93" s="116"/>
      <c r="G93" s="26"/>
      <c r="H93" s="116"/>
      <c r="I93" s="26"/>
      <c r="J93" s="116"/>
      <c r="K93" s="26"/>
      <c r="L93" s="116"/>
      <c r="M93" s="44" t="e">
        <f t="shared" ca="1" si="4"/>
        <v>#N/A</v>
      </c>
      <c r="N93" s="65" t="e">
        <f ca="1">VLOOKUP($B93,Matrix!$H$13:$I$37,2,FALSE)&amp;"_"&amp;C93</f>
        <v>#N/A</v>
      </c>
      <c r="O93" s="123" t="e">
        <f t="shared" ca="1" si="3"/>
        <v>#N/A</v>
      </c>
    </row>
    <row r="94" spans="2:15">
      <c r="B94" s="26"/>
      <c r="C94" s="25"/>
      <c r="D94" s="115"/>
      <c r="E94" s="26"/>
      <c r="F94" s="116"/>
      <c r="G94" s="26"/>
      <c r="H94" s="116"/>
      <c r="I94" s="26"/>
      <c r="J94" s="116"/>
      <c r="K94" s="26"/>
      <c r="L94" s="116"/>
      <c r="M94" s="44" t="e">
        <f t="shared" ca="1" si="4"/>
        <v>#N/A</v>
      </c>
      <c r="N94" s="65" t="e">
        <f ca="1">VLOOKUP($B94,Matrix!$H$13:$I$37,2,FALSE)&amp;"_"&amp;C94</f>
        <v>#N/A</v>
      </c>
      <c r="O94" s="123" t="e">
        <f t="shared" ca="1" si="3"/>
        <v>#N/A</v>
      </c>
    </row>
    <row r="95" spans="2:15">
      <c r="B95" s="26"/>
      <c r="C95" s="25"/>
      <c r="D95" s="115"/>
      <c r="E95" s="26"/>
      <c r="F95" s="116"/>
      <c r="G95" s="26"/>
      <c r="H95" s="116"/>
      <c r="I95" s="26"/>
      <c r="J95" s="116"/>
      <c r="K95" s="26"/>
      <c r="L95" s="116"/>
      <c r="M95" s="44" t="e">
        <f t="shared" ca="1" si="4"/>
        <v>#N/A</v>
      </c>
      <c r="N95" s="65" t="e">
        <f ca="1">VLOOKUP($B95,Matrix!$H$13:$I$37,2,FALSE)&amp;"_"&amp;C95</f>
        <v>#N/A</v>
      </c>
      <c r="O95" s="123" t="e">
        <f t="shared" ca="1" si="3"/>
        <v>#N/A</v>
      </c>
    </row>
    <row r="96" spans="2:15">
      <c r="B96" s="26"/>
      <c r="C96" s="25"/>
      <c r="D96" s="115"/>
      <c r="E96" s="26"/>
      <c r="F96" s="116"/>
      <c r="G96" s="26"/>
      <c r="H96" s="116"/>
      <c r="I96" s="26"/>
      <c r="J96" s="116"/>
      <c r="K96" s="26"/>
      <c r="L96" s="116"/>
      <c r="M96" s="44" t="e">
        <f t="shared" ca="1" si="4"/>
        <v>#N/A</v>
      </c>
      <c r="N96" s="65" t="e">
        <f ca="1">VLOOKUP($B96,Matrix!$H$13:$I$37,2,FALSE)&amp;"_"&amp;C96</f>
        <v>#N/A</v>
      </c>
      <c r="O96" s="123" t="e">
        <f t="shared" ca="1" si="3"/>
        <v>#N/A</v>
      </c>
    </row>
    <row r="97" spans="2:15">
      <c r="B97" s="26"/>
      <c r="C97" s="25"/>
      <c r="D97" s="115"/>
      <c r="E97" s="26"/>
      <c r="F97" s="116"/>
      <c r="G97" s="26"/>
      <c r="H97" s="116"/>
      <c r="I97" s="26"/>
      <c r="J97" s="116"/>
      <c r="K97" s="26"/>
      <c r="L97" s="116"/>
      <c r="M97" s="44" t="e">
        <f t="shared" ca="1" si="4"/>
        <v>#N/A</v>
      </c>
      <c r="N97" s="65" t="e">
        <f ca="1">VLOOKUP($B97,Matrix!$H$13:$I$37,2,FALSE)&amp;"_"&amp;C97</f>
        <v>#N/A</v>
      </c>
      <c r="O97" s="123" t="e">
        <f t="shared" ca="1" si="3"/>
        <v>#N/A</v>
      </c>
    </row>
    <row r="98" spans="2:15">
      <c r="B98" s="26"/>
      <c r="C98" s="25"/>
      <c r="D98" s="115"/>
      <c r="E98" s="26"/>
      <c r="F98" s="116"/>
      <c r="G98" s="26"/>
      <c r="H98" s="116"/>
      <c r="I98" s="26"/>
      <c r="J98" s="116"/>
      <c r="K98" s="26"/>
      <c r="L98" s="116"/>
      <c r="M98" s="44" t="e">
        <f t="shared" ca="1" si="4"/>
        <v>#N/A</v>
      </c>
      <c r="N98" s="65" t="e">
        <f ca="1">VLOOKUP($B98,Matrix!$H$13:$I$37,2,FALSE)&amp;"_"&amp;C98</f>
        <v>#N/A</v>
      </c>
      <c r="O98" s="123" t="e">
        <f t="shared" ca="1" si="3"/>
        <v>#N/A</v>
      </c>
    </row>
    <row r="99" spans="2:15">
      <c r="B99" s="26"/>
      <c r="C99" s="25"/>
      <c r="D99" s="115"/>
      <c r="E99" s="26"/>
      <c r="F99" s="116"/>
      <c r="G99" s="26"/>
      <c r="H99" s="116"/>
      <c r="I99" s="26"/>
      <c r="J99" s="116"/>
      <c r="K99" s="26"/>
      <c r="L99" s="116"/>
      <c r="M99" s="44" t="e">
        <f t="shared" ca="1" si="4"/>
        <v>#N/A</v>
      </c>
      <c r="N99" s="65" t="e">
        <f ca="1">VLOOKUP($B99,Matrix!$H$13:$I$37,2,FALSE)&amp;"_"&amp;C99</f>
        <v>#N/A</v>
      </c>
      <c r="O99" s="123" t="e">
        <f t="shared" ca="1" si="3"/>
        <v>#N/A</v>
      </c>
    </row>
    <row r="100" spans="2:15">
      <c r="B100" s="26"/>
      <c r="C100" s="25"/>
      <c r="D100" s="115"/>
      <c r="E100" s="26"/>
      <c r="F100" s="116"/>
      <c r="G100" s="26"/>
      <c r="H100" s="116"/>
      <c r="I100" s="26"/>
      <c r="J100" s="116"/>
      <c r="K100" s="26"/>
      <c r="L100" s="116"/>
      <c r="M100" s="44" t="e">
        <f t="shared" ca="1" si="4"/>
        <v>#N/A</v>
      </c>
      <c r="N100" s="65" t="e">
        <f ca="1">VLOOKUP($B100,Matrix!$H$13:$I$37,2,FALSE)&amp;"_"&amp;C100</f>
        <v>#N/A</v>
      </c>
      <c r="O100" s="123" t="e">
        <f t="shared" ref="O100:O103" ca="1" si="5">"#define "&amp;N100&amp;REPT(" ",48-M100)&amp;"("&amp;D100&amp;"U)"</f>
        <v>#N/A</v>
      </c>
    </row>
    <row r="101" spans="2:15">
      <c r="B101" s="26"/>
      <c r="C101" s="25"/>
      <c r="D101" s="115"/>
      <c r="E101" s="26"/>
      <c r="F101" s="116"/>
      <c r="G101" s="26"/>
      <c r="H101" s="116"/>
      <c r="I101" s="26"/>
      <c r="J101" s="116"/>
      <c r="K101" s="26"/>
      <c r="L101" s="116"/>
      <c r="M101" s="44" t="e">
        <f t="shared" ca="1" si="4"/>
        <v>#N/A</v>
      </c>
      <c r="N101" s="65" t="e">
        <f ca="1">VLOOKUP($B101,Matrix!$H$13:$I$37,2,FALSE)&amp;"_"&amp;C101</f>
        <v>#N/A</v>
      </c>
      <c r="O101" s="123" t="e">
        <f t="shared" ca="1" si="5"/>
        <v>#N/A</v>
      </c>
    </row>
    <row r="102" spans="2:15">
      <c r="B102" s="26"/>
      <c r="C102" s="25"/>
      <c r="D102" s="115"/>
      <c r="E102" s="26"/>
      <c r="F102" s="116"/>
      <c r="G102" s="26"/>
      <c r="H102" s="116"/>
      <c r="I102" s="26"/>
      <c r="J102" s="116"/>
      <c r="K102" s="26"/>
      <c r="L102" s="116"/>
      <c r="M102" s="44" t="e">
        <f t="shared" ca="1" si="4"/>
        <v>#N/A</v>
      </c>
      <c r="N102" s="65" t="e">
        <f ca="1">VLOOKUP($B102,Matrix!$H$13:$I$37,2,FALSE)&amp;"_"&amp;C102</f>
        <v>#N/A</v>
      </c>
      <c r="O102" s="123" t="e">
        <f t="shared" ca="1" si="5"/>
        <v>#N/A</v>
      </c>
    </row>
    <row r="103" spans="2:15" ht="13.5" thickBot="1">
      <c r="B103" s="50"/>
      <c r="C103" s="51"/>
      <c r="D103" s="117"/>
      <c r="E103" s="50"/>
      <c r="F103" s="118"/>
      <c r="G103" s="50"/>
      <c r="H103" s="118"/>
      <c r="I103" s="50"/>
      <c r="J103" s="118"/>
      <c r="K103" s="50"/>
      <c r="L103" s="118"/>
      <c r="M103" s="52" t="e">
        <f t="shared" ca="1" si="4"/>
        <v>#N/A</v>
      </c>
      <c r="N103" s="66" t="e">
        <f ca="1">VLOOKUP($B103,Matrix!$H$13:$I$37,2,FALSE)&amp;"_"&amp;C103</f>
        <v>#N/A</v>
      </c>
      <c r="O103" s="124" t="e">
        <f t="shared" ca="1" si="5"/>
        <v>#N/A</v>
      </c>
    </row>
  </sheetData>
  <protectedRanges>
    <protectedRange sqref="B4:L103" name="範囲1"/>
  </protectedRanges>
  <phoneticPr fontId="2"/>
  <conditionalFormatting sqref="M3:M10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60</v>
      </c>
      <c r="AI1" t="s">
        <v>61</v>
      </c>
    </row>
    <row r="2" spans="1:49">
      <c r="B2" s="125" t="s">
        <v>130</v>
      </c>
      <c r="C2" s="286"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8" t="s">
        <v>164</v>
      </c>
    </row>
    <row r="3" spans="1:49" ht="213" customHeight="1" thickBot="1">
      <c r="B3" s="132" t="s">
        <v>234</v>
      </c>
      <c r="C3" s="287"/>
      <c r="D3" s="127" t="s">
        <v>62</v>
      </c>
      <c r="E3" s="127" t="s">
        <v>67</v>
      </c>
      <c r="F3" s="127" t="s">
        <v>50</v>
      </c>
      <c r="G3" s="127" t="s">
        <v>49</v>
      </c>
      <c r="H3" s="127" t="s">
        <v>128</v>
      </c>
      <c r="I3" s="127" t="s">
        <v>127</v>
      </c>
      <c r="J3" s="127" t="s">
        <v>132</v>
      </c>
      <c r="K3" s="127" t="s">
        <v>131</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166</v>
      </c>
      <c r="AC3" s="128" t="s">
        <v>63</v>
      </c>
      <c r="AD3" s="128" t="s">
        <v>63</v>
      </c>
      <c r="AE3" s="227" t="s">
        <v>301</v>
      </c>
      <c r="AF3" s="188" t="s">
        <v>253</v>
      </c>
      <c r="AG3" s="294" t="s">
        <v>274</v>
      </c>
      <c r="AH3" s="295"/>
      <c r="AI3" s="296"/>
      <c r="AJ3" s="289"/>
      <c r="AR3" s="90" t="s">
        <v>99</v>
      </c>
    </row>
    <row r="4" spans="1:49" ht="13.5" thickBot="1">
      <c r="A4" s="290" t="s">
        <v>64</v>
      </c>
      <c r="B4" s="291"/>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214"/>
      <c r="AE4" s="214"/>
      <c r="AF4" s="214"/>
      <c r="AG4" s="214"/>
      <c r="AH4" s="214"/>
      <c r="AI4" s="214"/>
      <c r="AJ4" s="130"/>
      <c r="AR4" s="78" t="s">
        <v>83</v>
      </c>
      <c r="AS4" s="79"/>
      <c r="AT4" s="79"/>
      <c r="AU4" s="79"/>
      <c r="AV4" s="79"/>
      <c r="AW4" s="80"/>
    </row>
    <row r="5" spans="1:49" ht="13.5" thickBot="1">
      <c r="A5" s="292"/>
      <c r="B5" s="293"/>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215"/>
      <c r="AE5" s="215"/>
      <c r="AF5" s="215"/>
      <c r="AG5" s="215"/>
      <c r="AH5" s="215"/>
      <c r="AI5" s="215"/>
      <c r="AJ5" s="131"/>
      <c r="AR5" s="81" t="str">
        <f ca="1">"static const U4  "&amp;AW8&amp;"["&amp;AW10&amp;"]"&amp;" = {"</f>
        <v>static const U4  u4_sp_ALERT_H_DRIPOW_CRIT[ALERT_H_DRIPOW_NUM_DST] = {</v>
      </c>
      <c r="AS5" s="81" t="str">
        <f ca="1">"static const U4  "&amp;$AW$9&amp;"["&amp;$AW$10&amp;"] = {"</f>
        <v>static const U4  u4_sp_ALERT_H_DRIPOW_MASK[ALERT_H_DRIPOW_NUM_DST] = {</v>
      </c>
      <c r="AT5" s="81" t="str">
        <f ca="1">"static const U1  "&amp;$AW$11&amp;"["&amp;$AW$10&amp;"] = {"</f>
        <v>static const U1  u1_sp_ALERT_H_DRIPOW_DST[ALERT_H_DRIPOW_NUM_DST] = {</v>
      </c>
      <c r="AU5" s="81" t="str">
        <f ca="1">"const ST_ALERT_MTRX "&amp;$AW$12&amp;" = {"</f>
        <v>const ST_ALERT_MTRX st_gp_ALERT_H_DRIPOW_MTRX[1] = {</v>
      </c>
      <c r="AV5" s="62" t="str">
        <f ca="1">"#define "&amp;AW10&amp;REPT(" ",41-LEN(AW10))&amp;"("&amp;AW13&amp;"U)"</f>
        <v>#define ALERT_H_DRIPOW_NUM_DST                   (32U)</v>
      </c>
      <c r="AW5" s="63"/>
    </row>
    <row r="6" spans="1:49">
      <c r="B6" s="134" t="str">
        <f ca="1">"Table "&amp;$AW$6</f>
        <v>Table H_DRIPOW</v>
      </c>
      <c r="C6" s="49">
        <f>ROW()-ROW($C$6)</f>
        <v>0</v>
      </c>
      <c r="D6" s="129" t="s">
        <v>68</v>
      </c>
      <c r="E6" s="129" t="s">
        <v>68</v>
      </c>
      <c r="F6" s="129" t="s">
        <v>68</v>
      </c>
      <c r="G6" s="129" t="s">
        <v>68</v>
      </c>
      <c r="H6" s="129" t="s">
        <v>68</v>
      </c>
      <c r="I6" s="129" t="s">
        <v>68</v>
      </c>
      <c r="J6" s="129" t="s">
        <v>68</v>
      </c>
      <c r="K6" s="58" t="s">
        <v>68</v>
      </c>
      <c r="L6" s="129" t="s">
        <v>68</v>
      </c>
      <c r="M6" s="129" t="s">
        <v>68</v>
      </c>
      <c r="N6" s="129" t="s">
        <v>68</v>
      </c>
      <c r="O6" s="129" t="s">
        <v>68</v>
      </c>
      <c r="P6" s="129" t="s">
        <v>68</v>
      </c>
      <c r="Q6" s="129" t="s">
        <v>68</v>
      </c>
      <c r="R6" s="129" t="s">
        <v>68</v>
      </c>
      <c r="S6" s="129" t="s">
        <v>68</v>
      </c>
      <c r="T6" s="129" t="s">
        <v>68</v>
      </c>
      <c r="U6" s="129" t="s">
        <v>68</v>
      </c>
      <c r="V6" s="129" t="s">
        <v>68</v>
      </c>
      <c r="W6" s="129" t="s">
        <v>68</v>
      </c>
      <c r="X6" s="129" t="s">
        <v>68</v>
      </c>
      <c r="Y6" s="129" t="s">
        <v>68</v>
      </c>
      <c r="Z6" s="129" t="s">
        <v>68</v>
      </c>
      <c r="AA6" s="129" t="s">
        <v>68</v>
      </c>
      <c r="AB6" s="129" t="s">
        <v>68</v>
      </c>
      <c r="AC6" s="129" t="s">
        <v>68</v>
      </c>
      <c r="AD6" s="129" t="s">
        <v>68</v>
      </c>
      <c r="AE6" s="129">
        <v>0</v>
      </c>
      <c r="AF6" s="58">
        <v>0</v>
      </c>
      <c r="AG6" s="58">
        <v>0</v>
      </c>
      <c r="AH6" s="58">
        <v>0</v>
      </c>
      <c r="AI6" s="58">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69</v>
      </c>
      <c r="AV6" s="45" t="s">
        <v>71</v>
      </c>
      <c r="AW6" s="64" t="str">
        <f ca="1">UPPER(RIGHT(CELL("filename",A1),LEN(CELL("filename",A1))-FIND("]",CELL("filename",A1))))</f>
        <v>H_DRIPOW</v>
      </c>
    </row>
    <row r="7" spans="1:49">
      <c r="B7" s="134"/>
      <c r="C7" s="44">
        <f t="shared" ref="C7:C69" si="2">ROW()-ROW($C$6)</f>
        <v>1</v>
      </c>
      <c r="D7" s="58" t="s">
        <v>68</v>
      </c>
      <c r="E7" s="58" t="s">
        <v>68</v>
      </c>
      <c r="F7" s="58" t="s">
        <v>68</v>
      </c>
      <c r="G7" s="129"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58" t="s">
        <v>68</v>
      </c>
      <c r="AD7" s="129" t="s">
        <v>68</v>
      </c>
      <c r="AE7" s="129">
        <v>0</v>
      </c>
      <c r="AF7" s="58">
        <v>0</v>
      </c>
      <c r="AG7" s="58">
        <v>0</v>
      </c>
      <c r="AH7" s="58">
        <v>0</v>
      </c>
      <c r="AI7" s="58">
        <v>1</v>
      </c>
      <c r="AJ7" s="25" t="s">
        <v>33</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(U4)0x0000001FU,                                                           /* 01 UNKNOWN                                         */</v>
      </c>
      <c r="AT7" s="60" t="str">
        <f t="shared" si="1"/>
        <v xml:space="preserve">    (U1)ALERT_REQ_UNKNOWN,                                                     /* 01 UNKNOWN                                         */</v>
      </c>
      <c r="AU7" s="60" t="str">
        <f ca="1">"        &amp;"&amp;$AW$14&amp;","&amp;REPT(" ",69-LEN($AW$14))&amp;"/* fp_u4_SRC_CHK                                      */"</f>
        <v xml:space="preserve">        &amp;u4_s_AlertH_dripowSrcchk,                                             /* fp_u4_SRC_CHK                                      */</v>
      </c>
      <c r="AV7" s="46" t="s">
        <v>72</v>
      </c>
      <c r="AW7" s="133">
        <f>IF(B3="Search Table",1,0)</f>
        <v>0</v>
      </c>
    </row>
    <row r="8" spans="1:49">
      <c r="B8" s="134"/>
      <c r="C8" s="44">
        <f t="shared" si="2"/>
        <v>2</v>
      </c>
      <c r="D8" s="58" t="s">
        <v>68</v>
      </c>
      <c r="E8" s="58" t="s">
        <v>68</v>
      </c>
      <c r="F8" s="58" t="s">
        <v>68</v>
      </c>
      <c r="G8" s="129"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t="s">
        <v>68</v>
      </c>
      <c r="AD8" s="129" t="s">
        <v>68</v>
      </c>
      <c r="AE8" s="129">
        <v>0</v>
      </c>
      <c r="AF8" s="58">
        <v>0</v>
      </c>
      <c r="AG8" s="58">
        <v>0</v>
      </c>
      <c r="AH8" s="58">
        <v>1</v>
      </c>
      <c r="AI8" s="58">
        <v>0</v>
      </c>
      <c r="AJ8" s="25" t="s">
        <v>279</v>
      </c>
      <c r="AL8" t="str">
        <f t="shared" ca="1" si="0"/>
        <v xml:space="preserve">    (U1)ALERT_REQ_H_DRIPOW_OVHT</v>
      </c>
      <c r="AR8" s="60" t="str">
        <f t="shared" si="3"/>
        <v xml:space="preserve">    (U4)0x00000002U,                                                           /* 02 OVHT                                            */</v>
      </c>
      <c r="AS8" s="60" t="str">
        <f t="shared" si="4"/>
        <v xml:space="preserve">    (U4)0x0000001FU,                                                           /* 02 OVHT                                            */</v>
      </c>
      <c r="AT8" s="60" t="str">
        <f ca="1">IF(AJ8&lt;&gt;"",AL8&amp;IF(AJ9&lt;&gt;"",","," ")&amp;REPT(" ",78-LEN(AL8))&amp;"/* "&amp;IF(C8&lt;10,"0"&amp;C8,C8)&amp;" "&amp;AJ8&amp;REPT(" ",48-LEN(AJ8))&amp;"*/",IF(AJ7&lt;&gt;"","};",""))</f>
        <v xml:space="preserve">    (U1)ALERT_REQ_H_DRIPOW_OVHT,                                               /* 02 OVHT                                            */</v>
      </c>
      <c r="AU8" s="60" t="str">
        <f ca="1">IF($AW$15&lt;&gt;"NULL","        &amp;"&amp;$AW$15&amp;","&amp;REPT(" ",69-LEN($AW$15))&amp;"/* fp_vd_XDST                                         */","        vdp_PTR_NA,                                                            /* fp_vd_XDST                                         */")</f>
        <v xml:space="preserve">        vdp_PTR_NA,                                                            /* fp_vd_XDST                                         */</v>
      </c>
      <c r="AV8" s="46" t="s">
        <v>73</v>
      </c>
      <c r="AW8" s="65" t="str">
        <f ca="1">"u4_sp_ALERT_"&amp;IF(AW6&lt;&gt;AW17,$AW$17&amp;"_"&amp;$AW$6,AW17)&amp;"_CRIT"</f>
        <v>u4_sp_ALERT_H_DRIPOW_CRIT</v>
      </c>
    </row>
    <row r="9" spans="1:49">
      <c r="B9" s="134"/>
      <c r="C9" s="44">
        <f t="shared" si="2"/>
        <v>3</v>
      </c>
      <c r="D9" s="58" t="s">
        <v>68</v>
      </c>
      <c r="E9" s="58" t="s">
        <v>68</v>
      </c>
      <c r="F9" s="58" t="s">
        <v>68</v>
      </c>
      <c r="G9" s="129"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t="s">
        <v>68</v>
      </c>
      <c r="AD9" s="129" t="s">
        <v>68</v>
      </c>
      <c r="AE9" s="129">
        <v>0</v>
      </c>
      <c r="AF9" s="58">
        <v>0</v>
      </c>
      <c r="AG9" s="58">
        <v>0</v>
      </c>
      <c r="AH9" s="58">
        <v>1</v>
      </c>
      <c r="AI9" s="58">
        <v>1</v>
      </c>
      <c r="AJ9" s="25" t="s">
        <v>281</v>
      </c>
      <c r="AL9" t="str">
        <f t="shared" ca="1" si="0"/>
        <v xml:space="preserve">    (U1)ALERT_REQ_H_DRIPOW_BATLOW</v>
      </c>
      <c r="AR9" s="60" t="str">
        <f t="shared" si="3"/>
        <v xml:space="preserve">    (U4)0x00000003U,                                                           /* 03 BATLOW                                          */</v>
      </c>
      <c r="AS9" s="60" t="str">
        <f t="shared" si="4"/>
        <v xml:space="preserve">    (U4)0x0000001FU,                                                           /* 03 BATLOW                                          */</v>
      </c>
      <c r="AT9" s="60" t="str">
        <f t="shared" ca="1" si="1"/>
        <v xml:space="preserve">    (U1)ALERT_REQ_H_DRIPOW_BATLOW,                                             /* 03 BATLOW                                          */</v>
      </c>
      <c r="AU9" s="60"/>
      <c r="AV9" s="46" t="s">
        <v>74</v>
      </c>
      <c r="AW9" s="65" t="str">
        <f ca="1">"u4_sp_ALERT_"&amp;IF(AW6&lt;&gt;AW17,$AW$17&amp;"_"&amp;$AW$6,AW17)&amp;"_MASK"</f>
        <v>u4_sp_ALERT_H_DRIPOW_MASK</v>
      </c>
    </row>
    <row r="10" spans="1:49">
      <c r="B10" s="134"/>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129" t="s">
        <v>68</v>
      </c>
      <c r="AE10" s="129">
        <v>0</v>
      </c>
      <c r="AF10" s="58">
        <v>0</v>
      </c>
      <c r="AG10" s="58">
        <v>1</v>
      </c>
      <c r="AH10" s="58">
        <v>0</v>
      </c>
      <c r="AI10" s="58">
        <v>0</v>
      </c>
      <c r="AJ10" s="25" t="s">
        <v>283</v>
      </c>
      <c r="AL10" t="str">
        <f t="shared" ca="1" si="0"/>
        <v xml:space="preserve">    (U1)ALERT_REQ_H_DRIPOW_OTHER</v>
      </c>
      <c r="AR10" s="60" t="str">
        <f t="shared" si="3"/>
        <v xml:space="preserve">    (U4)0x00000004U,                                                           /* 04 OTHER                                           */</v>
      </c>
      <c r="AS10" s="60" t="str">
        <f t="shared" si="4"/>
        <v xml:space="preserve">    (U4)0x0000001FU,                                                           /* 04 OTHER                                           */</v>
      </c>
      <c r="AT10" s="60" t="str">
        <f t="shared" ca="1" si="1"/>
        <v xml:space="preserve">    (U1)ALERT_REQ_H_DRIPOW_OTHER,                                              /* 04 OTHER                                           */</v>
      </c>
      <c r="AU10" s="60" t="str">
        <f>IF($AW$7=1,"        &amp;"&amp;$AW$9&amp;"[0],"&amp;REPT(" ",66-LEN($AW$9))&amp;"/* u4p_MASK                                           */","        (const U4 *)vdp_PTR_NA,                                                /* u4p_MASK                                           */")</f>
        <v xml:space="preserve">        (const U4 *)vdp_PTR_NA,                                                /* u4p_MASK                                           */</v>
      </c>
      <c r="AV10" s="46" t="s">
        <v>75</v>
      </c>
      <c r="AW10" s="65" t="str">
        <f ca="1">"ALERT_"&amp;IF(AW6&lt;&gt;AW17,$AW$17&amp;"_"&amp;$AW$6,AW17)&amp;"_NUM_DST"</f>
        <v>ALERT_H_DRIPOW_NUM_DST</v>
      </c>
    </row>
    <row r="11" spans="1:49">
      <c r="B11" s="134"/>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129" t="s">
        <v>68</v>
      </c>
      <c r="AE11" s="129">
        <v>0</v>
      </c>
      <c r="AF11" s="58">
        <v>0</v>
      </c>
      <c r="AG11" s="58">
        <v>1</v>
      </c>
      <c r="AH11" s="58">
        <v>0</v>
      </c>
      <c r="AI11" s="58">
        <v>1</v>
      </c>
      <c r="AJ11" s="25" t="s">
        <v>33</v>
      </c>
      <c r="AL11"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6" t="s">
        <v>76</v>
      </c>
      <c r="AW11" s="65" t="str">
        <f ca="1">"u1_sp_ALERT_"&amp;IF(AW6&lt;&gt;AW17,$AW$17&amp;"_"&amp;$AW$6,AW17)&amp;"_DST"</f>
        <v>u1_sp_ALERT_H_DRIPOW_DST</v>
      </c>
    </row>
    <row r="12" spans="1:49">
      <c r="B12" s="134"/>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129" t="s">
        <v>68</v>
      </c>
      <c r="AE12" s="129">
        <v>0</v>
      </c>
      <c r="AF12" s="58">
        <v>0</v>
      </c>
      <c r="AG12" s="58">
        <v>1</v>
      </c>
      <c r="AH12" s="58">
        <v>1</v>
      </c>
      <c r="AI12" s="58">
        <v>0</v>
      </c>
      <c r="AJ12" s="25" t="s">
        <v>33</v>
      </c>
      <c r="AL12"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6" t="s">
        <v>90</v>
      </c>
      <c r="AW12" s="65" t="str">
        <f ca="1">Matrix!D8&amp;"["&amp;Matrix!D7&amp;"]"</f>
        <v>st_gp_ALERT_H_DRIPOW_MTRX[1]</v>
      </c>
    </row>
    <row r="13" spans="1:49">
      <c r="B13" s="134"/>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129" t="s">
        <v>68</v>
      </c>
      <c r="AE13" s="129">
        <v>0</v>
      </c>
      <c r="AF13" s="58">
        <v>0</v>
      </c>
      <c r="AG13" s="58">
        <v>1</v>
      </c>
      <c r="AH13" s="58">
        <v>1</v>
      </c>
      <c r="AI13" s="58">
        <v>1</v>
      </c>
      <c r="AJ13" s="25" t="s">
        <v>33</v>
      </c>
      <c r="AL13"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&amp;u1_sp_ALERT_H_DRIPOW_DST[0],                                          /* u1p_DST                                            */</v>
      </c>
      <c r="AV13" s="46" t="s">
        <v>77</v>
      </c>
      <c r="AW13" s="133">
        <f>COUNTA($AJ$6:$AJ$69)</f>
        <v>32</v>
      </c>
    </row>
    <row r="14" spans="1:49">
      <c r="B14" s="134"/>
      <c r="C14" s="44">
        <f t="shared" si="2"/>
        <v>8</v>
      </c>
      <c r="D14" s="58" t="s">
        <v>68</v>
      </c>
      <c r="E14" s="58" t="s">
        <v>68</v>
      </c>
      <c r="F14" s="58" t="s">
        <v>68</v>
      </c>
      <c r="G14" s="58" t="s">
        <v>68</v>
      </c>
      <c r="H14" s="58" t="s">
        <v>68</v>
      </c>
      <c r="I14" s="58" t="s">
        <v>68</v>
      </c>
      <c r="J14" s="58" t="s">
        <v>68</v>
      </c>
      <c r="K14" s="58" t="s">
        <v>221</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129" t="s">
        <v>68</v>
      </c>
      <c r="AE14" s="129">
        <v>0</v>
      </c>
      <c r="AF14" s="58">
        <v>1</v>
      </c>
      <c r="AG14" s="58">
        <v>0</v>
      </c>
      <c r="AH14" s="58">
        <v>0</v>
      </c>
      <c r="AI14" s="58">
        <v>0</v>
      </c>
      <c r="AJ14" s="25" t="s">
        <v>33</v>
      </c>
      <c r="AL14"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(U2)ALERT_H_DRIPOW_NUM_DST,                                            /* u2_num_srch                                        */</v>
      </c>
      <c r="AV14" s="46" t="s">
        <v>78</v>
      </c>
      <c r="AW14" s="65" t="str">
        <f ca="1">IF(AW6&lt;&gt;AW17,VLOOKUP(AW6,Matrix!$C$13:$G$37,4,FALSE),Matrix!F13)</f>
        <v>u4_s_AlertH_dripowSrcchk</v>
      </c>
    </row>
    <row r="15" spans="1:49">
      <c r="B15" s="134"/>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129" t="s">
        <v>68</v>
      </c>
      <c r="AE15" s="129">
        <v>0</v>
      </c>
      <c r="AF15" s="58">
        <v>1</v>
      </c>
      <c r="AG15" s="58">
        <v>0</v>
      </c>
      <c r="AH15" s="58">
        <v>0</v>
      </c>
      <c r="AI15" s="58">
        <v>1</v>
      </c>
      <c r="AJ15" s="25" t="s">
        <v>33</v>
      </c>
      <c r="AL15"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6" t="s">
        <v>81</v>
      </c>
      <c r="AW15" s="65" t="str">
        <f ca="1">IF(AW6&lt;&gt;AW17,VLOOKUP(AW6,Matrix!$C$13:$G$37,5,FALSE),Matrix!G13)</f>
        <v>NULL</v>
      </c>
    </row>
    <row r="16" spans="1:49">
      <c r="B16" s="134"/>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129" t="s">
        <v>68</v>
      </c>
      <c r="AE16" s="129">
        <v>0</v>
      </c>
      <c r="AF16" s="58">
        <v>1</v>
      </c>
      <c r="AG16" s="58">
        <v>0</v>
      </c>
      <c r="AH16" s="58">
        <v>1</v>
      </c>
      <c r="AI16" s="58">
        <v>0</v>
      </c>
      <c r="AJ16" s="25" t="s">
        <v>33</v>
      </c>
      <c r="AL1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70</v>
      </c>
      <c r="AV16" s="46" t="s">
        <v>79</v>
      </c>
      <c r="AW16" s="65" t="str">
        <f ca="1">IF(AW6&lt;&gt;AW17,VLOOKUP(AW6,Matrix!$C$13:$G$37,2,FALSE),Matrix!D13)</f>
        <v>ALERT_VOM_IGN_ON</v>
      </c>
    </row>
    <row r="17" spans="2:49" ht="13.5" thickBot="1">
      <c r="B17" s="134"/>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129" t="s">
        <v>68</v>
      </c>
      <c r="AE17" s="129">
        <v>0</v>
      </c>
      <c r="AF17" s="58">
        <v>1</v>
      </c>
      <c r="AG17" s="58">
        <v>0</v>
      </c>
      <c r="AH17" s="58">
        <v>1</v>
      </c>
      <c r="AI17" s="58">
        <v>1</v>
      </c>
      <c r="AJ17" s="25" t="s">
        <v>33</v>
      </c>
      <c r="AL17"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82</v>
      </c>
      <c r="AV17" s="47" t="s">
        <v>80</v>
      </c>
      <c r="AW17" s="66" t="str">
        <f ca="1">UPPER(Matrix!$D$6)</f>
        <v>H_DRIPOW</v>
      </c>
    </row>
    <row r="18" spans="2:49">
      <c r="B18" s="134"/>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129" t="s">
        <v>68</v>
      </c>
      <c r="AE18" s="129">
        <v>0</v>
      </c>
      <c r="AF18" s="58">
        <v>1</v>
      </c>
      <c r="AG18" s="58">
        <v>1</v>
      </c>
      <c r="AH18" s="58">
        <v>0</v>
      </c>
      <c r="AI18" s="58">
        <v>0</v>
      </c>
      <c r="AJ18" s="25" t="s">
        <v>33</v>
      </c>
      <c r="AL18"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34"/>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129" t="s">
        <v>68</v>
      </c>
      <c r="AE19" s="129">
        <v>0</v>
      </c>
      <c r="AF19" s="58">
        <v>1</v>
      </c>
      <c r="AG19" s="58">
        <v>1</v>
      </c>
      <c r="AH19" s="58">
        <v>0</v>
      </c>
      <c r="AI19" s="58">
        <v>1</v>
      </c>
      <c r="AJ19" s="25" t="s">
        <v>33</v>
      </c>
      <c r="AL19"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34"/>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129" t="s">
        <v>68</v>
      </c>
      <c r="AE20" s="129">
        <v>0</v>
      </c>
      <c r="AF20" s="58">
        <v>1</v>
      </c>
      <c r="AG20" s="58">
        <v>1</v>
      </c>
      <c r="AH20" s="58">
        <v>1</v>
      </c>
      <c r="AI20" s="58">
        <v>0</v>
      </c>
      <c r="AJ20" s="25" t="s">
        <v>33</v>
      </c>
      <c r="AL20"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34"/>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129" t="s">
        <v>68</v>
      </c>
      <c r="AE21" s="129">
        <v>0</v>
      </c>
      <c r="AF21" s="58">
        <v>1</v>
      </c>
      <c r="AG21" s="58">
        <v>1</v>
      </c>
      <c r="AH21" s="58">
        <v>1</v>
      </c>
      <c r="AI21" s="58">
        <v>1</v>
      </c>
      <c r="AJ21" s="25" t="s">
        <v>33</v>
      </c>
      <c r="AL21"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34"/>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129" t="s">
        <v>68</v>
      </c>
      <c r="AE22" s="129">
        <v>1</v>
      </c>
      <c r="AF22" s="129">
        <v>0</v>
      </c>
      <c r="AG22" s="129">
        <v>0</v>
      </c>
      <c r="AH22" s="129">
        <v>0</v>
      </c>
      <c r="AI22" s="129">
        <v>0</v>
      </c>
      <c r="AJ22" s="25" t="s">
        <v>33</v>
      </c>
      <c r="AL22" t="str">
        <f t="shared" si="0"/>
        <v xml:space="preserve">    (U1)ALERT_REQ_UNKNOWN</v>
      </c>
      <c r="AR22" s="60" t="str">
        <f t="shared" si="3"/>
        <v xml:space="preserve">    (U4)0x00000010U,                                                           /* 16 UNKNOWN                                         */</v>
      </c>
      <c r="AS22" s="60" t="str">
        <f t="shared" si="4"/>
        <v xml:space="preserve">    (U4)0x0000001FU,                                                           /* 16 UNKNOWN                                         */</v>
      </c>
      <c r="AT22" s="60" t="str">
        <f t="shared" si="1"/>
        <v xml:space="preserve">    (U1)ALERT_REQ_UNKNOWN,                                                     /* 16 UNKNOWN                                         */</v>
      </c>
    </row>
    <row r="23" spans="2:49">
      <c r="B23" s="134"/>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129" t="s">
        <v>68</v>
      </c>
      <c r="AE23" s="129">
        <v>1</v>
      </c>
      <c r="AF23" s="129">
        <v>0</v>
      </c>
      <c r="AG23" s="129">
        <v>0</v>
      </c>
      <c r="AH23" s="129">
        <v>0</v>
      </c>
      <c r="AI23" s="129">
        <v>1</v>
      </c>
      <c r="AJ23" s="25" t="s">
        <v>33</v>
      </c>
      <c r="AL23" t="str">
        <f t="shared" si="0"/>
        <v xml:space="preserve">    (U1)ALERT_REQ_UNKNOWN</v>
      </c>
      <c r="AR23" s="60" t="str">
        <f t="shared" si="3"/>
        <v xml:space="preserve">    (U4)0x00000011U,                                                           /* 17 UNKNOWN                                         */</v>
      </c>
      <c r="AS23" s="60" t="str">
        <f t="shared" si="4"/>
        <v xml:space="preserve">    (U4)0x0000001FU,                                                           /* 17 UNKNOWN                                         */</v>
      </c>
      <c r="AT23" s="60" t="str">
        <f t="shared" si="1"/>
        <v xml:space="preserve">    (U1)ALERT_REQ_UNKNOWN,                                                     /* 17 UNKNOWN                                         */</v>
      </c>
    </row>
    <row r="24" spans="2:49">
      <c r="B24" s="134"/>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129" t="s">
        <v>68</v>
      </c>
      <c r="AE24" s="129">
        <v>1</v>
      </c>
      <c r="AF24" s="129">
        <v>0</v>
      </c>
      <c r="AG24" s="129">
        <v>0</v>
      </c>
      <c r="AH24" s="129">
        <v>1</v>
      </c>
      <c r="AI24" s="129">
        <v>0</v>
      </c>
      <c r="AJ24" s="25" t="s">
        <v>302</v>
      </c>
      <c r="AL24" t="str">
        <f t="shared" ca="1" si="0"/>
        <v xml:space="preserve">    (U1)ALERT_REQ_H_DRIPOW_OVHT_CHN</v>
      </c>
      <c r="AR24" s="60" t="str">
        <f t="shared" si="3"/>
        <v xml:space="preserve">    (U4)0x00000012U,                                                           /* 18 OVHT_CHN                                        */</v>
      </c>
      <c r="AS24" s="60" t="str">
        <f t="shared" si="4"/>
        <v xml:space="preserve">    (U4)0x0000001FU,                                                           /* 18 OVHT_CHN                                        */</v>
      </c>
      <c r="AT24" s="60" t="str">
        <f t="shared" ca="1" si="1"/>
        <v xml:space="preserve">    (U1)ALERT_REQ_H_DRIPOW_OVHT_CHN,                                           /* 18 OVHT_CHN                                        */</v>
      </c>
    </row>
    <row r="25" spans="2:49">
      <c r="B25" s="134"/>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129" t="s">
        <v>68</v>
      </c>
      <c r="AE25" s="129">
        <v>1</v>
      </c>
      <c r="AF25" s="129">
        <v>0</v>
      </c>
      <c r="AG25" s="129">
        <v>0</v>
      </c>
      <c r="AH25" s="129">
        <v>1</v>
      </c>
      <c r="AI25" s="129">
        <v>1</v>
      </c>
      <c r="AJ25" s="25" t="s">
        <v>304</v>
      </c>
      <c r="AL25" t="str">
        <f t="shared" ca="1" si="0"/>
        <v xml:space="preserve">    (U1)ALERT_REQ_H_DRIPOW_BATLOW_CHN</v>
      </c>
      <c r="AR25" s="60" t="str">
        <f t="shared" si="3"/>
        <v xml:space="preserve">    (U4)0x00000013U,                                                           /* 19 BATLOW_CHN                                      */</v>
      </c>
      <c r="AS25" s="60" t="str">
        <f t="shared" si="4"/>
        <v xml:space="preserve">    (U4)0x0000001FU,                                                           /* 19 BATLOW_CHN                                      */</v>
      </c>
      <c r="AT25" s="60" t="str">
        <f t="shared" ca="1" si="1"/>
        <v xml:space="preserve">    (U1)ALERT_REQ_H_DRIPOW_BATLOW_CHN,                                         /* 19 BATLOW_CHN                                      */</v>
      </c>
    </row>
    <row r="26" spans="2:49">
      <c r="B26" s="134"/>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129" t="s">
        <v>68</v>
      </c>
      <c r="AE26" s="129">
        <v>1</v>
      </c>
      <c r="AF26" s="129">
        <v>0</v>
      </c>
      <c r="AG26" s="129">
        <v>1</v>
      </c>
      <c r="AH26" s="129">
        <v>0</v>
      </c>
      <c r="AI26" s="129">
        <v>0</v>
      </c>
      <c r="AJ26" s="25" t="s">
        <v>306</v>
      </c>
      <c r="AL26" t="str">
        <f t="shared" ca="1" si="0"/>
        <v xml:space="preserve">    (U1)ALERT_REQ_H_DRIPOW_OTHER_CHN</v>
      </c>
      <c r="AR26" s="60" t="str">
        <f t="shared" si="3"/>
        <v xml:space="preserve">    (U4)0x00000014U,                                                           /* 20 OTHER_CHN                                       */</v>
      </c>
      <c r="AS26" s="60" t="str">
        <f t="shared" si="4"/>
        <v xml:space="preserve">    (U4)0x0000001FU,                                                           /* 20 OTHER_CHN                                       */</v>
      </c>
      <c r="AT26" s="60" t="str">
        <f t="shared" ca="1" si="1"/>
        <v xml:space="preserve">    (U1)ALERT_REQ_H_DRIPOW_OTHER_CHN,                                          /* 20 OTHER_CHN                                       */</v>
      </c>
    </row>
    <row r="27" spans="2:49">
      <c r="B27" s="134"/>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129" t="s">
        <v>68</v>
      </c>
      <c r="AE27" s="129">
        <v>1</v>
      </c>
      <c r="AF27" s="129">
        <v>0</v>
      </c>
      <c r="AG27" s="129">
        <v>1</v>
      </c>
      <c r="AH27" s="129">
        <v>0</v>
      </c>
      <c r="AI27" s="129">
        <v>1</v>
      </c>
      <c r="AJ27" s="25" t="s">
        <v>33</v>
      </c>
      <c r="AL27" t="str">
        <f t="shared" si="0"/>
        <v xml:space="preserve">    (U1)ALERT_REQ_UNKNOWN</v>
      </c>
      <c r="AR27" s="60" t="str">
        <f t="shared" si="3"/>
        <v xml:space="preserve">    (U4)0x00000015U,                                                           /* 21 UNKNOWN                                         */</v>
      </c>
      <c r="AS27" s="60" t="str">
        <f t="shared" si="4"/>
        <v xml:space="preserve">    (U4)0x0000001FU,                                                           /* 21 UNKNOWN                                         */</v>
      </c>
      <c r="AT27" s="60" t="str">
        <f t="shared" si="1"/>
        <v xml:space="preserve">    (U1)ALERT_REQ_UNKNOWN,                                                     /* 21 UNKNOWN                                         */</v>
      </c>
    </row>
    <row r="28" spans="2:49">
      <c r="B28" s="134"/>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129" t="s">
        <v>68</v>
      </c>
      <c r="AE28" s="129">
        <v>1</v>
      </c>
      <c r="AF28" s="129">
        <v>0</v>
      </c>
      <c r="AG28" s="129">
        <v>1</v>
      </c>
      <c r="AH28" s="129">
        <v>1</v>
      </c>
      <c r="AI28" s="129">
        <v>0</v>
      </c>
      <c r="AJ28" s="25" t="s">
        <v>33</v>
      </c>
      <c r="AL28" t="str">
        <f t="shared" si="0"/>
        <v xml:space="preserve">    (U1)ALERT_REQ_UNKNOWN</v>
      </c>
      <c r="AR28" s="60" t="str">
        <f t="shared" si="3"/>
        <v xml:space="preserve">    (U4)0x00000016U,                                                           /* 22 UNKNOWN                                         */</v>
      </c>
      <c r="AS28" s="60" t="str">
        <f t="shared" si="4"/>
        <v xml:space="preserve">    (U4)0x0000001FU,                                                           /* 22 UNKNOWN                                         */</v>
      </c>
      <c r="AT28" s="60" t="str">
        <f t="shared" si="1"/>
        <v xml:space="preserve">    (U1)ALERT_REQ_UNKNOWN,                                                     /* 22 UNKNOWN                                         */</v>
      </c>
    </row>
    <row r="29" spans="2:49">
      <c r="B29" s="134"/>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129" t="s">
        <v>68</v>
      </c>
      <c r="AE29" s="129">
        <v>1</v>
      </c>
      <c r="AF29" s="129">
        <v>0</v>
      </c>
      <c r="AG29" s="129">
        <v>1</v>
      </c>
      <c r="AH29" s="129">
        <v>1</v>
      </c>
      <c r="AI29" s="129">
        <v>1</v>
      </c>
      <c r="AJ29" s="25" t="s">
        <v>33</v>
      </c>
      <c r="AL29" t="str">
        <f t="shared" si="0"/>
        <v xml:space="preserve">    (U1)ALERT_REQ_UNKNOWN</v>
      </c>
      <c r="AR29" s="60" t="str">
        <f t="shared" si="3"/>
        <v xml:space="preserve">    (U4)0x00000017U,                                                           /* 23 UNKNOWN                                         */</v>
      </c>
      <c r="AS29" s="60" t="str">
        <f t="shared" si="4"/>
        <v xml:space="preserve">    (U4)0x0000001FU,                                                           /* 23 UNKNOWN                                         */</v>
      </c>
      <c r="AT29" s="60" t="str">
        <f t="shared" si="1"/>
        <v xml:space="preserve">    (U1)ALERT_REQ_UNKNOWN,                                                     /* 23 UNKNOWN                                         */</v>
      </c>
    </row>
    <row r="30" spans="2:49">
      <c r="B30" s="134"/>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129" t="s">
        <v>68</v>
      </c>
      <c r="AE30" s="129">
        <v>1</v>
      </c>
      <c r="AF30" s="129">
        <v>1</v>
      </c>
      <c r="AG30" s="129">
        <v>0</v>
      </c>
      <c r="AH30" s="129">
        <v>0</v>
      </c>
      <c r="AI30" s="129">
        <v>0</v>
      </c>
      <c r="AJ30" s="25" t="s">
        <v>33</v>
      </c>
      <c r="AL30" t="str">
        <f t="shared" si="0"/>
        <v xml:space="preserve">    (U1)ALERT_REQ_UNKNOWN</v>
      </c>
      <c r="AR30" s="60" t="str">
        <f t="shared" si="3"/>
        <v xml:space="preserve">    (U4)0x00000018U,                                                           /* 24 UNKNOWN                                         */</v>
      </c>
      <c r="AS30" s="60" t="str">
        <f t="shared" si="4"/>
        <v xml:space="preserve">    (U4)0x0000001FU,                                                           /* 24 UNKNOWN                                         */</v>
      </c>
      <c r="AT30" s="60" t="str">
        <f t="shared" si="1"/>
        <v xml:space="preserve">    (U1)ALERT_REQ_UNKNOWN,                                                     /* 24 UNKNOWN                                         */</v>
      </c>
    </row>
    <row r="31" spans="2:49">
      <c r="B31" s="134"/>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129" t="s">
        <v>68</v>
      </c>
      <c r="AE31" s="129">
        <v>1</v>
      </c>
      <c r="AF31" s="129">
        <v>1</v>
      </c>
      <c r="AG31" s="129">
        <v>0</v>
      </c>
      <c r="AH31" s="129">
        <v>0</v>
      </c>
      <c r="AI31" s="129">
        <v>1</v>
      </c>
      <c r="AJ31" s="25" t="s">
        <v>33</v>
      </c>
      <c r="AL31" t="str">
        <f t="shared" si="0"/>
        <v xml:space="preserve">    (U1)ALERT_REQ_UNKNOWN</v>
      </c>
      <c r="AR31" s="60" t="str">
        <f t="shared" si="3"/>
        <v xml:space="preserve">    (U4)0x00000019U,                                                           /* 25 UNKNOWN                                         */</v>
      </c>
      <c r="AS31" s="60" t="str">
        <f t="shared" si="4"/>
        <v xml:space="preserve">    (U4)0x0000001FU,                                                           /* 25 UNKNOWN                                         */</v>
      </c>
      <c r="AT31" s="60" t="str">
        <f t="shared" si="1"/>
        <v xml:space="preserve">    (U1)ALERT_REQ_UNKNOWN,                                                     /* 25 UNKNOWN                                         */</v>
      </c>
    </row>
    <row r="32" spans="2:49">
      <c r="B32" s="134"/>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129" t="s">
        <v>68</v>
      </c>
      <c r="AE32" s="129">
        <v>1</v>
      </c>
      <c r="AF32" s="129">
        <v>1</v>
      </c>
      <c r="AG32" s="129">
        <v>0</v>
      </c>
      <c r="AH32" s="129">
        <v>1</v>
      </c>
      <c r="AI32" s="129">
        <v>0</v>
      </c>
      <c r="AJ32" s="25" t="s">
        <v>33</v>
      </c>
      <c r="AL32" t="str">
        <f t="shared" si="0"/>
        <v xml:space="preserve">    (U1)ALERT_REQ_UNKNOWN</v>
      </c>
      <c r="AR32" s="60" t="str">
        <f t="shared" si="3"/>
        <v xml:space="preserve">    (U4)0x0000001AU,                                                           /* 26 UNKNOWN                                         */</v>
      </c>
      <c r="AS32" s="60" t="str">
        <f t="shared" si="4"/>
        <v xml:space="preserve">    (U4)0x0000001FU,                                                           /* 26 UNKNOWN                                         */</v>
      </c>
      <c r="AT32" s="60" t="str">
        <f t="shared" si="1"/>
        <v xml:space="preserve">    (U1)ALERT_REQ_UNKNOWN,                                                     /* 26 UNKNOWN                                         */</v>
      </c>
    </row>
    <row r="33" spans="2:46">
      <c r="B33" s="134"/>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129" t="s">
        <v>68</v>
      </c>
      <c r="AE33" s="129">
        <v>1</v>
      </c>
      <c r="AF33" s="129">
        <v>1</v>
      </c>
      <c r="AG33" s="129">
        <v>0</v>
      </c>
      <c r="AH33" s="129">
        <v>1</v>
      </c>
      <c r="AI33" s="129">
        <v>1</v>
      </c>
      <c r="AJ33" s="25" t="s">
        <v>33</v>
      </c>
      <c r="AL33" t="str">
        <f t="shared" si="0"/>
        <v xml:space="preserve">    (U1)ALERT_REQ_UNKNOWN</v>
      </c>
      <c r="AR33" s="60" t="str">
        <f t="shared" si="3"/>
        <v xml:space="preserve">    (U4)0x0000001BU,                                                           /* 27 UNKNOWN                                         */</v>
      </c>
      <c r="AS33" s="60" t="str">
        <f t="shared" si="4"/>
        <v xml:space="preserve">    (U4)0x0000001FU,                                                           /* 27 UNKNOWN                                         */</v>
      </c>
      <c r="AT33" s="60" t="str">
        <f t="shared" si="1"/>
        <v xml:space="preserve">    (U1)ALERT_REQ_UNKNOWN,                                                     /* 27 UNKNOWN                                         */</v>
      </c>
    </row>
    <row r="34" spans="2:46">
      <c r="B34" s="134"/>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129" t="s">
        <v>68</v>
      </c>
      <c r="AE34" s="129">
        <v>1</v>
      </c>
      <c r="AF34" s="129">
        <v>1</v>
      </c>
      <c r="AG34" s="129">
        <v>1</v>
      </c>
      <c r="AH34" s="129">
        <v>0</v>
      </c>
      <c r="AI34" s="129">
        <v>0</v>
      </c>
      <c r="AJ34" s="25" t="s">
        <v>33</v>
      </c>
      <c r="AL34" t="str">
        <f t="shared" si="0"/>
        <v xml:space="preserve">    (U1)ALERT_REQ_UNKNOWN</v>
      </c>
      <c r="AR34" s="60" t="str">
        <f t="shared" si="3"/>
        <v xml:space="preserve">    (U4)0x0000001CU,                                                           /* 28 UNKNOWN                                         */</v>
      </c>
      <c r="AS34" s="60" t="str">
        <f t="shared" si="4"/>
        <v xml:space="preserve">    (U4)0x0000001FU,                                                           /* 28 UNKNOWN                                         */</v>
      </c>
      <c r="AT34" s="60" t="str">
        <f t="shared" si="1"/>
        <v xml:space="preserve">    (U1)ALERT_REQ_UNKNOWN,                                                     /* 28 UNKNOWN                                         */</v>
      </c>
    </row>
    <row r="35" spans="2:46">
      <c r="B35" s="134"/>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129" t="s">
        <v>68</v>
      </c>
      <c r="AE35" s="129">
        <v>1</v>
      </c>
      <c r="AF35" s="129">
        <v>1</v>
      </c>
      <c r="AG35" s="129">
        <v>1</v>
      </c>
      <c r="AH35" s="129">
        <v>0</v>
      </c>
      <c r="AI35" s="129">
        <v>1</v>
      </c>
      <c r="AJ35" s="25" t="s">
        <v>33</v>
      </c>
      <c r="AL35" t="str">
        <f t="shared" si="0"/>
        <v xml:space="preserve">    (U1)ALERT_REQ_UNKNOWN</v>
      </c>
      <c r="AR35" s="60" t="str">
        <f t="shared" si="3"/>
        <v xml:space="preserve">    (U4)0x0000001DU,                                                           /* 29 UNKNOWN                                         */</v>
      </c>
      <c r="AS35" s="60" t="str">
        <f t="shared" si="4"/>
        <v xml:space="preserve">    (U4)0x0000001FU,                                                           /* 29 UNKNOWN                                         */</v>
      </c>
      <c r="AT35" s="60" t="str">
        <f t="shared" si="1"/>
        <v xml:space="preserve">    (U1)ALERT_REQ_UNKNOWN,                                                     /* 29 UNKNOWN                                         */</v>
      </c>
    </row>
    <row r="36" spans="2:46">
      <c r="B36" s="134"/>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129" t="s">
        <v>68</v>
      </c>
      <c r="AE36" s="129">
        <v>1</v>
      </c>
      <c r="AF36" s="129">
        <v>1</v>
      </c>
      <c r="AG36" s="129">
        <v>1</v>
      </c>
      <c r="AH36" s="129">
        <v>1</v>
      </c>
      <c r="AI36" s="129">
        <v>0</v>
      </c>
      <c r="AJ36" s="25" t="s">
        <v>33</v>
      </c>
      <c r="AL36" t="str">
        <f t="shared" si="0"/>
        <v xml:space="preserve">    (U1)ALERT_REQ_UNKNOWN</v>
      </c>
      <c r="AR36" s="60" t="str">
        <f t="shared" si="3"/>
        <v xml:space="preserve">    (U4)0x0000001EU,                                                           /* 30 UNKNOWN                                         */</v>
      </c>
      <c r="AS36" s="60" t="str">
        <f t="shared" si="4"/>
        <v xml:space="preserve">    (U4)0x0000001FU,                                                           /* 30 UNKNOWN                                         */</v>
      </c>
      <c r="AT36" s="60" t="str">
        <f t="shared" si="1"/>
        <v xml:space="preserve">    (U1)ALERT_REQ_UNKNOWN,                                                     /* 30 UNKNOWN                                         */</v>
      </c>
    </row>
    <row r="37" spans="2:46">
      <c r="B37" s="134"/>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129" t="s">
        <v>68</v>
      </c>
      <c r="AE37" s="129">
        <v>1</v>
      </c>
      <c r="AF37" s="129">
        <v>1</v>
      </c>
      <c r="AG37" s="129">
        <v>1</v>
      </c>
      <c r="AH37" s="129">
        <v>1</v>
      </c>
      <c r="AI37" s="129">
        <v>1</v>
      </c>
      <c r="AJ37" s="25" t="s">
        <v>33</v>
      </c>
      <c r="AL37" t="str">
        <f t="shared" si="0"/>
        <v xml:space="preserve">    (U1)ALERT_REQ_UNKNOWN</v>
      </c>
      <c r="AR37" s="60" t="str">
        <f t="shared" si="3"/>
        <v xml:space="preserve">    (U4)0x0000001FU                                                            /* 31 UNKNOWN                                         */</v>
      </c>
      <c r="AS37" s="60" t="str">
        <f t="shared" si="4"/>
        <v xml:space="preserve">    (U4)0x0000001FU                                                            /* 31 UNKNOWN                                         */</v>
      </c>
      <c r="AT37" s="60" t="str">
        <f t="shared" si="1"/>
        <v xml:space="preserve">    (U1)ALERT_REQ_UNKNOWN                                                      /* 31 UNKNOWN                                         */</v>
      </c>
    </row>
    <row r="38" spans="2:46">
      <c r="B38" s="134"/>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t="s">
        <v>68</v>
      </c>
      <c r="AE38" s="58" t="s">
        <v>68</v>
      </c>
      <c r="AF38" s="58" t="s">
        <v>68</v>
      </c>
      <c r="AG38" s="58" t="s">
        <v>68</v>
      </c>
      <c r="AH38" s="58" t="s">
        <v>68</v>
      </c>
      <c r="AI38" s="58" t="s">
        <v>68</v>
      </c>
      <c r="AJ38" s="25"/>
      <c r="AL38" t="str">
        <f t="shared" ca="1" si="0"/>
        <v xml:space="preserve">    (U1)ALERT_REQ_H_DRIPOW_</v>
      </c>
      <c r="AR38" s="60" t="str">
        <f t="shared" si="3"/>
        <v>};</v>
      </c>
      <c r="AS38" s="60" t="str">
        <f t="shared" si="4"/>
        <v>};</v>
      </c>
      <c r="AT38" s="60" t="str">
        <f t="shared" si="1"/>
        <v>};</v>
      </c>
    </row>
    <row r="39" spans="2:46">
      <c r="B39" s="134"/>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t="s">
        <v>68</v>
      </c>
      <c r="AE39" s="58" t="s">
        <v>68</v>
      </c>
      <c r="AF39" s="58" t="s">
        <v>68</v>
      </c>
      <c r="AG39" s="58" t="s">
        <v>68</v>
      </c>
      <c r="AH39" s="58" t="s">
        <v>68</v>
      </c>
      <c r="AI39" s="58" t="s">
        <v>68</v>
      </c>
      <c r="AJ39" s="25"/>
      <c r="AL39" t="str">
        <f t="shared" ca="1" si="0"/>
        <v xml:space="preserve">    (U1)ALERT_REQ_H_DRIPOW_</v>
      </c>
      <c r="AR39" s="60" t="str">
        <f t="shared" si="3"/>
        <v/>
      </c>
      <c r="AS39" s="60" t="str">
        <f t="shared" si="4"/>
        <v/>
      </c>
      <c r="AT39" s="60" t="str">
        <f t="shared" si="1"/>
        <v/>
      </c>
    </row>
    <row r="40" spans="2:46">
      <c r="B40" s="134"/>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t="s">
        <v>68</v>
      </c>
      <c r="AE40" s="58" t="s">
        <v>68</v>
      </c>
      <c r="AF40" s="58" t="s">
        <v>68</v>
      </c>
      <c r="AG40" s="58" t="s">
        <v>68</v>
      </c>
      <c r="AH40" s="58" t="s">
        <v>68</v>
      </c>
      <c r="AI40" s="58" t="s">
        <v>68</v>
      </c>
      <c r="AJ40" s="25"/>
      <c r="AL40" t="str">
        <f t="shared" ca="1" si="0"/>
        <v xml:space="preserve">    (U1)ALERT_REQ_H_DRIPOW_</v>
      </c>
      <c r="AR40" s="60" t="str">
        <f t="shared" si="3"/>
        <v/>
      </c>
      <c r="AS40" s="60" t="str">
        <f t="shared" si="4"/>
        <v/>
      </c>
      <c r="AT40" s="60" t="str">
        <f t="shared" si="1"/>
        <v/>
      </c>
    </row>
    <row r="41" spans="2:46">
      <c r="B41" s="134"/>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t="s">
        <v>68</v>
      </c>
      <c r="AE41" s="58" t="s">
        <v>68</v>
      </c>
      <c r="AF41" s="58" t="s">
        <v>68</v>
      </c>
      <c r="AG41" s="58" t="s">
        <v>68</v>
      </c>
      <c r="AH41" s="58" t="s">
        <v>68</v>
      </c>
      <c r="AI41" s="58" t="s">
        <v>68</v>
      </c>
      <c r="AJ41" s="25"/>
      <c r="AL41" t="str">
        <f t="shared" ca="1" si="0"/>
        <v xml:space="preserve">    (U1)ALERT_REQ_H_DRIPOW_</v>
      </c>
      <c r="AR41" s="60" t="str">
        <f t="shared" si="3"/>
        <v/>
      </c>
      <c r="AS41" s="60" t="str">
        <f t="shared" si="4"/>
        <v/>
      </c>
      <c r="AT41" s="60" t="str">
        <f t="shared" si="1"/>
        <v/>
      </c>
    </row>
    <row r="42" spans="2:46">
      <c r="B42" s="134"/>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t="s">
        <v>68</v>
      </c>
      <c r="AE42" s="58" t="s">
        <v>68</v>
      </c>
      <c r="AF42" s="58" t="s">
        <v>68</v>
      </c>
      <c r="AG42" s="58" t="s">
        <v>68</v>
      </c>
      <c r="AH42" s="58" t="s">
        <v>68</v>
      </c>
      <c r="AI42" s="58" t="s">
        <v>68</v>
      </c>
      <c r="AJ42" s="25"/>
      <c r="AL42" t="str">
        <f t="shared" ca="1" si="0"/>
        <v xml:space="preserve">    (U1)ALERT_REQ_H_DRIPOW_</v>
      </c>
      <c r="AR42" s="60" t="str">
        <f t="shared" si="3"/>
        <v/>
      </c>
      <c r="AS42" s="60" t="str">
        <f t="shared" si="4"/>
        <v/>
      </c>
      <c r="AT42" s="60" t="str">
        <f t="shared" si="1"/>
        <v/>
      </c>
    </row>
    <row r="43" spans="2:46">
      <c r="B43" s="134"/>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t="s">
        <v>68</v>
      </c>
      <c r="AE43" s="58" t="s">
        <v>68</v>
      </c>
      <c r="AF43" s="58" t="s">
        <v>68</v>
      </c>
      <c r="AG43" s="58" t="s">
        <v>68</v>
      </c>
      <c r="AH43" s="58" t="s">
        <v>68</v>
      </c>
      <c r="AI43" s="58" t="s">
        <v>68</v>
      </c>
      <c r="AJ43" s="25"/>
      <c r="AL43" t="str">
        <f t="shared" ca="1" si="0"/>
        <v xml:space="preserve">    (U1)ALERT_REQ_H_DRIPOW_</v>
      </c>
      <c r="AR43" s="60" t="str">
        <f t="shared" si="3"/>
        <v/>
      </c>
      <c r="AS43" s="60" t="str">
        <f t="shared" si="4"/>
        <v/>
      </c>
      <c r="AT43" s="60" t="str">
        <f t="shared" si="1"/>
        <v/>
      </c>
    </row>
    <row r="44" spans="2:46">
      <c r="B44" s="134"/>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t="s">
        <v>68</v>
      </c>
      <c r="AE44" s="58" t="s">
        <v>68</v>
      </c>
      <c r="AF44" s="58" t="s">
        <v>68</v>
      </c>
      <c r="AG44" s="58" t="s">
        <v>68</v>
      </c>
      <c r="AH44" s="58" t="s">
        <v>68</v>
      </c>
      <c r="AI44" s="58" t="s">
        <v>68</v>
      </c>
      <c r="AJ44" s="25"/>
      <c r="AL44" t="str">
        <f t="shared" ca="1" si="0"/>
        <v xml:space="preserve">    (U1)ALERT_REQ_H_DRIPOW_</v>
      </c>
      <c r="AR44" s="60" t="str">
        <f t="shared" si="3"/>
        <v/>
      </c>
      <c r="AS44" s="60" t="str">
        <f t="shared" si="4"/>
        <v/>
      </c>
      <c r="AT44" s="60" t="str">
        <f t="shared" si="1"/>
        <v/>
      </c>
    </row>
    <row r="45" spans="2:46">
      <c r="B45" s="134"/>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t="s">
        <v>68</v>
      </c>
      <c r="AE45" s="58" t="s">
        <v>68</v>
      </c>
      <c r="AF45" s="58" t="s">
        <v>68</v>
      </c>
      <c r="AG45" s="58" t="s">
        <v>68</v>
      </c>
      <c r="AH45" s="58" t="s">
        <v>68</v>
      </c>
      <c r="AI45" s="58" t="s">
        <v>68</v>
      </c>
      <c r="AJ45" s="25"/>
      <c r="AL45" t="str">
        <f t="shared" ca="1" si="0"/>
        <v xml:space="preserve">    (U1)ALERT_REQ_H_DRIPOW_</v>
      </c>
      <c r="AR45" s="60" t="str">
        <f t="shared" si="3"/>
        <v/>
      </c>
      <c r="AS45" s="60" t="str">
        <f t="shared" si="4"/>
        <v/>
      </c>
      <c r="AT45" s="60" t="str">
        <f t="shared" si="1"/>
        <v/>
      </c>
    </row>
    <row r="46" spans="2:46">
      <c r="B46" s="134"/>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t="s">
        <v>68</v>
      </c>
      <c r="AE46" s="58" t="s">
        <v>68</v>
      </c>
      <c r="AF46" s="58" t="s">
        <v>68</v>
      </c>
      <c r="AG46" s="58" t="s">
        <v>68</v>
      </c>
      <c r="AH46" s="58" t="s">
        <v>68</v>
      </c>
      <c r="AI46" s="58" t="s">
        <v>68</v>
      </c>
      <c r="AJ46" s="25"/>
      <c r="AL46" t="str">
        <f t="shared" ca="1" si="0"/>
        <v xml:space="preserve">    (U1)ALERT_REQ_H_DRIPOW_</v>
      </c>
      <c r="AR46" s="60" t="str">
        <f t="shared" si="3"/>
        <v/>
      </c>
      <c r="AS46" s="60" t="str">
        <f t="shared" si="4"/>
        <v/>
      </c>
      <c r="AT46" s="60" t="str">
        <f t="shared" si="1"/>
        <v/>
      </c>
    </row>
    <row r="47" spans="2:46">
      <c r="B47" s="134"/>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t="s">
        <v>68</v>
      </c>
      <c r="AE47" s="58" t="s">
        <v>68</v>
      </c>
      <c r="AF47" s="58" t="s">
        <v>68</v>
      </c>
      <c r="AG47" s="58" t="s">
        <v>68</v>
      </c>
      <c r="AH47" s="58" t="s">
        <v>68</v>
      </c>
      <c r="AI47" s="58" t="s">
        <v>68</v>
      </c>
      <c r="AJ47" s="25"/>
      <c r="AL47" t="str">
        <f t="shared" ca="1" si="0"/>
        <v xml:space="preserve">    (U1)ALERT_REQ_H_DRIPOW_</v>
      </c>
      <c r="AR47" s="60" t="str">
        <f t="shared" si="3"/>
        <v/>
      </c>
      <c r="AS47" s="60" t="str">
        <f t="shared" si="4"/>
        <v/>
      </c>
      <c r="AT47" s="60" t="str">
        <f t="shared" si="1"/>
        <v/>
      </c>
    </row>
    <row r="48" spans="2:46">
      <c r="B48" s="134"/>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t="s">
        <v>68</v>
      </c>
      <c r="AE48" s="58" t="s">
        <v>68</v>
      </c>
      <c r="AF48" s="58" t="s">
        <v>68</v>
      </c>
      <c r="AG48" s="58" t="s">
        <v>68</v>
      </c>
      <c r="AH48" s="58" t="s">
        <v>68</v>
      </c>
      <c r="AI48" s="58" t="s">
        <v>68</v>
      </c>
      <c r="AJ48" s="25"/>
      <c r="AL48" t="str">
        <f t="shared" ca="1" si="0"/>
        <v xml:space="preserve">    (U1)ALERT_REQ_H_DRIPOW_</v>
      </c>
      <c r="AR48" s="60" t="str">
        <f t="shared" si="3"/>
        <v/>
      </c>
      <c r="AS48" s="60" t="str">
        <f t="shared" si="4"/>
        <v/>
      </c>
      <c r="AT48" s="60" t="str">
        <f t="shared" si="1"/>
        <v/>
      </c>
    </row>
    <row r="49" spans="2:46">
      <c r="B49" s="134"/>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t="s">
        <v>68</v>
      </c>
      <c r="AE49" s="58" t="s">
        <v>68</v>
      </c>
      <c r="AF49" s="58" t="s">
        <v>68</v>
      </c>
      <c r="AG49" s="58" t="s">
        <v>68</v>
      </c>
      <c r="AH49" s="58" t="s">
        <v>68</v>
      </c>
      <c r="AI49" s="58" t="s">
        <v>68</v>
      </c>
      <c r="AJ49" s="25"/>
      <c r="AL49" t="str">
        <f t="shared" ca="1" si="0"/>
        <v xml:space="preserve">    (U1)ALERT_REQ_H_DRIPOW_</v>
      </c>
      <c r="AR49" s="60" t="str">
        <f t="shared" si="3"/>
        <v/>
      </c>
      <c r="AS49" s="60" t="str">
        <f t="shared" si="4"/>
        <v/>
      </c>
      <c r="AT49" s="60" t="str">
        <f t="shared" si="1"/>
        <v/>
      </c>
    </row>
    <row r="50" spans="2:46">
      <c r="B50" s="134"/>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t="s">
        <v>68</v>
      </c>
      <c r="AE50" s="58" t="s">
        <v>68</v>
      </c>
      <c r="AF50" s="58" t="s">
        <v>68</v>
      </c>
      <c r="AG50" s="58" t="s">
        <v>68</v>
      </c>
      <c r="AH50" s="58" t="s">
        <v>68</v>
      </c>
      <c r="AI50" s="58" t="s">
        <v>68</v>
      </c>
      <c r="AJ50" s="25"/>
      <c r="AL50" t="str">
        <f t="shared" ca="1" si="0"/>
        <v xml:space="preserve">    (U1)ALERT_REQ_H_DRIPOW_</v>
      </c>
      <c r="AR50" s="60" t="str">
        <f t="shared" si="3"/>
        <v/>
      </c>
      <c r="AS50" s="60" t="str">
        <f t="shared" si="4"/>
        <v/>
      </c>
      <c r="AT50" s="60" t="str">
        <f t="shared" si="1"/>
        <v/>
      </c>
    </row>
    <row r="51" spans="2:46">
      <c r="B51" s="134"/>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t="s">
        <v>68</v>
      </c>
      <c r="AE51" s="58" t="s">
        <v>68</v>
      </c>
      <c r="AF51" s="58" t="s">
        <v>68</v>
      </c>
      <c r="AG51" s="58" t="s">
        <v>68</v>
      </c>
      <c r="AH51" s="58" t="s">
        <v>68</v>
      </c>
      <c r="AI51" s="58" t="s">
        <v>68</v>
      </c>
      <c r="AJ51" s="25"/>
      <c r="AL51" t="str">
        <f t="shared" ca="1" si="0"/>
        <v xml:space="preserve">    (U1)ALERT_REQ_H_DRIPOW_</v>
      </c>
      <c r="AR51" s="60" t="str">
        <f t="shared" si="3"/>
        <v/>
      </c>
      <c r="AS51" s="60" t="str">
        <f t="shared" si="4"/>
        <v/>
      </c>
      <c r="AT51" s="60" t="str">
        <f t="shared" si="1"/>
        <v/>
      </c>
    </row>
    <row r="52" spans="2:46">
      <c r="B52" s="134"/>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t="s">
        <v>68</v>
      </c>
      <c r="AE52" s="58" t="s">
        <v>68</v>
      </c>
      <c r="AF52" s="58" t="s">
        <v>68</v>
      </c>
      <c r="AG52" s="58" t="s">
        <v>68</v>
      </c>
      <c r="AH52" s="58" t="s">
        <v>68</v>
      </c>
      <c r="AI52" s="58" t="s">
        <v>68</v>
      </c>
      <c r="AJ52" s="25"/>
      <c r="AL52" t="str">
        <f t="shared" ca="1" si="0"/>
        <v xml:space="preserve">    (U1)ALERT_REQ_H_DRIPOW_</v>
      </c>
      <c r="AR52" s="60" t="str">
        <f t="shared" si="3"/>
        <v/>
      </c>
      <c r="AS52" s="60" t="str">
        <f t="shared" si="4"/>
        <v/>
      </c>
      <c r="AT52" s="60" t="str">
        <f t="shared" si="1"/>
        <v/>
      </c>
    </row>
    <row r="53" spans="2:46">
      <c r="B53" s="134"/>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t="s">
        <v>68</v>
      </c>
      <c r="AE53" s="58" t="s">
        <v>68</v>
      </c>
      <c r="AF53" s="58" t="s">
        <v>68</v>
      </c>
      <c r="AG53" s="58" t="s">
        <v>68</v>
      </c>
      <c r="AH53" s="58" t="s">
        <v>68</v>
      </c>
      <c r="AI53" s="58" t="s">
        <v>68</v>
      </c>
      <c r="AJ53" s="25"/>
      <c r="AL53" t="str">
        <f t="shared" ca="1" si="0"/>
        <v xml:space="preserve">    (U1)ALERT_REQ_H_DRIPOW_</v>
      </c>
      <c r="AR53" s="60" t="str">
        <f t="shared" si="3"/>
        <v/>
      </c>
      <c r="AS53" s="60" t="str">
        <f t="shared" si="4"/>
        <v/>
      </c>
      <c r="AT53" s="60" t="str">
        <f t="shared" si="1"/>
        <v/>
      </c>
    </row>
    <row r="54" spans="2:46">
      <c r="B54" s="134"/>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t="s">
        <v>68</v>
      </c>
      <c r="AE54" s="58" t="s">
        <v>68</v>
      </c>
      <c r="AF54" s="58" t="s">
        <v>68</v>
      </c>
      <c r="AG54" s="58" t="s">
        <v>68</v>
      </c>
      <c r="AH54" s="58" t="s">
        <v>68</v>
      </c>
      <c r="AI54" s="58" t="s">
        <v>68</v>
      </c>
      <c r="AJ54" s="25"/>
      <c r="AL54" t="str">
        <f t="shared" ca="1" si="0"/>
        <v xml:space="preserve">    (U1)ALERT_REQ_H_DRIPOW_</v>
      </c>
      <c r="AR54" s="60" t="str">
        <f t="shared" si="3"/>
        <v/>
      </c>
      <c r="AS54" s="60" t="str">
        <f t="shared" si="4"/>
        <v/>
      </c>
      <c r="AT54" s="60" t="str">
        <f t="shared" si="1"/>
        <v/>
      </c>
    </row>
    <row r="55" spans="2:46">
      <c r="B55" s="134"/>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t="s">
        <v>68</v>
      </c>
      <c r="AE55" s="58" t="s">
        <v>68</v>
      </c>
      <c r="AF55" s="58" t="s">
        <v>68</v>
      </c>
      <c r="AG55" s="58" t="s">
        <v>68</v>
      </c>
      <c r="AH55" s="58" t="s">
        <v>68</v>
      </c>
      <c r="AI55" s="58" t="s">
        <v>68</v>
      </c>
      <c r="AJ55" s="25"/>
      <c r="AL55" t="str">
        <f t="shared" ca="1" si="0"/>
        <v xml:space="preserve">    (U1)ALERT_REQ_H_DRIPOW_</v>
      </c>
      <c r="AR55" s="60" t="str">
        <f t="shared" si="3"/>
        <v/>
      </c>
      <c r="AS55" s="60" t="str">
        <f t="shared" si="4"/>
        <v/>
      </c>
      <c r="AT55" s="60" t="str">
        <f t="shared" si="1"/>
        <v/>
      </c>
    </row>
    <row r="56" spans="2:46">
      <c r="B56" s="134"/>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t="s">
        <v>68</v>
      </c>
      <c r="AE56" s="58" t="s">
        <v>68</v>
      </c>
      <c r="AF56" s="58" t="s">
        <v>68</v>
      </c>
      <c r="AG56" s="58" t="s">
        <v>68</v>
      </c>
      <c r="AH56" s="58" t="s">
        <v>68</v>
      </c>
      <c r="AI56" s="58" t="s">
        <v>68</v>
      </c>
      <c r="AJ56" s="25"/>
      <c r="AL56" t="str">
        <f t="shared" ca="1" si="0"/>
        <v xml:space="preserve">    (U1)ALERT_REQ_H_DRIPOW_</v>
      </c>
      <c r="AR56" s="60" t="str">
        <f t="shared" si="3"/>
        <v/>
      </c>
      <c r="AS56" s="60" t="str">
        <f t="shared" si="4"/>
        <v/>
      </c>
      <c r="AT56" s="60" t="str">
        <f t="shared" si="1"/>
        <v/>
      </c>
    </row>
    <row r="57" spans="2:46">
      <c r="B57" s="134"/>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t="s">
        <v>68</v>
      </c>
      <c r="AE57" s="58" t="s">
        <v>68</v>
      </c>
      <c r="AF57" s="58" t="s">
        <v>68</v>
      </c>
      <c r="AG57" s="58" t="s">
        <v>68</v>
      </c>
      <c r="AH57" s="58" t="s">
        <v>68</v>
      </c>
      <c r="AI57" s="58" t="s">
        <v>68</v>
      </c>
      <c r="AJ57" s="25"/>
      <c r="AL57" t="str">
        <f t="shared" ca="1" si="0"/>
        <v xml:space="preserve">    (U1)ALERT_REQ_H_DRIPOW_</v>
      </c>
      <c r="AR57" s="60" t="str">
        <f t="shared" si="3"/>
        <v/>
      </c>
      <c r="AS57" s="60" t="str">
        <f t="shared" si="4"/>
        <v/>
      </c>
      <c r="AT57" s="60" t="str">
        <f t="shared" si="1"/>
        <v/>
      </c>
    </row>
    <row r="58" spans="2:46">
      <c r="B58" s="134"/>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t="s">
        <v>68</v>
      </c>
      <c r="AE58" s="58" t="s">
        <v>68</v>
      </c>
      <c r="AF58" s="58" t="s">
        <v>68</v>
      </c>
      <c r="AG58" s="58" t="s">
        <v>68</v>
      </c>
      <c r="AH58" s="58" t="s">
        <v>68</v>
      </c>
      <c r="AI58" s="58" t="s">
        <v>68</v>
      </c>
      <c r="AJ58" s="25"/>
      <c r="AL58" t="str">
        <f t="shared" ca="1" si="0"/>
        <v xml:space="preserve">    (U1)ALERT_REQ_H_DRIPOW_</v>
      </c>
      <c r="AR58" s="60" t="str">
        <f t="shared" si="3"/>
        <v/>
      </c>
      <c r="AS58" s="60" t="str">
        <f t="shared" si="4"/>
        <v/>
      </c>
      <c r="AT58" s="60" t="str">
        <f t="shared" si="1"/>
        <v/>
      </c>
    </row>
    <row r="59" spans="2:46">
      <c r="B59" s="134"/>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t="s">
        <v>68</v>
      </c>
      <c r="AE59" s="58" t="s">
        <v>68</v>
      </c>
      <c r="AF59" s="58" t="s">
        <v>68</v>
      </c>
      <c r="AG59" s="58" t="s">
        <v>68</v>
      </c>
      <c r="AH59" s="58" t="s">
        <v>68</v>
      </c>
      <c r="AI59" s="58" t="s">
        <v>68</v>
      </c>
      <c r="AJ59" s="25"/>
      <c r="AL59" t="str">
        <f t="shared" ca="1" si="0"/>
        <v xml:space="preserve">    (U1)ALERT_REQ_H_DRIPOW_</v>
      </c>
      <c r="AR59" s="60" t="str">
        <f t="shared" si="3"/>
        <v/>
      </c>
      <c r="AS59" s="60" t="str">
        <f t="shared" si="4"/>
        <v/>
      </c>
      <c r="AT59" s="60" t="str">
        <f t="shared" si="1"/>
        <v/>
      </c>
    </row>
    <row r="60" spans="2:46">
      <c r="B60" s="134"/>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t="s">
        <v>68</v>
      </c>
      <c r="AE60" s="58" t="s">
        <v>68</v>
      </c>
      <c r="AF60" s="58" t="s">
        <v>68</v>
      </c>
      <c r="AG60" s="58" t="s">
        <v>68</v>
      </c>
      <c r="AH60" s="58" t="s">
        <v>68</v>
      </c>
      <c r="AI60" s="58" t="s">
        <v>68</v>
      </c>
      <c r="AJ60" s="25"/>
      <c r="AL60" t="str">
        <f t="shared" ca="1" si="0"/>
        <v xml:space="preserve">    (U1)ALERT_REQ_H_DRIPOW_</v>
      </c>
      <c r="AR60" s="60" t="str">
        <f t="shared" si="3"/>
        <v/>
      </c>
      <c r="AS60" s="60" t="str">
        <f t="shared" si="4"/>
        <v/>
      </c>
      <c r="AT60" s="60" t="str">
        <f t="shared" si="1"/>
        <v/>
      </c>
    </row>
    <row r="61" spans="2:46">
      <c r="B61" s="134"/>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t="s">
        <v>68</v>
      </c>
      <c r="AE61" s="58" t="s">
        <v>68</v>
      </c>
      <c r="AF61" s="58" t="s">
        <v>68</v>
      </c>
      <c r="AG61" s="58" t="s">
        <v>68</v>
      </c>
      <c r="AH61" s="58" t="s">
        <v>68</v>
      </c>
      <c r="AI61" s="58" t="s">
        <v>68</v>
      </c>
      <c r="AJ61" s="25"/>
      <c r="AL61" t="str">
        <f t="shared" ca="1" si="0"/>
        <v xml:space="preserve">    (U1)ALERT_REQ_H_DRIPOW_</v>
      </c>
      <c r="AR61" s="60" t="str">
        <f t="shared" si="3"/>
        <v/>
      </c>
      <c r="AS61" s="60" t="str">
        <f t="shared" si="4"/>
        <v/>
      </c>
      <c r="AT61" s="60" t="str">
        <f t="shared" si="1"/>
        <v/>
      </c>
    </row>
    <row r="62" spans="2:46">
      <c r="B62" s="134"/>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t="s">
        <v>68</v>
      </c>
      <c r="AE62" s="58" t="s">
        <v>68</v>
      </c>
      <c r="AF62" s="58" t="s">
        <v>68</v>
      </c>
      <c r="AG62" s="58" t="s">
        <v>68</v>
      </c>
      <c r="AH62" s="58" t="s">
        <v>68</v>
      </c>
      <c r="AI62" s="58" t="s">
        <v>68</v>
      </c>
      <c r="AJ62" s="25"/>
      <c r="AL62" t="str">
        <f t="shared" ca="1" si="0"/>
        <v xml:space="preserve">    (U1)ALERT_REQ_H_DRIPOW_</v>
      </c>
      <c r="AR62" s="60" t="str">
        <f t="shared" si="3"/>
        <v/>
      </c>
      <c r="AS62" s="60" t="str">
        <f t="shared" si="4"/>
        <v/>
      </c>
      <c r="AT62" s="60" t="str">
        <f t="shared" si="1"/>
        <v/>
      </c>
    </row>
    <row r="63" spans="2:46">
      <c r="B63" s="134"/>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t="s">
        <v>68</v>
      </c>
      <c r="AE63" s="58" t="s">
        <v>68</v>
      </c>
      <c r="AF63" s="58" t="s">
        <v>68</v>
      </c>
      <c r="AG63" s="58" t="s">
        <v>68</v>
      </c>
      <c r="AH63" s="58" t="s">
        <v>68</v>
      </c>
      <c r="AI63" s="58" t="s">
        <v>68</v>
      </c>
      <c r="AJ63" s="25"/>
      <c r="AL63" t="str">
        <f t="shared" ca="1" si="0"/>
        <v xml:space="preserve">    (U1)ALERT_REQ_H_DRIPOW_</v>
      </c>
      <c r="AR63" s="60" t="str">
        <f t="shared" si="3"/>
        <v/>
      </c>
      <c r="AS63" s="60" t="str">
        <f t="shared" si="4"/>
        <v/>
      </c>
      <c r="AT63" s="60" t="str">
        <f t="shared" si="1"/>
        <v/>
      </c>
    </row>
    <row r="64" spans="2:46">
      <c r="B64" s="134"/>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t="s">
        <v>68</v>
      </c>
      <c r="AE64" s="58" t="s">
        <v>68</v>
      </c>
      <c r="AF64" s="58" t="s">
        <v>68</v>
      </c>
      <c r="AG64" s="58" t="s">
        <v>68</v>
      </c>
      <c r="AH64" s="58" t="s">
        <v>68</v>
      </c>
      <c r="AI64" s="58" t="s">
        <v>68</v>
      </c>
      <c r="AJ64" s="25"/>
      <c r="AL64" t="str">
        <f t="shared" ca="1" si="0"/>
        <v xml:space="preserve">    (U1)ALERT_REQ_H_DRIPOW_</v>
      </c>
      <c r="AR64" s="60" t="str">
        <f t="shared" si="3"/>
        <v/>
      </c>
      <c r="AS64" s="60" t="str">
        <f t="shared" si="4"/>
        <v/>
      </c>
      <c r="AT64" s="60" t="str">
        <f t="shared" si="1"/>
        <v/>
      </c>
    </row>
    <row r="65" spans="1:46">
      <c r="B65" s="134"/>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t="s">
        <v>68</v>
      </c>
      <c r="AE65" s="58" t="s">
        <v>68</v>
      </c>
      <c r="AF65" s="58" t="s">
        <v>68</v>
      </c>
      <c r="AG65" s="58" t="s">
        <v>68</v>
      </c>
      <c r="AH65" s="58" t="s">
        <v>68</v>
      </c>
      <c r="AI65" s="58" t="s">
        <v>68</v>
      </c>
      <c r="AJ65" s="25"/>
      <c r="AL65" t="str">
        <f t="shared" ca="1" si="0"/>
        <v xml:space="preserve">    (U1)ALERT_REQ_H_DRIPOW_</v>
      </c>
      <c r="AR65" s="60" t="str">
        <f t="shared" si="3"/>
        <v/>
      </c>
      <c r="AS65" s="60" t="str">
        <f t="shared" si="4"/>
        <v/>
      </c>
      <c r="AT65" s="60" t="str">
        <f t="shared" si="1"/>
        <v/>
      </c>
    </row>
    <row r="66" spans="1:46">
      <c r="B66" s="134"/>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t="s">
        <v>68</v>
      </c>
      <c r="AE66" s="58" t="s">
        <v>68</v>
      </c>
      <c r="AF66" s="58" t="s">
        <v>68</v>
      </c>
      <c r="AG66" s="58" t="s">
        <v>68</v>
      </c>
      <c r="AH66" s="58" t="s">
        <v>68</v>
      </c>
      <c r="AI66" s="58" t="s">
        <v>68</v>
      </c>
      <c r="AJ66" s="25"/>
      <c r="AL66" t="str">
        <f t="shared" ca="1" si="0"/>
        <v xml:space="preserve">    (U1)ALERT_REQ_H_DRIPOW_</v>
      </c>
      <c r="AR66" s="60" t="str">
        <f t="shared" si="3"/>
        <v/>
      </c>
      <c r="AS66" s="60" t="str">
        <f t="shared" si="4"/>
        <v/>
      </c>
      <c r="AT66" s="60" t="str">
        <f t="shared" si="1"/>
        <v/>
      </c>
    </row>
    <row r="67" spans="1:46">
      <c r="B67" s="134"/>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t="s">
        <v>68</v>
      </c>
      <c r="AE67" s="58" t="s">
        <v>68</v>
      </c>
      <c r="AF67" s="58" t="s">
        <v>68</v>
      </c>
      <c r="AG67" s="58" t="s">
        <v>68</v>
      </c>
      <c r="AH67" s="58" t="s">
        <v>68</v>
      </c>
      <c r="AI67" s="58" t="s">
        <v>68</v>
      </c>
      <c r="AJ67" s="25"/>
      <c r="AL67" t="str">
        <f t="shared" ca="1" si="0"/>
        <v xml:space="preserve">    (U1)ALERT_REQ_H_DRIPOW_</v>
      </c>
      <c r="AR67" s="60" t="str">
        <f t="shared" si="3"/>
        <v/>
      </c>
      <c r="AS67" s="60" t="str">
        <f t="shared" si="4"/>
        <v/>
      </c>
      <c r="AT67" s="60" t="str">
        <f t="shared" si="1"/>
        <v/>
      </c>
    </row>
    <row r="68" spans="1:46">
      <c r="B68" s="134"/>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t="s">
        <v>68</v>
      </c>
      <c r="AE68" s="58" t="s">
        <v>68</v>
      </c>
      <c r="AF68" s="58" t="s">
        <v>68</v>
      </c>
      <c r="AG68" s="58" t="s">
        <v>68</v>
      </c>
      <c r="AH68" s="58" t="s">
        <v>68</v>
      </c>
      <c r="AI68" s="58" t="s">
        <v>68</v>
      </c>
      <c r="AJ68" s="25"/>
      <c r="AL68" t="str">
        <f t="shared" ca="1" si="0"/>
        <v xml:space="preserve">    (U1)ALERT_REQ_H_DRIPOW_</v>
      </c>
      <c r="AR68" s="60" t="str">
        <f t="shared" si="3"/>
        <v/>
      </c>
      <c r="AS68" s="60" t="str">
        <f t="shared" si="4"/>
        <v/>
      </c>
      <c r="AT68" s="60" t="str">
        <f t="shared" si="1"/>
        <v/>
      </c>
    </row>
    <row r="69" spans="1:46">
      <c r="B69" s="135"/>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t="s">
        <v>68</v>
      </c>
      <c r="AE69" s="58" t="s">
        <v>68</v>
      </c>
      <c r="AF69" s="58" t="s">
        <v>68</v>
      </c>
      <c r="AG69" s="58" t="s">
        <v>68</v>
      </c>
      <c r="AH69" s="58" t="s">
        <v>68</v>
      </c>
      <c r="AI69" s="58" t="s">
        <v>68</v>
      </c>
      <c r="AJ69" s="25"/>
      <c r="AL69" t="str">
        <f t="shared" ca="1" si="0"/>
        <v xml:space="preserve">    (U1)ALERT_REQ_H_DRIPOW_</v>
      </c>
      <c r="AR69" s="60" t="str">
        <f t="shared" si="3"/>
        <v/>
      </c>
      <c r="AS69" s="60" t="str">
        <f t="shared" si="4"/>
        <v/>
      </c>
      <c r="AT69" s="60" t="str">
        <f t="shared" si="1"/>
        <v/>
      </c>
    </row>
    <row r="70" spans="1:46" ht="13.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H_DRIPOW</v>
      </c>
      <c r="C71" s="44">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4">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4"/>
      <c r="C73" s="44">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4" t="str">
        <f t="shared" si="7"/>
        <v>OVHT</v>
      </c>
      <c r="AK73" s="57"/>
      <c r="AL73" s="57" t="str">
        <f t="shared" si="10"/>
        <v>02</v>
      </c>
      <c r="AM73" s="59" t="str">
        <f t="shared" si="11"/>
        <v>00</v>
      </c>
      <c r="AN73" s="59" t="str">
        <f t="shared" si="12"/>
        <v>00</v>
      </c>
      <c r="AO73" s="59" t="str">
        <f t="shared" si="13"/>
        <v>00</v>
      </c>
      <c r="AQ73" t="str">
        <f t="shared" si="8"/>
        <v xml:space="preserve">    (U4)0x00000002U,                                                           /* 02 OVHT                                            */</v>
      </c>
    </row>
    <row r="74" spans="1:46">
      <c r="B74" s="134"/>
      <c r="C74" s="44">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4" t="str">
        <f t="shared" si="7"/>
        <v>BATLOW</v>
      </c>
      <c r="AK74" s="57"/>
      <c r="AL74" s="57" t="str">
        <f t="shared" si="10"/>
        <v>03</v>
      </c>
      <c r="AM74" s="59" t="str">
        <f t="shared" si="11"/>
        <v>00</v>
      </c>
      <c r="AN74" s="59" t="str">
        <f t="shared" si="12"/>
        <v>00</v>
      </c>
      <c r="AO74" s="59" t="str">
        <f t="shared" si="13"/>
        <v>00</v>
      </c>
      <c r="AQ74" t="str">
        <f t="shared" si="8"/>
        <v xml:space="preserve">    (U4)0x00000003U,                                                           /* 03 BATLOW                                          */</v>
      </c>
    </row>
    <row r="75" spans="1:46">
      <c r="B75" s="134"/>
      <c r="C75" s="44">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4" t="str">
        <f t="shared" si="7"/>
        <v>OTHER</v>
      </c>
      <c r="AK75" s="57"/>
      <c r="AL75" s="57" t="str">
        <f t="shared" si="10"/>
        <v>04</v>
      </c>
      <c r="AM75" s="59" t="str">
        <f t="shared" si="11"/>
        <v>00</v>
      </c>
      <c r="AN75" s="59" t="str">
        <f t="shared" si="12"/>
        <v>00</v>
      </c>
      <c r="AO75" s="59" t="str">
        <f t="shared" si="13"/>
        <v>00</v>
      </c>
      <c r="AQ75" t="str">
        <f t="shared" si="8"/>
        <v xml:space="preserve">    (U4)0x00000004U,                                                           /* 04 OTHER                                           */</v>
      </c>
    </row>
    <row r="76" spans="1:46">
      <c r="B76" s="134"/>
      <c r="C76" s="44">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4"/>
      <c r="C77" s="44">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4"/>
      <c r="C78" s="44">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4"/>
      <c r="C79" s="44">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4"/>
      <c r="C80" s="44">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4"/>
      <c r="C81" s="44">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4"/>
      <c r="C82" s="44">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4"/>
      <c r="C83" s="44">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4"/>
      <c r="C84" s="44">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4"/>
      <c r="C85" s="44">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4"/>
      <c r="C86" s="44">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4"/>
      <c r="C87" s="44">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4" t="str">
        <f t="shared" si="7"/>
        <v>UNKNOWN</v>
      </c>
      <c r="AK87" s="57"/>
      <c r="AL87" s="57" t="str">
        <f t="shared" si="10"/>
        <v>10</v>
      </c>
      <c r="AM87" s="59" t="str">
        <f t="shared" si="11"/>
        <v>00</v>
      </c>
      <c r="AN87" s="59" t="str">
        <f t="shared" si="12"/>
        <v>00</v>
      </c>
      <c r="AO87" s="59" t="str">
        <f t="shared" si="13"/>
        <v>00</v>
      </c>
      <c r="AQ87" t="str">
        <f t="shared" si="8"/>
        <v xml:space="preserve">    (U4)0x00000010U,                                                           /* 16 UNKNOWN                                         */</v>
      </c>
    </row>
    <row r="88" spans="2:43">
      <c r="B88" s="134"/>
      <c r="C88" s="44">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4" t="str">
        <f t="shared" si="7"/>
        <v>UNKNOWN</v>
      </c>
      <c r="AK88" s="57"/>
      <c r="AL88" s="57" t="str">
        <f t="shared" si="10"/>
        <v>11</v>
      </c>
      <c r="AM88" s="59" t="str">
        <f t="shared" si="11"/>
        <v>00</v>
      </c>
      <c r="AN88" s="59" t="str">
        <f t="shared" si="12"/>
        <v>00</v>
      </c>
      <c r="AO88" s="59" t="str">
        <f t="shared" si="13"/>
        <v>00</v>
      </c>
      <c r="AQ88" t="str">
        <f t="shared" si="8"/>
        <v xml:space="preserve">    (U4)0x00000011U,                                                           /* 17 UNKNOWN                                         */</v>
      </c>
    </row>
    <row r="89" spans="2:43">
      <c r="B89" s="134"/>
      <c r="C89" s="44">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4" t="str">
        <f t="shared" si="7"/>
        <v>OVHT_CHN</v>
      </c>
      <c r="AK89" s="57"/>
      <c r="AL89" s="57" t="str">
        <f t="shared" si="10"/>
        <v>12</v>
      </c>
      <c r="AM89" s="59" t="str">
        <f t="shared" si="11"/>
        <v>00</v>
      </c>
      <c r="AN89" s="59" t="str">
        <f t="shared" si="12"/>
        <v>00</v>
      </c>
      <c r="AO89" s="59" t="str">
        <f t="shared" si="13"/>
        <v>00</v>
      </c>
      <c r="AQ89" t="str">
        <f t="shared" si="8"/>
        <v xml:space="preserve">    (U4)0x00000012U,                                                           /* 18 OVHT_CHN                                        */</v>
      </c>
    </row>
    <row r="90" spans="2:43">
      <c r="B90" s="134"/>
      <c r="C90" s="44">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4" t="str">
        <f t="shared" si="7"/>
        <v>BATLOW_CHN</v>
      </c>
      <c r="AK90" s="57"/>
      <c r="AL90" s="57" t="str">
        <f t="shared" si="10"/>
        <v>13</v>
      </c>
      <c r="AM90" s="59" t="str">
        <f t="shared" si="11"/>
        <v>00</v>
      </c>
      <c r="AN90" s="59" t="str">
        <f t="shared" si="12"/>
        <v>00</v>
      </c>
      <c r="AO90" s="59" t="str">
        <f t="shared" si="13"/>
        <v>00</v>
      </c>
      <c r="AQ90" t="str">
        <f t="shared" si="8"/>
        <v xml:space="preserve">    (U4)0x00000013U,                                                           /* 19 BATLOW_CHN                                      */</v>
      </c>
    </row>
    <row r="91" spans="2:43">
      <c r="B91" s="134"/>
      <c r="C91" s="44">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4" t="str">
        <f t="shared" si="7"/>
        <v>OTHER_CHN</v>
      </c>
      <c r="AK91" s="57"/>
      <c r="AL91" s="57" t="str">
        <f t="shared" si="10"/>
        <v>14</v>
      </c>
      <c r="AM91" s="59" t="str">
        <f t="shared" si="11"/>
        <v>00</v>
      </c>
      <c r="AN91" s="59" t="str">
        <f t="shared" si="12"/>
        <v>00</v>
      </c>
      <c r="AO91" s="59" t="str">
        <f t="shared" si="13"/>
        <v>00</v>
      </c>
      <c r="AQ91" t="str">
        <f t="shared" si="8"/>
        <v xml:space="preserve">    (U4)0x00000014U,                                                           /* 20 OTHER_CHN                                       */</v>
      </c>
    </row>
    <row r="92" spans="2:43">
      <c r="B92" s="134"/>
      <c r="C92" s="44">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4" t="str">
        <f t="shared" si="7"/>
        <v>UNKNOWN</v>
      </c>
      <c r="AK92" s="57"/>
      <c r="AL92" s="57" t="str">
        <f t="shared" si="10"/>
        <v>15</v>
      </c>
      <c r="AM92" s="59" t="str">
        <f t="shared" si="11"/>
        <v>00</v>
      </c>
      <c r="AN92" s="59" t="str">
        <f t="shared" si="12"/>
        <v>00</v>
      </c>
      <c r="AO92" s="59" t="str">
        <f t="shared" si="13"/>
        <v>00</v>
      </c>
      <c r="AQ92" t="str">
        <f t="shared" si="8"/>
        <v xml:space="preserve">    (U4)0x00000015U,                                                           /* 21 UNKNOWN                                         */</v>
      </c>
    </row>
    <row r="93" spans="2:43">
      <c r="B93" s="134"/>
      <c r="C93" s="44">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4" t="str">
        <f t="shared" si="7"/>
        <v>UNKNOWN</v>
      </c>
      <c r="AK93" s="57"/>
      <c r="AL93" s="57" t="str">
        <f t="shared" si="10"/>
        <v>16</v>
      </c>
      <c r="AM93" s="59" t="str">
        <f t="shared" si="11"/>
        <v>00</v>
      </c>
      <c r="AN93" s="59" t="str">
        <f t="shared" si="12"/>
        <v>00</v>
      </c>
      <c r="AO93" s="59" t="str">
        <f t="shared" si="13"/>
        <v>00</v>
      </c>
      <c r="AQ93" t="str">
        <f t="shared" si="8"/>
        <v xml:space="preserve">    (U4)0x00000016U,                                                           /* 22 UNKNOWN                                         */</v>
      </c>
    </row>
    <row r="94" spans="2:43">
      <c r="B94" s="134"/>
      <c r="C94" s="44">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4" t="str">
        <f t="shared" si="7"/>
        <v>UNKNOWN</v>
      </c>
      <c r="AK94" s="57"/>
      <c r="AL94" s="57" t="str">
        <f t="shared" si="10"/>
        <v>17</v>
      </c>
      <c r="AM94" s="59" t="str">
        <f t="shared" si="11"/>
        <v>00</v>
      </c>
      <c r="AN94" s="59" t="str">
        <f t="shared" si="12"/>
        <v>00</v>
      </c>
      <c r="AO94" s="59" t="str">
        <f t="shared" si="13"/>
        <v>00</v>
      </c>
      <c r="AQ94" t="str">
        <f t="shared" si="8"/>
        <v xml:space="preserve">    (U4)0x00000017U,                                                           /* 23 UNKNOWN                                         */</v>
      </c>
    </row>
    <row r="95" spans="2:43">
      <c r="B95" s="134"/>
      <c r="C95" s="44">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4" t="str">
        <f t="shared" si="7"/>
        <v>UNKNOWN</v>
      </c>
      <c r="AK95" s="57"/>
      <c r="AL95" s="57" t="str">
        <f t="shared" si="10"/>
        <v>18</v>
      </c>
      <c r="AM95" s="59" t="str">
        <f t="shared" si="11"/>
        <v>00</v>
      </c>
      <c r="AN95" s="59" t="str">
        <f t="shared" si="12"/>
        <v>00</v>
      </c>
      <c r="AO95" s="59" t="str">
        <f t="shared" si="13"/>
        <v>00</v>
      </c>
      <c r="AQ95" t="str">
        <f t="shared" si="8"/>
        <v xml:space="preserve">    (U4)0x00000018U,                                                           /* 24 UNKNOWN                                         */</v>
      </c>
    </row>
    <row r="96" spans="2:43">
      <c r="B96" s="134"/>
      <c r="C96" s="44">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4" t="str">
        <f t="shared" si="7"/>
        <v>UNKNOWN</v>
      </c>
      <c r="AK96" s="57"/>
      <c r="AL96" s="57" t="str">
        <f t="shared" si="10"/>
        <v>19</v>
      </c>
      <c r="AM96" s="59" t="str">
        <f t="shared" si="11"/>
        <v>00</v>
      </c>
      <c r="AN96" s="59" t="str">
        <f t="shared" si="12"/>
        <v>00</v>
      </c>
      <c r="AO96" s="59" t="str">
        <f t="shared" si="13"/>
        <v>00</v>
      </c>
      <c r="AQ96" t="str">
        <f t="shared" si="8"/>
        <v xml:space="preserve">    (U4)0x00000019U,                                                           /* 25 UNKNOWN                                         */</v>
      </c>
    </row>
    <row r="97" spans="2:43">
      <c r="B97" s="134"/>
      <c r="C97" s="44">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4" t="str">
        <f t="shared" si="7"/>
        <v>UNKNOWN</v>
      </c>
      <c r="AK97" s="57"/>
      <c r="AL97" s="57" t="str">
        <f t="shared" si="10"/>
        <v>1A</v>
      </c>
      <c r="AM97" s="59" t="str">
        <f t="shared" si="11"/>
        <v>00</v>
      </c>
      <c r="AN97" s="59" t="str">
        <f t="shared" si="12"/>
        <v>00</v>
      </c>
      <c r="AO97" s="59" t="str">
        <f t="shared" si="13"/>
        <v>00</v>
      </c>
      <c r="AQ97" t="str">
        <f t="shared" si="8"/>
        <v xml:space="preserve">    (U4)0x0000001AU,                                                           /* 26 UNKNOWN                                         */</v>
      </c>
    </row>
    <row r="98" spans="2:43">
      <c r="B98" s="134"/>
      <c r="C98" s="44">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4" t="str">
        <f t="shared" si="7"/>
        <v>UNKNOWN</v>
      </c>
      <c r="AK98" s="57"/>
      <c r="AL98" s="57" t="str">
        <f t="shared" si="10"/>
        <v>1B</v>
      </c>
      <c r="AM98" s="59" t="str">
        <f t="shared" si="11"/>
        <v>00</v>
      </c>
      <c r="AN98" s="59" t="str">
        <f t="shared" si="12"/>
        <v>00</v>
      </c>
      <c r="AO98" s="59" t="str">
        <f t="shared" si="13"/>
        <v>00</v>
      </c>
      <c r="AQ98" t="str">
        <f t="shared" si="8"/>
        <v xml:space="preserve">    (U4)0x0000001BU,                                                           /* 27 UNKNOWN                                         */</v>
      </c>
    </row>
    <row r="99" spans="2:43">
      <c r="B99" s="134"/>
      <c r="C99" s="44">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4" t="str">
        <f t="shared" si="7"/>
        <v>UNKNOWN</v>
      </c>
      <c r="AK99" s="57"/>
      <c r="AL99" s="57" t="str">
        <f t="shared" si="10"/>
        <v>1C</v>
      </c>
      <c r="AM99" s="59" t="str">
        <f t="shared" si="11"/>
        <v>00</v>
      </c>
      <c r="AN99" s="59" t="str">
        <f t="shared" si="12"/>
        <v>00</v>
      </c>
      <c r="AO99" s="59" t="str">
        <f t="shared" si="13"/>
        <v>00</v>
      </c>
      <c r="AQ99" t="str">
        <f t="shared" si="8"/>
        <v xml:space="preserve">    (U4)0x0000001CU,                                                           /* 28 UNKNOWN                                         */</v>
      </c>
    </row>
    <row r="100" spans="2:43">
      <c r="B100" s="134"/>
      <c r="C100" s="44">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4" t="str">
        <f t="shared" si="7"/>
        <v>UNKNOWN</v>
      </c>
      <c r="AK100" s="57"/>
      <c r="AL100" s="57" t="str">
        <f t="shared" si="10"/>
        <v>1D</v>
      </c>
      <c r="AM100" s="59" t="str">
        <f t="shared" si="11"/>
        <v>00</v>
      </c>
      <c r="AN100" s="59" t="str">
        <f t="shared" si="12"/>
        <v>00</v>
      </c>
      <c r="AO100" s="59" t="str">
        <f t="shared" si="13"/>
        <v>00</v>
      </c>
      <c r="AQ100" t="str">
        <f t="shared" si="8"/>
        <v xml:space="preserve">    (U4)0x0000001DU,                                                           /* 29 UNKNOWN                                         */</v>
      </c>
    </row>
    <row r="101" spans="2:43">
      <c r="B101" s="134"/>
      <c r="C101" s="44">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4" t="str">
        <f t="shared" si="7"/>
        <v>UNKNOWN</v>
      </c>
      <c r="AK101" s="57"/>
      <c r="AL101" s="57" t="str">
        <f t="shared" si="10"/>
        <v>1E</v>
      </c>
      <c r="AM101" s="59" t="str">
        <f t="shared" si="11"/>
        <v>00</v>
      </c>
      <c r="AN101" s="59" t="str">
        <f t="shared" si="12"/>
        <v>00</v>
      </c>
      <c r="AO101" s="59" t="str">
        <f t="shared" si="13"/>
        <v>00</v>
      </c>
      <c r="AQ101" t="str">
        <f t="shared" si="8"/>
        <v xml:space="preserve">    (U4)0x0000001EU,                                                           /* 30 UNKNOWN                                         */</v>
      </c>
    </row>
    <row r="102" spans="2:43">
      <c r="B102" s="134"/>
      <c r="C102" s="44">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4" t="str">
        <f t="shared" si="7"/>
        <v>UNKNOWN</v>
      </c>
      <c r="AK102" s="57"/>
      <c r="AL102" s="57" t="str">
        <f t="shared" si="10"/>
        <v>1F</v>
      </c>
      <c r="AM102" s="59" t="str">
        <f t="shared" si="11"/>
        <v>00</v>
      </c>
      <c r="AN102" s="59" t="str">
        <f t="shared" si="12"/>
        <v>00</v>
      </c>
      <c r="AO102" s="59" t="str">
        <f t="shared" si="13"/>
        <v>00</v>
      </c>
      <c r="AQ102" t="str">
        <f t="shared" si="8"/>
        <v xml:space="preserve">    (U4)0x0000001FU                                                            /* 31 UNKNOWN                                         */</v>
      </c>
    </row>
    <row r="103" spans="2:43">
      <c r="B103" s="134"/>
      <c r="C103" s="44">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H_DRIPOW</v>
      </c>
      <c r="C136" s="44">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1</v>
      </c>
      <c r="AF136" s="126">
        <f t="shared" si="29"/>
        <v>1</v>
      </c>
      <c r="AG136" s="126">
        <f t="shared" si="29"/>
        <v>1</v>
      </c>
      <c r="AH136" s="126">
        <f t="shared" si="29"/>
        <v>1</v>
      </c>
      <c r="AI136" s="126">
        <f t="shared" si="29"/>
        <v>1</v>
      </c>
      <c r="AJ136" s="44" t="str">
        <f t="shared" ref="AJ136:AJ199" si="30">IF(AJ6&lt;&gt;"",AJ6,"")</f>
        <v>UNKNOWN</v>
      </c>
      <c r="AK136" s="57"/>
      <c r="AL136" s="57" t="str">
        <f>BIN2HEX(AB136&amp;AC136&amp;AD136&amp;AE136&amp;AF136&amp;AG136&amp;AH136&amp;AI136,2)</f>
        <v>1F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4"/>
      <c r="C137" s="44">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1</v>
      </c>
      <c r="AF137" s="126">
        <f t="shared" si="29"/>
        <v>1</v>
      </c>
      <c r="AG137" s="126">
        <f t="shared" si="29"/>
        <v>1</v>
      </c>
      <c r="AH137" s="126">
        <f t="shared" si="29"/>
        <v>1</v>
      </c>
      <c r="AI137" s="126">
        <f t="shared" si="29"/>
        <v>1</v>
      </c>
      <c r="AJ137" s="44" t="str">
        <f t="shared" si="30"/>
        <v>UNKNOWN</v>
      </c>
      <c r="AK137" s="57"/>
      <c r="AL137" s="57" t="str">
        <f t="shared" ref="AL137:AL199" si="33">BIN2HEX(AB137&amp;AC137&amp;AD137&amp;AE137&amp;AF137&amp;AG137&amp;AH137&amp;AI137,2)</f>
        <v>1F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(U4)0x0000001FU,                                                           /* 01 UNKNOWN                                         */</v>
      </c>
    </row>
    <row r="138" spans="1:43">
      <c r="B138" s="134"/>
      <c r="C138" s="44">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1</v>
      </c>
      <c r="AF138" s="126">
        <f t="shared" si="29"/>
        <v>1</v>
      </c>
      <c r="AG138" s="126">
        <f t="shared" si="29"/>
        <v>1</v>
      </c>
      <c r="AH138" s="126">
        <f t="shared" si="29"/>
        <v>1</v>
      </c>
      <c r="AI138" s="126">
        <f t="shared" si="29"/>
        <v>1</v>
      </c>
      <c r="AJ138" s="44" t="str">
        <f t="shared" si="30"/>
        <v>OVHT</v>
      </c>
      <c r="AK138" s="57"/>
      <c r="AL138" s="57" t="str">
        <f t="shared" si="33"/>
        <v>1F</v>
      </c>
      <c r="AM138" s="59" t="str">
        <f t="shared" si="34"/>
        <v>00</v>
      </c>
      <c r="AN138" s="59" t="str">
        <f t="shared" si="35"/>
        <v>00</v>
      </c>
      <c r="AO138" s="59" t="str">
        <f t="shared" si="36"/>
        <v>00</v>
      </c>
      <c r="AQ138" t="str">
        <f t="shared" si="31"/>
        <v xml:space="preserve">    (U4)0x0000001FU,                                                           /* 02 OVHT                                            */</v>
      </c>
    </row>
    <row r="139" spans="1:43">
      <c r="B139" s="134"/>
      <c r="C139" s="44">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1</v>
      </c>
      <c r="AF139" s="126">
        <f t="shared" si="29"/>
        <v>1</v>
      </c>
      <c r="AG139" s="126">
        <f t="shared" si="29"/>
        <v>1</v>
      </c>
      <c r="AH139" s="126">
        <f t="shared" si="29"/>
        <v>1</v>
      </c>
      <c r="AI139" s="126">
        <f t="shared" si="29"/>
        <v>1</v>
      </c>
      <c r="AJ139" s="44" t="str">
        <f t="shared" si="30"/>
        <v>BATLOW</v>
      </c>
      <c r="AK139" s="57"/>
      <c r="AL139" s="57" t="str">
        <f t="shared" si="33"/>
        <v>1F</v>
      </c>
      <c r="AM139" s="59" t="str">
        <f t="shared" si="34"/>
        <v>00</v>
      </c>
      <c r="AN139" s="59" t="str">
        <f t="shared" si="35"/>
        <v>00</v>
      </c>
      <c r="AO139" s="59" t="str">
        <f t="shared" si="36"/>
        <v>00</v>
      </c>
      <c r="AQ139" t="str">
        <f t="shared" si="31"/>
        <v xml:space="preserve">    (U4)0x0000001FU,                                                           /* 03 BATLOW                                          */</v>
      </c>
    </row>
    <row r="140" spans="1:43">
      <c r="B140" s="134"/>
      <c r="C140" s="44">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1</v>
      </c>
      <c r="AF140" s="126">
        <f t="shared" si="29"/>
        <v>1</v>
      </c>
      <c r="AG140" s="126">
        <f t="shared" si="29"/>
        <v>1</v>
      </c>
      <c r="AH140" s="126">
        <f t="shared" si="29"/>
        <v>1</v>
      </c>
      <c r="AI140" s="126">
        <f t="shared" si="29"/>
        <v>1</v>
      </c>
      <c r="AJ140" s="44" t="str">
        <f t="shared" si="30"/>
        <v>OTHER</v>
      </c>
      <c r="AK140" s="57"/>
      <c r="AL140" s="57" t="str">
        <f t="shared" si="33"/>
        <v>1F</v>
      </c>
      <c r="AM140" s="59" t="str">
        <f t="shared" si="34"/>
        <v>00</v>
      </c>
      <c r="AN140" s="59" t="str">
        <f t="shared" si="35"/>
        <v>00</v>
      </c>
      <c r="AO140" s="59" t="str">
        <f t="shared" si="36"/>
        <v>00</v>
      </c>
      <c r="AQ140" t="str">
        <f t="shared" si="31"/>
        <v xml:space="preserve">    (U4)0x0000001FU,                                                           /* 04 OTHER                                           */</v>
      </c>
    </row>
    <row r="141" spans="1:43">
      <c r="B141" s="134"/>
      <c r="C141" s="44">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1</v>
      </c>
      <c r="AF141" s="126">
        <f t="shared" si="29"/>
        <v>1</v>
      </c>
      <c r="AG141" s="126">
        <f t="shared" si="29"/>
        <v>1</v>
      </c>
      <c r="AH141" s="126">
        <f t="shared" si="29"/>
        <v>1</v>
      </c>
      <c r="AI141" s="126">
        <f t="shared" si="29"/>
        <v>1</v>
      </c>
      <c r="AJ141" s="44" t="str">
        <f t="shared" si="30"/>
        <v>UNKNOWN</v>
      </c>
      <c r="AK141" s="57"/>
      <c r="AL141" s="57" t="str">
        <f t="shared" si="33"/>
        <v>1F</v>
      </c>
      <c r="AM141" s="59" t="str">
        <f t="shared" si="34"/>
        <v>00</v>
      </c>
      <c r="AN141" s="59" t="str">
        <f t="shared" si="35"/>
        <v>00</v>
      </c>
      <c r="AO141" s="59" t="str">
        <f t="shared" si="36"/>
        <v>00</v>
      </c>
      <c r="AQ141" t="str">
        <f t="shared" si="31"/>
        <v xml:space="preserve">    (U4)0x0000001FU,                                                           /* 05 UNKNOWN                                         */</v>
      </c>
    </row>
    <row r="142" spans="1:43">
      <c r="B142" s="134"/>
      <c r="C142" s="44">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1</v>
      </c>
      <c r="AF142" s="126">
        <f t="shared" si="29"/>
        <v>1</v>
      </c>
      <c r="AG142" s="126">
        <f t="shared" si="29"/>
        <v>1</v>
      </c>
      <c r="AH142" s="126">
        <f t="shared" si="29"/>
        <v>1</v>
      </c>
      <c r="AI142" s="126">
        <f t="shared" si="29"/>
        <v>1</v>
      </c>
      <c r="AJ142" s="44" t="str">
        <f t="shared" si="30"/>
        <v>UNKNOWN</v>
      </c>
      <c r="AK142" s="57"/>
      <c r="AL142" s="57" t="str">
        <f t="shared" si="33"/>
        <v>1F</v>
      </c>
      <c r="AM142" s="59" t="str">
        <f t="shared" si="34"/>
        <v>00</v>
      </c>
      <c r="AN142" s="59" t="str">
        <f t="shared" si="35"/>
        <v>00</v>
      </c>
      <c r="AO142" s="59" t="str">
        <f t="shared" si="36"/>
        <v>00</v>
      </c>
      <c r="AQ142" t="str">
        <f t="shared" si="31"/>
        <v xml:space="preserve">    (U4)0x0000001FU,                                                           /* 06 UNKNOWN                                         */</v>
      </c>
    </row>
    <row r="143" spans="1:43">
      <c r="B143" s="134"/>
      <c r="C143" s="44">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1</v>
      </c>
      <c r="AF143" s="126">
        <f t="shared" si="29"/>
        <v>1</v>
      </c>
      <c r="AG143" s="126">
        <f t="shared" si="29"/>
        <v>1</v>
      </c>
      <c r="AH143" s="126">
        <f t="shared" si="29"/>
        <v>1</v>
      </c>
      <c r="AI143" s="126">
        <f t="shared" ref="AI143" si="37">IF(OR(AI13=0,AI13=1),1,0)</f>
        <v>1</v>
      </c>
      <c r="AJ143" s="44" t="str">
        <f t="shared" si="30"/>
        <v>UNKNOWN</v>
      </c>
      <c r="AK143" s="57"/>
      <c r="AL143" s="57" t="str">
        <f t="shared" si="33"/>
        <v>1F</v>
      </c>
      <c r="AM143" s="59" t="str">
        <f t="shared" si="34"/>
        <v>00</v>
      </c>
      <c r="AN143" s="59" t="str">
        <f t="shared" si="35"/>
        <v>00</v>
      </c>
      <c r="AO143" s="59" t="str">
        <f t="shared" si="36"/>
        <v>00</v>
      </c>
      <c r="AQ143" t="str">
        <f t="shared" si="31"/>
        <v xml:space="preserve">    (U4)0x0000001FU,                                                           /* 07 UNKNOWN                                         */</v>
      </c>
    </row>
    <row r="144" spans="1:43">
      <c r="B144" s="134"/>
      <c r="C144" s="44">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1</v>
      </c>
      <c r="AF144" s="126">
        <f t="shared" si="38"/>
        <v>1</v>
      </c>
      <c r="AG144" s="126">
        <f t="shared" si="38"/>
        <v>1</v>
      </c>
      <c r="AH144" s="126">
        <f t="shared" si="38"/>
        <v>1</v>
      </c>
      <c r="AI144" s="126">
        <f t="shared" si="38"/>
        <v>1</v>
      </c>
      <c r="AJ144" s="44" t="str">
        <f t="shared" si="30"/>
        <v>UNKNOWN</v>
      </c>
      <c r="AK144" s="57"/>
      <c r="AL144" s="57" t="str">
        <f t="shared" si="33"/>
        <v>1F</v>
      </c>
      <c r="AM144" s="59" t="str">
        <f t="shared" si="34"/>
        <v>00</v>
      </c>
      <c r="AN144" s="59" t="str">
        <f t="shared" si="35"/>
        <v>00</v>
      </c>
      <c r="AO144" s="59" t="str">
        <f t="shared" si="36"/>
        <v>00</v>
      </c>
      <c r="AQ144" t="str">
        <f t="shared" si="31"/>
        <v xml:space="preserve">    (U4)0x0000001FU,                                                           /* 08 UNKNOWN                                         */</v>
      </c>
    </row>
    <row r="145" spans="2:43">
      <c r="B145" s="134"/>
      <c r="C145" s="44">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1</v>
      </c>
      <c r="AF145" s="126">
        <f t="shared" si="38"/>
        <v>1</v>
      </c>
      <c r="AG145" s="126">
        <f t="shared" si="38"/>
        <v>1</v>
      </c>
      <c r="AH145" s="126">
        <f t="shared" si="38"/>
        <v>1</v>
      </c>
      <c r="AI145" s="126">
        <f t="shared" si="38"/>
        <v>1</v>
      </c>
      <c r="AJ145" s="44" t="str">
        <f t="shared" si="30"/>
        <v>UNKNOWN</v>
      </c>
      <c r="AK145" s="57"/>
      <c r="AL145" s="57" t="str">
        <f t="shared" si="33"/>
        <v>1F</v>
      </c>
      <c r="AM145" s="59" t="str">
        <f t="shared" si="34"/>
        <v>00</v>
      </c>
      <c r="AN145" s="59" t="str">
        <f t="shared" si="35"/>
        <v>00</v>
      </c>
      <c r="AO145" s="59" t="str">
        <f t="shared" si="36"/>
        <v>00</v>
      </c>
      <c r="AQ145" t="str">
        <f t="shared" si="31"/>
        <v xml:space="preserve">    (U4)0x0000001FU,                                                           /* 09 UNKNOWN                                         */</v>
      </c>
    </row>
    <row r="146" spans="2:43">
      <c r="B146" s="134"/>
      <c r="C146" s="44">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1</v>
      </c>
      <c r="AF146" s="126">
        <f t="shared" si="38"/>
        <v>1</v>
      </c>
      <c r="AG146" s="126">
        <f t="shared" si="38"/>
        <v>1</v>
      </c>
      <c r="AH146" s="126">
        <f t="shared" si="38"/>
        <v>1</v>
      </c>
      <c r="AI146" s="126">
        <f t="shared" si="38"/>
        <v>1</v>
      </c>
      <c r="AJ146" s="44" t="str">
        <f t="shared" si="30"/>
        <v>UNKNOWN</v>
      </c>
      <c r="AK146" s="57"/>
      <c r="AL146" s="57" t="str">
        <f t="shared" si="33"/>
        <v>1F</v>
      </c>
      <c r="AM146" s="59" t="str">
        <f t="shared" si="34"/>
        <v>00</v>
      </c>
      <c r="AN146" s="59" t="str">
        <f t="shared" si="35"/>
        <v>00</v>
      </c>
      <c r="AO146" s="59" t="str">
        <f t="shared" si="36"/>
        <v>00</v>
      </c>
      <c r="AQ146" t="str">
        <f t="shared" si="31"/>
        <v xml:space="preserve">    (U4)0x0000001FU,                                                           /* 10 UNKNOWN                                         */</v>
      </c>
    </row>
    <row r="147" spans="2:43">
      <c r="B147" s="134"/>
      <c r="C147" s="44">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1</v>
      </c>
      <c r="AF147" s="126">
        <f t="shared" si="38"/>
        <v>1</v>
      </c>
      <c r="AG147" s="126">
        <f t="shared" si="38"/>
        <v>1</v>
      </c>
      <c r="AH147" s="126">
        <f t="shared" si="38"/>
        <v>1</v>
      </c>
      <c r="AI147" s="126">
        <f t="shared" si="38"/>
        <v>1</v>
      </c>
      <c r="AJ147" s="44" t="str">
        <f t="shared" si="30"/>
        <v>UNKNOWN</v>
      </c>
      <c r="AK147" s="57"/>
      <c r="AL147" s="57" t="str">
        <f t="shared" si="33"/>
        <v>1F</v>
      </c>
      <c r="AM147" s="59" t="str">
        <f t="shared" si="34"/>
        <v>00</v>
      </c>
      <c r="AN147" s="59" t="str">
        <f t="shared" si="35"/>
        <v>00</v>
      </c>
      <c r="AO147" s="59" t="str">
        <f t="shared" si="36"/>
        <v>00</v>
      </c>
      <c r="AQ147" t="str">
        <f t="shared" si="31"/>
        <v xml:space="preserve">    (U4)0x0000001FU,                                                           /* 11 UNKNOWN                                         */</v>
      </c>
    </row>
    <row r="148" spans="2:43">
      <c r="B148" s="134"/>
      <c r="C148" s="44">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1</v>
      </c>
      <c r="AF148" s="126">
        <f t="shared" si="38"/>
        <v>1</v>
      </c>
      <c r="AG148" s="126">
        <f t="shared" si="38"/>
        <v>1</v>
      </c>
      <c r="AH148" s="126">
        <f t="shared" si="38"/>
        <v>1</v>
      </c>
      <c r="AI148" s="126">
        <f t="shared" si="38"/>
        <v>1</v>
      </c>
      <c r="AJ148" s="44" t="str">
        <f t="shared" si="30"/>
        <v>UNKNOWN</v>
      </c>
      <c r="AK148" s="57"/>
      <c r="AL148" s="57" t="str">
        <f t="shared" si="33"/>
        <v>1F</v>
      </c>
      <c r="AM148" s="59" t="str">
        <f t="shared" si="34"/>
        <v>00</v>
      </c>
      <c r="AN148" s="59" t="str">
        <f t="shared" si="35"/>
        <v>00</v>
      </c>
      <c r="AO148" s="59" t="str">
        <f t="shared" si="36"/>
        <v>00</v>
      </c>
      <c r="AQ148" t="str">
        <f t="shared" si="31"/>
        <v xml:space="preserve">    (U4)0x0000001FU,                                                           /* 12 UNKNOWN                                         */</v>
      </c>
    </row>
    <row r="149" spans="2:43">
      <c r="B149" s="134"/>
      <c r="C149" s="44">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1</v>
      </c>
      <c r="AF149" s="126">
        <f t="shared" si="38"/>
        <v>1</v>
      </c>
      <c r="AG149" s="126">
        <f t="shared" si="38"/>
        <v>1</v>
      </c>
      <c r="AH149" s="126">
        <f t="shared" si="38"/>
        <v>1</v>
      </c>
      <c r="AI149" s="126">
        <f t="shared" si="38"/>
        <v>1</v>
      </c>
      <c r="AJ149" s="44" t="str">
        <f t="shared" si="30"/>
        <v>UNKNOWN</v>
      </c>
      <c r="AK149" s="57"/>
      <c r="AL149" s="57" t="str">
        <f t="shared" si="33"/>
        <v>1F</v>
      </c>
      <c r="AM149" s="59" t="str">
        <f t="shared" si="34"/>
        <v>00</v>
      </c>
      <c r="AN149" s="59" t="str">
        <f t="shared" si="35"/>
        <v>00</v>
      </c>
      <c r="AO149" s="59" t="str">
        <f t="shared" si="36"/>
        <v>00</v>
      </c>
      <c r="AQ149" t="str">
        <f t="shared" si="31"/>
        <v xml:space="preserve">    (U4)0x0000001FU,                                                           /* 13 UNKNOWN                                         */</v>
      </c>
    </row>
    <row r="150" spans="2:43">
      <c r="B150" s="134"/>
      <c r="C150" s="44">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1</v>
      </c>
      <c r="AF150" s="126">
        <f t="shared" si="38"/>
        <v>1</v>
      </c>
      <c r="AG150" s="126">
        <f t="shared" si="38"/>
        <v>1</v>
      </c>
      <c r="AH150" s="126">
        <f t="shared" si="38"/>
        <v>1</v>
      </c>
      <c r="AI150" s="126">
        <f t="shared" si="38"/>
        <v>1</v>
      </c>
      <c r="AJ150" s="44" t="str">
        <f t="shared" si="30"/>
        <v>UNKNOWN</v>
      </c>
      <c r="AK150" s="57"/>
      <c r="AL150" s="57" t="str">
        <f t="shared" si="33"/>
        <v>1F</v>
      </c>
      <c r="AM150" s="59" t="str">
        <f t="shared" si="34"/>
        <v>00</v>
      </c>
      <c r="AN150" s="59" t="str">
        <f t="shared" si="35"/>
        <v>00</v>
      </c>
      <c r="AO150" s="59" t="str">
        <f t="shared" si="36"/>
        <v>00</v>
      </c>
      <c r="AQ150" t="str">
        <f t="shared" si="31"/>
        <v xml:space="preserve">    (U4)0x0000001FU,                                                           /* 14 UNKNOWN                                         */</v>
      </c>
    </row>
    <row r="151" spans="2:43">
      <c r="B151" s="134"/>
      <c r="C151" s="44">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1</v>
      </c>
      <c r="AF151" s="126">
        <f t="shared" si="38"/>
        <v>1</v>
      </c>
      <c r="AG151" s="126">
        <f t="shared" si="38"/>
        <v>1</v>
      </c>
      <c r="AH151" s="126">
        <f t="shared" si="38"/>
        <v>1</v>
      </c>
      <c r="AI151" s="126">
        <f t="shared" ref="AI151" si="39">IF(OR(AI21=0,AI21=1),1,0)</f>
        <v>1</v>
      </c>
      <c r="AJ151" s="44" t="str">
        <f t="shared" si="30"/>
        <v>UNKNOWN</v>
      </c>
      <c r="AK151" s="57"/>
      <c r="AL151" s="57" t="str">
        <f t="shared" si="33"/>
        <v>1F</v>
      </c>
      <c r="AM151" s="59" t="str">
        <f t="shared" si="34"/>
        <v>00</v>
      </c>
      <c r="AN151" s="59" t="str">
        <f t="shared" si="35"/>
        <v>00</v>
      </c>
      <c r="AO151" s="59" t="str">
        <f t="shared" si="36"/>
        <v>00</v>
      </c>
      <c r="AQ151" t="str">
        <f t="shared" si="31"/>
        <v xml:space="preserve">    (U4)0x0000001FU,                                                           /* 15 UNKNOWN                                         */</v>
      </c>
    </row>
    <row r="152" spans="2:43">
      <c r="B152" s="134"/>
      <c r="C152" s="44">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1</v>
      </c>
      <c r="AF152" s="126">
        <f t="shared" si="40"/>
        <v>1</v>
      </c>
      <c r="AG152" s="126">
        <f t="shared" si="40"/>
        <v>1</v>
      </c>
      <c r="AH152" s="126">
        <f t="shared" si="40"/>
        <v>1</v>
      </c>
      <c r="AI152" s="126">
        <f t="shared" si="40"/>
        <v>1</v>
      </c>
      <c r="AJ152" s="44" t="str">
        <f t="shared" si="30"/>
        <v>UNKNOWN</v>
      </c>
      <c r="AK152" s="57"/>
      <c r="AL152" s="57" t="str">
        <f t="shared" si="33"/>
        <v>1F</v>
      </c>
      <c r="AM152" s="59" t="str">
        <f t="shared" si="34"/>
        <v>00</v>
      </c>
      <c r="AN152" s="59" t="str">
        <f t="shared" si="35"/>
        <v>00</v>
      </c>
      <c r="AO152" s="59" t="str">
        <f t="shared" si="36"/>
        <v>00</v>
      </c>
      <c r="AQ152" t="str">
        <f t="shared" si="31"/>
        <v xml:space="preserve">    (U4)0x0000001FU,                                                           /* 16 UNKNOWN                                         */</v>
      </c>
    </row>
    <row r="153" spans="2:43">
      <c r="B153" s="134"/>
      <c r="C153" s="44">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1</v>
      </c>
      <c r="AF153" s="126">
        <f t="shared" si="40"/>
        <v>1</v>
      </c>
      <c r="AG153" s="126">
        <f t="shared" si="40"/>
        <v>1</v>
      </c>
      <c r="AH153" s="126">
        <f t="shared" si="40"/>
        <v>1</v>
      </c>
      <c r="AI153" s="126">
        <f t="shared" si="40"/>
        <v>1</v>
      </c>
      <c r="AJ153" s="44" t="str">
        <f t="shared" si="30"/>
        <v>UNKNOWN</v>
      </c>
      <c r="AK153" s="57"/>
      <c r="AL153" s="57" t="str">
        <f t="shared" si="33"/>
        <v>1F</v>
      </c>
      <c r="AM153" s="59" t="str">
        <f t="shared" si="34"/>
        <v>00</v>
      </c>
      <c r="AN153" s="59" t="str">
        <f t="shared" si="35"/>
        <v>00</v>
      </c>
      <c r="AO153" s="59" t="str">
        <f t="shared" si="36"/>
        <v>00</v>
      </c>
      <c r="AQ153" t="str">
        <f t="shared" si="31"/>
        <v xml:space="preserve">    (U4)0x0000001FU,                                                           /* 17 UNKNOWN                                         */</v>
      </c>
    </row>
    <row r="154" spans="2:43">
      <c r="B154" s="134"/>
      <c r="C154" s="44">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1</v>
      </c>
      <c r="AF154" s="126">
        <f t="shared" si="40"/>
        <v>1</v>
      </c>
      <c r="AG154" s="126">
        <f t="shared" si="40"/>
        <v>1</v>
      </c>
      <c r="AH154" s="126">
        <f t="shared" si="40"/>
        <v>1</v>
      </c>
      <c r="AI154" s="126">
        <f t="shared" si="40"/>
        <v>1</v>
      </c>
      <c r="AJ154" s="44" t="str">
        <f t="shared" si="30"/>
        <v>OVHT_CHN</v>
      </c>
      <c r="AK154" s="57"/>
      <c r="AL154" s="57" t="str">
        <f t="shared" si="33"/>
        <v>1F</v>
      </c>
      <c r="AM154" s="59" t="str">
        <f t="shared" si="34"/>
        <v>00</v>
      </c>
      <c r="AN154" s="59" t="str">
        <f t="shared" si="35"/>
        <v>00</v>
      </c>
      <c r="AO154" s="59" t="str">
        <f t="shared" si="36"/>
        <v>00</v>
      </c>
      <c r="AQ154" t="str">
        <f t="shared" si="31"/>
        <v xml:space="preserve">    (U4)0x0000001FU,                                                           /* 18 OVHT_CHN                                        */</v>
      </c>
    </row>
    <row r="155" spans="2:43">
      <c r="B155" s="134"/>
      <c r="C155" s="44">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1</v>
      </c>
      <c r="AF155" s="126">
        <f t="shared" si="40"/>
        <v>1</v>
      </c>
      <c r="AG155" s="126">
        <f t="shared" si="40"/>
        <v>1</v>
      </c>
      <c r="AH155" s="126">
        <f t="shared" si="40"/>
        <v>1</v>
      </c>
      <c r="AI155" s="126">
        <f t="shared" si="40"/>
        <v>1</v>
      </c>
      <c r="AJ155" s="44" t="str">
        <f t="shared" si="30"/>
        <v>BATLOW_CHN</v>
      </c>
      <c r="AK155" s="57"/>
      <c r="AL155" s="57" t="str">
        <f t="shared" si="33"/>
        <v>1F</v>
      </c>
      <c r="AM155" s="59" t="str">
        <f t="shared" si="34"/>
        <v>00</v>
      </c>
      <c r="AN155" s="59" t="str">
        <f t="shared" si="35"/>
        <v>00</v>
      </c>
      <c r="AO155" s="59" t="str">
        <f t="shared" si="36"/>
        <v>00</v>
      </c>
      <c r="AQ155" t="str">
        <f t="shared" si="31"/>
        <v xml:space="preserve">    (U4)0x0000001FU,                                                           /* 19 BATLOW_CHN                                      */</v>
      </c>
    </row>
    <row r="156" spans="2:43">
      <c r="B156" s="134"/>
      <c r="C156" s="44">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1</v>
      </c>
      <c r="AF156" s="126">
        <f t="shared" si="40"/>
        <v>1</v>
      </c>
      <c r="AG156" s="126">
        <f t="shared" si="40"/>
        <v>1</v>
      </c>
      <c r="AH156" s="126">
        <f t="shared" si="40"/>
        <v>1</v>
      </c>
      <c r="AI156" s="126">
        <f t="shared" si="40"/>
        <v>1</v>
      </c>
      <c r="AJ156" s="44" t="str">
        <f t="shared" si="30"/>
        <v>OTHER_CHN</v>
      </c>
      <c r="AK156" s="57"/>
      <c r="AL156" s="57" t="str">
        <f t="shared" si="33"/>
        <v>1F</v>
      </c>
      <c r="AM156" s="59" t="str">
        <f t="shared" si="34"/>
        <v>00</v>
      </c>
      <c r="AN156" s="59" t="str">
        <f t="shared" si="35"/>
        <v>00</v>
      </c>
      <c r="AO156" s="59" t="str">
        <f t="shared" si="36"/>
        <v>00</v>
      </c>
      <c r="AQ156" t="str">
        <f t="shared" si="31"/>
        <v xml:space="preserve">    (U4)0x0000001FU,                                                           /* 20 OTHER_CHN                                       */</v>
      </c>
    </row>
    <row r="157" spans="2:43">
      <c r="B157" s="134"/>
      <c r="C157" s="44">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1</v>
      </c>
      <c r="AF157" s="126">
        <f t="shared" si="40"/>
        <v>1</v>
      </c>
      <c r="AG157" s="126">
        <f t="shared" si="40"/>
        <v>1</v>
      </c>
      <c r="AH157" s="126">
        <f t="shared" si="40"/>
        <v>1</v>
      </c>
      <c r="AI157" s="126">
        <f t="shared" si="40"/>
        <v>1</v>
      </c>
      <c r="AJ157" s="44" t="str">
        <f t="shared" si="30"/>
        <v>UNKNOWN</v>
      </c>
      <c r="AK157" s="57"/>
      <c r="AL157" s="57" t="str">
        <f t="shared" si="33"/>
        <v>1F</v>
      </c>
      <c r="AM157" s="59" t="str">
        <f t="shared" si="34"/>
        <v>00</v>
      </c>
      <c r="AN157" s="59" t="str">
        <f t="shared" si="35"/>
        <v>00</v>
      </c>
      <c r="AO157" s="59" t="str">
        <f t="shared" si="36"/>
        <v>00</v>
      </c>
      <c r="AQ157" t="str">
        <f t="shared" si="31"/>
        <v xml:space="preserve">    (U4)0x0000001FU,                                                           /* 21 UNKNOWN                                         */</v>
      </c>
    </row>
    <row r="158" spans="2:43">
      <c r="B158" s="134"/>
      <c r="C158" s="44">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1</v>
      </c>
      <c r="AF158" s="126">
        <f t="shared" si="40"/>
        <v>1</v>
      </c>
      <c r="AG158" s="126">
        <f t="shared" si="40"/>
        <v>1</v>
      </c>
      <c r="AH158" s="126">
        <f t="shared" si="40"/>
        <v>1</v>
      </c>
      <c r="AI158" s="126">
        <f t="shared" si="40"/>
        <v>1</v>
      </c>
      <c r="AJ158" s="44" t="str">
        <f t="shared" si="30"/>
        <v>UNKNOWN</v>
      </c>
      <c r="AK158" s="57"/>
      <c r="AL158" s="57" t="str">
        <f t="shared" si="33"/>
        <v>1F</v>
      </c>
      <c r="AM158" s="59" t="str">
        <f t="shared" si="34"/>
        <v>00</v>
      </c>
      <c r="AN158" s="59" t="str">
        <f t="shared" si="35"/>
        <v>00</v>
      </c>
      <c r="AO158" s="59" t="str">
        <f t="shared" si="36"/>
        <v>00</v>
      </c>
      <c r="AQ158" t="str">
        <f t="shared" si="31"/>
        <v xml:space="preserve">    (U4)0x0000001FU,                                                           /* 22 UNKNOWN                                         */</v>
      </c>
    </row>
    <row r="159" spans="2:43">
      <c r="B159" s="134"/>
      <c r="C159" s="44">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1</v>
      </c>
      <c r="AF159" s="126">
        <f t="shared" si="40"/>
        <v>1</v>
      </c>
      <c r="AG159" s="126">
        <f t="shared" si="40"/>
        <v>1</v>
      </c>
      <c r="AH159" s="126">
        <f t="shared" si="40"/>
        <v>1</v>
      </c>
      <c r="AI159" s="126">
        <f t="shared" ref="AI159" si="41">IF(OR(AI29=0,AI29=1),1,0)</f>
        <v>1</v>
      </c>
      <c r="AJ159" s="44" t="str">
        <f t="shared" si="30"/>
        <v>UNKNOWN</v>
      </c>
      <c r="AK159" s="57"/>
      <c r="AL159" s="57" t="str">
        <f t="shared" si="33"/>
        <v>1F</v>
      </c>
      <c r="AM159" s="59" t="str">
        <f t="shared" si="34"/>
        <v>00</v>
      </c>
      <c r="AN159" s="59" t="str">
        <f t="shared" si="35"/>
        <v>00</v>
      </c>
      <c r="AO159" s="59" t="str">
        <f t="shared" si="36"/>
        <v>00</v>
      </c>
      <c r="AQ159" t="str">
        <f t="shared" si="31"/>
        <v xml:space="preserve">    (U4)0x0000001FU,                                                           /* 23 UNKNOWN                                         */</v>
      </c>
    </row>
    <row r="160" spans="2:43">
      <c r="B160" s="134"/>
      <c r="C160" s="44">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1</v>
      </c>
      <c r="AF160" s="126">
        <f t="shared" si="42"/>
        <v>1</v>
      </c>
      <c r="AG160" s="126">
        <f t="shared" si="42"/>
        <v>1</v>
      </c>
      <c r="AH160" s="126">
        <f t="shared" si="42"/>
        <v>1</v>
      </c>
      <c r="AI160" s="126">
        <f t="shared" si="42"/>
        <v>1</v>
      </c>
      <c r="AJ160" s="44" t="str">
        <f t="shared" si="30"/>
        <v>UNKNOWN</v>
      </c>
      <c r="AK160" s="57"/>
      <c r="AL160" s="57" t="str">
        <f t="shared" si="33"/>
        <v>1F</v>
      </c>
      <c r="AM160" s="59" t="str">
        <f t="shared" si="34"/>
        <v>00</v>
      </c>
      <c r="AN160" s="59" t="str">
        <f t="shared" si="35"/>
        <v>00</v>
      </c>
      <c r="AO160" s="59" t="str">
        <f t="shared" si="36"/>
        <v>00</v>
      </c>
      <c r="AQ160" t="str">
        <f t="shared" si="31"/>
        <v xml:space="preserve">    (U4)0x0000001FU,                                                           /* 24 UNKNOWN                                         */</v>
      </c>
    </row>
    <row r="161" spans="2:43">
      <c r="B161" s="134"/>
      <c r="C161" s="44">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1</v>
      </c>
      <c r="AF161" s="126">
        <f t="shared" si="42"/>
        <v>1</v>
      </c>
      <c r="AG161" s="126">
        <f t="shared" si="42"/>
        <v>1</v>
      </c>
      <c r="AH161" s="126">
        <f t="shared" si="42"/>
        <v>1</v>
      </c>
      <c r="AI161" s="126">
        <f t="shared" si="42"/>
        <v>1</v>
      </c>
      <c r="AJ161" s="44" t="str">
        <f t="shared" si="30"/>
        <v>UNKNOWN</v>
      </c>
      <c r="AK161" s="57"/>
      <c r="AL161" s="57" t="str">
        <f t="shared" si="33"/>
        <v>1F</v>
      </c>
      <c r="AM161" s="59" t="str">
        <f t="shared" si="34"/>
        <v>00</v>
      </c>
      <c r="AN161" s="59" t="str">
        <f t="shared" si="35"/>
        <v>00</v>
      </c>
      <c r="AO161" s="59" t="str">
        <f t="shared" si="36"/>
        <v>00</v>
      </c>
      <c r="AQ161" t="str">
        <f t="shared" si="31"/>
        <v xml:space="preserve">    (U4)0x0000001FU,                                                           /* 25 UNKNOWN                                         */</v>
      </c>
    </row>
    <row r="162" spans="2:43">
      <c r="B162" s="134"/>
      <c r="C162" s="44">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1</v>
      </c>
      <c r="AF162" s="126">
        <f t="shared" si="42"/>
        <v>1</v>
      </c>
      <c r="AG162" s="126">
        <f t="shared" si="42"/>
        <v>1</v>
      </c>
      <c r="AH162" s="126">
        <f t="shared" si="42"/>
        <v>1</v>
      </c>
      <c r="AI162" s="126">
        <f t="shared" si="42"/>
        <v>1</v>
      </c>
      <c r="AJ162" s="44" t="str">
        <f t="shared" si="30"/>
        <v>UNKNOWN</v>
      </c>
      <c r="AK162" s="57"/>
      <c r="AL162" s="57" t="str">
        <f t="shared" si="33"/>
        <v>1F</v>
      </c>
      <c r="AM162" s="59" t="str">
        <f t="shared" si="34"/>
        <v>00</v>
      </c>
      <c r="AN162" s="59" t="str">
        <f t="shared" si="35"/>
        <v>00</v>
      </c>
      <c r="AO162" s="59" t="str">
        <f t="shared" si="36"/>
        <v>00</v>
      </c>
      <c r="AQ162" t="str">
        <f t="shared" si="31"/>
        <v xml:space="preserve">    (U4)0x0000001FU,                                                           /* 26 UNKNOWN                                         */</v>
      </c>
    </row>
    <row r="163" spans="2:43">
      <c r="B163" s="134"/>
      <c r="C163" s="44">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1</v>
      </c>
      <c r="AF163" s="126">
        <f t="shared" si="42"/>
        <v>1</v>
      </c>
      <c r="AG163" s="126">
        <f t="shared" si="42"/>
        <v>1</v>
      </c>
      <c r="AH163" s="126">
        <f t="shared" si="42"/>
        <v>1</v>
      </c>
      <c r="AI163" s="126">
        <f t="shared" si="42"/>
        <v>1</v>
      </c>
      <c r="AJ163" s="44" t="str">
        <f t="shared" si="30"/>
        <v>UNKNOWN</v>
      </c>
      <c r="AK163" s="57"/>
      <c r="AL163" s="57" t="str">
        <f t="shared" si="33"/>
        <v>1F</v>
      </c>
      <c r="AM163" s="59" t="str">
        <f t="shared" si="34"/>
        <v>00</v>
      </c>
      <c r="AN163" s="59" t="str">
        <f t="shared" si="35"/>
        <v>00</v>
      </c>
      <c r="AO163" s="59" t="str">
        <f t="shared" si="36"/>
        <v>00</v>
      </c>
      <c r="AQ163" t="str">
        <f t="shared" si="31"/>
        <v xml:space="preserve">    (U4)0x0000001FU,                                                           /* 27 UNKNOWN                                         */</v>
      </c>
    </row>
    <row r="164" spans="2:43">
      <c r="B164" s="134"/>
      <c r="C164" s="44">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1</v>
      </c>
      <c r="AF164" s="126">
        <f t="shared" si="42"/>
        <v>1</v>
      </c>
      <c r="AG164" s="126">
        <f t="shared" si="42"/>
        <v>1</v>
      </c>
      <c r="AH164" s="126">
        <f t="shared" si="42"/>
        <v>1</v>
      </c>
      <c r="AI164" s="126">
        <f t="shared" si="42"/>
        <v>1</v>
      </c>
      <c r="AJ164" s="44" t="str">
        <f t="shared" si="30"/>
        <v>UNKNOWN</v>
      </c>
      <c r="AK164" s="57"/>
      <c r="AL164" s="57" t="str">
        <f t="shared" si="33"/>
        <v>1F</v>
      </c>
      <c r="AM164" s="59" t="str">
        <f t="shared" si="34"/>
        <v>00</v>
      </c>
      <c r="AN164" s="59" t="str">
        <f t="shared" si="35"/>
        <v>00</v>
      </c>
      <c r="AO164" s="59" t="str">
        <f t="shared" si="36"/>
        <v>00</v>
      </c>
      <c r="AQ164" t="str">
        <f t="shared" si="31"/>
        <v xml:space="preserve">    (U4)0x0000001FU,                                                           /* 28 UNKNOWN                                         */</v>
      </c>
    </row>
    <row r="165" spans="2:43">
      <c r="B165" s="134"/>
      <c r="C165" s="44">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1</v>
      </c>
      <c r="AF165" s="126">
        <f t="shared" si="42"/>
        <v>1</v>
      </c>
      <c r="AG165" s="126">
        <f t="shared" si="42"/>
        <v>1</v>
      </c>
      <c r="AH165" s="126">
        <f t="shared" si="42"/>
        <v>1</v>
      </c>
      <c r="AI165" s="126">
        <f t="shared" si="42"/>
        <v>1</v>
      </c>
      <c r="AJ165" s="44" t="str">
        <f t="shared" si="30"/>
        <v>UNKNOWN</v>
      </c>
      <c r="AK165" s="57"/>
      <c r="AL165" s="57" t="str">
        <f t="shared" si="33"/>
        <v>1F</v>
      </c>
      <c r="AM165" s="59" t="str">
        <f t="shared" si="34"/>
        <v>00</v>
      </c>
      <c r="AN165" s="59" t="str">
        <f t="shared" si="35"/>
        <v>00</v>
      </c>
      <c r="AO165" s="59" t="str">
        <f t="shared" si="36"/>
        <v>00</v>
      </c>
      <c r="AQ165" t="str">
        <f t="shared" si="31"/>
        <v xml:space="preserve">    (U4)0x0000001FU,                                                           /* 29 UNKNOWN                                         */</v>
      </c>
    </row>
    <row r="166" spans="2:43">
      <c r="B166" s="134"/>
      <c r="C166" s="44">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1</v>
      </c>
      <c r="AF166" s="126">
        <f t="shared" si="42"/>
        <v>1</v>
      </c>
      <c r="AG166" s="126">
        <f t="shared" si="42"/>
        <v>1</v>
      </c>
      <c r="AH166" s="126">
        <f t="shared" si="42"/>
        <v>1</v>
      </c>
      <c r="AI166" s="126">
        <f t="shared" si="42"/>
        <v>1</v>
      </c>
      <c r="AJ166" s="44" t="str">
        <f t="shared" si="30"/>
        <v>UNKNOWN</v>
      </c>
      <c r="AK166" s="57"/>
      <c r="AL166" s="57" t="str">
        <f t="shared" si="33"/>
        <v>1F</v>
      </c>
      <c r="AM166" s="59" t="str">
        <f t="shared" si="34"/>
        <v>00</v>
      </c>
      <c r="AN166" s="59" t="str">
        <f t="shared" si="35"/>
        <v>00</v>
      </c>
      <c r="AO166" s="59" t="str">
        <f t="shared" si="36"/>
        <v>00</v>
      </c>
      <c r="AQ166" t="str">
        <f t="shared" si="31"/>
        <v xml:space="preserve">    (U4)0x0000001FU,                                                           /* 30 UNKNOWN                                         */</v>
      </c>
    </row>
    <row r="167" spans="2:43">
      <c r="B167" s="134"/>
      <c r="C167" s="44">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1</v>
      </c>
      <c r="AF167" s="126">
        <f t="shared" si="42"/>
        <v>1</v>
      </c>
      <c r="AG167" s="126">
        <f t="shared" si="42"/>
        <v>1</v>
      </c>
      <c r="AH167" s="126">
        <f t="shared" si="42"/>
        <v>1</v>
      </c>
      <c r="AI167" s="126">
        <f t="shared" ref="AI167" si="43">IF(OR(AI37=0,AI37=1),1,0)</f>
        <v>1</v>
      </c>
      <c r="AJ167" s="44" t="str">
        <f t="shared" si="30"/>
        <v>UNKNOWN</v>
      </c>
      <c r="AK167" s="57"/>
      <c r="AL167" s="57" t="str">
        <f t="shared" si="33"/>
        <v>1F</v>
      </c>
      <c r="AM167" s="59" t="str">
        <f t="shared" si="34"/>
        <v>00</v>
      </c>
      <c r="AN167" s="59" t="str">
        <f t="shared" si="35"/>
        <v>00</v>
      </c>
      <c r="AO167" s="59" t="str">
        <f t="shared" si="36"/>
        <v>00</v>
      </c>
      <c r="AQ167" t="str">
        <f t="shared" si="31"/>
        <v xml:space="preserve">    (U4)0x0000001FU                                                            /* 31 UNKNOWN                                         */</v>
      </c>
    </row>
    <row r="168" spans="2:43">
      <c r="B168" s="134"/>
      <c r="C168" s="44">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B3 D38:AJ69 L3:AG3 AF22:AI37 AJ6:AJ37 D6:AE37" name="Table作成編集範囲"/>
    <protectedRange sqref="AF6:AI21" name="Table作成編集範囲_2"/>
  </protectedRanges>
  <mergeCells count="4">
    <mergeCell ref="C2:C3"/>
    <mergeCell ref="AJ2:AJ3"/>
    <mergeCell ref="A4:B5"/>
    <mergeCell ref="AG3:AI3"/>
  </mergeCells>
  <phoneticPr fontId="2"/>
  <conditionalFormatting sqref="D6:AI69">
    <cfRule type="cellIs" dxfId="4" priority="1" operator="equal">
      <formula>1</formula>
    </cfRule>
    <cfRule type="cellIs" dxfId="3" priority="2" operator="equal">
      <formula>"×"</formula>
    </cfRule>
  </conditionalFormatting>
  <conditionalFormatting sqref="AF6:AF21">
    <cfRule type="cellIs" dxfId="2" priority="13" operator="equal">
      <formula>1</formula>
    </cfRule>
    <cfRule type="cellIs" dxfId="1" priority="14" operator="equal">
      <formula>"×"</formula>
    </cfRule>
  </conditionalFormatting>
  <conditionalFormatting sqref="AR5:AS70">
    <cfRule type="expression" dxfId="0" priority="27">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W266"/>
  <sheetViews>
    <sheetView showGridLines="0" zoomScaleNormal="100" workbookViewId="0"/>
  </sheetViews>
  <sheetFormatPr defaultRowHeight="13"/>
  <cols>
    <col min="2" max="2" width="43.36328125" customWidth="1"/>
    <col min="3" max="10" width="3.36328125" customWidth="1"/>
    <col min="11" max="11" width="22" customWidth="1"/>
    <col min="12" max="12" width="17" customWidth="1"/>
    <col min="13" max="13" width="37.08984375" customWidth="1"/>
    <col min="14" max="14" width="20.90625" customWidth="1"/>
    <col min="15" max="18" width="10.90625" customWidth="1"/>
  </cols>
  <sheetData>
    <row r="2" spans="2:48" ht="14.5" thickBot="1">
      <c r="B2" s="27" t="s">
        <v>273</v>
      </c>
    </row>
    <row r="3" spans="2:48" ht="14.5" thickBot="1">
      <c r="B3" s="94" t="s">
        <v>167</v>
      </c>
      <c r="C3" s="300" t="s">
        <v>229</v>
      </c>
      <c r="D3" s="301"/>
      <c r="E3" s="301"/>
      <c r="F3" s="301"/>
      <c r="G3" s="301"/>
      <c r="H3" s="301"/>
      <c r="I3" s="301"/>
      <c r="J3" s="302"/>
      <c r="K3" s="226"/>
      <c r="L3" s="168"/>
      <c r="M3" s="168"/>
      <c r="N3" s="171"/>
      <c r="O3" s="169"/>
      <c r="P3" s="169"/>
      <c r="Q3" s="169"/>
      <c r="R3" s="170"/>
      <c r="V3" s="204" t="s">
        <v>250</v>
      </c>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row>
    <row r="4" spans="2:48">
      <c r="B4" s="67"/>
      <c r="C4" s="34" t="s">
        <v>171</v>
      </c>
      <c r="D4" s="34"/>
      <c r="E4" s="34"/>
      <c r="F4" s="34"/>
      <c r="G4" s="34"/>
      <c r="H4" s="34"/>
      <c r="I4" s="34"/>
      <c r="J4" s="34"/>
      <c r="K4" s="34"/>
      <c r="L4" s="34"/>
      <c r="M4" s="34"/>
      <c r="N4" s="30" t="s">
        <v>159</v>
      </c>
      <c r="O4" s="40" t="s">
        <v>21</v>
      </c>
      <c r="P4" s="41"/>
      <c r="Q4" s="41"/>
      <c r="R4" s="42"/>
    </row>
    <row r="5" spans="2:48">
      <c r="B5" s="68" t="s">
        <v>22</v>
      </c>
      <c r="C5" s="297" t="s">
        <v>190</v>
      </c>
      <c r="D5" s="298"/>
      <c r="E5" s="298"/>
      <c r="F5" s="298"/>
      <c r="G5" s="298"/>
      <c r="H5" s="298"/>
      <c r="I5" s="298"/>
      <c r="J5" s="298"/>
      <c r="K5" s="230" t="s">
        <v>318</v>
      </c>
      <c r="L5" s="219" t="s">
        <v>23</v>
      </c>
      <c r="M5" s="211"/>
      <c r="N5" s="31" t="s">
        <v>255</v>
      </c>
      <c r="O5" s="197" t="s">
        <v>24</v>
      </c>
      <c r="P5" s="197" t="s">
        <v>25</v>
      </c>
      <c r="Q5" s="74" t="s">
        <v>26</v>
      </c>
      <c r="R5" s="205" t="s">
        <v>27</v>
      </c>
    </row>
    <row r="6" spans="2:48" ht="26">
      <c r="B6" s="68" t="s">
        <v>34</v>
      </c>
      <c r="C6" s="163" t="s">
        <v>183</v>
      </c>
      <c r="D6" s="163" t="s">
        <v>172</v>
      </c>
      <c r="E6" s="163" t="s">
        <v>183</v>
      </c>
      <c r="F6" s="163" t="s">
        <v>183</v>
      </c>
      <c r="G6" s="163" t="s">
        <v>183</v>
      </c>
      <c r="H6" s="163" t="s">
        <v>183</v>
      </c>
      <c r="I6" s="163" t="s">
        <v>183</v>
      </c>
      <c r="J6" s="216" t="s">
        <v>183</v>
      </c>
      <c r="K6" s="231" t="s">
        <v>134</v>
      </c>
      <c r="L6" s="220" t="s">
        <v>219</v>
      </c>
      <c r="M6" s="139" t="s">
        <v>218</v>
      </c>
      <c r="N6" s="31" t="s">
        <v>220</v>
      </c>
      <c r="O6" s="198"/>
      <c r="P6" s="198"/>
      <c r="Q6" s="75"/>
      <c r="R6" s="210" t="s">
        <v>259</v>
      </c>
    </row>
    <row r="7" spans="2:48" ht="27" customHeight="1">
      <c r="B7" s="69" t="s">
        <v>28</v>
      </c>
      <c r="C7" s="299" t="s">
        <v>173</v>
      </c>
      <c r="D7" s="298"/>
      <c r="E7" s="298"/>
      <c r="F7" s="298"/>
      <c r="G7" s="298"/>
      <c r="H7" s="298"/>
      <c r="I7" s="298"/>
      <c r="J7" s="298"/>
      <c r="K7" s="230" t="s">
        <v>134</v>
      </c>
      <c r="L7" s="1" t="s">
        <v>251</v>
      </c>
      <c r="M7" s="28" t="s">
        <v>252</v>
      </c>
      <c r="N7" s="32"/>
      <c r="O7" s="198"/>
      <c r="P7" s="198"/>
      <c r="Q7" s="75"/>
      <c r="R7" s="205" t="s">
        <v>258</v>
      </c>
    </row>
    <row r="8" spans="2:48" ht="131">
      <c r="B8" s="68" t="s">
        <v>29</v>
      </c>
      <c r="C8" s="164" t="s">
        <v>174</v>
      </c>
      <c r="D8" s="164" t="s">
        <v>63</v>
      </c>
      <c r="E8" s="164" t="s">
        <v>175</v>
      </c>
      <c r="F8" s="164" t="s">
        <v>176</v>
      </c>
      <c r="G8" s="164" t="s">
        <v>177</v>
      </c>
      <c r="H8" s="164" t="s">
        <v>178</v>
      </c>
      <c r="I8" s="164" t="s">
        <v>179</v>
      </c>
      <c r="J8" s="217" t="s">
        <v>180</v>
      </c>
      <c r="K8" s="233" t="s">
        <v>301</v>
      </c>
      <c r="L8" s="1" t="s">
        <v>253</v>
      </c>
      <c r="M8" s="28" t="s">
        <v>277</v>
      </c>
      <c r="N8" s="31" t="s">
        <v>30</v>
      </c>
      <c r="O8" s="198"/>
      <c r="P8" s="198"/>
      <c r="Q8" s="75"/>
      <c r="R8" s="210" t="s">
        <v>260</v>
      </c>
    </row>
    <row r="9" spans="2:48" ht="101.25" customHeight="1" thickBot="1">
      <c r="B9" s="70" t="s">
        <v>31</v>
      </c>
      <c r="C9" s="165" t="s">
        <v>182</v>
      </c>
      <c r="D9" s="165" t="s">
        <v>172</v>
      </c>
      <c r="E9" s="165" t="s">
        <v>182</v>
      </c>
      <c r="F9" s="165" t="s">
        <v>182</v>
      </c>
      <c r="G9" s="165" t="s">
        <v>182</v>
      </c>
      <c r="H9" s="165" t="s">
        <v>182</v>
      </c>
      <c r="I9" s="165" t="s">
        <v>182</v>
      </c>
      <c r="J9" s="218" t="s">
        <v>182</v>
      </c>
      <c r="K9" s="232" t="s">
        <v>321</v>
      </c>
      <c r="L9" s="221" t="s">
        <v>225</v>
      </c>
      <c r="M9" s="29" t="s">
        <v>285</v>
      </c>
      <c r="N9" s="33" t="s">
        <v>278</v>
      </c>
      <c r="O9" s="199" t="s">
        <v>263</v>
      </c>
      <c r="P9" s="199" t="s">
        <v>317</v>
      </c>
      <c r="Q9" s="73"/>
      <c r="R9" s="206" t="s">
        <v>261</v>
      </c>
    </row>
    <row r="10" spans="2:48" ht="18" customHeight="1" thickTop="1">
      <c r="B10" s="71" t="s">
        <v>286</v>
      </c>
      <c r="C10" s="166" t="s">
        <v>181</v>
      </c>
      <c r="D10" s="166" t="s">
        <v>181</v>
      </c>
      <c r="E10" s="166" t="s">
        <v>181</v>
      </c>
      <c r="F10" s="166" t="s">
        <v>181</v>
      </c>
      <c r="G10" s="166" t="s">
        <v>181</v>
      </c>
      <c r="H10" s="166" t="s">
        <v>181</v>
      </c>
      <c r="I10" s="166" t="s">
        <v>181</v>
      </c>
      <c r="J10" s="166" t="s">
        <v>181</v>
      </c>
      <c r="K10" s="234" t="s">
        <v>232</v>
      </c>
      <c r="L10" s="35" t="s">
        <v>226</v>
      </c>
      <c r="M10" s="194" t="s">
        <v>238</v>
      </c>
      <c r="N10" s="36" t="s">
        <v>235</v>
      </c>
      <c r="O10" s="200" t="s">
        <v>267</v>
      </c>
      <c r="P10" s="200" t="s">
        <v>247</v>
      </c>
      <c r="Q10" s="38"/>
      <c r="R10" s="207" t="s">
        <v>269</v>
      </c>
    </row>
    <row r="11" spans="2:48" ht="17.25" customHeight="1">
      <c r="B11" s="71" t="s">
        <v>287</v>
      </c>
      <c r="C11" s="167" t="s">
        <v>181</v>
      </c>
      <c r="D11" s="167" t="s">
        <v>181</v>
      </c>
      <c r="E11" s="167" t="s">
        <v>181</v>
      </c>
      <c r="F11" s="167" t="s">
        <v>181</v>
      </c>
      <c r="G11" s="167" t="s">
        <v>181</v>
      </c>
      <c r="H11" s="167" t="s">
        <v>181</v>
      </c>
      <c r="I11" s="167" t="s">
        <v>181</v>
      </c>
      <c r="J11" s="167" t="s">
        <v>181</v>
      </c>
      <c r="K11" s="235" t="s">
        <v>320</v>
      </c>
      <c r="L11" s="203" t="s">
        <v>227</v>
      </c>
      <c r="M11" s="194" t="s">
        <v>239</v>
      </c>
      <c r="N11" s="229" t="s">
        <v>111</v>
      </c>
      <c r="O11" s="228" t="s">
        <v>134</v>
      </c>
      <c r="P11" s="201" t="s">
        <v>134</v>
      </c>
      <c r="Q11" s="39"/>
      <c r="R11" s="208" t="s">
        <v>134</v>
      </c>
    </row>
    <row r="12" spans="2:48" ht="17.25" customHeight="1">
      <c r="B12" s="71" t="s">
        <v>288</v>
      </c>
      <c r="C12" s="167" t="s">
        <v>181</v>
      </c>
      <c r="D12" s="167" t="s">
        <v>181</v>
      </c>
      <c r="E12" s="167" t="s">
        <v>181</v>
      </c>
      <c r="F12" s="167" t="s">
        <v>181</v>
      </c>
      <c r="G12" s="167" t="s">
        <v>181</v>
      </c>
      <c r="H12" s="167" t="s">
        <v>181</v>
      </c>
      <c r="I12" s="167" t="s">
        <v>181</v>
      </c>
      <c r="J12" s="167" t="s">
        <v>181</v>
      </c>
      <c r="K12" s="235" t="s">
        <v>320</v>
      </c>
      <c r="L12" s="203" t="s">
        <v>228</v>
      </c>
      <c r="M12" s="194" t="s">
        <v>243</v>
      </c>
      <c r="N12" s="36" t="s">
        <v>303</v>
      </c>
      <c r="O12" s="228" t="s">
        <v>134</v>
      </c>
      <c r="P12" s="201" t="s">
        <v>264</v>
      </c>
      <c r="Q12" s="39"/>
      <c r="R12" s="208" t="s">
        <v>134</v>
      </c>
    </row>
    <row r="13" spans="2:48">
      <c r="B13" s="71" t="s">
        <v>289</v>
      </c>
      <c r="C13" s="167" t="s">
        <v>181</v>
      </c>
      <c r="D13" s="167" t="s">
        <v>181</v>
      </c>
      <c r="E13" s="167" t="s">
        <v>181</v>
      </c>
      <c r="F13" s="167" t="s">
        <v>181</v>
      </c>
      <c r="G13" s="167" t="s">
        <v>181</v>
      </c>
      <c r="H13" s="167" t="s">
        <v>181</v>
      </c>
      <c r="I13" s="167" t="s">
        <v>181</v>
      </c>
      <c r="J13" s="167" t="s">
        <v>181</v>
      </c>
      <c r="K13" s="235" t="s">
        <v>320</v>
      </c>
      <c r="L13" s="203" t="s">
        <v>227</v>
      </c>
      <c r="M13" s="194" t="s">
        <v>240</v>
      </c>
      <c r="N13" s="36" t="s">
        <v>305</v>
      </c>
      <c r="O13" s="228" t="s">
        <v>134</v>
      </c>
      <c r="P13" s="201" t="s">
        <v>266</v>
      </c>
      <c r="Q13" s="39"/>
      <c r="R13" s="208" t="s">
        <v>134</v>
      </c>
    </row>
    <row r="14" spans="2:48" ht="17.25" customHeight="1">
      <c r="B14" s="71" t="s">
        <v>290</v>
      </c>
      <c r="C14" s="167" t="s">
        <v>181</v>
      </c>
      <c r="D14" s="167" t="s">
        <v>181</v>
      </c>
      <c r="E14" s="167" t="s">
        <v>181</v>
      </c>
      <c r="F14" s="167" t="s">
        <v>181</v>
      </c>
      <c r="G14" s="167" t="s">
        <v>181</v>
      </c>
      <c r="H14" s="167" t="s">
        <v>181</v>
      </c>
      <c r="I14" s="167" t="s">
        <v>181</v>
      </c>
      <c r="J14" s="167" t="s">
        <v>181</v>
      </c>
      <c r="K14" s="235" t="s">
        <v>320</v>
      </c>
      <c r="L14" s="203" t="s">
        <v>227</v>
      </c>
      <c r="M14" s="195" t="s">
        <v>241</v>
      </c>
      <c r="N14" s="37" t="s">
        <v>307</v>
      </c>
      <c r="O14" s="228" t="s">
        <v>134</v>
      </c>
      <c r="P14" s="201" t="s">
        <v>265</v>
      </c>
      <c r="Q14" s="39"/>
      <c r="R14" s="208" t="s">
        <v>269</v>
      </c>
    </row>
    <row r="15" spans="2:48" ht="17.25" customHeight="1">
      <c r="B15" s="71" t="s">
        <v>292</v>
      </c>
      <c r="C15" s="167" t="s">
        <v>181</v>
      </c>
      <c r="D15" s="167" t="s">
        <v>181</v>
      </c>
      <c r="E15" s="167" t="s">
        <v>181</v>
      </c>
      <c r="F15" s="167" t="s">
        <v>181</v>
      </c>
      <c r="G15" s="167" t="s">
        <v>181</v>
      </c>
      <c r="H15" s="167" t="s">
        <v>181</v>
      </c>
      <c r="I15" s="167" t="s">
        <v>181</v>
      </c>
      <c r="J15" s="167" t="s">
        <v>181</v>
      </c>
      <c r="K15" s="235" t="s">
        <v>320</v>
      </c>
      <c r="L15" s="203" t="s">
        <v>226</v>
      </c>
      <c r="M15" s="195" t="s">
        <v>244</v>
      </c>
      <c r="N15" s="37" t="s">
        <v>236</v>
      </c>
      <c r="O15" s="201" t="s">
        <v>249</v>
      </c>
      <c r="P15" s="201" t="s">
        <v>249</v>
      </c>
      <c r="Q15" s="39"/>
      <c r="R15" s="208" t="s">
        <v>269</v>
      </c>
    </row>
    <row r="16" spans="2:48">
      <c r="B16" s="71" t="s">
        <v>291</v>
      </c>
      <c r="C16" s="167" t="s">
        <v>181</v>
      </c>
      <c r="D16" s="167" t="s">
        <v>181</v>
      </c>
      <c r="E16" s="167" t="s">
        <v>181</v>
      </c>
      <c r="F16" s="167" t="s">
        <v>181</v>
      </c>
      <c r="G16" s="167" t="s">
        <v>181</v>
      </c>
      <c r="H16" s="167" t="s">
        <v>181</v>
      </c>
      <c r="I16" s="167" t="s">
        <v>181</v>
      </c>
      <c r="J16" s="167" t="s">
        <v>181</v>
      </c>
      <c r="K16" s="235" t="s">
        <v>320</v>
      </c>
      <c r="L16" s="203" t="s">
        <v>227</v>
      </c>
      <c r="M16" s="195" t="s">
        <v>245</v>
      </c>
      <c r="N16" s="37" t="s">
        <v>237</v>
      </c>
      <c r="O16" s="201" t="s">
        <v>249</v>
      </c>
      <c r="P16" s="201" t="s">
        <v>248</v>
      </c>
      <c r="Q16" s="39"/>
      <c r="R16" s="208" t="s">
        <v>271</v>
      </c>
    </row>
    <row r="17" spans="2:18">
      <c r="B17" s="71" t="s">
        <v>275</v>
      </c>
      <c r="C17" s="167" t="s">
        <v>181</v>
      </c>
      <c r="D17" s="167" t="s">
        <v>181</v>
      </c>
      <c r="E17" s="167" t="s">
        <v>181</v>
      </c>
      <c r="F17" s="167" t="s">
        <v>181</v>
      </c>
      <c r="G17" s="167" t="s">
        <v>181</v>
      </c>
      <c r="H17" s="167" t="s">
        <v>181</v>
      </c>
      <c r="I17" s="167" t="s">
        <v>181</v>
      </c>
      <c r="J17" s="167" t="s">
        <v>181</v>
      </c>
      <c r="K17" s="235" t="s">
        <v>320</v>
      </c>
      <c r="L17" s="203" t="s">
        <v>227</v>
      </c>
      <c r="M17" s="195" t="s">
        <v>246</v>
      </c>
      <c r="N17" s="37" t="s">
        <v>237</v>
      </c>
      <c r="O17" s="201" t="s">
        <v>249</v>
      </c>
      <c r="P17" s="201" t="s">
        <v>248</v>
      </c>
      <c r="Q17" s="39"/>
      <c r="R17" s="208" t="s">
        <v>272</v>
      </c>
    </row>
    <row r="18" spans="2:18">
      <c r="B18" s="23" t="s">
        <v>276</v>
      </c>
      <c r="C18" s="167" t="s">
        <v>181</v>
      </c>
      <c r="D18" s="167" t="s">
        <v>181</v>
      </c>
      <c r="E18" s="167" t="s">
        <v>181</v>
      </c>
      <c r="F18" s="167" t="s">
        <v>181</v>
      </c>
      <c r="G18" s="167" t="s">
        <v>181</v>
      </c>
      <c r="H18" s="167" t="s">
        <v>181</v>
      </c>
      <c r="I18" s="167" t="s">
        <v>181</v>
      </c>
      <c r="J18" s="167" t="s">
        <v>181</v>
      </c>
      <c r="K18" s="235" t="s">
        <v>320</v>
      </c>
      <c r="L18" s="203" t="s">
        <v>232</v>
      </c>
      <c r="M18" s="195" t="s">
        <v>242</v>
      </c>
      <c r="N18" s="37" t="s">
        <v>33</v>
      </c>
      <c r="O18" s="201" t="s">
        <v>249</v>
      </c>
      <c r="P18" s="201" t="s">
        <v>248</v>
      </c>
      <c r="Q18" s="39"/>
      <c r="R18" s="208" t="s">
        <v>267</v>
      </c>
    </row>
    <row r="19" spans="2:18" ht="13.5" thickBot="1">
      <c r="B19" s="189" t="s">
        <v>293</v>
      </c>
      <c r="C19" s="190" t="s">
        <v>181</v>
      </c>
      <c r="D19" s="190" t="s">
        <v>181</v>
      </c>
      <c r="E19" s="190" t="s">
        <v>181</v>
      </c>
      <c r="F19" s="190" t="s">
        <v>181</v>
      </c>
      <c r="G19" s="190" t="s">
        <v>181</v>
      </c>
      <c r="H19" s="190" t="s">
        <v>181</v>
      </c>
      <c r="I19" s="190" t="s">
        <v>181</v>
      </c>
      <c r="J19" s="190" t="s">
        <v>181</v>
      </c>
      <c r="K19" s="236" t="s">
        <v>320</v>
      </c>
      <c r="L19" s="191" t="s">
        <v>233</v>
      </c>
      <c r="M19" s="196" t="s">
        <v>242</v>
      </c>
      <c r="N19" s="192" t="s">
        <v>33</v>
      </c>
      <c r="O19" s="202" t="s">
        <v>172</v>
      </c>
      <c r="P19" s="202" t="s">
        <v>248</v>
      </c>
      <c r="Q19" s="193"/>
      <c r="R19" s="209" t="s">
        <v>270</v>
      </c>
    </row>
    <row r="20" spans="2:18">
      <c r="B20" s="71" t="s">
        <v>286</v>
      </c>
      <c r="C20" s="166" t="s">
        <v>181</v>
      </c>
      <c r="D20" s="166" t="s">
        <v>181</v>
      </c>
      <c r="E20" s="166" t="s">
        <v>181</v>
      </c>
      <c r="F20" s="166" t="s">
        <v>181</v>
      </c>
      <c r="G20" s="166" t="s">
        <v>181</v>
      </c>
      <c r="H20" s="166" t="s">
        <v>181</v>
      </c>
      <c r="I20" s="166" t="s">
        <v>181</v>
      </c>
      <c r="J20" s="166" t="s">
        <v>181</v>
      </c>
      <c r="K20" s="234" t="s">
        <v>226</v>
      </c>
      <c r="L20" s="35" t="s">
        <v>226</v>
      </c>
      <c r="M20" s="194" t="s">
        <v>238</v>
      </c>
      <c r="N20" s="36" t="s">
        <v>111</v>
      </c>
      <c r="O20" s="200" t="s">
        <v>134</v>
      </c>
      <c r="P20" s="200" t="s">
        <v>134</v>
      </c>
      <c r="Q20" s="38"/>
      <c r="R20" s="207" t="s">
        <v>134</v>
      </c>
    </row>
    <row r="21" spans="2:18">
      <c r="B21" s="71" t="s">
        <v>287</v>
      </c>
      <c r="C21" s="167" t="s">
        <v>181</v>
      </c>
      <c r="D21" s="167" t="s">
        <v>181</v>
      </c>
      <c r="E21" s="167" t="s">
        <v>181</v>
      </c>
      <c r="F21" s="167" t="s">
        <v>181</v>
      </c>
      <c r="G21" s="167" t="s">
        <v>181</v>
      </c>
      <c r="H21" s="167" t="s">
        <v>181</v>
      </c>
      <c r="I21" s="167" t="s">
        <v>181</v>
      </c>
      <c r="J21" s="167" t="s">
        <v>181</v>
      </c>
      <c r="K21" s="235" t="s">
        <v>319</v>
      </c>
      <c r="L21" s="225" t="s">
        <v>226</v>
      </c>
      <c r="M21" s="194" t="s">
        <v>239</v>
      </c>
      <c r="N21" s="229" t="s">
        <v>33</v>
      </c>
      <c r="O21" s="228" t="s">
        <v>134</v>
      </c>
      <c r="P21" s="201" t="s">
        <v>134</v>
      </c>
      <c r="Q21" s="39"/>
      <c r="R21" s="208" t="s">
        <v>134</v>
      </c>
    </row>
    <row r="22" spans="2:18">
      <c r="B22" s="71" t="s">
        <v>288</v>
      </c>
      <c r="C22" s="167" t="s">
        <v>181</v>
      </c>
      <c r="D22" s="167" t="s">
        <v>181</v>
      </c>
      <c r="E22" s="167" t="s">
        <v>181</v>
      </c>
      <c r="F22" s="167" t="s">
        <v>181</v>
      </c>
      <c r="G22" s="167" t="s">
        <v>181</v>
      </c>
      <c r="H22" s="167" t="s">
        <v>181</v>
      </c>
      <c r="I22" s="167" t="s">
        <v>181</v>
      </c>
      <c r="J22" s="167" t="s">
        <v>181</v>
      </c>
      <c r="K22" s="235" t="s">
        <v>319</v>
      </c>
      <c r="L22" s="225" t="s">
        <v>226</v>
      </c>
      <c r="M22" s="194" t="s">
        <v>243</v>
      </c>
      <c r="N22" s="36" t="s">
        <v>280</v>
      </c>
      <c r="O22" s="228" t="s">
        <v>134</v>
      </c>
      <c r="P22" s="201" t="s">
        <v>322</v>
      </c>
      <c r="Q22" s="39"/>
      <c r="R22" s="208" t="s">
        <v>268</v>
      </c>
    </row>
    <row r="23" spans="2:18">
      <c r="B23" s="71" t="s">
        <v>289</v>
      </c>
      <c r="C23" s="167" t="s">
        <v>181</v>
      </c>
      <c r="D23" s="167" t="s">
        <v>181</v>
      </c>
      <c r="E23" s="167" t="s">
        <v>181</v>
      </c>
      <c r="F23" s="167" t="s">
        <v>181</v>
      </c>
      <c r="G23" s="167" t="s">
        <v>181</v>
      </c>
      <c r="H23" s="167" t="s">
        <v>181</v>
      </c>
      <c r="I23" s="167" t="s">
        <v>181</v>
      </c>
      <c r="J23" s="167" t="s">
        <v>181</v>
      </c>
      <c r="K23" s="235" t="s">
        <v>319</v>
      </c>
      <c r="L23" s="225" t="s">
        <v>226</v>
      </c>
      <c r="M23" s="194" t="s">
        <v>240</v>
      </c>
      <c r="N23" s="36" t="s">
        <v>282</v>
      </c>
      <c r="O23" s="228" t="s">
        <v>134</v>
      </c>
      <c r="P23" s="201" t="s">
        <v>323</v>
      </c>
      <c r="Q23" s="39"/>
      <c r="R23" s="208" t="s">
        <v>134</v>
      </c>
    </row>
    <row r="24" spans="2:18">
      <c r="B24" s="71" t="s">
        <v>290</v>
      </c>
      <c r="C24" s="167" t="s">
        <v>181</v>
      </c>
      <c r="D24" s="167" t="s">
        <v>181</v>
      </c>
      <c r="E24" s="167" t="s">
        <v>181</v>
      </c>
      <c r="F24" s="167" t="s">
        <v>181</v>
      </c>
      <c r="G24" s="167" t="s">
        <v>181</v>
      </c>
      <c r="H24" s="167" t="s">
        <v>181</v>
      </c>
      <c r="I24" s="167" t="s">
        <v>181</v>
      </c>
      <c r="J24" s="167" t="s">
        <v>181</v>
      </c>
      <c r="K24" s="235" t="s">
        <v>319</v>
      </c>
      <c r="L24" s="225" t="s">
        <v>226</v>
      </c>
      <c r="M24" s="195" t="s">
        <v>241</v>
      </c>
      <c r="N24" s="37" t="s">
        <v>284</v>
      </c>
      <c r="O24" s="228" t="s">
        <v>134</v>
      </c>
      <c r="P24" s="201" t="s">
        <v>324</v>
      </c>
      <c r="Q24" s="39"/>
      <c r="R24" s="208" t="s">
        <v>134</v>
      </c>
    </row>
    <row r="25" spans="2:18">
      <c r="B25" s="71" t="s">
        <v>275</v>
      </c>
      <c r="C25" s="167" t="s">
        <v>181</v>
      </c>
      <c r="D25" s="167" t="s">
        <v>181</v>
      </c>
      <c r="E25" s="167" t="s">
        <v>181</v>
      </c>
      <c r="F25" s="167" t="s">
        <v>181</v>
      </c>
      <c r="G25" s="167" t="s">
        <v>181</v>
      </c>
      <c r="H25" s="167" t="s">
        <v>181</v>
      </c>
      <c r="I25" s="167" t="s">
        <v>181</v>
      </c>
      <c r="J25" s="167" t="s">
        <v>181</v>
      </c>
      <c r="K25" s="235" t="s">
        <v>319</v>
      </c>
      <c r="L25" s="225" t="s">
        <v>226</v>
      </c>
      <c r="M25" s="195" t="s">
        <v>244</v>
      </c>
      <c r="N25" s="37" t="s">
        <v>111</v>
      </c>
      <c r="O25" s="201" t="s">
        <v>134</v>
      </c>
      <c r="P25" s="201" t="s">
        <v>134</v>
      </c>
      <c r="Q25" s="39"/>
      <c r="R25" s="208" t="s">
        <v>134</v>
      </c>
    </row>
    <row r="26" spans="2:18">
      <c r="B26" s="71" t="s">
        <v>275</v>
      </c>
      <c r="C26" s="167" t="s">
        <v>181</v>
      </c>
      <c r="D26" s="167" t="s">
        <v>181</v>
      </c>
      <c r="E26" s="167" t="s">
        <v>181</v>
      </c>
      <c r="F26" s="167" t="s">
        <v>181</v>
      </c>
      <c r="G26" s="167" t="s">
        <v>181</v>
      </c>
      <c r="H26" s="167" t="s">
        <v>181</v>
      </c>
      <c r="I26" s="167" t="s">
        <v>181</v>
      </c>
      <c r="J26" s="167" t="s">
        <v>181</v>
      </c>
      <c r="K26" s="235" t="s">
        <v>319</v>
      </c>
      <c r="L26" s="225" t="s">
        <v>226</v>
      </c>
      <c r="M26" s="195" t="s">
        <v>245</v>
      </c>
      <c r="N26" s="37" t="s">
        <v>111</v>
      </c>
      <c r="O26" s="201" t="s">
        <v>134</v>
      </c>
      <c r="P26" s="201" t="s">
        <v>134</v>
      </c>
      <c r="Q26" s="39"/>
      <c r="R26" s="208" t="s">
        <v>134</v>
      </c>
    </row>
    <row r="27" spans="2:18">
      <c r="B27" s="71" t="s">
        <v>275</v>
      </c>
      <c r="C27" s="167" t="s">
        <v>181</v>
      </c>
      <c r="D27" s="167" t="s">
        <v>181</v>
      </c>
      <c r="E27" s="167" t="s">
        <v>181</v>
      </c>
      <c r="F27" s="167" t="s">
        <v>181</v>
      </c>
      <c r="G27" s="167" t="s">
        <v>181</v>
      </c>
      <c r="H27" s="167" t="s">
        <v>181</v>
      </c>
      <c r="I27" s="167" t="s">
        <v>181</v>
      </c>
      <c r="J27" s="167" t="s">
        <v>181</v>
      </c>
      <c r="K27" s="235" t="s">
        <v>319</v>
      </c>
      <c r="L27" s="225" t="s">
        <v>226</v>
      </c>
      <c r="M27" s="195" t="s">
        <v>246</v>
      </c>
      <c r="N27" s="37" t="s">
        <v>111</v>
      </c>
      <c r="O27" s="201" t="s">
        <v>134</v>
      </c>
      <c r="P27" s="201" t="s">
        <v>134</v>
      </c>
      <c r="Q27" s="39"/>
      <c r="R27" s="208" t="s">
        <v>134</v>
      </c>
    </row>
    <row r="28" spans="2:18">
      <c r="B28" s="23" t="s">
        <v>276</v>
      </c>
      <c r="C28" s="167" t="s">
        <v>181</v>
      </c>
      <c r="D28" s="167" t="s">
        <v>181</v>
      </c>
      <c r="E28" s="167" t="s">
        <v>181</v>
      </c>
      <c r="F28" s="167" t="s">
        <v>181</v>
      </c>
      <c r="G28" s="167" t="s">
        <v>181</v>
      </c>
      <c r="H28" s="167" t="s">
        <v>181</v>
      </c>
      <c r="I28" s="167" t="s">
        <v>181</v>
      </c>
      <c r="J28" s="167" t="s">
        <v>181</v>
      </c>
      <c r="K28" s="235" t="s">
        <v>319</v>
      </c>
      <c r="L28" s="225" t="s">
        <v>232</v>
      </c>
      <c r="M28" s="195" t="s">
        <v>242</v>
      </c>
      <c r="N28" s="37" t="s">
        <v>33</v>
      </c>
      <c r="O28" s="201" t="s">
        <v>134</v>
      </c>
      <c r="P28" s="201" t="s">
        <v>134</v>
      </c>
      <c r="Q28" s="39"/>
      <c r="R28" s="208" t="s">
        <v>134</v>
      </c>
    </row>
    <row r="29" spans="2:18" ht="13.5" thickBot="1">
      <c r="B29" s="189" t="s">
        <v>293</v>
      </c>
      <c r="C29" s="190" t="s">
        <v>181</v>
      </c>
      <c r="D29" s="190" t="s">
        <v>181</v>
      </c>
      <c r="E29" s="190" t="s">
        <v>181</v>
      </c>
      <c r="F29" s="190" t="s">
        <v>181</v>
      </c>
      <c r="G29" s="190" t="s">
        <v>181</v>
      </c>
      <c r="H29" s="190" t="s">
        <v>181</v>
      </c>
      <c r="I29" s="190" t="s">
        <v>181</v>
      </c>
      <c r="J29" s="190" t="s">
        <v>181</v>
      </c>
      <c r="K29" s="236" t="s">
        <v>319</v>
      </c>
      <c r="L29" s="191" t="s">
        <v>233</v>
      </c>
      <c r="M29" s="196" t="s">
        <v>242</v>
      </c>
      <c r="N29" s="192" t="s">
        <v>33</v>
      </c>
      <c r="O29" s="202" t="s">
        <v>134</v>
      </c>
      <c r="P29" s="202" t="s">
        <v>134</v>
      </c>
      <c r="Q29" s="193"/>
      <c r="R29" s="209" t="s">
        <v>134</v>
      </c>
    </row>
    <row r="109" spans="22:48">
      <c r="V109" s="204" t="s">
        <v>256</v>
      </c>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row>
    <row r="131" spans="49:49">
      <c r="AW131" s="237" t="s">
        <v>326</v>
      </c>
    </row>
    <row r="143" spans="49:49">
      <c r="AW143" s="89" t="s">
        <v>327</v>
      </c>
    </row>
    <row r="167" spans="22:48">
      <c r="V167" s="204" t="s">
        <v>262</v>
      </c>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row>
    <row r="266" spans="22:48">
      <c r="V266" s="204" t="s">
        <v>257</v>
      </c>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row>
  </sheetData>
  <protectedRanges>
    <protectedRange sqref="K8" name="Table作成編集範囲"/>
  </protectedRanges>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82" t="s">
        <v>88</v>
      </c>
      <c r="C2" s="83">
        <f>MAX(B4:B28)</f>
        <v>17</v>
      </c>
      <c r="D2" s="83"/>
    </row>
    <row r="3" spans="2:4" ht="13.5" thickBot="1">
      <c r="B3" s="76" t="s">
        <v>86</v>
      </c>
      <c r="C3" s="84" t="s">
        <v>91</v>
      </c>
      <c r="D3" s="77" t="s">
        <v>87</v>
      </c>
    </row>
    <row r="4" spans="2:4" ht="13.5" thickTop="1">
      <c r="B4" s="13">
        <v>0</v>
      </c>
      <c r="C4" s="85" t="s">
        <v>92</v>
      </c>
      <c r="D4" s="15" t="s">
        <v>20</v>
      </c>
    </row>
    <row r="5" spans="2:4" ht="39">
      <c r="B5" s="2">
        <v>1</v>
      </c>
      <c r="C5" s="86" t="s">
        <v>92</v>
      </c>
      <c r="D5" s="88" t="s">
        <v>93</v>
      </c>
    </row>
    <row r="6" spans="2:4" ht="26">
      <c r="B6" s="2">
        <v>2</v>
      </c>
      <c r="C6" s="86" t="s">
        <v>95</v>
      </c>
      <c r="D6" s="88" t="s">
        <v>96</v>
      </c>
    </row>
    <row r="7" spans="2:4" ht="52">
      <c r="B7" s="2">
        <v>3</v>
      </c>
      <c r="C7" s="86" t="s">
        <v>97</v>
      </c>
      <c r="D7" s="88" t="s">
        <v>100</v>
      </c>
    </row>
    <row r="8" spans="2:4" ht="78">
      <c r="B8" s="2">
        <v>4</v>
      </c>
      <c r="C8" s="86" t="s">
        <v>108</v>
      </c>
      <c r="D8" s="88" t="s">
        <v>116</v>
      </c>
    </row>
    <row r="9" spans="2:4" ht="41.25" customHeight="1">
      <c r="B9" s="2">
        <v>5</v>
      </c>
      <c r="C9" s="86" t="s">
        <v>109</v>
      </c>
      <c r="D9" s="88" t="s">
        <v>110</v>
      </c>
    </row>
    <row r="10" spans="2:4" ht="26">
      <c r="B10" s="2">
        <v>6</v>
      </c>
      <c r="C10" s="86" t="s">
        <v>92</v>
      </c>
      <c r="D10" s="88" t="s">
        <v>115</v>
      </c>
    </row>
    <row r="11" spans="2:4" ht="26">
      <c r="B11" s="2">
        <v>7</v>
      </c>
      <c r="C11" s="86" t="s">
        <v>112</v>
      </c>
      <c r="D11" s="88" t="s">
        <v>113</v>
      </c>
    </row>
    <row r="12" spans="2:4" ht="26">
      <c r="B12" s="2">
        <v>8</v>
      </c>
      <c r="C12" s="86" t="s">
        <v>114</v>
      </c>
      <c r="D12" s="88" t="s">
        <v>117</v>
      </c>
    </row>
    <row r="13" spans="2:4" ht="26">
      <c r="B13" s="2">
        <v>9</v>
      </c>
      <c r="C13" s="86" t="s">
        <v>118</v>
      </c>
      <c r="D13" s="88" t="s">
        <v>119</v>
      </c>
    </row>
    <row r="14" spans="2:4" ht="26">
      <c r="B14" s="2">
        <v>10</v>
      </c>
      <c r="C14" s="86" t="s">
        <v>120</v>
      </c>
      <c r="D14" s="88" t="s">
        <v>121</v>
      </c>
    </row>
    <row r="15" spans="2:4" ht="130">
      <c r="B15" s="2">
        <v>11</v>
      </c>
      <c r="C15" s="86" t="s">
        <v>123</v>
      </c>
      <c r="D15" s="88" t="s">
        <v>135</v>
      </c>
    </row>
    <row r="16" spans="2:4" ht="191.25" customHeight="1">
      <c r="B16" s="2">
        <v>12</v>
      </c>
      <c r="C16" s="86" t="s">
        <v>165</v>
      </c>
      <c r="D16" s="88" t="s">
        <v>187</v>
      </c>
    </row>
    <row r="17" spans="2:4" ht="26">
      <c r="B17" s="2">
        <v>13</v>
      </c>
      <c r="C17" s="86" t="s">
        <v>95</v>
      </c>
      <c r="D17" s="88" t="s">
        <v>191</v>
      </c>
    </row>
    <row r="18" spans="2:4" ht="91">
      <c r="B18" s="2">
        <v>14</v>
      </c>
      <c r="C18" s="86" t="s">
        <v>95</v>
      </c>
      <c r="D18" s="88" t="s">
        <v>193</v>
      </c>
    </row>
    <row r="19" spans="2:4" ht="39">
      <c r="B19" s="2">
        <v>15</v>
      </c>
      <c r="C19" s="86" t="s">
        <v>109</v>
      </c>
      <c r="D19" s="88" t="s">
        <v>196</v>
      </c>
    </row>
    <row r="20" spans="2:4" ht="64.5" customHeight="1">
      <c r="B20" s="2">
        <v>16</v>
      </c>
      <c r="C20" s="86" t="s">
        <v>109</v>
      </c>
      <c r="D20" s="88" t="s">
        <v>200</v>
      </c>
    </row>
    <row r="21" spans="2:4" ht="66.75" customHeight="1">
      <c r="B21" s="2">
        <v>17</v>
      </c>
      <c r="C21" s="86" t="s">
        <v>209</v>
      </c>
      <c r="D21" s="88" t="s">
        <v>216</v>
      </c>
    </row>
    <row r="22" spans="2:4">
      <c r="B22" s="2"/>
      <c r="C22" s="86"/>
      <c r="D22" s="88"/>
    </row>
    <row r="23" spans="2:4">
      <c r="B23" s="2"/>
      <c r="C23" s="86"/>
      <c r="D23" s="88"/>
    </row>
    <row r="24" spans="2:4">
      <c r="B24" s="2"/>
      <c r="C24" s="86"/>
      <c r="D24" s="88"/>
    </row>
    <row r="25" spans="2:4">
      <c r="B25" s="2"/>
      <c r="C25" s="86"/>
      <c r="D25" s="72"/>
    </row>
    <row r="26" spans="2:4">
      <c r="B26" s="2"/>
      <c r="C26" s="86"/>
      <c r="D26" s="72"/>
    </row>
    <row r="27" spans="2:4" ht="13.5" thickBot="1">
      <c r="B27" s="4"/>
      <c r="C27" s="8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H_DRIPOW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2024-10-11T10:53:41Z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6f41ba41-cd88-414d-b4e3-38e33864103c</vt:lpwstr>
  </property>
  <property fmtid="{D5CDD505-2E9C-101B-9397-08002B2CF9AE}" pid="8" name="MSIP_Label_6add209e-37c4-4e15-ab1b-f9befe71def1_ContentBits">
    <vt:lpwstr>0</vt:lpwstr>
  </property>
</Properties>
</file>