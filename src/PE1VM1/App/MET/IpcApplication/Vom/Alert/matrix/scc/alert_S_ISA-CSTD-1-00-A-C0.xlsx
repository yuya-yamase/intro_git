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5.R1.1\02.設計\03_MET-S_ISA_途絶判定処理修正_MET19PFV3-24075_MET19PFV3-2402\04.パラメータ設定書\"/>
    </mc:Choice>
  </mc:AlternateContent>
  <xr:revisionPtr revIDLastSave="0" documentId="13_ncr:1_{81F07081-5F96-45A4-8190-275CADBD0B74}" xr6:coauthVersionLast="47" xr6:coauthVersionMax="47" xr10:uidLastSave="{00000000-0000-0000-0000-000000000000}"/>
  <bookViews>
    <workbookView xWindow="-120" yWindow="-120" windowWidth="29040" windowHeight="1584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TT" sheetId="8" r:id="rId7"/>
    <sheet name="PD" sheetId="12"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T13" i="13"/>
  <c r="B10" i="1"/>
  <c r="B11" i="1"/>
  <c r="C2" i="7" l="1"/>
  <c r="B3" i="8"/>
  <c r="B3" i="12"/>
  <c r="AJ199" i="12" l="1"/>
  <c r="AI199" i="12"/>
  <c r="AH199" i="12"/>
  <c r="AG199" i="12"/>
  <c r="AF199" i="12"/>
  <c r="AE199" i="12"/>
  <c r="AD199" i="12"/>
  <c r="AC199" i="12"/>
  <c r="AB199" i="12"/>
  <c r="AA199" i="12"/>
  <c r="Z199" i="12"/>
  <c r="Y199" i="12"/>
  <c r="X199" i="12"/>
  <c r="W199" i="12"/>
  <c r="V199" i="12"/>
  <c r="U199" i="12"/>
  <c r="T199" i="12"/>
  <c r="AM199" i="12" s="1"/>
  <c r="S199" i="12"/>
  <c r="R199" i="12"/>
  <c r="Q199" i="12"/>
  <c r="P199" i="12"/>
  <c r="O199" i="12"/>
  <c r="N199" i="12"/>
  <c r="M199" i="12"/>
  <c r="L199" i="12"/>
  <c r="K199" i="12"/>
  <c r="J199" i="12"/>
  <c r="I199" i="12"/>
  <c r="H199" i="12"/>
  <c r="G199" i="12"/>
  <c r="F199" i="12"/>
  <c r="E199" i="12"/>
  <c r="D199" i="12"/>
  <c r="AO199" i="12" s="1"/>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AN194" i="12" s="1"/>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AN193" i="12" s="1"/>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AM189" i="12" s="1"/>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AN186" i="12" s="1"/>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AN185" i="12" s="1"/>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AM181" i="12" s="1"/>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AN178" i="12" s="1"/>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AN177" i="12" s="1"/>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AM173" i="12" s="1"/>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AN170" i="12" s="1"/>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AN169" i="12" s="1"/>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AN162" i="12" s="1"/>
  <c r="K162" i="12"/>
  <c r="J162" i="12"/>
  <c r="I162" i="12"/>
  <c r="H162" i="12"/>
  <c r="G162" i="12"/>
  <c r="F162" i="12"/>
  <c r="E162" i="12"/>
  <c r="D162" i="12"/>
  <c r="AO162" i="12" s="1"/>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O160" i="12" s="1"/>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AM155" i="12" s="1"/>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AM149" i="12" s="1"/>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AO148" i="12" s="1"/>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O141" i="12" s="1"/>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AM132" i="12" s="1"/>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AN126" i="12" s="1"/>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AN124" i="12" s="1"/>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K120" i="12"/>
  <c r="J120" i="12"/>
  <c r="I120" i="12"/>
  <c r="H120" i="12"/>
  <c r="G120" i="12"/>
  <c r="F120" i="12"/>
  <c r="E120" i="12"/>
  <c r="D120" i="12"/>
  <c r="AO120" i="12" s="1"/>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AN113" i="12" s="1"/>
  <c r="K113" i="12"/>
  <c r="J113" i="12"/>
  <c r="I113" i="12"/>
  <c r="H113" i="12"/>
  <c r="G113" i="12"/>
  <c r="F113" i="12"/>
  <c r="E113" i="12"/>
  <c r="D113" i="12"/>
  <c r="AO113" i="12" s="1"/>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AM108" i="12" s="1"/>
  <c r="S108" i="12"/>
  <c r="R108" i="12"/>
  <c r="Q108" i="12"/>
  <c r="P108" i="12"/>
  <c r="O108" i="12"/>
  <c r="N108" i="12"/>
  <c r="M108" i="12"/>
  <c r="L108" i="12"/>
  <c r="K108" i="12"/>
  <c r="J108" i="12"/>
  <c r="I108" i="12"/>
  <c r="H108" i="12"/>
  <c r="G108" i="12"/>
  <c r="F108" i="12"/>
  <c r="E108" i="12"/>
  <c r="D108" i="12"/>
  <c r="C108" i="12"/>
  <c r="AJ107" i="12"/>
  <c r="AI107" i="12"/>
  <c r="AH107" i="12"/>
  <c r="AG107" i="12"/>
  <c r="AF107" i="12"/>
  <c r="AE107" i="12"/>
  <c r="AD107" i="12"/>
  <c r="AC107" i="12"/>
  <c r="AB107" i="12"/>
  <c r="AA107" i="12"/>
  <c r="Z107" i="12"/>
  <c r="Y107" i="12"/>
  <c r="X107" i="12"/>
  <c r="W107" i="12"/>
  <c r="V107" i="12"/>
  <c r="U107" i="12"/>
  <c r="AM107" i="12" s="1"/>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AM101" i="12" s="1"/>
  <c r="S101" i="12"/>
  <c r="R101" i="12"/>
  <c r="Q101" i="12"/>
  <c r="P101" i="12"/>
  <c r="O101" i="12"/>
  <c r="N101" i="12"/>
  <c r="M101" i="12"/>
  <c r="L101" i="12"/>
  <c r="AN101" i="12" s="1"/>
  <c r="K101" i="12"/>
  <c r="J101" i="12"/>
  <c r="I101" i="12"/>
  <c r="H101" i="12"/>
  <c r="G101" i="12"/>
  <c r="F101" i="12"/>
  <c r="E101" i="12"/>
  <c r="D101" i="12"/>
  <c r="AO101" i="12" s="1"/>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AM96" i="12" s="1"/>
  <c r="S96" i="12"/>
  <c r="R96" i="12"/>
  <c r="Q96" i="12"/>
  <c r="P96" i="12"/>
  <c r="O96" i="12"/>
  <c r="N96" i="12"/>
  <c r="M96" i="12"/>
  <c r="L96" i="12"/>
  <c r="K96" i="12"/>
  <c r="J96" i="12"/>
  <c r="I96" i="12"/>
  <c r="H96" i="12"/>
  <c r="G96" i="12"/>
  <c r="F96" i="12"/>
  <c r="E96" i="12"/>
  <c r="D96" i="12"/>
  <c r="C96" i="12"/>
  <c r="AJ95" i="12"/>
  <c r="AI95" i="12"/>
  <c r="AH95" i="12"/>
  <c r="AG95" i="12"/>
  <c r="AF95" i="12"/>
  <c r="AE95" i="12"/>
  <c r="AD95" i="12"/>
  <c r="AC95" i="12"/>
  <c r="AB95" i="12"/>
  <c r="AA95" i="12"/>
  <c r="Z95" i="12"/>
  <c r="Y95" i="12"/>
  <c r="X95" i="12"/>
  <c r="W95" i="12"/>
  <c r="V95" i="12"/>
  <c r="U95" i="12"/>
  <c r="AM95" i="12" s="1"/>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AN89" i="12" s="1"/>
  <c r="K89" i="12"/>
  <c r="J89" i="12"/>
  <c r="I89" i="12"/>
  <c r="H89" i="12"/>
  <c r="G89" i="12"/>
  <c r="F89" i="12"/>
  <c r="E89" i="12"/>
  <c r="D89" i="12"/>
  <c r="AO89" i="12" s="1"/>
  <c r="AJ88" i="12"/>
  <c r="AI88" i="12"/>
  <c r="AH88" i="12"/>
  <c r="AG88" i="12"/>
  <c r="AF88" i="12"/>
  <c r="AE88" i="12"/>
  <c r="AD88" i="12"/>
  <c r="AC88" i="12"/>
  <c r="AB88" i="12"/>
  <c r="AA88" i="12"/>
  <c r="Z88" i="12"/>
  <c r="Y88" i="12"/>
  <c r="X88" i="12"/>
  <c r="W88" i="12"/>
  <c r="V88" i="12"/>
  <c r="U88" i="12"/>
  <c r="T88" i="12"/>
  <c r="S88" i="12"/>
  <c r="R88" i="12"/>
  <c r="Q88" i="12"/>
  <c r="P88" i="12"/>
  <c r="O88" i="12"/>
  <c r="N88" i="12"/>
  <c r="M88" i="12"/>
  <c r="AN88" i="12" s="1"/>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AM84" i="12" s="1"/>
  <c r="S84" i="12"/>
  <c r="R84" i="12"/>
  <c r="Q84" i="12"/>
  <c r="P84" i="12"/>
  <c r="O84" i="12"/>
  <c r="N84" i="12"/>
  <c r="M84" i="12"/>
  <c r="L84" i="12"/>
  <c r="K84" i="12"/>
  <c r="J84" i="12"/>
  <c r="I84" i="12"/>
  <c r="H84" i="12"/>
  <c r="G84" i="12"/>
  <c r="F84" i="12"/>
  <c r="E84" i="12"/>
  <c r="D84" i="12"/>
  <c r="AO84" i="12" s="1"/>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O78" i="12" s="1"/>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AN76" i="12" s="1"/>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C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C73" i="12"/>
  <c r="AJ72" i="12"/>
  <c r="AI72" i="12"/>
  <c r="AH72" i="12"/>
  <c r="AG72" i="12"/>
  <c r="AF72" i="12"/>
  <c r="AE72" i="12"/>
  <c r="AD72" i="12"/>
  <c r="AC72" i="12"/>
  <c r="AB72" i="12"/>
  <c r="AA72" i="12"/>
  <c r="Z72" i="12"/>
  <c r="Y72" i="12"/>
  <c r="X72" i="12"/>
  <c r="W72" i="12"/>
  <c r="V72" i="12"/>
  <c r="U72" i="12"/>
  <c r="AM72" i="12" s="1"/>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68" i="12"/>
  <c r="C198" i="12" s="1"/>
  <c r="C67" i="12"/>
  <c r="C197" i="12" s="1"/>
  <c r="C66" i="12"/>
  <c r="C65" i="12"/>
  <c r="C195" i="12" s="1"/>
  <c r="C64" i="12"/>
  <c r="C63" i="12"/>
  <c r="C193" i="12" s="1"/>
  <c r="C62" i="12"/>
  <c r="C127" i="12" s="1"/>
  <c r="C61" i="12"/>
  <c r="C191" i="12" s="1"/>
  <c r="C60" i="12"/>
  <c r="C59" i="12"/>
  <c r="C189" i="12" s="1"/>
  <c r="C58" i="12"/>
  <c r="C123" i="12" s="1"/>
  <c r="C57" i="12"/>
  <c r="C56" i="12"/>
  <c r="C186" i="12" s="1"/>
  <c r="C55" i="12"/>
  <c r="C185" i="12" s="1"/>
  <c r="C54" i="12"/>
  <c r="C53" i="12"/>
  <c r="C183" i="12" s="1"/>
  <c r="C52" i="12"/>
  <c r="C51" i="12"/>
  <c r="C181" i="12" s="1"/>
  <c r="C50" i="12"/>
  <c r="C115" i="12" s="1"/>
  <c r="C49" i="12"/>
  <c r="C48" i="12"/>
  <c r="C47" i="12"/>
  <c r="C177" i="12" s="1"/>
  <c r="C46" i="12"/>
  <c r="C111" i="12" s="1"/>
  <c r="C45" i="12"/>
  <c r="C44" i="12"/>
  <c r="C43" i="12"/>
  <c r="C173" i="12" s="1"/>
  <c r="C42" i="12"/>
  <c r="C41" i="12"/>
  <c r="C171" i="12" s="1"/>
  <c r="C40" i="12"/>
  <c r="C39" i="12"/>
  <c r="C169" i="12" s="1"/>
  <c r="C38" i="12"/>
  <c r="C37" i="12"/>
  <c r="C36" i="12"/>
  <c r="C35" i="12"/>
  <c r="C165" i="12" s="1"/>
  <c r="C34" i="12"/>
  <c r="C99" i="12" s="1"/>
  <c r="C33" i="12"/>
  <c r="C32" i="12"/>
  <c r="AT31" i="12"/>
  <c r="C31" i="12"/>
  <c r="C161" i="12" s="1"/>
  <c r="C30" i="12"/>
  <c r="C29" i="12"/>
  <c r="C159" i="12" s="1"/>
  <c r="C28" i="12"/>
  <c r="C27" i="12"/>
  <c r="C157" i="12" s="1"/>
  <c r="C26" i="12"/>
  <c r="C25" i="12"/>
  <c r="C24" i="12"/>
  <c r="C23" i="12"/>
  <c r="C153" i="12" s="1"/>
  <c r="C22" i="12"/>
  <c r="C21" i="12"/>
  <c r="C20" i="12"/>
  <c r="C19" i="12"/>
  <c r="C149" i="12" s="1"/>
  <c r="C18" i="12"/>
  <c r="C17" i="12"/>
  <c r="C16" i="12"/>
  <c r="C15" i="12"/>
  <c r="C145" i="12" s="1"/>
  <c r="C14" i="12"/>
  <c r="AW13" i="12"/>
  <c r="C13" i="12"/>
  <c r="C12" i="12"/>
  <c r="C11" i="12"/>
  <c r="C141" i="12" s="1"/>
  <c r="C10" i="12"/>
  <c r="C140" i="12" s="1"/>
  <c r="C9" i="12"/>
  <c r="C139" i="12" s="1"/>
  <c r="C8" i="12"/>
  <c r="C138" i="12" s="1"/>
  <c r="AW7" i="12"/>
  <c r="C7" i="12"/>
  <c r="C137" i="12" s="1"/>
  <c r="AW6" i="12"/>
  <c r="C6" i="12"/>
  <c r="C136" i="12" s="1"/>
  <c r="AO74" i="12" l="1"/>
  <c r="AN86" i="12"/>
  <c r="AM97" i="12"/>
  <c r="C71" i="12"/>
  <c r="AN80" i="12"/>
  <c r="AN82" i="12"/>
  <c r="AM87" i="12"/>
  <c r="C88" i="12"/>
  <c r="AN91" i="12"/>
  <c r="AN71" i="12"/>
  <c r="AM75" i="12"/>
  <c r="AO76" i="12"/>
  <c r="AO88" i="12"/>
  <c r="AN92" i="12"/>
  <c r="AN94" i="12"/>
  <c r="AM99" i="12"/>
  <c r="C100" i="12"/>
  <c r="AN104" i="12"/>
  <c r="AN106" i="12"/>
  <c r="AM111" i="12"/>
  <c r="C112" i="12"/>
  <c r="AO124" i="12"/>
  <c r="AM131" i="12"/>
  <c r="AL131" i="12"/>
  <c r="C132" i="12"/>
  <c r="AO136" i="12"/>
  <c r="AM139" i="12"/>
  <c r="AM147" i="12"/>
  <c r="AO153" i="12"/>
  <c r="AM168" i="12"/>
  <c r="AM176" i="12"/>
  <c r="AM184" i="12"/>
  <c r="AM192" i="12"/>
  <c r="AN74" i="12"/>
  <c r="AM86" i="12"/>
  <c r="C92" i="12"/>
  <c r="AO97" i="12"/>
  <c r="AM82" i="12"/>
  <c r="AL71" i="12"/>
  <c r="AN72" i="12"/>
  <c r="AO77" i="12"/>
  <c r="AN77" i="12"/>
  <c r="AM77" i="12"/>
  <c r="AM83" i="12"/>
  <c r="C84" i="12"/>
  <c r="AO100" i="12"/>
  <c r="AO112" i="12"/>
  <c r="AM119" i="12"/>
  <c r="C120" i="12"/>
  <c r="AO125" i="12"/>
  <c r="AN125" i="12"/>
  <c r="AM125" i="12"/>
  <c r="AO132" i="12"/>
  <c r="AO140" i="12"/>
  <c r="AM140" i="12"/>
  <c r="AN148" i="12"/>
  <c r="AM148" i="12"/>
  <c r="AN153" i="12"/>
  <c r="AN154" i="12"/>
  <c r="AM157" i="12"/>
  <c r="AN159" i="12"/>
  <c r="AO161" i="12"/>
  <c r="AN167" i="12"/>
  <c r="AO168" i="12"/>
  <c r="AO169" i="12"/>
  <c r="AN175" i="12"/>
  <c r="AO176" i="12"/>
  <c r="AO177" i="12"/>
  <c r="AN183" i="12"/>
  <c r="AO184" i="12"/>
  <c r="AO185" i="12"/>
  <c r="AN191" i="12"/>
  <c r="AO192" i="12"/>
  <c r="AO193" i="12"/>
  <c r="AN199" i="12"/>
  <c r="AM197" i="12"/>
  <c r="AN73" i="12"/>
  <c r="AN90" i="12"/>
  <c r="AM90" i="12"/>
  <c r="AO96" i="12"/>
  <c r="AN100" i="12"/>
  <c r="AO102" i="12"/>
  <c r="AN102" i="12"/>
  <c r="AM102" i="12"/>
  <c r="AO108" i="12"/>
  <c r="AL108" i="12"/>
  <c r="AN112" i="12"/>
  <c r="AO114" i="12"/>
  <c r="AN114" i="12"/>
  <c r="AO127" i="12"/>
  <c r="AM128" i="12"/>
  <c r="AN132" i="12"/>
  <c r="AO133" i="12"/>
  <c r="AN133" i="12"/>
  <c r="AM133" i="12"/>
  <c r="AN141" i="12"/>
  <c r="AN142" i="12"/>
  <c r="AM145" i="12"/>
  <c r="AN147" i="12"/>
  <c r="AO149" i="12"/>
  <c r="AM156" i="12"/>
  <c r="AM163" i="12"/>
  <c r="AM165" i="12"/>
  <c r="AO171" i="12"/>
  <c r="AM171" i="12"/>
  <c r="AO179" i="12"/>
  <c r="AM179" i="12"/>
  <c r="AO187" i="12"/>
  <c r="AM187" i="12"/>
  <c r="AL187" i="12"/>
  <c r="AO195" i="12"/>
  <c r="AM195" i="12"/>
  <c r="AO79" i="12"/>
  <c r="AO90" i="12"/>
  <c r="C74" i="12"/>
  <c r="AM79" i="12"/>
  <c r="C80" i="12"/>
  <c r="AM80" i="12"/>
  <c r="AN84" i="12"/>
  <c r="AO85" i="12"/>
  <c r="AN85" i="12"/>
  <c r="AM85" i="12"/>
  <c r="AO91" i="12"/>
  <c r="AO103" i="12"/>
  <c r="AO115" i="12"/>
  <c r="AM116" i="12"/>
  <c r="AN120" i="12"/>
  <c r="AO121" i="12"/>
  <c r="AN121" i="12"/>
  <c r="AM121" i="12"/>
  <c r="AM127" i="12"/>
  <c r="AO128" i="12"/>
  <c r="AN134" i="12"/>
  <c r="AM137" i="12"/>
  <c r="AL141" i="12"/>
  <c r="AM143" i="12"/>
  <c r="AL153" i="12"/>
  <c r="AO156" i="12"/>
  <c r="AO157" i="12"/>
  <c r="AO164" i="12"/>
  <c r="AM164" i="12"/>
  <c r="AO172" i="12"/>
  <c r="AN172" i="12"/>
  <c r="AM172" i="12"/>
  <c r="AO180" i="12"/>
  <c r="AN180" i="12"/>
  <c r="AM180" i="12"/>
  <c r="AO188" i="12"/>
  <c r="AN188" i="12"/>
  <c r="AM188" i="12"/>
  <c r="AO196" i="12"/>
  <c r="AN196" i="12"/>
  <c r="AM196" i="12"/>
  <c r="AM91" i="12"/>
  <c r="AM104" i="12"/>
  <c r="AN108" i="12"/>
  <c r="AO109" i="12"/>
  <c r="AN109" i="12"/>
  <c r="AM109" i="12"/>
  <c r="AM115" i="12"/>
  <c r="AO116" i="12"/>
  <c r="AN122" i="12"/>
  <c r="AN129" i="12"/>
  <c r="AN136" i="12"/>
  <c r="AM136" i="12"/>
  <c r="AO144" i="12"/>
  <c r="AM144" i="12"/>
  <c r="AO150" i="12"/>
  <c r="AN150" i="12"/>
  <c r="AM153" i="12"/>
  <c r="AN155" i="12"/>
  <c r="AN157" i="12"/>
  <c r="AO158" i="12"/>
  <c r="AN158" i="12"/>
  <c r="AM158" i="12"/>
  <c r="AO165" i="12"/>
  <c r="AN171" i="12"/>
  <c r="AO173" i="12"/>
  <c r="AN179" i="12"/>
  <c r="AO181" i="12"/>
  <c r="AN187" i="12"/>
  <c r="AO189" i="12"/>
  <c r="AN195" i="12"/>
  <c r="AO197" i="12"/>
  <c r="AO80" i="12"/>
  <c r="AO86" i="12"/>
  <c r="AM92" i="12"/>
  <c r="AN96" i="12"/>
  <c r="AN97" i="12"/>
  <c r="AM103" i="12"/>
  <c r="C104" i="12"/>
  <c r="AM76" i="12"/>
  <c r="AN79" i="12"/>
  <c r="AN81" i="12"/>
  <c r="AM88" i="12"/>
  <c r="AO92" i="12"/>
  <c r="AO98" i="12"/>
  <c r="AN98" i="12"/>
  <c r="AM98" i="12"/>
  <c r="AO104" i="12"/>
  <c r="AO110" i="12"/>
  <c r="AN110" i="12"/>
  <c r="AN117" i="12"/>
  <c r="AM124" i="12"/>
  <c r="AN128" i="12"/>
  <c r="AN130" i="12"/>
  <c r="AO145" i="12"/>
  <c r="AM151" i="12"/>
  <c r="AM159" i="12"/>
  <c r="AN166" i="12"/>
  <c r="AM169" i="12"/>
  <c r="AN173" i="12"/>
  <c r="AN174" i="12"/>
  <c r="AM174" i="12"/>
  <c r="AM177" i="12"/>
  <c r="AN181" i="12"/>
  <c r="AN182" i="12"/>
  <c r="AM182" i="12"/>
  <c r="AM185" i="12"/>
  <c r="AN189" i="12"/>
  <c r="AN190" i="12"/>
  <c r="AM190" i="12"/>
  <c r="AM193" i="12"/>
  <c r="AN197" i="12"/>
  <c r="AN198" i="12"/>
  <c r="AM198" i="12"/>
  <c r="AN93" i="12"/>
  <c r="AM100" i="12"/>
  <c r="AN103" i="12"/>
  <c r="AN105" i="12"/>
  <c r="AM112" i="12"/>
  <c r="AN116" i="12"/>
  <c r="AN118" i="12"/>
  <c r="AM123" i="12"/>
  <c r="C124" i="12"/>
  <c r="AO138" i="12"/>
  <c r="AN138" i="12"/>
  <c r="AM141" i="12"/>
  <c r="AN143" i="12"/>
  <c r="AN145" i="12"/>
  <c r="AO146" i="12"/>
  <c r="AN146" i="12"/>
  <c r="AM146" i="12"/>
  <c r="AO152" i="12"/>
  <c r="AM152" i="12"/>
  <c r="AN160" i="12"/>
  <c r="AM160" i="12"/>
  <c r="AM161" i="12"/>
  <c r="AM167" i="12"/>
  <c r="AO175" i="12"/>
  <c r="AM175" i="12"/>
  <c r="AO183" i="12"/>
  <c r="AM183" i="12"/>
  <c r="AO191" i="12"/>
  <c r="AM191" i="12"/>
  <c r="AL199" i="12"/>
  <c r="AO137" i="12"/>
  <c r="AO72" i="12"/>
  <c r="AO71" i="12"/>
  <c r="AL132" i="12"/>
  <c r="AL146" i="12"/>
  <c r="AL175" i="12"/>
  <c r="AL193" i="12"/>
  <c r="AL145" i="12"/>
  <c r="AL149" i="12"/>
  <c r="AL80" i="12"/>
  <c r="AQ132" i="12"/>
  <c r="AL157" i="12"/>
  <c r="AL165" i="12"/>
  <c r="AL107" i="12"/>
  <c r="AQ107" i="12" s="1"/>
  <c r="AL161" i="12"/>
  <c r="AL169" i="12"/>
  <c r="AQ169" i="12" s="1"/>
  <c r="AL173" i="12"/>
  <c r="AQ173" i="12" s="1"/>
  <c r="AQ175" i="12"/>
  <c r="AL177" i="12"/>
  <c r="AL185" i="12"/>
  <c r="AQ185" i="12" s="1"/>
  <c r="AL102" i="12"/>
  <c r="AQ131" i="12"/>
  <c r="AL181" i="12"/>
  <c r="AQ187" i="12"/>
  <c r="AL189" i="12"/>
  <c r="AQ189" i="12" s="1"/>
  <c r="AL138" i="12"/>
  <c r="AL188" i="12"/>
  <c r="AQ188" i="12" s="1"/>
  <c r="AL197" i="12"/>
  <c r="AQ197" i="12" s="1"/>
  <c r="AQ199" i="12"/>
  <c r="AS70" i="12" s="1"/>
  <c r="AL137" i="12"/>
  <c r="AQ193" i="12"/>
  <c r="AQ177" i="12"/>
  <c r="AQ181" i="12"/>
  <c r="AQ108" i="12"/>
  <c r="AL84" i="12"/>
  <c r="AL85" i="12"/>
  <c r="AL98" i="12"/>
  <c r="AL109" i="12"/>
  <c r="AQ109" i="12" s="1"/>
  <c r="AR44" i="12" s="1"/>
  <c r="AL133" i="12"/>
  <c r="AQ133" i="12" s="1"/>
  <c r="AL88" i="12"/>
  <c r="AL112" i="12"/>
  <c r="AQ112" i="12" s="1"/>
  <c r="AL164" i="12"/>
  <c r="AL74" i="12"/>
  <c r="AL83" i="12"/>
  <c r="AL116" i="12"/>
  <c r="AQ116" i="12" s="1"/>
  <c r="AL136" i="12"/>
  <c r="AL180" i="12"/>
  <c r="AQ180" i="12" s="1"/>
  <c r="AL78" i="12"/>
  <c r="AL92" i="12"/>
  <c r="AQ92" i="12" s="1"/>
  <c r="AL150" i="12"/>
  <c r="AL96" i="12"/>
  <c r="AL97" i="12"/>
  <c r="AL120" i="12"/>
  <c r="AQ120" i="12" s="1"/>
  <c r="AL140" i="12"/>
  <c r="AQ140" i="12" s="1"/>
  <c r="AL179" i="12"/>
  <c r="AQ179" i="12" s="1"/>
  <c r="AL191" i="12"/>
  <c r="AQ191" i="12" s="1"/>
  <c r="AL110" i="12"/>
  <c r="AQ110" i="12" s="1"/>
  <c r="AL121" i="12"/>
  <c r="AQ121" i="12" s="1"/>
  <c r="AL158" i="12"/>
  <c r="AL72" i="12"/>
  <c r="AL86" i="12"/>
  <c r="AQ86" i="12" s="1"/>
  <c r="AL100" i="12"/>
  <c r="AQ100" i="12" s="1"/>
  <c r="AL119" i="12"/>
  <c r="AQ119" i="12" s="1"/>
  <c r="AL148" i="12"/>
  <c r="AQ148" i="12" s="1"/>
  <c r="AL172" i="12"/>
  <c r="AQ172" i="12" s="1"/>
  <c r="AL196" i="12"/>
  <c r="AQ196" i="12" s="1"/>
  <c r="AL114" i="12"/>
  <c r="AQ114" i="12" s="1"/>
  <c r="AL124" i="12"/>
  <c r="AQ124" i="12" s="1"/>
  <c r="AL162" i="12"/>
  <c r="AL95" i="12"/>
  <c r="AL90" i="12"/>
  <c r="AL104" i="12"/>
  <c r="AQ104" i="12" s="1"/>
  <c r="AL128" i="12"/>
  <c r="AQ128" i="12" s="1"/>
  <c r="AL171" i="12"/>
  <c r="AQ171" i="12" s="1"/>
  <c r="AL183" i="12"/>
  <c r="AQ183" i="12" s="1"/>
  <c r="AL195" i="12"/>
  <c r="AQ195" i="12" s="1"/>
  <c r="AL76" i="12"/>
  <c r="AL152" i="12"/>
  <c r="C174" i="12"/>
  <c r="C109" i="12"/>
  <c r="C103" i="12"/>
  <c r="C168" i="12"/>
  <c r="C142" i="12"/>
  <c r="C77" i="12"/>
  <c r="C155" i="12"/>
  <c r="C90" i="12"/>
  <c r="C170" i="12"/>
  <c r="C105" i="12"/>
  <c r="AM73" i="12"/>
  <c r="C143" i="12"/>
  <c r="C78" i="12"/>
  <c r="AQ78" i="12" s="1"/>
  <c r="C119" i="12"/>
  <c r="C184" i="12"/>
  <c r="AM71" i="12"/>
  <c r="AO83" i="12"/>
  <c r="AQ83" i="12" s="1"/>
  <c r="AR18" i="12" s="1"/>
  <c r="AO95" i="12"/>
  <c r="AO107" i="12"/>
  <c r="AO119" i="12"/>
  <c r="AO131" i="12"/>
  <c r="AN137" i="12"/>
  <c r="AL144" i="12"/>
  <c r="AN149" i="12"/>
  <c r="AL156" i="12"/>
  <c r="AN161" i="12"/>
  <c r="AL168" i="12"/>
  <c r="AQ168" i="12" s="1"/>
  <c r="AL176" i="12"/>
  <c r="AQ176" i="12" s="1"/>
  <c r="AL184" i="12"/>
  <c r="AQ184" i="12" s="1"/>
  <c r="AL192" i="12"/>
  <c r="AQ192" i="12" s="1"/>
  <c r="AL194" i="12"/>
  <c r="AQ194" i="12" s="1"/>
  <c r="AS64" i="12" s="1"/>
  <c r="C150" i="12"/>
  <c r="C85" i="12"/>
  <c r="AQ85" i="12" s="1"/>
  <c r="C91" i="12"/>
  <c r="AT26" i="12"/>
  <c r="C156" i="12"/>
  <c r="AN87" i="12"/>
  <c r="AO94" i="12"/>
  <c r="AL94" i="12"/>
  <c r="AN99" i="12"/>
  <c r="AO106" i="12"/>
  <c r="AL106" i="12"/>
  <c r="AQ106" i="12" s="1"/>
  <c r="AN111" i="12"/>
  <c r="AM114" i="12"/>
  <c r="AO118" i="12"/>
  <c r="AL118" i="12"/>
  <c r="AQ118" i="12" s="1"/>
  <c r="AN123" i="12"/>
  <c r="AM126" i="12"/>
  <c r="AO130" i="12"/>
  <c r="AL130" i="12"/>
  <c r="AQ130" i="12" s="1"/>
  <c r="AO143" i="12"/>
  <c r="AL143" i="12"/>
  <c r="AQ149" i="12"/>
  <c r="AO155" i="12"/>
  <c r="AL155" i="12"/>
  <c r="AQ161" i="12"/>
  <c r="AO167" i="12"/>
  <c r="AL167" i="12"/>
  <c r="AM170" i="12"/>
  <c r="AM178" i="12"/>
  <c r="AM186" i="12"/>
  <c r="AM194" i="12"/>
  <c r="AN75" i="12"/>
  <c r="C83" i="12"/>
  <c r="C148" i="12"/>
  <c r="C178" i="12"/>
  <c r="C113" i="12"/>
  <c r="AO75" i="12"/>
  <c r="AL77" i="12"/>
  <c r="AQ77" i="12" s="1"/>
  <c r="AO87" i="12"/>
  <c r="AL89" i="12"/>
  <c r="AO99" i="12"/>
  <c r="AL101" i="12"/>
  <c r="AO111" i="12"/>
  <c r="AO123" i="12"/>
  <c r="AN140" i="12"/>
  <c r="AN152" i="12"/>
  <c r="AL160" i="12"/>
  <c r="AQ160" i="12" s="1"/>
  <c r="AN164" i="12"/>
  <c r="AQ164" i="12" s="1"/>
  <c r="AN165" i="12"/>
  <c r="C162" i="12"/>
  <c r="C97" i="12"/>
  <c r="AQ97" i="12" s="1"/>
  <c r="C76" i="12"/>
  <c r="AQ76" i="12" s="1"/>
  <c r="C131" i="12"/>
  <c r="C196" i="12"/>
  <c r="AQ80" i="12"/>
  <c r="AO82" i="12"/>
  <c r="AQ82" i="12" s="1"/>
  <c r="AL82" i="12"/>
  <c r="C79" i="12"/>
  <c r="C144" i="12"/>
  <c r="C146" i="12"/>
  <c r="C81" i="12"/>
  <c r="C151" i="12"/>
  <c r="C86" i="12"/>
  <c r="C154" i="12"/>
  <c r="C89" i="12"/>
  <c r="C175" i="12"/>
  <c r="C110" i="12"/>
  <c r="AL75" i="12"/>
  <c r="AL87" i="12"/>
  <c r="AL99" i="12"/>
  <c r="AL111" i="12"/>
  <c r="AQ111" i="12" s="1"/>
  <c r="AR46" i="12" s="1"/>
  <c r="AL113" i="12"/>
  <c r="AQ113" i="12" s="1"/>
  <c r="AR48" i="12" s="1"/>
  <c r="AL123" i="12"/>
  <c r="AQ123" i="12" s="1"/>
  <c r="AL125" i="12"/>
  <c r="AQ125" i="12" s="1"/>
  <c r="AR60" i="12" s="1"/>
  <c r="AO174" i="12"/>
  <c r="AL174" i="12"/>
  <c r="AQ174" i="12" s="1"/>
  <c r="AS44" i="12" s="1"/>
  <c r="AO182" i="12"/>
  <c r="AL182" i="12"/>
  <c r="AQ182" i="12" s="1"/>
  <c r="AS52" i="12" s="1"/>
  <c r="AO190" i="12"/>
  <c r="AL190" i="12"/>
  <c r="AQ190" i="12" s="1"/>
  <c r="AS60" i="12" s="1"/>
  <c r="AO198" i="12"/>
  <c r="AL198" i="12"/>
  <c r="AQ198" i="12" s="1"/>
  <c r="AS68" i="12" s="1"/>
  <c r="C95" i="12"/>
  <c r="C160" i="12"/>
  <c r="AS45" i="12"/>
  <c r="C182" i="12"/>
  <c r="C117" i="12"/>
  <c r="C72" i="12"/>
  <c r="AO81" i="12"/>
  <c r="AO93" i="12"/>
  <c r="AO105" i="12"/>
  <c r="C116" i="12"/>
  <c r="AO117" i="12"/>
  <c r="C128" i="12"/>
  <c r="AO129" i="12"/>
  <c r="AM138" i="12"/>
  <c r="AO142" i="12"/>
  <c r="AL142" i="12"/>
  <c r="AQ146" i="12"/>
  <c r="AM150" i="12"/>
  <c r="AO154" i="12"/>
  <c r="AL154" i="12"/>
  <c r="AQ154" i="12" s="1"/>
  <c r="AM162" i="12"/>
  <c r="AO166" i="12"/>
  <c r="AL166" i="12"/>
  <c r="C179" i="12"/>
  <c r="C114" i="12"/>
  <c r="AO73" i="12"/>
  <c r="AQ84" i="12"/>
  <c r="AQ90" i="12"/>
  <c r="AM94" i="12"/>
  <c r="AQ96" i="12"/>
  <c r="AM106" i="12"/>
  <c r="AN115" i="12"/>
  <c r="AM118" i="12"/>
  <c r="AO122" i="12"/>
  <c r="AL122" i="12"/>
  <c r="AQ122" i="12" s="1"/>
  <c r="AR57" i="12" s="1"/>
  <c r="AN127" i="12"/>
  <c r="AM130" i="12"/>
  <c r="AR67" i="12"/>
  <c r="AO134" i="12"/>
  <c r="AL134" i="12"/>
  <c r="AQ134" i="12" s="1"/>
  <c r="AQ141" i="12"/>
  <c r="AO147" i="12"/>
  <c r="AL147" i="12"/>
  <c r="AQ153" i="12"/>
  <c r="AO159" i="12"/>
  <c r="AL159" i="12"/>
  <c r="AQ165" i="12"/>
  <c r="B6" i="12"/>
  <c r="C87" i="12"/>
  <c r="C152" i="12"/>
  <c r="C190" i="12"/>
  <c r="C125" i="12"/>
  <c r="AN144" i="12"/>
  <c r="AN156" i="12"/>
  <c r="AQ156" i="12" s="1"/>
  <c r="AN168" i="12"/>
  <c r="AN176" i="12"/>
  <c r="AN184" i="12"/>
  <c r="AN192" i="12"/>
  <c r="C199" i="12"/>
  <c r="C134" i="12"/>
  <c r="C166" i="12"/>
  <c r="C101" i="12"/>
  <c r="AL93" i="12"/>
  <c r="AL105" i="12"/>
  <c r="AQ105" i="12" s="1"/>
  <c r="AR40" i="12" s="1"/>
  <c r="C158" i="12"/>
  <c r="AQ158" i="12" s="1"/>
  <c r="C93" i="12"/>
  <c r="AT36" i="12"/>
  <c r="C194" i="12"/>
  <c r="C129" i="12"/>
  <c r="AL73" i="12"/>
  <c r="AL79" i="12"/>
  <c r="AQ79" i="12" s="1"/>
  <c r="AR14" i="12" s="1"/>
  <c r="AL91" i="12"/>
  <c r="AQ91" i="12" s="1"/>
  <c r="AR26" i="12" s="1"/>
  <c r="AL103" i="12"/>
  <c r="AQ103" i="12" s="1"/>
  <c r="AL115" i="12"/>
  <c r="AQ115" i="12" s="1"/>
  <c r="AL117" i="12"/>
  <c r="AQ117" i="12" s="1"/>
  <c r="AL127" i="12"/>
  <c r="AQ127" i="12" s="1"/>
  <c r="AL129" i="12"/>
  <c r="AQ129" i="12" s="1"/>
  <c r="AN163" i="12"/>
  <c r="C107" i="12"/>
  <c r="C172" i="12"/>
  <c r="AL81" i="12"/>
  <c r="AT30" i="12"/>
  <c r="C187" i="12"/>
  <c r="C122" i="12"/>
  <c r="AM74" i="12"/>
  <c r="AM81" i="12"/>
  <c r="AQ81" i="12" s="1"/>
  <c r="AR16" i="12" s="1"/>
  <c r="AQ89" i="12"/>
  <c r="AM93" i="12"/>
  <c r="AQ101" i="12"/>
  <c r="AM105" i="12"/>
  <c r="AM117" i="12"/>
  <c r="AM129" i="12"/>
  <c r="AN139" i="12"/>
  <c r="AM142" i="12"/>
  <c r="AQ150" i="12"/>
  <c r="AS20" i="12" s="1"/>
  <c r="AN151" i="12"/>
  <c r="AM154" i="12"/>
  <c r="AQ162" i="12"/>
  <c r="AS32" i="12" s="1"/>
  <c r="AM166" i="12"/>
  <c r="AQ166" i="12" s="1"/>
  <c r="AS36" i="12" s="1"/>
  <c r="C163" i="12"/>
  <c r="C98" i="12"/>
  <c r="AQ98" i="12" s="1"/>
  <c r="AR33" i="12" s="1"/>
  <c r="C147" i="12"/>
  <c r="C82" i="12"/>
  <c r="C167" i="12"/>
  <c r="C102" i="12"/>
  <c r="AQ102" i="12" s="1"/>
  <c r="AN83" i="12"/>
  <c r="AQ88" i="12"/>
  <c r="AQ94" i="12"/>
  <c r="AN95" i="12"/>
  <c r="AN107" i="12"/>
  <c r="AM110" i="12"/>
  <c r="AN119" i="12"/>
  <c r="AM122" i="12"/>
  <c r="AO126" i="12"/>
  <c r="AL126" i="12"/>
  <c r="AQ126" i="12" s="1"/>
  <c r="AN131" i="12"/>
  <c r="AM134" i="12"/>
  <c r="AO139" i="12"/>
  <c r="AL139" i="12"/>
  <c r="AQ145" i="12"/>
  <c r="AO151" i="12"/>
  <c r="AL151" i="12"/>
  <c r="AQ157" i="12"/>
  <c r="AO163" i="12"/>
  <c r="AL163" i="12"/>
  <c r="AO170" i="12"/>
  <c r="AL170" i="12"/>
  <c r="AQ170" i="12" s="1"/>
  <c r="AO178" i="12"/>
  <c r="AL178" i="12"/>
  <c r="AQ178" i="12" s="1"/>
  <c r="AO186" i="12"/>
  <c r="AL186" i="12"/>
  <c r="AQ186" i="12" s="1"/>
  <c r="AS56" i="12" s="1"/>
  <c r="AO194" i="12"/>
  <c r="C164" i="12"/>
  <c r="C176" i="12"/>
  <c r="C180" i="12"/>
  <c r="C188" i="12"/>
  <c r="C192" i="12"/>
  <c r="C121" i="12"/>
  <c r="C133" i="12"/>
  <c r="C94" i="12"/>
  <c r="C106" i="12"/>
  <c r="C118" i="12"/>
  <c r="C126" i="12"/>
  <c r="C130" i="12"/>
  <c r="AQ138" i="12" l="1"/>
  <c r="AQ74" i="12"/>
  <c r="AQ71" i="12"/>
  <c r="AR6" i="12" s="1"/>
  <c r="AS40" i="12"/>
  <c r="AR54" i="12"/>
  <c r="AS50" i="12"/>
  <c r="AR68" i="12"/>
  <c r="AQ136" i="12"/>
  <c r="AS6" i="12" s="1"/>
  <c r="AR62" i="12"/>
  <c r="AR12" i="12"/>
  <c r="AS19" i="12"/>
  <c r="AR13" i="12"/>
  <c r="AS67" i="12"/>
  <c r="AR19" i="12"/>
  <c r="AS58" i="12"/>
  <c r="AR21" i="12"/>
  <c r="AS27" i="12"/>
  <c r="AR50" i="12"/>
  <c r="AR56" i="12"/>
  <c r="AS62" i="12"/>
  <c r="AR61" i="12"/>
  <c r="AR52" i="12"/>
  <c r="AS48" i="12"/>
  <c r="AR36" i="12"/>
  <c r="AS11" i="12"/>
  <c r="AR66" i="12"/>
  <c r="AR42" i="12"/>
  <c r="AS59" i="12"/>
  <c r="AS31" i="12"/>
  <c r="AS53" i="12"/>
  <c r="AS41" i="12"/>
  <c r="AR63" i="12"/>
  <c r="AR27" i="12"/>
  <c r="AS35" i="12"/>
  <c r="AS54" i="12"/>
  <c r="AR39" i="12"/>
  <c r="AS57" i="12"/>
  <c r="AR17" i="12"/>
  <c r="AR15" i="12"/>
  <c r="AR43" i="12"/>
  <c r="AS24" i="12"/>
  <c r="AR45" i="12"/>
  <c r="AR51" i="12"/>
  <c r="AS51" i="12"/>
  <c r="AS15" i="12"/>
  <c r="AR59" i="12"/>
  <c r="AS61" i="12"/>
  <c r="AS55" i="12"/>
  <c r="AR49" i="12"/>
  <c r="AS49" i="12"/>
  <c r="AS63" i="12"/>
  <c r="AR64" i="12"/>
  <c r="AS28" i="12"/>
  <c r="AS16" i="12"/>
  <c r="AS69" i="12"/>
  <c r="AS66" i="12"/>
  <c r="AR25" i="12"/>
  <c r="AR32" i="12"/>
  <c r="AR53" i="12"/>
  <c r="AS42" i="12"/>
  <c r="AR55" i="12"/>
  <c r="AR47" i="12"/>
  <c r="AS43" i="12"/>
  <c r="AR24" i="12"/>
  <c r="AR58" i="12"/>
  <c r="AR20" i="12"/>
  <c r="AS65" i="12"/>
  <c r="AS39" i="12"/>
  <c r="AR70" i="12"/>
  <c r="AR69" i="12"/>
  <c r="AQ152" i="12"/>
  <c r="AS23" i="12" s="1"/>
  <c r="AQ142" i="12"/>
  <c r="AS12" i="12" s="1"/>
  <c r="AQ137" i="12"/>
  <c r="AS7" i="12" s="1"/>
  <c r="AQ72" i="12"/>
  <c r="AR7" i="12" s="1"/>
  <c r="AR41" i="12"/>
  <c r="AS47" i="12"/>
  <c r="AS46" i="12"/>
  <c r="AR65" i="12"/>
  <c r="AQ144" i="12"/>
  <c r="AQ167" i="12"/>
  <c r="AQ93" i="12"/>
  <c r="AR28" i="12" s="1"/>
  <c r="AQ75" i="12"/>
  <c r="AR10" i="12" s="1"/>
  <c r="AQ73" i="12"/>
  <c r="AR37" i="12"/>
  <c r="AR38" i="12"/>
  <c r="AQ159" i="12"/>
  <c r="AS29" i="12" s="1"/>
  <c r="AQ139" i="12"/>
  <c r="AS9" i="12" s="1"/>
  <c r="AQ147" i="12"/>
  <c r="AS17" i="12" s="1"/>
  <c r="AQ155" i="12"/>
  <c r="AS25" i="12" s="1"/>
  <c r="AQ95" i="12"/>
  <c r="AR30" i="12" s="1"/>
  <c r="AQ143" i="12"/>
  <c r="AQ163" i="12"/>
  <c r="AS33" i="12" s="1"/>
  <c r="B136" i="12"/>
  <c r="B71" i="12"/>
  <c r="AQ99" i="12"/>
  <c r="AR34" i="12" s="1"/>
  <c r="AQ87" i="12"/>
  <c r="AR22" i="12" s="1"/>
  <c r="AQ151" i="12"/>
  <c r="AS21" i="12" s="1"/>
  <c r="AR31" i="12" l="1"/>
  <c r="AR29" i="12"/>
  <c r="AR8" i="12"/>
  <c r="AS30" i="12"/>
  <c r="AR35" i="12"/>
  <c r="AS13" i="12"/>
  <c r="AS14" i="12"/>
  <c r="AS18" i="12"/>
  <c r="AS10" i="12"/>
  <c r="AS26" i="12"/>
  <c r="AR23" i="12"/>
  <c r="AS34" i="12"/>
  <c r="AR11" i="12"/>
  <c r="AS22" i="12"/>
  <c r="AR9" i="12"/>
  <c r="AS8" i="12"/>
  <c r="AS37" i="12"/>
  <c r="AS38"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M121" i="8"/>
  <c r="AN122" i="8"/>
  <c r="AR57" i="8"/>
  <c r="AS48" i="8"/>
  <c r="AM163" i="8"/>
  <c r="AR60" i="8"/>
  <c r="AO189" i="8"/>
  <c r="AL182" i="8"/>
  <c r="AS40" i="8"/>
  <c r="AS65" i="8"/>
  <c r="AQ181" i="8"/>
  <c r="AS51" i="8" s="1"/>
  <c r="AQ103" i="8"/>
  <c r="AR39" i="8" s="1"/>
  <c r="AQ107" i="8"/>
  <c r="AQ111" i="8"/>
  <c r="AR47" i="8" s="1"/>
  <c r="AQ185" i="8"/>
  <c r="AQ189" i="8"/>
  <c r="AS60" i="8" s="1"/>
  <c r="AQ193" i="8"/>
  <c r="AS64" i="8" s="1"/>
  <c r="AQ115" i="8"/>
  <c r="AR51" i="8" s="1"/>
  <c r="AQ119" i="8"/>
  <c r="AR55" i="8" s="1"/>
  <c r="AQ123" i="8"/>
  <c r="AQ127" i="8"/>
  <c r="AQ131" i="8"/>
  <c r="AR66" i="8" s="1"/>
  <c r="AQ168" i="8"/>
  <c r="AS39" i="8" s="1"/>
  <c r="AQ172" i="8"/>
  <c r="AQ197" i="8"/>
  <c r="AQ184" i="8"/>
  <c r="AS54" i="8" s="1"/>
  <c r="AQ188" i="8"/>
  <c r="AS58" i="8" s="1"/>
  <c r="AQ192" i="8"/>
  <c r="AS62" i="8" s="1"/>
  <c r="AQ196" i="8"/>
  <c r="AS67" i="8" s="1"/>
  <c r="AQ105" i="8"/>
  <c r="AR41" i="8" s="1"/>
  <c r="AO138" i="8"/>
  <c r="AM138" i="8"/>
  <c r="AM195" i="8"/>
  <c r="AM89"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M117" i="8"/>
  <c r="AN127" i="8"/>
  <c r="AL127" i="8"/>
  <c r="AM159" i="8"/>
  <c r="AN78" i="8"/>
  <c r="AR45" i="8"/>
  <c r="C92" i="8"/>
  <c r="AM104" i="8"/>
  <c r="AO192" i="8"/>
  <c r="AO127" i="8"/>
  <c r="AM127" i="8"/>
  <c r="AO87" i="8"/>
  <c r="AO99" i="8"/>
  <c r="AO173" i="8"/>
  <c r="AS44" i="8"/>
  <c r="AO95" i="8"/>
  <c r="AM95" i="8"/>
  <c r="AM113" i="8"/>
  <c r="AR48" i="8"/>
  <c r="AO141" i="8"/>
  <c r="AN172" i="8"/>
  <c r="AL78" i="8"/>
  <c r="AO156" i="8"/>
  <c r="AN156" i="8"/>
  <c r="AM156" i="8"/>
  <c r="AR62" i="8"/>
  <c r="AN77" i="8"/>
  <c r="AM77" i="8"/>
  <c r="AO121" i="8"/>
  <c r="AO122" i="8"/>
  <c r="AM122" i="8"/>
  <c r="AR63" i="8"/>
  <c r="AN164" i="8"/>
  <c r="AO171" i="8"/>
  <c r="AM171" i="8"/>
  <c r="AS41" i="8"/>
  <c r="AS53" i="8"/>
  <c r="AN90" i="8"/>
  <c r="AL90" i="8"/>
  <c r="AQ90" i="8" s="1"/>
  <c r="AM97" i="8"/>
  <c r="AN106" i="8"/>
  <c r="AO117" i="8"/>
  <c r="AN117" i="8"/>
  <c r="AL117" i="8"/>
  <c r="AL122" i="8"/>
  <c r="AM136" i="8"/>
  <c r="AO137" i="8"/>
  <c r="AN137" i="8"/>
  <c r="AM137" i="8"/>
  <c r="AS43" i="8"/>
  <c r="AS42" i="8"/>
  <c r="AS55"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L156" i="8"/>
  <c r="AQ156" i="8" s="1"/>
  <c r="AO161" i="8"/>
  <c r="AM161" i="8"/>
  <c r="AO174" i="8"/>
  <c r="AN174" i="8"/>
  <c r="AM174" i="8"/>
  <c r="AR42" i="8"/>
  <c r="AO82" i="8"/>
  <c r="AM82" i="8"/>
  <c r="AL82" i="8"/>
  <c r="AN98" i="8"/>
  <c r="AR44" i="8"/>
  <c r="AL77" i="8"/>
  <c r="AN81" i="8"/>
  <c r="AO123" i="8"/>
  <c r="AM125" i="8"/>
  <c r="AN140" i="8"/>
  <c r="AM187" i="8"/>
  <c r="AN188" i="8"/>
  <c r="AO184" i="8"/>
  <c r="AL184" i="8"/>
  <c r="AO79" i="8"/>
  <c r="AN79" i="8"/>
  <c r="AM79" i="8"/>
  <c r="AL79" i="8"/>
  <c r="AL83" i="8"/>
  <c r="AQ83" i="8" s="1"/>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N192" i="8"/>
  <c r="AM192" i="8"/>
  <c r="AO193" i="8"/>
  <c r="AN193" i="8"/>
  <c r="AM193" i="8"/>
  <c r="AL19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S19" i="8" s="1"/>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R56" i="8"/>
  <c r="AR61" i="8"/>
  <c r="AR67"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Q143" i="8" s="1"/>
  <c r="AS13" i="8" s="1"/>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Q82" i="8" l="1"/>
  <c r="AQ86" i="8"/>
  <c r="AQ146" i="8"/>
  <c r="AQ80" i="8"/>
  <c r="AQ150" i="8"/>
  <c r="AS20" i="8" s="1"/>
  <c r="AQ147" i="8"/>
  <c r="AS17" i="8" s="1"/>
  <c r="AQ76" i="8"/>
  <c r="AR11" i="8" s="1"/>
  <c r="AQ145" i="8"/>
  <c r="AQ85" i="8"/>
  <c r="AQ84" i="8"/>
  <c r="AR19" i="8" s="1"/>
  <c r="AQ142" i="8"/>
  <c r="AS12" i="8" s="1"/>
  <c r="AQ141" i="8"/>
  <c r="AS11" i="8" s="1"/>
  <c r="AR32" i="8"/>
  <c r="AQ77" i="8"/>
  <c r="AR12" i="8" s="1"/>
  <c r="AQ78" i="8"/>
  <c r="AR13" i="8" s="1"/>
  <c r="AQ75" i="8"/>
  <c r="AR10" i="8" s="1"/>
  <c r="AQ140" i="8"/>
  <c r="AS10" i="8" s="1"/>
  <c r="AS28" i="8"/>
  <c r="AR24" i="8"/>
  <c r="AR30" i="8"/>
  <c r="AR20" i="8"/>
  <c r="AR40" i="8"/>
  <c r="AS63" i="8"/>
  <c r="AR50" i="8"/>
  <c r="AS59" i="8"/>
  <c r="AS52" i="8"/>
  <c r="AS66" i="8"/>
  <c r="AS31" i="8"/>
  <c r="AR35" i="8"/>
  <c r="AR29" i="8"/>
  <c r="AS23" i="8"/>
  <c r="AR25" i="8"/>
  <c r="AR36" i="8"/>
  <c r="AS34" i="8"/>
  <c r="AS36" i="8"/>
  <c r="AR31" i="8"/>
  <c r="AS29" i="8"/>
  <c r="AS26" i="8"/>
  <c r="AS35" i="8"/>
  <c r="AR23" i="8"/>
  <c r="AR27" i="8"/>
  <c r="AR34" i="8"/>
  <c r="AR33" i="8"/>
  <c r="AR38" i="8"/>
  <c r="AR37" i="8"/>
  <c r="AS37" i="8"/>
  <c r="AS38" i="8"/>
  <c r="AS25" i="8"/>
  <c r="AS24"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AW17" i="12" s="1"/>
  <c r="AL6" i="12" s="1"/>
  <c r="AT6" i="12" s="1"/>
  <c r="AL31" i="12" l="1"/>
  <c r="AL25" i="12"/>
  <c r="AT25" i="12" s="1"/>
  <c r="AL36" i="12"/>
  <c r="AL18" i="12"/>
  <c r="AT18" i="12" s="1"/>
  <c r="AL30" i="12"/>
  <c r="AL24" i="12"/>
  <c r="AT24" i="12" s="1"/>
  <c r="AL35" i="12"/>
  <c r="AT35" i="12" s="1"/>
  <c r="AL17" i="12"/>
  <c r="AT17" i="12" s="1"/>
  <c r="AL32" i="12"/>
  <c r="AT32" i="12" s="1"/>
  <c r="AL29" i="12"/>
  <c r="AT29" i="12" s="1"/>
  <c r="AL23" i="12"/>
  <c r="AT23" i="12" s="1"/>
  <c r="AL34" i="12"/>
  <c r="AT34" i="12" s="1"/>
  <c r="AL9" i="12"/>
  <c r="AT9" i="12" s="1"/>
  <c r="AL28" i="12"/>
  <c r="AT28" i="12" s="1"/>
  <c r="AL22" i="12"/>
  <c r="AT22" i="12" s="1"/>
  <c r="AL15" i="12"/>
  <c r="AT15" i="12" s="1"/>
  <c r="AL33" i="12"/>
  <c r="AT33" i="12" s="1"/>
  <c r="AL27" i="12"/>
  <c r="AT27" i="12" s="1"/>
  <c r="AL21" i="12"/>
  <c r="AT21" i="12" s="1"/>
  <c r="AL14" i="12"/>
  <c r="AT14" i="12" s="1"/>
  <c r="AL26" i="12"/>
  <c r="AL37" i="12"/>
  <c r="AT37" i="12" s="1"/>
  <c r="AL19" i="12"/>
  <c r="AT19" i="12" s="1"/>
  <c r="AL13" i="12"/>
  <c r="AT13" i="12" s="1"/>
  <c r="AL11" i="12"/>
  <c r="AT11" i="12" s="1"/>
  <c r="AL8" i="12"/>
  <c r="AT8" i="12" s="1"/>
  <c r="AL12" i="12"/>
  <c r="AT12" i="12" s="1"/>
  <c r="AL16" i="12"/>
  <c r="AT16" i="12" s="1"/>
  <c r="AL10" i="12"/>
  <c r="AT10" i="12" s="1"/>
  <c r="AL20" i="12"/>
  <c r="AT20" i="12" s="1"/>
  <c r="AL68" i="12"/>
  <c r="AT68" i="12" s="1"/>
  <c r="AL56" i="12"/>
  <c r="AT56" i="12" s="1"/>
  <c r="AL63" i="12"/>
  <c r="AT63" i="12" s="1"/>
  <c r="AL51" i="12"/>
  <c r="AT51" i="12" s="1"/>
  <c r="AL65" i="12"/>
  <c r="AT65" i="12" s="1"/>
  <c r="AL53" i="12"/>
  <c r="AT53" i="12" s="1"/>
  <c r="AL41" i="12"/>
  <c r="AT41" i="12" s="1"/>
  <c r="AL60" i="12"/>
  <c r="AT60" i="12" s="1"/>
  <c r="AL48" i="12"/>
  <c r="AT48" i="12" s="1"/>
  <c r="AL62" i="12"/>
  <c r="AT62" i="12" s="1"/>
  <c r="AL50" i="12"/>
  <c r="AT50" i="12" s="1"/>
  <c r="AL38" i="12"/>
  <c r="AT38" i="12" s="1"/>
  <c r="AL57" i="12"/>
  <c r="AT57" i="12" s="1"/>
  <c r="AL69" i="12"/>
  <c r="AT69" i="12" s="1"/>
  <c r="AL45" i="12"/>
  <c r="AT45" i="12" s="1"/>
  <c r="AL66" i="12"/>
  <c r="AT66" i="12" s="1"/>
  <c r="AL54" i="12"/>
  <c r="AT54" i="12" s="1"/>
  <c r="AL42" i="12"/>
  <c r="AT42" i="12" s="1"/>
  <c r="AL43" i="12"/>
  <c r="AT43" i="12" s="1"/>
  <c r="AL64" i="12"/>
  <c r="AT64" i="12" s="1"/>
  <c r="AL44" i="12"/>
  <c r="AT44" i="12" s="1"/>
  <c r="AL46" i="12"/>
  <c r="AT46" i="12" s="1"/>
  <c r="AL67" i="12"/>
  <c r="AT67" i="12" s="1"/>
  <c r="AL49" i="12"/>
  <c r="AT49" i="12" s="1"/>
  <c r="AL47" i="12"/>
  <c r="AT47" i="12" s="1"/>
  <c r="AL59" i="12"/>
  <c r="AT59" i="12" s="1"/>
  <c r="AL55" i="12"/>
  <c r="AT55" i="12" s="1"/>
  <c r="AL7" i="12"/>
  <c r="AT7" i="12" s="1"/>
  <c r="AL58" i="12"/>
  <c r="AT58" i="12" s="1"/>
  <c r="AL61" i="12"/>
  <c r="AT61" i="12" s="1"/>
  <c r="AL40" i="12"/>
  <c r="AT40" i="12" s="1"/>
  <c r="AL52" i="12"/>
  <c r="AT52" i="12" s="1"/>
  <c r="AL39" i="12"/>
  <c r="AT39" i="12" s="1"/>
  <c r="AW9" i="12"/>
  <c r="AU10" i="12" s="1"/>
  <c r="AW8" i="12"/>
  <c r="AU11" i="12" s="1"/>
  <c r="AW16" i="12"/>
  <c r="AU15" i="12" s="1"/>
  <c r="AW11" i="12"/>
  <c r="AW10"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R5" i="12" l="1"/>
  <c r="AS5" i="12"/>
  <c r="AU14" i="12"/>
  <c r="AV5" i="12"/>
  <c r="AT5" i="12"/>
  <c r="AU13" i="12"/>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4" i="1"/>
  <c r="B12" i="1"/>
  <c r="B9" i="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31"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4" authorId="1" shapeId="0" xr:uid="{00000000-0006-0000-0700-00000A000000}">
      <text>
        <r>
          <rPr>
            <b/>
            <sz val="9"/>
            <color indexed="81"/>
            <rFont val="MS P ゴシック"/>
            <family val="3"/>
            <charset val="128"/>
          </rPr>
          <t xml:space="preserve">リモート送信条件成立：IG ON 且つ PTS ONが15[s]以上
</t>
        </r>
      </text>
    </comment>
    <comment ref="E34" authorId="1" shapeId="0" xr:uid="{00000000-0006-0000-0700-00000B000000}">
      <text>
        <r>
          <rPr>
            <b/>
            <sz val="9"/>
            <color indexed="81"/>
            <rFont val="MS P ゴシック"/>
            <family val="3"/>
            <charset val="128"/>
          </rPr>
          <t xml:space="preserve">IG ON 且つ ST OFF
</t>
        </r>
      </text>
    </comment>
    <comment ref="F34" authorId="1" shapeId="0" xr:uid="{00000000-0006-0000-0700-00000C000000}">
      <text>
        <r>
          <rPr>
            <b/>
            <sz val="9"/>
            <color indexed="81"/>
            <rFont val="MS P ゴシック"/>
            <family val="3"/>
            <charset val="128"/>
          </rPr>
          <t>IG ON</t>
        </r>
      </text>
    </comment>
    <comment ref="G34" authorId="1" shapeId="0" xr:uid="{00000000-0006-0000-0700-00000D000000}">
      <text>
        <r>
          <rPr>
            <b/>
            <sz val="9"/>
            <color indexed="81"/>
            <rFont val="MS P ゴシック"/>
            <family val="3"/>
            <charset val="128"/>
          </rPr>
          <t xml:space="preserve">IG OFF 且つ IG OFF後25[m]未満
</t>
        </r>
      </text>
    </comment>
    <comment ref="H34" authorId="1" shapeId="0" xr:uid="{00000000-0006-0000-0700-00000E000000}">
      <text>
        <r>
          <rPr>
            <b/>
            <sz val="9"/>
            <color indexed="81"/>
            <rFont val="MS P ゴシック"/>
            <family val="3"/>
            <charset val="128"/>
          </rPr>
          <t xml:space="preserve">IG OFF
</t>
        </r>
      </text>
    </comment>
    <comment ref="I34" authorId="1" shapeId="0" xr:uid="{00000000-0006-0000-0700-00000F000000}">
      <text>
        <r>
          <rPr>
            <b/>
            <sz val="9"/>
            <color indexed="81"/>
            <rFont val="MS P ゴシック"/>
            <family val="3"/>
            <charset val="128"/>
          </rPr>
          <t xml:space="preserve">IG ON 又は IG OFF後25[m]未満
</t>
        </r>
      </text>
    </comment>
    <comment ref="J34"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<sst xmlns="http://schemas.openxmlformats.org/spreadsheetml/2006/main" count="5233" uniqueCount="400">
  <si>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</si>
  <si>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</si>
  <si>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</si>
  <si>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</si>
  <si>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</si>
  <si>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</si>
  <si>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</si>
  <si>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</si>
  <si>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</si>
  <si>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</si>
  <si>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</si>
  <si>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</si>
  <si>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</si>
  <si>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</si>
  <si>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</si>
  <si>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</si>
  <si>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</si>
  <si>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</si>
  <si>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</si>
  <si>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</si>
  <si>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</si>
  <si>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</si>
  <si>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</si>
  <si>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</si>
  <si>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</si>
  <si>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</si>
  <si>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</si>
  <si>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</si>
  <si>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</si>
  <si>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</si>
  <si>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</si>
  <si>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</si>
  <si>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</si>
  <si>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</si>
  <si>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</si>
  <si>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</si>
  <si>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</si>
  <si>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</si>
  <si>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</si>
  <si>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</si>
  <si>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</si>
  <si>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</si>
  <si>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</si>
  <si>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</si>
  <si>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</si>
  <si>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</si>
  <si>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</si>
  <si>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</si>
  <si>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</si>
  <si>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</si>
  <si>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</si>
  <si>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</si>
  <si>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</si>
  <si>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</si>
  <si>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</si>
  <si>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</si>
  <si>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</si>
  <si>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</si>
  <si>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</si>
  <si>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</si>
  <si>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</si>
  <si>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</si>
  <si>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</si>
  <si>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</si>
  <si>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</si>
  <si>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</si>
  <si>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</si>
  <si>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</si>
  <si>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</si>
  <si>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</si>
  <si>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</si>
  <si>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</si>
  <si>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</si>
  <si>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</si>
  <si>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</si>
  <si>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</si>
  <si>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</si>
  <si>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</si>
  <si>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</si>
  <si>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</si>
  <si>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</si>
  <si>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</si>
  <si>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</si>
  <si>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</si>
  <si>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</si>
  <si>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</si>
  <si>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</si>
  <si>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</si>
  <si>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</si>
  <si>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</si>
  <si>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</si>
  <si>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</si>
  <si>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</si>
  <si>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</si>
  <si>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</si>
  <si>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</si>
  <si>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</si>
  <si>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</si>
  <si>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</si>
  <si>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</si>
  <si>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</si>
  <si>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</si>
  <si>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</si>
  <si>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</si>
  <si>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</si>
  <si>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</si>
  <si>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</si>
  <si>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</si>
  <si>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</si>
  <si>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</si>
  <si>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</si>
  <si>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</si>
  <si>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</si>
  <si>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</si>
  <si>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</si>
  <si>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</si>
  <si>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</si>
  <si>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</si>
  <si>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</si>
  <si>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</si>
  <si>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</si>
  <si>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</si>
  <si>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</si>
  <si>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</si>
  <si>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</si>
  <si>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</si>
  <si>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</si>
  <si>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</si>
  <si>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</si>
  <si>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</si>
  <si>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</si>
  <si>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</si>
  <si>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</si>
  <si>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</si>
  <si>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</si>
  <si>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</si>
  <si>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</si>
  <si>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</si>
  <si>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</si>
  <si>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</si>
  <si>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</si>
  <si>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</si>
  <si>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</si>
  <si>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</si>
  <si>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</si>
  <si>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</si>
  <si>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</si>
  <si>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</si>
  <si>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</si>
  <si>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</si>
  <si>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</si>
  <si>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</si>
  <si>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</si>
  <si>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</si>
  <si>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</si>
  <si>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</si>
  <si>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</si>
  <si>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</si>
  <si>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</si>
  <si>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</si>
  <si>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</si>
  <si>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</si>
  <si>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</si>
  <si>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</si>
  <si>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</si>
  <si>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</si>
  <si>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</si>
  <si>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</si>
  <si>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</si>
  <si>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</si>
  <si>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</si>
  <si>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</si>
  <si>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</si>
  <si>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</si>
  <si>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</si>
  <si>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</si>
  <si>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</si>
  <si>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</si>
  <si>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</si>
  <si>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</si>
  <si>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</si>
  <si>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</si>
  <si>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</si>
  <si>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</si>
  <si>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</si>
  <si>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</si>
  <si>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</si>
  <si>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</si>
  <si>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</si>
  <si>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</si>
  <si>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</si>
  <si>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</si>
  <si>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</si>
  <si>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</si>
  <si>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</si>
  <si>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</si>
  <si>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</si>
  <si>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</si>
  <si>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</si>
  <si>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</si>
  <si>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</si>
  <si>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</si>
  <si>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</si>
  <si>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</si>
  <si>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</si>
  <si>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</si>
  <si>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</si>
  <si>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</si>
  <si>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</si>
  <si>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</si>
  <si>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</si>
  <si>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</si>
  <si>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ALERT_VOM_IGN_ON</t>
    <phoneticPr fontId="2"/>
  </si>
  <si>
    <t>5.5.0</t>
    <phoneticPr fontId="2"/>
  </si>
  <si>
    <t>https://aip01.dndev.net/bitbucket/scm/aip_tp/tmcapp_ict1_alert.git</t>
    <phoneticPr fontId="2"/>
  </si>
  <si>
    <t>Index</t>
  </si>
  <si>
    <t>NULL</t>
    <phoneticPr fontId="2"/>
  </si>
  <si>
    <t>00b</t>
  </si>
  <si>
    <t>01b</t>
  </si>
  <si>
    <t>10b</t>
  </si>
  <si>
    <t>11b</t>
  </si>
  <si>
    <t>**b</t>
  </si>
  <si>
    <t>MALFUNC</t>
  </si>
  <si>
    <t>-</t>
    <phoneticPr fontId="2"/>
  </si>
  <si>
    <t>-</t>
    <phoneticPr fontId="2"/>
  </si>
  <si>
    <t>-</t>
    <phoneticPr fontId="2"/>
  </si>
  <si>
    <t>IG-ON</t>
  </si>
  <si>
    <t>制御仕様　→　TT</t>
    <rPh sb="0" eb="4">
      <t>セイギョシヨウ</t>
    </rPh>
    <phoneticPr fontId="2"/>
  </si>
  <si>
    <t>制御仕様　→　BZR</t>
    <rPh sb="0" eb="4">
      <t>セイギョシヨウ</t>
    </rPh>
    <phoneticPr fontId="2"/>
  </si>
  <si>
    <t>制御仕様　→　MID</t>
    <rPh sb="0" eb="4">
      <t>セイギョシヨウ</t>
    </rPh>
    <phoneticPr fontId="2"/>
  </si>
  <si>
    <t>制御仕様　→　Detailed Spec2</t>
    <rPh sb="0" eb="4">
      <t>セイギョシヨウ</t>
    </rPh>
    <phoneticPr fontId="2"/>
  </si>
  <si>
    <t>FCM1S39</t>
    <phoneticPr fontId="2"/>
  </si>
  <si>
    <t>通常(00b)/
未受信(01b)/
通信途絶(10b)/
未受信通信途絶(11b)</t>
    <phoneticPr fontId="2"/>
  </si>
  <si>
    <t>CAN</t>
    <phoneticPr fontId="2"/>
  </si>
  <si>
    <t xml:space="preserve">表示無し(00000b)/
スピードリミッタ異常時(11001b)/
ードリミッタ一時使用不可(11010b)/
未定義(上記以外)
</t>
    <rPh sb="0" eb="2">
      <t>ヒョウジ</t>
    </rPh>
    <rPh sb="2" eb="3">
      <t>ナ</t>
    </rPh>
    <rPh sb="41" eb="43">
      <t>イチジ</t>
    </rPh>
    <rPh sb="43" eb="45">
      <t>シヨウ</t>
    </rPh>
    <rPh sb="45" eb="47">
      <t>フカ</t>
    </rPh>
    <phoneticPr fontId="2"/>
  </si>
  <si>
    <t>FCM1S40</t>
    <phoneticPr fontId="2"/>
  </si>
  <si>
    <t>入力</t>
    <phoneticPr fontId="2"/>
  </si>
  <si>
    <t>Vehicle Operation Mode</t>
    <phoneticPr fontId="2"/>
  </si>
  <si>
    <t>-</t>
    <phoneticPr fontId="2"/>
  </si>
  <si>
    <t>-</t>
    <phoneticPr fontId="2"/>
  </si>
  <si>
    <t>-</t>
    <phoneticPr fontId="2"/>
  </si>
  <si>
    <t>ALERT_VOM_IGN_ON</t>
    <phoneticPr fontId="2"/>
  </si>
  <si>
    <t>VOM</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</si>
  <si>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</si>
  <si>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</si>
  <si>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</si>
  <si>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</si>
  <si>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</si>
  <si>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</si>
  <si>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</si>
  <si>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</si>
  <si>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IG-ON + 通常 + 消灯</t>
    <rPh sb="8" eb="10">
      <t>ツウジョウ</t>
    </rPh>
    <rPh sb="13" eb="15">
      <t>ショウトウ</t>
    </rPh>
    <phoneticPr fontId="2"/>
  </si>
  <si>
    <t>UNKNOWN</t>
    <phoneticPr fontId="2"/>
  </si>
  <si>
    <t>**b</t>
    <phoneticPr fontId="2"/>
  </si>
  <si>
    <t>*b</t>
    <phoneticPr fontId="2"/>
  </si>
  <si>
    <t>**b</t>
    <phoneticPr fontId="2"/>
  </si>
  <si>
    <t>判定結果</t>
    <phoneticPr fontId="2"/>
  </si>
  <si>
    <t>ON_W</t>
  </si>
  <si>
    <t>ON_W</t>
    <phoneticPr fontId="2"/>
  </si>
  <si>
    <t>ON_G</t>
  </si>
  <si>
    <t>ON_G</t>
    <phoneticPr fontId="2"/>
  </si>
  <si>
    <t xml:space="preserve">消灯(00b)/
点灯(01b)/
点灯(10b)/
点灯(11b)/
</t>
    <rPh sb="0" eb="2">
      <t>ショウトウ</t>
    </rPh>
    <rPh sb="18" eb="20">
      <t>テントウ</t>
    </rPh>
    <rPh sb="27" eb="29">
      <t>テントウ</t>
    </rPh>
    <phoneticPr fontId="2"/>
  </si>
  <si>
    <t>点灯（白）</t>
    <phoneticPr fontId="2"/>
  </si>
  <si>
    <t>点灯（緑）</t>
    <rPh sb="0" eb="2">
      <t>テントウ</t>
    </rPh>
    <rPh sb="3" eb="4">
      <t>ミドリ</t>
    </rPh>
    <phoneticPr fontId="2"/>
  </si>
  <si>
    <t>S_ISA判定(TT)</t>
    <rPh sb="5" eb="7">
      <t>ハンテイ</t>
    </rPh>
    <phoneticPr fontId="2"/>
  </si>
  <si>
    <t>S_ISA判定(PD)</t>
    <rPh sb="5" eb="7">
      <t>ハンテイ</t>
    </rPh>
    <phoneticPr fontId="2"/>
  </si>
  <si>
    <t>00001b</t>
  </si>
  <si>
    <t>00010b</t>
  </si>
  <si>
    <t>00011b</t>
  </si>
  <si>
    <t>00100b</t>
  </si>
  <si>
    <t>00101b</t>
  </si>
  <si>
    <t>00110b</t>
  </si>
  <si>
    <t>00111b</t>
  </si>
  <si>
    <t>01000b</t>
  </si>
  <si>
    <t>01001b</t>
  </si>
  <si>
    <t>01010b</t>
  </si>
  <si>
    <t>01011b</t>
  </si>
  <si>
    <t>01100b</t>
  </si>
  <si>
    <t>01101b</t>
  </si>
  <si>
    <t>01110b</t>
  </si>
  <si>
    <t>01111b</t>
  </si>
  <si>
    <t>10000b</t>
  </si>
  <si>
    <t>10001b</t>
  </si>
  <si>
    <t>10010b</t>
  </si>
  <si>
    <t>10011b</t>
  </si>
  <si>
    <t>10100b</t>
  </si>
  <si>
    <t>10101b</t>
  </si>
  <si>
    <t>10110b</t>
  </si>
  <si>
    <t>10111b</t>
  </si>
  <si>
    <t>11000b</t>
  </si>
  <si>
    <t>11001b</t>
  </si>
  <si>
    <t>11010b</t>
  </si>
  <si>
    <t>11011b</t>
  </si>
  <si>
    <t>11100b</t>
  </si>
  <si>
    <t>11101b</t>
  </si>
  <si>
    <t>11110b</t>
  </si>
  <si>
    <t>11111b</t>
  </si>
  <si>
    <t>Matrix Search</t>
  </si>
  <si>
    <t>REQ2</t>
    <phoneticPr fontId="2"/>
  </si>
  <si>
    <t>-</t>
    <phoneticPr fontId="2"/>
  </si>
  <si>
    <t>REQ4</t>
    <phoneticPr fontId="2"/>
  </si>
  <si>
    <t>MALFUNC</t>
    <phoneticPr fontId="2"/>
  </si>
  <si>
    <t>UNAVLBL</t>
  </si>
  <si>
    <t>UNAVLBL</t>
    <phoneticPr fontId="2"/>
  </si>
  <si>
    <t>*****b</t>
    <phoneticPr fontId="2"/>
  </si>
  <si>
    <t>UNAVLBL</t>
    <phoneticPr fontId="2"/>
  </si>
  <si>
    <t>MALFUNC</t>
    <phoneticPr fontId="2"/>
  </si>
  <si>
    <t>ON_W</t>
    <phoneticPr fontId="2"/>
  </si>
  <si>
    <t>ON_G</t>
    <phoneticPr fontId="2"/>
  </si>
  <si>
    <t xml:space="preserve">UNKNOWN/
MALFUNC/
UNAVLBL/
</t>
    <phoneticPr fontId="2"/>
  </si>
  <si>
    <t>FCM1S39_STS</t>
    <phoneticPr fontId="2"/>
  </si>
  <si>
    <t>IG-ON + 通常 + 非表示</t>
    <rPh sb="13" eb="16">
      <t>ヒヒョウジ</t>
    </rPh>
    <phoneticPr fontId="2"/>
  </si>
  <si>
    <t>IG-ON + 通常 + 未定義</t>
    <phoneticPr fontId="2"/>
  </si>
  <si>
    <t>IG-ON + 通常 + 未定義</t>
    <phoneticPr fontId="2"/>
  </si>
  <si>
    <t>IG-ON + 通常 + スピードリミッタ異常時</t>
    <phoneticPr fontId="2"/>
  </si>
  <si>
    <t>IG-ON + 通常 + スピードリミッタ一時使用不可</t>
    <phoneticPr fontId="2"/>
  </si>
  <si>
    <t>TT</t>
    <phoneticPr fontId="2"/>
  </si>
  <si>
    <t>PD</t>
    <phoneticPr fontId="2"/>
  </si>
  <si>
    <t>ALERT_CH_S_ISA_TT</t>
  </si>
  <si>
    <t>ALERT_CH_S_ISA_PD</t>
  </si>
  <si>
    <t>ALERT_CH_S_ISA_TT</t>
    <phoneticPr fontId="2"/>
  </si>
  <si>
    <t>ALERT_CH_S_ISA_TT</t>
    <phoneticPr fontId="2"/>
  </si>
  <si>
    <t>ALERT_CH_S_ISA_PD</t>
    <phoneticPr fontId="2"/>
  </si>
  <si>
    <t>IG-OFF + * + **</t>
    <phoneticPr fontId="2"/>
  </si>
  <si>
    <t>IG-ON + 未受信 + **</t>
    <rPh sb="8" eb="9">
      <t>ミ</t>
    </rPh>
    <rPh sb="9" eb="11">
      <t>ジュシン</t>
    </rPh>
    <phoneticPr fontId="2"/>
  </si>
  <si>
    <t>IG-ON + 通常 + 点灯(白）</t>
    <rPh sb="8" eb="10">
      <t>ツウジョウ</t>
    </rPh>
    <rPh sb="13" eb="15">
      <t>テントウ</t>
    </rPh>
    <rPh sb="16" eb="17">
      <t>シロ</t>
    </rPh>
    <phoneticPr fontId="2"/>
  </si>
  <si>
    <t>IG-ON + 通常 + 点灯（緑）</t>
    <rPh sb="8" eb="10">
      <t>ツウジョウ</t>
    </rPh>
    <rPh sb="13" eb="15">
      <t>テントウ</t>
    </rPh>
    <rPh sb="16" eb="17">
      <t>ミドリ</t>
    </rPh>
    <phoneticPr fontId="2"/>
  </si>
  <si>
    <t>IG ON + 未受信 + *****b</t>
    <rPh sb="8" eb="9">
      <t>ミ</t>
    </rPh>
    <rPh sb="9" eb="11">
      <t>ジュシン</t>
    </rPh>
    <phoneticPr fontId="2"/>
  </si>
  <si>
    <t>IG ON + 通信途絶 + *****b</t>
    <rPh sb="8" eb="10">
      <t>ツウシン</t>
    </rPh>
    <rPh sb="10" eb="12">
      <t>トゼツ</t>
    </rPh>
    <phoneticPr fontId="2"/>
  </si>
  <si>
    <t>IG OFF   + **b + *****b</t>
    <phoneticPr fontId="2"/>
  </si>
  <si>
    <t>ALERT_VOM_IGN_ON</t>
    <phoneticPr fontId="2"/>
  </si>
  <si>
    <t>FCM1S40_STS</t>
    <phoneticPr fontId="2"/>
  </si>
  <si>
    <t>ON_A</t>
  </si>
  <si>
    <t>ON_A</t>
    <phoneticPr fontId="2"/>
  </si>
  <si>
    <t>ON（白）</t>
    <rPh sb="3" eb="4">
      <t>シロ</t>
    </rPh>
    <phoneticPr fontId="2"/>
  </si>
  <si>
    <t>ON（緑）</t>
    <rPh sb="3" eb="4">
      <t>ミドリ</t>
    </rPh>
    <phoneticPr fontId="2"/>
  </si>
  <si>
    <t>ON（アンバー）</t>
    <phoneticPr fontId="2"/>
  </si>
  <si>
    <t>IG-ON + 通常 + 点灯（アンバー）</t>
    <rPh sb="8" eb="10">
      <t>ツウジョウ</t>
    </rPh>
    <rPh sb="13" eb="15">
      <t>テントウ</t>
    </rPh>
    <phoneticPr fontId="2"/>
  </si>
  <si>
    <t xml:space="preserve">UNKNOWN/
ON_W/
ON_G/
ON_A
</t>
    <phoneticPr fontId="2"/>
  </si>
  <si>
    <t>ON_A</t>
    <phoneticPr fontId="2"/>
  </si>
  <si>
    <t>点灯（アンバー）</t>
    <rPh sb="0" eb="2">
      <t>テントウ</t>
    </rPh>
    <phoneticPr fontId="2"/>
  </si>
  <si>
    <t>点灯（白）/
点灯（緑）/
点灯（アンバー）/
-</t>
    <rPh sb="0" eb="2">
      <t>テントウ</t>
    </rPh>
    <rPh sb="3" eb="4">
      <t>シロ</t>
    </rPh>
    <rPh sb="10" eb="11">
      <t>ミドリ</t>
    </rPh>
    <phoneticPr fontId="2"/>
  </si>
  <si>
    <t>00000b</t>
    <phoneticPr fontId="2"/>
  </si>
  <si>
    <t>制御仕様　→　Variable_MID</t>
    <rPh sb="0" eb="2">
      <t>セイギョ</t>
    </rPh>
    <rPh sb="2" eb="4">
      <t>シヨウ</t>
    </rPh>
    <phoneticPr fontId="2"/>
  </si>
  <si>
    <t>制御仕様　→　SW</t>
    <rPh sb="0" eb="2">
      <t>セイギョ</t>
    </rPh>
    <rPh sb="2" eb="4">
      <t>シヨウ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</si>
  <si>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</si>
  <si>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</si>
  <si>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</si>
  <si>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ISAID_SIG</t>
    <phoneticPr fontId="2"/>
  </si>
  <si>
    <t>ACCMSG3_SIG</t>
    <phoneticPr fontId="2"/>
  </si>
  <si>
    <t>大島</t>
    <rPh sb="0" eb="2">
      <t>オオシマ</t>
    </rPh>
    <phoneticPr fontId="2"/>
  </si>
  <si>
    <t>IG ON + 未受信通信途絶 + *****b</t>
    <rPh sb="8" eb="9">
      <t>ミ</t>
    </rPh>
    <rPh sb="9" eb="11">
      <t>ジュシン</t>
    </rPh>
    <rPh sb="11" eb="13">
      <t>ツウシン</t>
    </rPh>
    <rPh sb="13" eb="15">
      <t>トゼツ</t>
    </rPh>
    <phoneticPr fontId="2"/>
  </si>
  <si>
    <t>新規作成(流用元：alert_S_ISA-CSTD-0-02-A-C0.xlsx)
840B CV対応
[Matrix]シート
・対象仕様書変更
・ロケーション変更
[Reference]シート
・各キャプチャ画像を変更</t>
    <phoneticPr fontId="2"/>
  </si>
  <si>
    <t>RW制御仕様　MET-M_REMWAR-CSTD-1-03-B-C0.xlsx</t>
    <rPh sb="2" eb="4">
      <t>セイギョ</t>
    </rPh>
    <rPh sb="4" eb="6">
      <t>シヨウ</t>
    </rPh>
    <phoneticPr fontId="2"/>
  </si>
  <si>
    <t>1.1.0</t>
    <phoneticPr fontId="2"/>
  </si>
  <si>
    <t>臼井</t>
    <rPh sb="0" eb="2">
      <t>ウスイ</t>
    </rPh>
    <phoneticPr fontId="2"/>
  </si>
  <si>
    <t>840B 1A対応
[Matrix]シート
・対象仕様書変更
・ロケーション変更
[Reference]シート
・キャプチャ更新
・「840B CVからの差分は赤文字で記載」のコメント追加</t>
    <phoneticPr fontId="2"/>
  </si>
  <si>
    <t>S_ISA-CSTD-1-MEF01-REQ02-</t>
    <phoneticPr fontId="2"/>
  </si>
  <si>
    <t>S_ISA-CSTD-1-MEF01-REQ04-</t>
    <phoneticPr fontId="2"/>
  </si>
  <si>
    <t>1.2.0</t>
    <phoneticPr fontId="2"/>
  </si>
  <si>
    <t>5.2.0</t>
    <phoneticPr fontId="2"/>
  </si>
  <si>
    <t>承認欄 [DT]</t>
    <phoneticPr fontId="2"/>
  </si>
  <si>
    <t>承認者</t>
    <phoneticPr fontId="2"/>
  </si>
  <si>
    <t>DT南部</t>
    <rPh sb="2" eb="4">
      <t>ナンブ</t>
    </rPh>
    <phoneticPr fontId="2"/>
  </si>
  <si>
    <t>MET-S_ISA-CSTD-1-00-A-C0.xlsm</t>
    <phoneticPr fontId="2"/>
  </si>
  <si>
    <t>19PFv3対応
[Matrix]シート
・対象仕様書変更
[CH_Design]シート
・要求IDを変更</t>
    <rPh sb="46" eb="48">
      <t>ヨウキュウ</t>
    </rPh>
    <rPh sb="51" eb="53">
      <t>ヘンコウ</t>
    </rPh>
    <phoneticPr fontId="2"/>
  </si>
  <si>
    <t>S_ISA-CSTD-1-MEF01-REQ02/
S_ISA-CSTD-1-MEF01-REQ04/
-</t>
    <phoneticPr fontId="2"/>
  </si>
  <si>
    <t>RW</t>
    <phoneticPr fontId="2"/>
  </si>
  <si>
    <t>○</t>
  </si>
  <si>
    <t>(株)NTTデータMSE</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</si>
  <si>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</si>
  <si>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</si>
  <si>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</si>
  <si>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</si>
  <si>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</si>
  <si>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</si>
  <si>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</si>
  <si>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</si>
  <si>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</si>
  <si>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</si>
  <si>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</si>
  <si>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</si>
  <si>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</si>
  <si>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</si>
  <si>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1.3.0</t>
    <phoneticPr fontId="2"/>
  </si>
  <si>
    <t>19PFv3　CV　REMWAR仕様対応　
[Matrix]シート
・RWを適用する
[CH_Design]シート
・RW用の要求IDを追加</t>
    <rPh sb="16" eb="20">
      <t>シヨウタイオウ</t>
    </rPh>
    <rPh sb="38" eb="40">
      <t>テキヨウ</t>
    </rPh>
    <rPh sb="61" eb="62">
      <t>ヨウ</t>
    </rPh>
    <rPh sb="63" eb="65">
      <t>ヨウキュウ</t>
    </rPh>
    <rPh sb="68" eb="70">
      <t>ツイカ</t>
    </rPh>
    <phoneticPr fontId="2"/>
  </si>
  <si>
    <t>5.3.0</t>
    <phoneticPr fontId="2"/>
  </si>
  <si>
    <t>DT Anna</t>
    <phoneticPr fontId="2"/>
  </si>
  <si>
    <t>C_CW</t>
    <phoneticPr fontId="2"/>
  </si>
  <si>
    <t>1.4.0</t>
    <phoneticPr fontId="2"/>
  </si>
  <si>
    <t>00b</t>
    <phoneticPr fontId="2"/>
  </si>
  <si>
    <t>01b</t>
    <phoneticPr fontId="2"/>
  </si>
  <si>
    <t>10b</t>
    <phoneticPr fontId="2"/>
  </si>
  <si>
    <t>11b</t>
    <phoneticPr fontId="2"/>
  </si>
  <si>
    <t>IG-ON + 途絶 + **</t>
    <rPh sb="8" eb="10">
      <t>トゼツ</t>
    </rPh>
    <phoneticPr fontId="2"/>
  </si>
  <si>
    <t>IG-ON + 未受信途絶 + **</t>
    <rPh sb="8" eb="11">
      <t>ミジュシン</t>
    </rPh>
    <rPh sb="11" eb="13">
      <t>トゼツ</t>
    </rPh>
    <phoneticPr fontId="2"/>
  </si>
  <si>
    <t>通常(00b)/
未受信(01b)/
途絶(10b)/
未受信途絶(11b)</t>
    <rPh sb="19" eb="21">
      <t>トゼツ</t>
    </rPh>
    <rPh sb="28" eb="31">
      <t>ミジュシン</t>
    </rPh>
    <rPh sb="31" eb="33">
      <t>トゼツ</t>
    </rPh>
    <phoneticPr fontId="2"/>
  </si>
  <si>
    <t>5.4.0</t>
    <phoneticPr fontId="2"/>
  </si>
  <si>
    <t>https://aip01.dndev.net/svn/met/toyota/std/rd/spec/19PFver3/tags/00.Product/v0.2.d</t>
    <phoneticPr fontId="2"/>
  </si>
  <si>
    <t>19PFv3　R1.1　S_ISA 修正対応　
[Matrix]シート
・ロケーション変更
[TT]シート
・途絶・未受信途絶の判定を追加
[Reference]シート
・TTの途絶・未受信途絶の判定を追加</t>
    <rPh sb="18" eb="20">
      <t>シュウセイ</t>
    </rPh>
    <rPh sb="20" eb="22">
      <t>タイオウ</t>
    </rPh>
    <rPh sb="55" eb="57">
      <t>トゼツ</t>
    </rPh>
    <rPh sb="58" eb="61">
      <t>ミジュシン</t>
    </rPh>
    <rPh sb="61" eb="63">
      <t>トゼツ</t>
    </rPh>
    <rPh sb="64" eb="66">
      <t>ハンテイ</t>
    </rPh>
    <rPh sb="67" eb="69">
      <t>ツイカ</t>
    </rPh>
    <rPh sb="89" eb="91">
      <t>トゼツ</t>
    </rPh>
    <rPh sb="92" eb="93">
      <t>ミ</t>
    </rPh>
    <rPh sb="93" eb="95">
      <t>ジュシン</t>
    </rPh>
    <rPh sb="95" eb="97">
      <t>トゼツ</t>
    </rPh>
    <rPh sb="98" eb="100">
      <t>ハンテイ</t>
    </rPh>
    <rPh sb="101" eb="103">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</si>
</sst>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4"/>
      <color theme="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
      <patternFill patternType="solid">
        <fgColor theme="8" tint="0.39997558519241921"/>
        <bgColor indexed="64"/>
      </patternFill>
    </fill>
    <fill>
      <patternFill patternType="solid">
        <fgColor rgb="FFFFFFFF"/>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cellStyleXfs>
  <cellXfs count="34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2" xfId="0" applyFill="1" applyBorder="1">
      <alignment vertical="center"/>
    </xf>
    <xf numFmtId="0" fontId="0" fillId="24" borderId="2"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Fill="1" applyBorder="1" applyAlignment="1" applyProtection="1">
      <alignment horizontal="center" vertical="center"/>
    </xf>
    <xf numFmtId="0" fontId="0" fillId="23" borderId="16" xfId="0" quotePrefix="1" applyFill="1" applyBorder="1" applyAlignment="1">
      <alignment horizontal="left"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9" xfId="0" applyFill="1" applyBorder="1" applyAlignment="1">
      <alignment horizontal="center" vertical="center"/>
    </xf>
    <xf numFmtId="0" fontId="0" fillId="0" borderId="35" xfId="0" applyBorder="1" applyAlignment="1">
      <alignment horizontal="center" vertical="center"/>
    </xf>
    <xf numFmtId="0" fontId="0" fillId="15" borderId="10" xfId="0" applyFill="1" applyBorder="1" applyAlignment="1">
      <alignment horizontal="center" vertical="center"/>
    </xf>
    <xf numFmtId="0" fontId="0" fillId="15" borderId="2" xfId="0" applyFill="1" applyBorder="1" applyAlignment="1">
      <alignment horizontal="center" vertical="center" wrapText="1"/>
    </xf>
    <xf numFmtId="0" fontId="0" fillId="15" borderId="9" xfId="0" applyFill="1" applyBorder="1" applyAlignment="1">
      <alignment horizontal="center" vertical="center"/>
    </xf>
    <xf numFmtId="0" fontId="0" fillId="0" borderId="14" xfId="0" applyBorder="1" applyAlignment="1">
      <alignment horizontal="center" vertical="center"/>
    </xf>
    <xf numFmtId="0" fontId="0" fillId="12" borderId="7" xfId="0" applyFill="1" applyBorder="1" applyProtection="1">
      <alignment vertical="center"/>
    </xf>
    <xf numFmtId="0" fontId="0" fillId="25" borderId="0" xfId="0" applyFill="1">
      <alignment vertical="center"/>
    </xf>
    <xf numFmtId="0" fontId="0" fillId="0" borderId="51" xfId="0" applyBorder="1">
      <alignment vertical="center"/>
    </xf>
    <xf numFmtId="0" fontId="0" fillId="0" borderId="51" xfId="0" applyFill="1" applyBorder="1" applyAlignment="1">
      <alignment horizontal="center" vertical="center"/>
    </xf>
    <xf numFmtId="0" fontId="0" fillId="0" borderId="0" xfId="0" applyBorder="1">
      <alignment vertical="center"/>
    </xf>
    <xf numFmtId="0" fontId="0" fillId="0" borderId="14" xfId="0" applyBorder="1" applyAlignment="1">
      <alignment horizontal="center" vertical="center" wrapText="1"/>
    </xf>
    <xf numFmtId="0" fontId="0" fillId="0" borderId="0" xfId="0" applyFill="1" applyBorder="1" applyAlignment="1">
      <alignment vertical="center"/>
    </xf>
    <xf numFmtId="0" fontId="0" fillId="0" borderId="0" xfId="0" applyFill="1" applyBorder="1" applyAlignment="1">
      <alignment vertical="center" wrapText="1"/>
    </xf>
    <xf numFmtId="0" fontId="0" fillId="23" borderId="0" xfId="0" applyFill="1">
      <alignment vertical="center"/>
    </xf>
    <xf numFmtId="0" fontId="20" fillId="25" borderId="0" xfId="0" applyFont="1" applyFill="1">
      <alignment vertical="center"/>
    </xf>
    <xf numFmtId="0" fontId="0" fillId="0" borderId="0" xfId="0" applyFill="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vertical="center"/>
    </xf>
    <xf numFmtId="0" fontId="0" fillId="0" borderId="7" xfId="0" applyBorder="1" applyAlignment="1">
      <alignment vertical="center"/>
    </xf>
    <xf numFmtId="0" fontId="0" fillId="0" borderId="2" xfId="0" applyBorder="1" applyAlignment="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0" borderId="25" xfId="0" applyBorder="1" applyAlignment="1">
      <alignment horizontal="center" vertical="center" wrapText="1"/>
    </xf>
    <xf numFmtId="0" fontId="0" fillId="0" borderId="31"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0" borderId="78" xfId="0" applyBorder="1" applyAlignment="1">
      <alignment horizontal="center" vertical="center"/>
    </xf>
    <xf numFmtId="0" fontId="0" fillId="15" borderId="79" xfId="0" applyFill="1" applyBorder="1" applyAlignment="1">
      <alignment horizontal="center" vertical="center"/>
    </xf>
    <xf numFmtId="0" fontId="0" fillId="15" borderId="80" xfId="0" applyFill="1" applyBorder="1" applyAlignment="1">
      <alignment horizontal="center" vertical="center"/>
    </xf>
    <xf numFmtId="0" fontId="0" fillId="15" borderId="9" xfId="0" applyFill="1" applyBorder="1">
      <alignment vertical="center"/>
    </xf>
    <xf numFmtId="0" fontId="0" fillId="12" borderId="15" xfId="0" applyFill="1" applyBorder="1" applyProtection="1">
      <alignment vertical="center"/>
    </xf>
    <xf numFmtId="14" fontId="0" fillId="0" borderId="14" xfId="0" applyNumberFormat="1" applyBorder="1">
      <alignment vertical="center"/>
    </xf>
    <xf numFmtId="0" fontId="16" fillId="7" borderId="62" xfId="0" applyFont="1" applyFill="1" applyBorder="1" applyAlignment="1">
      <alignment vertical="center"/>
    </xf>
    <xf numFmtId="0" fontId="0" fillId="0" borderId="6" xfId="0"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0" fillId="4" borderId="2" xfId="0" applyFill="1" applyBorder="1">
      <alignment vertical="center"/>
    </xf>
    <xf numFmtId="0" fontId="0" fillId="4" borderId="7" xfId="0" applyFill="1" applyBorder="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10" fillId="27" borderId="0" xfId="3" applyFont="1" applyFill="1">
      <alignment vertical="center"/>
    </xf>
    <xf numFmtId="0" fontId="21" fillId="27" borderId="0" xfId="4" applyFill="1">
      <alignment vertical="center"/>
    </xf>
    <xf numFmtId="0" fontId="26"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81" xfId="2" applyFont="1" applyBorder="1">
      <alignment vertical="center"/>
    </xf>
    <xf numFmtId="0" fontId="22" fillId="0" borderId="82" xfId="2" applyFont="1" applyBorder="1">
      <alignment vertical="center"/>
    </xf>
    <xf numFmtId="0" fontId="22" fillId="0" borderId="82" xfId="2" applyFont="1" applyBorder="1" applyAlignment="1">
      <alignment horizontal="center" vertical="center"/>
    </xf>
    <xf numFmtId="0" fontId="22" fillId="0" borderId="81"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10" fillId="27" borderId="0" xfId="0" applyFont="1" applyFill="1">
      <alignment vertical="center"/>
    </xf>
    <xf numFmtId="0" fontId="0" fillId="0" borderId="2" xfId="0" applyBorder="1" applyAlignment="1">
      <alignment horizontal="center" vertical="center"/>
    </xf>
    <xf numFmtId="0" fontId="11" fillId="0" borderId="49" xfId="0" applyFont="1" applyBorder="1">
      <alignment vertical="center"/>
    </xf>
    <xf numFmtId="0" fontId="18" fillId="0" borderId="49" xfId="0" applyFont="1" applyBorder="1">
      <alignment vertical="center"/>
    </xf>
    <xf numFmtId="0" fontId="18" fillId="0" borderId="14"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0" fillId="0" borderId="25" xfId="0" applyBorder="1">
      <alignment vertical="center"/>
    </xf>
    <xf numFmtId="14" fontId="0" fillId="0" borderId="83" xfId="0" applyNumberFormat="1" applyBorder="1">
      <alignment vertical="center"/>
    </xf>
    <xf numFmtId="14" fontId="0" fillId="0" borderId="2" xfId="0" applyNumberFormat="1" applyBorder="1">
      <alignment vertical="center"/>
    </xf>
    <xf numFmtId="0" fontId="0" fillId="4" borderId="31" xfId="0" applyFill="1" applyBorder="1">
      <alignment vertical="center"/>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84" xfId="0" applyFill="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5">
    <cellStyle name="ハイパーリンク" xfId="1" builtinId="8"/>
    <cellStyle name="標準" xfId="0" builtinId="0"/>
    <cellStyle name="標準 2 3 2 4" xfId="3" xr:uid="{83D029E1-58AA-4A2D-AC79-3454D080FC77}"/>
    <cellStyle name="標準 3 3 4 3" xfId="2" xr:uid="{EE18D31D-832C-4A42-A168-F8914F21DCDD}"/>
    <cellStyle name="標準 5" xfId="4" xr:uid="{4C07B53F-028B-44A9-9DB7-666FBDA83DEB}"/>
  </cellStyles>
  <dxfs count="35">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4.xml.rels><?xml version="1.0" encoding="UTF-8" standalone="yes"?>
<Relationships xmlns="http://schemas.openxmlformats.org/package/2006/relationships"><Relationship Id="rId8" Type="http://schemas.openxmlformats.org/officeDocument/2006/relationships/image" Target="../media/image9.tmp"/><Relationship Id="rId13" Type="http://schemas.openxmlformats.org/officeDocument/2006/relationships/image" Target="../media/image14.tmp"/><Relationship Id="rId3" Type="http://schemas.openxmlformats.org/officeDocument/2006/relationships/image" Target="../media/image4.png"/><Relationship Id="rId7" Type="http://schemas.openxmlformats.org/officeDocument/2006/relationships/image" Target="../media/image8.tmp"/><Relationship Id="rId12" Type="http://schemas.openxmlformats.org/officeDocument/2006/relationships/image" Target="../media/image13.tmp"/><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tmp"/><Relationship Id="rId11" Type="http://schemas.openxmlformats.org/officeDocument/2006/relationships/image" Target="../media/image12.tmp"/><Relationship Id="rId5" Type="http://schemas.openxmlformats.org/officeDocument/2006/relationships/image" Target="../media/image6.tmp"/><Relationship Id="rId15" Type="http://schemas.openxmlformats.org/officeDocument/2006/relationships/image" Target="../media/image16.png"/><Relationship Id="rId10" Type="http://schemas.openxmlformats.org/officeDocument/2006/relationships/image" Target="../media/image11.tmp"/><Relationship Id="rId4" Type="http://schemas.openxmlformats.org/officeDocument/2006/relationships/image" Target="../media/image5.tmp"/><Relationship Id="rId9" Type="http://schemas.openxmlformats.org/officeDocument/2006/relationships/image" Target="../media/image10.tmp"/><Relationship Id="rId14" Type="http://schemas.openxmlformats.org/officeDocument/2006/relationships/image" Target="../media/image15.tmp"/></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51</xdr:row>
      <xdr:rowOff>9525</xdr:rowOff>
    </xdr:from>
    <xdr:to>
      <xdr:col>38</xdr:col>
      <xdr:colOff>152400</xdr:colOff>
      <xdr:row>56</xdr:row>
      <xdr:rowOff>9525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495925" y="82677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47625</xdr:colOff>
          <xdr:row>43</xdr:row>
          <xdr:rowOff>66675</xdr:rowOff>
        </xdr:from>
        <xdr:to>
          <xdr:col>38</xdr:col>
          <xdr:colOff>85725</xdr:colOff>
          <xdr:row>47</xdr:row>
          <xdr:rowOff>114300</xdr:rowOff>
        </xdr:to>
        <xdr:sp macro="" textlink="">
          <xdr:nvSpPr>
            <xdr:cNvPr id="21506" name="inei1_ASUNCIO ANNA MA" hidden="1">
              <a:extLst>
                <a:ext uri="{63B3BB69-23CF-44E3-9099-C40C66FF867C}">
                  <a14:compatExt spid="_x0000_s21506"/>
                </a:ext>
                <a:ext uri="{FF2B5EF4-FFF2-40B4-BE49-F238E27FC236}">
                  <a16:creationId xmlns:a16="http://schemas.microsoft.com/office/drawing/2014/main" id="{00000000-0008-0000-0000-00000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683558</xdr:colOff>
      <xdr:row>106</xdr:row>
      <xdr:rowOff>145676</xdr:rowOff>
    </xdr:from>
    <xdr:to>
      <xdr:col>42</xdr:col>
      <xdr:colOff>426939</xdr:colOff>
      <xdr:row>138</xdr:row>
      <xdr:rowOff>100852</xdr:rowOff>
    </xdr:to>
    <xdr:pic>
      <xdr:nvPicPr>
        <xdr:cNvPr id="6" name="図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1"/>
        <a:stretch>
          <a:fillRect/>
        </a:stretch>
      </xdr:blipFill>
      <xdr:spPr>
        <a:xfrm>
          <a:off x="19049999" y="22736735"/>
          <a:ext cx="14781675" cy="5334000"/>
        </a:xfrm>
        <a:prstGeom prst="rect">
          <a:avLst/>
        </a:prstGeom>
      </xdr:spPr>
    </xdr:pic>
    <xdr:clientData/>
  </xdr:twoCellAnchor>
  <xdr:twoCellAnchor editAs="oneCell">
    <xdr:from>
      <xdr:col>21</xdr:col>
      <xdr:colOff>22412</xdr:colOff>
      <xdr:row>69</xdr:row>
      <xdr:rowOff>145677</xdr:rowOff>
    </xdr:from>
    <xdr:to>
      <xdr:col>42</xdr:col>
      <xdr:colOff>537923</xdr:colOff>
      <xdr:row>101</xdr:row>
      <xdr:rowOff>33618</xdr:rowOff>
    </xdr:to>
    <xdr:pic>
      <xdr:nvPicPr>
        <xdr:cNvPr id="5" name="図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2"/>
        <a:stretch>
          <a:fillRect/>
        </a:stretch>
      </xdr:blipFill>
      <xdr:spPr>
        <a:xfrm>
          <a:off x="19072412" y="16450236"/>
          <a:ext cx="14870246" cy="5334000"/>
        </a:xfrm>
        <a:prstGeom prst="rect">
          <a:avLst/>
        </a:prstGeom>
      </xdr:spPr>
    </xdr:pic>
    <xdr:clientData/>
  </xdr:twoCellAnchor>
  <xdr:twoCellAnchor editAs="oneCell">
    <xdr:from>
      <xdr:col>21</xdr:col>
      <xdr:colOff>437030</xdr:colOff>
      <xdr:row>32</xdr:row>
      <xdr:rowOff>1367117</xdr:rowOff>
    </xdr:from>
    <xdr:to>
      <xdr:col>42</xdr:col>
      <xdr:colOff>550910</xdr:colOff>
      <xdr:row>63</xdr:row>
      <xdr:rowOff>67234</xdr:rowOff>
    </xdr:to>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19487030" y="9513793"/>
          <a:ext cx="14468615" cy="6185647"/>
        </a:xfrm>
        <a:prstGeom prst="rect">
          <a:avLst/>
        </a:prstGeom>
      </xdr:spPr>
    </xdr:pic>
    <xdr:clientData/>
  </xdr:twoCellAnchor>
  <xdr:twoCellAnchor editAs="oneCell">
    <xdr:from>
      <xdr:col>47</xdr:col>
      <xdr:colOff>590390</xdr:colOff>
      <xdr:row>238</xdr:row>
      <xdr:rowOff>21132</xdr:rowOff>
    </xdr:from>
    <xdr:to>
      <xdr:col>69</xdr:col>
      <xdr:colOff>149554</xdr:colOff>
      <xdr:row>248</xdr:row>
      <xdr:rowOff>3855</xdr:rowOff>
    </xdr:to>
    <xdr:pic>
      <xdr:nvPicPr>
        <xdr:cNvPr id="44" name="図 43" descr="画面の領域">
          <a:extLst>
            <a:ext uri="{FF2B5EF4-FFF2-40B4-BE49-F238E27FC236}">
              <a16:creationId xmlns:a16="http://schemas.microsoft.com/office/drawing/2014/main" id="{00000000-0008-0000-0800-00002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3553614" y="45382544"/>
          <a:ext cx="12970364" cy="1686017"/>
        </a:xfrm>
        <a:prstGeom prst="rect">
          <a:avLst/>
        </a:prstGeom>
      </xdr:spPr>
    </xdr:pic>
    <xdr:clientData/>
  </xdr:twoCellAnchor>
  <xdr:twoCellAnchor editAs="oneCell">
    <xdr:from>
      <xdr:col>48</xdr:col>
      <xdr:colOff>87087</xdr:colOff>
      <xdr:row>217</xdr:row>
      <xdr:rowOff>10886</xdr:rowOff>
    </xdr:from>
    <xdr:to>
      <xdr:col>62</xdr:col>
      <xdr:colOff>354550</xdr:colOff>
      <xdr:row>233</xdr:row>
      <xdr:rowOff>80785</xdr:rowOff>
    </xdr:to>
    <xdr:pic>
      <xdr:nvPicPr>
        <xdr:cNvPr id="41" name="図 40" descr="画面の領域">
          <a:extLst>
            <a:ext uri="{FF2B5EF4-FFF2-40B4-BE49-F238E27FC236}">
              <a16:creationId xmlns:a16="http://schemas.microsoft.com/office/drawing/2014/main" id="{00000000-0008-0000-0800-00002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658630" y="43314257"/>
          <a:ext cx="8801863" cy="2682472"/>
        </a:xfrm>
        <a:prstGeom prst="rect">
          <a:avLst/>
        </a:prstGeom>
      </xdr:spPr>
    </xdr:pic>
    <xdr:clientData/>
  </xdr:twoCellAnchor>
  <xdr:twoCellAnchor editAs="oneCell">
    <xdr:from>
      <xdr:col>48</xdr:col>
      <xdr:colOff>304799</xdr:colOff>
      <xdr:row>166</xdr:row>
      <xdr:rowOff>3840</xdr:rowOff>
    </xdr:from>
    <xdr:to>
      <xdr:col>71</xdr:col>
      <xdr:colOff>275531</xdr:colOff>
      <xdr:row>177</xdr:row>
      <xdr:rowOff>143346</xdr:rowOff>
    </xdr:to>
    <xdr:pic>
      <xdr:nvPicPr>
        <xdr:cNvPr id="36" name="図 35" descr="画面の領域">
          <a:extLst>
            <a:ext uri="{FF2B5EF4-FFF2-40B4-BE49-F238E27FC236}">
              <a16:creationId xmlns:a16="http://schemas.microsoft.com/office/drawing/2014/main" id="{00000000-0008-0000-0800-00002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877623" y="32993958"/>
          <a:ext cx="13991532" cy="2013129"/>
        </a:xfrm>
        <a:prstGeom prst="rect">
          <a:avLst/>
        </a:prstGeom>
      </xdr:spPr>
    </xdr:pic>
    <xdr:clientData/>
  </xdr:twoCellAnchor>
  <xdr:twoCellAnchor editAs="oneCell">
    <xdr:from>
      <xdr:col>48</xdr:col>
      <xdr:colOff>206828</xdr:colOff>
      <xdr:row>89</xdr:row>
      <xdr:rowOff>54428</xdr:rowOff>
    </xdr:from>
    <xdr:to>
      <xdr:col>64</xdr:col>
      <xdr:colOff>17157</xdr:colOff>
      <xdr:row>125</xdr:row>
      <xdr:rowOff>66911</xdr:rowOff>
    </xdr:to>
    <xdr:pic>
      <xdr:nvPicPr>
        <xdr:cNvPr id="31" name="図 30" descr="画面の領域">
          <a:extLst>
            <a:ext uri="{FF2B5EF4-FFF2-40B4-BE49-F238E27FC236}">
              <a16:creationId xmlns:a16="http://schemas.microsoft.com/office/drawing/2014/main" id="{00000000-0008-0000-0800-00001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3778371" y="19430999"/>
          <a:ext cx="9563929" cy="5890770"/>
        </a:xfrm>
        <a:prstGeom prst="rect">
          <a:avLst/>
        </a:prstGeom>
      </xdr:spPr>
    </xdr:pic>
    <xdr:clientData/>
  </xdr:twoCellAnchor>
  <xdr:twoCellAnchor editAs="oneCell">
    <xdr:from>
      <xdr:col>49</xdr:col>
      <xdr:colOff>0</xdr:colOff>
      <xdr:row>55</xdr:row>
      <xdr:rowOff>152399</xdr:rowOff>
    </xdr:from>
    <xdr:to>
      <xdr:col>64</xdr:col>
      <xdr:colOff>442791</xdr:colOff>
      <xdr:row>75</xdr:row>
      <xdr:rowOff>160303</xdr:rowOff>
    </xdr:to>
    <xdr:pic>
      <xdr:nvPicPr>
        <xdr:cNvPr id="30" name="図 29" descr="画面の領域">
          <a:extLst>
            <a:ext uri="{FF2B5EF4-FFF2-40B4-BE49-F238E27FC236}">
              <a16:creationId xmlns:a16="http://schemas.microsoft.com/office/drawing/2014/main" id="{00000000-0008-0000-0800-00001E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181143" y="13922828"/>
          <a:ext cx="9586791" cy="3284505"/>
        </a:xfrm>
        <a:prstGeom prst="rect">
          <a:avLst/>
        </a:prstGeom>
      </xdr:spPr>
    </xdr:pic>
    <xdr:clientData/>
  </xdr:twoCellAnchor>
  <xdr:twoCellAnchor editAs="oneCell">
    <xdr:from>
      <xdr:col>49</xdr:col>
      <xdr:colOff>119743</xdr:colOff>
      <xdr:row>32</xdr:row>
      <xdr:rowOff>707572</xdr:rowOff>
    </xdr:from>
    <xdr:to>
      <xdr:col>70</xdr:col>
      <xdr:colOff>37025</xdr:colOff>
      <xdr:row>47</xdr:row>
      <xdr:rowOff>119023</xdr:rowOff>
    </xdr:to>
    <xdr:pic>
      <xdr:nvPicPr>
        <xdr:cNvPr id="27" name="図 26" descr="画面の領域">
          <a:extLst>
            <a:ext uri="{FF2B5EF4-FFF2-40B4-BE49-F238E27FC236}">
              <a16:creationId xmlns:a16="http://schemas.microsoft.com/office/drawing/2014/main" id="{00000000-0008-0000-0800-00001B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4300886" y="8338458"/>
          <a:ext cx="12718882" cy="4244708"/>
        </a:xfrm>
        <a:prstGeom prst="rect">
          <a:avLst/>
        </a:prstGeom>
      </xdr:spPr>
    </xdr:pic>
    <xdr:clientData/>
  </xdr:twoCellAnchor>
  <xdr:twoCellAnchor editAs="oneCell">
    <xdr:from>
      <xdr:col>48</xdr:col>
      <xdr:colOff>566057</xdr:colOff>
      <xdr:row>5</xdr:row>
      <xdr:rowOff>43543</xdr:rowOff>
    </xdr:from>
    <xdr:to>
      <xdr:col>71</xdr:col>
      <xdr:colOff>247204</xdr:colOff>
      <xdr:row>21</xdr:row>
      <xdr:rowOff>138691</xdr:rowOff>
    </xdr:to>
    <xdr:pic>
      <xdr:nvPicPr>
        <xdr:cNvPr id="25" name="図 24" descr="画面の領域">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4137600" y="947057"/>
          <a:ext cx="13701947" cy="5113463"/>
        </a:xfrm>
        <a:prstGeom prst="rect">
          <a:avLst/>
        </a:prstGeom>
      </xdr:spPr>
    </xdr:pic>
    <xdr:clientData/>
  </xdr:twoCellAnchor>
  <xdr:twoCellAnchor>
    <xdr:from>
      <xdr:col>23</xdr:col>
      <xdr:colOff>568086</xdr:colOff>
      <xdr:row>65</xdr:row>
      <xdr:rowOff>137537</xdr:rowOff>
    </xdr:from>
    <xdr:to>
      <xdr:col>32</xdr:col>
      <xdr:colOff>424541</xdr:colOff>
      <xdr:row>68</xdr:row>
      <xdr:rowOff>87085</xdr:rowOff>
    </xdr:to>
    <xdr:sp macro="" textlink="">
      <xdr:nvSpPr>
        <xdr:cNvPr id="17" name="線吹き出し 1 (枠付き) 16">
          <a:extLst>
            <a:ext uri="{FF2B5EF4-FFF2-40B4-BE49-F238E27FC236}">
              <a16:creationId xmlns:a16="http://schemas.microsoft.com/office/drawing/2014/main" id="{00000000-0008-0000-0800-000011000000}"/>
            </a:ext>
          </a:extLst>
        </xdr:cNvPr>
        <xdr:cNvSpPr/>
      </xdr:nvSpPr>
      <xdr:spPr>
        <a:xfrm>
          <a:off x="18899629" y="15540823"/>
          <a:ext cx="5342855" cy="439405"/>
        </a:xfrm>
        <a:prstGeom prst="borderCallout1">
          <a:avLst>
            <a:gd name="adj1" fmla="val 42429"/>
            <a:gd name="adj2" fmla="val -3670"/>
            <a:gd name="adj3" fmla="val -363011"/>
            <a:gd name="adj4" fmla="val -8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15217</xdr:colOff>
      <xdr:row>53</xdr:row>
      <xdr:rowOff>78439</xdr:rowOff>
    </xdr:from>
    <xdr:to>
      <xdr:col>45</xdr:col>
      <xdr:colOff>414618</xdr:colOff>
      <xdr:row>65</xdr:row>
      <xdr:rowOff>11206</xdr:rowOff>
    </xdr:to>
    <xdr:sp macro="" textlink="">
      <xdr:nvSpPr>
        <xdr:cNvPr id="28" name="線吹き出し 1 (枠付き) 27">
          <a:extLst>
            <a:ext uri="{FF2B5EF4-FFF2-40B4-BE49-F238E27FC236}">
              <a16:creationId xmlns:a16="http://schemas.microsoft.com/office/drawing/2014/main" id="{00000000-0008-0000-0800-00001C000000}"/>
            </a:ext>
          </a:extLst>
        </xdr:cNvPr>
        <xdr:cNvSpPr/>
      </xdr:nvSpPr>
      <xdr:spPr>
        <a:xfrm>
          <a:off x="31369276" y="14029763"/>
          <a:ext cx="4500754" cy="1949825"/>
        </a:xfrm>
        <a:prstGeom prst="borderCallout1">
          <a:avLst>
            <a:gd name="adj1" fmla="val 47202"/>
            <a:gd name="adj2" fmla="val -1183"/>
            <a:gd name="adj3" fmla="val 23570"/>
            <a:gd name="adj4" fmla="val -332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以下のチケット対応のため、途絶判定時間ありで対応する</a:t>
          </a:r>
          <a:endParaRPr kumimoji="1" lang="en-US"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途絶判定時間：</a:t>
          </a:r>
          <a:r>
            <a:rPr kumimoji="1" lang="en-US"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5000ms</a:t>
          </a:r>
        </a:p>
        <a:p>
          <a:r>
            <a:rPr kumimoji="1" lang="ja-JP" altLang="en-US"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途絶判定後にセットする値：</a:t>
          </a:r>
          <a:r>
            <a:rPr kumimoji="1" lang="en-US"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00</a:t>
          </a:r>
          <a:r>
            <a:rPr kumimoji="1" lang="ja-JP" altLang="en-US"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ｂ（表示なし）</a:t>
          </a:r>
          <a:endParaRPr kumimoji="1" lang="en-US"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endParaRPr>
        </a:p>
        <a:p>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lang="en-US" altLang="ja-JP" sz="1200">
              <a:solidFill>
                <a:sysClr val="windowText" lastClr="000000"/>
              </a:solidFill>
              <a:effectLst/>
              <a:latin typeface="Meiryo UI" panose="020B0604030504040204" pitchFamily="50" charset="-128"/>
              <a:ea typeface="Meiryo UI" panose="020B0604030504040204" pitchFamily="50" charset="-128"/>
            </a:rPr>
            <a:t>https://aip01.dndev.net/jira/browse/MET19PFV3-24075</a:t>
          </a:r>
        </a:p>
        <a:p>
          <a:r>
            <a:rPr lang="en-US" altLang="ja-JP" sz="1200">
              <a:solidFill>
                <a:sysClr val="windowText" lastClr="000000"/>
              </a:solidFill>
              <a:effectLst/>
              <a:latin typeface="Meiryo UI" panose="020B0604030504040204" pitchFamily="50" charset="-128"/>
              <a:ea typeface="Meiryo UI" panose="020B0604030504040204" pitchFamily="50" charset="-128"/>
            </a:rPr>
            <a:t>https://aip01.dndev.net/jira/browse/MET19PFV3-2402</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28</xdr:col>
      <xdr:colOff>649941</xdr:colOff>
      <xdr:row>40</xdr:row>
      <xdr:rowOff>39201</xdr:rowOff>
    </xdr:from>
    <xdr:to>
      <xdr:col>30</xdr:col>
      <xdr:colOff>305543</xdr:colOff>
      <xdr:row>48</xdr:row>
      <xdr:rowOff>164566</xdr:rowOff>
    </xdr:to>
    <xdr:sp macro="" textlink="">
      <xdr:nvSpPr>
        <xdr:cNvPr id="20" name="正方形/長方形 19">
          <a:extLst>
            <a:ext uri="{FF2B5EF4-FFF2-40B4-BE49-F238E27FC236}">
              <a16:creationId xmlns:a16="http://schemas.microsoft.com/office/drawing/2014/main" id="{00000000-0008-0000-0800-000014000000}"/>
            </a:ext>
          </a:extLst>
        </xdr:cNvPr>
        <xdr:cNvSpPr/>
      </xdr:nvSpPr>
      <xdr:spPr>
        <a:xfrm>
          <a:off x="24484853" y="11469201"/>
          <a:ext cx="1022719" cy="14700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378528</xdr:colOff>
      <xdr:row>37</xdr:row>
      <xdr:rowOff>100961</xdr:rowOff>
    </xdr:from>
    <xdr:to>
      <xdr:col>34</xdr:col>
      <xdr:colOff>87858</xdr:colOff>
      <xdr:row>39</xdr:row>
      <xdr:rowOff>54429</xdr:rowOff>
    </xdr:to>
    <xdr:sp macro="" textlink="">
      <xdr:nvSpPr>
        <xdr:cNvPr id="21" name="線吹き出し 1 (枠付き) 20">
          <a:extLst>
            <a:ext uri="{FF2B5EF4-FFF2-40B4-BE49-F238E27FC236}">
              <a16:creationId xmlns:a16="http://schemas.microsoft.com/office/drawing/2014/main" id="{00000000-0008-0000-0800-000015000000}"/>
            </a:ext>
          </a:extLst>
        </xdr:cNvPr>
        <xdr:cNvSpPr/>
      </xdr:nvSpPr>
      <xdr:spPr>
        <a:xfrm>
          <a:off x="27116564" y="11204390"/>
          <a:ext cx="2430758" cy="307253"/>
        </a:xfrm>
        <a:prstGeom prst="borderCallout1">
          <a:avLst>
            <a:gd name="adj1" fmla="val 43705"/>
            <a:gd name="adj2" fmla="val 1432"/>
            <a:gd name="adj3" fmla="val 129790"/>
            <a:gd name="adj4" fmla="val -27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484038</xdr:colOff>
      <xdr:row>37</xdr:row>
      <xdr:rowOff>30635</xdr:rowOff>
    </xdr:from>
    <xdr:to>
      <xdr:col>41</xdr:col>
      <xdr:colOff>506947</xdr:colOff>
      <xdr:row>40</xdr:row>
      <xdr:rowOff>1</xdr:rowOff>
    </xdr:to>
    <xdr:sp macro="" textlink="">
      <xdr:nvSpPr>
        <xdr:cNvPr id="23" name="線吹き出し 1 (枠付き) 22">
          <a:extLst>
            <a:ext uri="{FF2B5EF4-FFF2-40B4-BE49-F238E27FC236}">
              <a16:creationId xmlns:a16="http://schemas.microsoft.com/office/drawing/2014/main" id="{00000000-0008-0000-0800-000017000000}"/>
            </a:ext>
          </a:extLst>
        </xdr:cNvPr>
        <xdr:cNvSpPr/>
      </xdr:nvSpPr>
      <xdr:spPr>
        <a:xfrm>
          <a:off x="32664931" y="11134064"/>
          <a:ext cx="2063980" cy="500044"/>
        </a:xfrm>
        <a:prstGeom prst="borderCallout1">
          <a:avLst>
            <a:gd name="adj1" fmla="val 49102"/>
            <a:gd name="adj2" fmla="val 1468"/>
            <a:gd name="adj3" fmla="val 88878"/>
            <a:gd name="adj4" fmla="val -265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510641</xdr:colOff>
      <xdr:row>39</xdr:row>
      <xdr:rowOff>146959</xdr:rowOff>
    </xdr:from>
    <xdr:to>
      <xdr:col>38</xdr:col>
      <xdr:colOff>10886</xdr:colOff>
      <xdr:row>48</xdr:row>
      <xdr:rowOff>141514</xdr:rowOff>
    </xdr:to>
    <xdr:sp macro="" textlink="">
      <xdr:nvSpPr>
        <xdr:cNvPr id="24" name="正方形/長方形 23">
          <a:extLst>
            <a:ext uri="{FF2B5EF4-FFF2-40B4-BE49-F238E27FC236}">
              <a16:creationId xmlns:a16="http://schemas.microsoft.com/office/drawing/2014/main" id="{00000000-0008-0000-0800-000018000000}"/>
            </a:ext>
          </a:extLst>
        </xdr:cNvPr>
        <xdr:cNvSpPr/>
      </xdr:nvSpPr>
      <xdr:spPr>
        <a:xfrm>
          <a:off x="26766984" y="11304816"/>
          <a:ext cx="719445" cy="14641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181973</xdr:colOff>
      <xdr:row>59</xdr:row>
      <xdr:rowOff>17201</xdr:rowOff>
    </xdr:from>
    <xdr:to>
      <xdr:col>34</xdr:col>
      <xdr:colOff>493698</xdr:colOff>
      <xdr:row>62</xdr:row>
      <xdr:rowOff>17201</xdr:rowOff>
    </xdr:to>
    <xdr:sp macro="" textlink="">
      <xdr:nvSpPr>
        <xdr:cNvPr id="29" name="線吹き出し 1 (枠付き) 28">
          <a:extLst>
            <a:ext uri="{FF2B5EF4-FFF2-40B4-BE49-F238E27FC236}">
              <a16:creationId xmlns:a16="http://schemas.microsoft.com/office/drawing/2014/main" id="{00000000-0008-0000-0800-00001D000000}"/>
            </a:ext>
          </a:extLst>
        </xdr:cNvPr>
        <xdr:cNvSpPr/>
      </xdr:nvSpPr>
      <xdr:spPr>
        <a:xfrm>
          <a:off x="26751120" y="14977054"/>
          <a:ext cx="1678843" cy="504265"/>
        </a:xfrm>
        <a:prstGeom prst="borderCallout1">
          <a:avLst>
            <a:gd name="adj1" fmla="val 47202"/>
            <a:gd name="adj2" fmla="val -1183"/>
            <a:gd name="adj3" fmla="val -94226"/>
            <a:gd name="adj4" fmla="val -365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1551217</xdr:colOff>
      <xdr:row>22</xdr:row>
      <xdr:rowOff>149679</xdr:rowOff>
    </xdr:from>
    <xdr:to>
      <xdr:col>11</xdr:col>
      <xdr:colOff>3</xdr:colOff>
      <xdr:row>25</xdr:row>
      <xdr:rowOff>68037</xdr:rowOff>
    </xdr:to>
    <xdr:sp macro="" textlink="">
      <xdr:nvSpPr>
        <xdr:cNvPr id="32" name="線吹き出し 1 (枠付き) 31">
          <a:extLst>
            <a:ext uri="{FF2B5EF4-FFF2-40B4-BE49-F238E27FC236}">
              <a16:creationId xmlns:a16="http://schemas.microsoft.com/office/drawing/2014/main" id="{00000000-0008-0000-0800-000020000000}"/>
            </a:ext>
          </a:extLst>
        </xdr:cNvPr>
        <xdr:cNvSpPr/>
      </xdr:nvSpPr>
      <xdr:spPr>
        <a:xfrm>
          <a:off x="2231574" y="5279572"/>
          <a:ext cx="4503965" cy="449036"/>
        </a:xfrm>
        <a:prstGeom prst="borderCallout1">
          <a:avLst>
            <a:gd name="adj1" fmla="val 53411"/>
            <a:gd name="adj2" fmla="val -210"/>
            <a:gd name="adj3" fmla="val 107733"/>
            <a:gd name="adj4" fmla="val -145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でフレームが異なるため、使用する信号により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569520</xdr:colOff>
      <xdr:row>51</xdr:row>
      <xdr:rowOff>51460</xdr:rowOff>
    </xdr:from>
    <xdr:to>
      <xdr:col>24</xdr:col>
      <xdr:colOff>130627</xdr:colOff>
      <xdr:row>56</xdr:row>
      <xdr:rowOff>43543</xdr:rowOff>
    </xdr:to>
    <xdr:sp macro="" textlink="">
      <xdr:nvSpPr>
        <xdr:cNvPr id="73" name="正方形/長方形 72">
          <a:extLst>
            <a:ext uri="{FF2B5EF4-FFF2-40B4-BE49-F238E27FC236}">
              <a16:creationId xmlns:a16="http://schemas.microsoft.com/office/drawing/2014/main" id="{00000000-0008-0000-0800-000049000000}"/>
            </a:ext>
          </a:extLst>
        </xdr:cNvPr>
        <xdr:cNvSpPr/>
      </xdr:nvSpPr>
      <xdr:spPr>
        <a:xfrm>
          <a:off x="17681863" y="13168746"/>
          <a:ext cx="1389907" cy="8085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339057</xdr:colOff>
      <xdr:row>51</xdr:row>
      <xdr:rowOff>98933</xdr:rowOff>
    </xdr:from>
    <xdr:to>
      <xdr:col>33</xdr:col>
      <xdr:colOff>273743</xdr:colOff>
      <xdr:row>56</xdr:row>
      <xdr:rowOff>55391</xdr:rowOff>
    </xdr:to>
    <xdr:sp macro="" textlink="">
      <xdr:nvSpPr>
        <xdr:cNvPr id="74" name="正方形/長方形 73">
          <a:extLst>
            <a:ext uri="{FF2B5EF4-FFF2-40B4-BE49-F238E27FC236}">
              <a16:creationId xmlns:a16="http://schemas.microsoft.com/office/drawing/2014/main" id="{00000000-0008-0000-0800-00004A000000}"/>
            </a:ext>
          </a:extLst>
        </xdr:cNvPr>
        <xdr:cNvSpPr/>
      </xdr:nvSpPr>
      <xdr:spPr>
        <a:xfrm>
          <a:off x="25541086" y="13714080"/>
          <a:ext cx="1985363" cy="7968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280147</xdr:colOff>
      <xdr:row>51</xdr:row>
      <xdr:rowOff>89647</xdr:rowOff>
    </xdr:from>
    <xdr:to>
      <xdr:col>36</xdr:col>
      <xdr:colOff>571500</xdr:colOff>
      <xdr:row>56</xdr:row>
      <xdr:rowOff>44824</xdr:rowOff>
    </xdr:to>
    <xdr:sp macro="" textlink="">
      <xdr:nvSpPr>
        <xdr:cNvPr id="75" name="正方形/長方形 74">
          <a:extLst>
            <a:ext uri="{FF2B5EF4-FFF2-40B4-BE49-F238E27FC236}">
              <a16:creationId xmlns:a16="http://schemas.microsoft.com/office/drawing/2014/main" id="{00000000-0008-0000-0800-00004B000000}"/>
            </a:ext>
          </a:extLst>
        </xdr:cNvPr>
        <xdr:cNvSpPr/>
      </xdr:nvSpPr>
      <xdr:spPr>
        <a:xfrm>
          <a:off x="27532853" y="13704794"/>
          <a:ext cx="2342029" cy="795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286492</xdr:colOff>
      <xdr:row>78</xdr:row>
      <xdr:rowOff>80191</xdr:rowOff>
    </xdr:from>
    <xdr:to>
      <xdr:col>30</xdr:col>
      <xdr:colOff>32657</xdr:colOff>
      <xdr:row>86</xdr:row>
      <xdr:rowOff>152400</xdr:rowOff>
    </xdr:to>
    <xdr:sp macro="" textlink="">
      <xdr:nvSpPr>
        <xdr:cNvPr id="78" name="正方形/長方形 77">
          <a:extLst>
            <a:ext uri="{FF2B5EF4-FFF2-40B4-BE49-F238E27FC236}">
              <a16:creationId xmlns:a16="http://schemas.microsoft.com/office/drawing/2014/main" id="{00000000-0008-0000-0800-00004E000000}"/>
            </a:ext>
          </a:extLst>
        </xdr:cNvPr>
        <xdr:cNvSpPr/>
      </xdr:nvSpPr>
      <xdr:spPr>
        <a:xfrm>
          <a:off x="21666035" y="17617077"/>
          <a:ext cx="965365" cy="13784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476976</xdr:colOff>
      <xdr:row>74</xdr:row>
      <xdr:rowOff>69273</xdr:rowOff>
    </xdr:from>
    <xdr:to>
      <xdr:col>34</xdr:col>
      <xdr:colOff>186306</xdr:colOff>
      <xdr:row>77</xdr:row>
      <xdr:rowOff>54994</xdr:rowOff>
    </xdr:to>
    <xdr:sp macro="" textlink="">
      <xdr:nvSpPr>
        <xdr:cNvPr id="79" name="線吹き出し 1 (枠付き) 78">
          <a:extLst>
            <a:ext uri="{FF2B5EF4-FFF2-40B4-BE49-F238E27FC236}">
              <a16:creationId xmlns:a16="http://schemas.microsoft.com/office/drawing/2014/main" id="{00000000-0008-0000-0800-00004F000000}"/>
            </a:ext>
          </a:extLst>
        </xdr:cNvPr>
        <xdr:cNvSpPr/>
      </xdr:nvSpPr>
      <xdr:spPr>
        <a:xfrm>
          <a:off x="47859521" y="17941637"/>
          <a:ext cx="2480240" cy="505266"/>
        </a:xfrm>
        <a:prstGeom prst="borderCallout1">
          <a:avLst>
            <a:gd name="adj1" fmla="val 43705"/>
            <a:gd name="adj2" fmla="val 1432"/>
            <a:gd name="adj3" fmla="val 167493"/>
            <a:gd name="adj4" fmla="val -247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110115</xdr:colOff>
      <xdr:row>73</xdr:row>
      <xdr:rowOff>112321</xdr:rowOff>
    </xdr:from>
    <xdr:to>
      <xdr:col>41</xdr:col>
      <xdr:colOff>108259</xdr:colOff>
      <xdr:row>75</xdr:row>
      <xdr:rowOff>91321</xdr:rowOff>
    </xdr:to>
    <xdr:sp macro="" textlink="">
      <xdr:nvSpPr>
        <xdr:cNvPr id="82" name="線吹き出し 1 (枠付き) 81">
          <a:extLst>
            <a:ext uri="{FF2B5EF4-FFF2-40B4-BE49-F238E27FC236}">
              <a16:creationId xmlns:a16="http://schemas.microsoft.com/office/drawing/2014/main" id="{00000000-0008-0000-0800-000052000000}"/>
            </a:ext>
          </a:extLst>
        </xdr:cNvPr>
        <xdr:cNvSpPr/>
      </xdr:nvSpPr>
      <xdr:spPr>
        <a:xfrm>
          <a:off x="27585658" y="16832778"/>
          <a:ext cx="1826944" cy="305572"/>
        </a:xfrm>
        <a:prstGeom prst="borderCallout1">
          <a:avLst>
            <a:gd name="adj1" fmla="val 49102"/>
            <a:gd name="adj2" fmla="val 1468"/>
            <a:gd name="adj3" fmla="val 268477"/>
            <a:gd name="adj4" fmla="val -20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395382</xdr:colOff>
      <xdr:row>78</xdr:row>
      <xdr:rowOff>94963</xdr:rowOff>
    </xdr:from>
    <xdr:to>
      <xdr:col>37</xdr:col>
      <xdr:colOff>526996</xdr:colOff>
      <xdr:row>87</xdr:row>
      <xdr:rowOff>10886</xdr:rowOff>
    </xdr:to>
    <xdr:sp macro="" textlink="">
      <xdr:nvSpPr>
        <xdr:cNvPr id="83" name="正方形/長方形 82">
          <a:extLst>
            <a:ext uri="{FF2B5EF4-FFF2-40B4-BE49-F238E27FC236}">
              <a16:creationId xmlns:a16="http://schemas.microsoft.com/office/drawing/2014/main" id="{00000000-0008-0000-0800-000053000000}"/>
            </a:ext>
          </a:extLst>
        </xdr:cNvPr>
        <xdr:cNvSpPr/>
      </xdr:nvSpPr>
      <xdr:spPr>
        <a:xfrm>
          <a:off x="29698764" y="17923522"/>
          <a:ext cx="815173" cy="14287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306529</xdr:colOff>
      <xdr:row>89</xdr:row>
      <xdr:rowOff>90950</xdr:rowOff>
    </xdr:from>
    <xdr:to>
      <xdr:col>23</xdr:col>
      <xdr:colOff>489856</xdr:colOff>
      <xdr:row>94</xdr:row>
      <xdr:rowOff>10887</xdr:rowOff>
    </xdr:to>
    <xdr:sp macro="" textlink="">
      <xdr:nvSpPr>
        <xdr:cNvPr id="85" name="正方形/長方形 84">
          <a:extLst>
            <a:ext uri="{FF2B5EF4-FFF2-40B4-BE49-F238E27FC236}">
              <a16:creationId xmlns:a16="http://schemas.microsoft.com/office/drawing/2014/main" id="{00000000-0008-0000-0800-000055000000}"/>
            </a:ext>
          </a:extLst>
        </xdr:cNvPr>
        <xdr:cNvSpPr/>
      </xdr:nvSpPr>
      <xdr:spPr>
        <a:xfrm>
          <a:off x="17418872" y="19467521"/>
          <a:ext cx="1402527" cy="7363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290701</xdr:colOff>
      <xdr:row>98</xdr:row>
      <xdr:rowOff>153612</xdr:rowOff>
    </xdr:from>
    <xdr:to>
      <xdr:col>35</xdr:col>
      <xdr:colOff>1</xdr:colOff>
      <xdr:row>101</xdr:row>
      <xdr:rowOff>122462</xdr:rowOff>
    </xdr:to>
    <xdr:sp macro="" textlink="">
      <xdr:nvSpPr>
        <xdr:cNvPr id="88" name="線吹き出し 1 (枠付き) 87">
          <a:extLst>
            <a:ext uri="{FF2B5EF4-FFF2-40B4-BE49-F238E27FC236}">
              <a16:creationId xmlns:a16="http://schemas.microsoft.com/office/drawing/2014/main" id="{00000000-0008-0000-0800-000058000000}"/>
            </a:ext>
          </a:extLst>
        </xdr:cNvPr>
        <xdr:cNvSpPr/>
      </xdr:nvSpPr>
      <xdr:spPr>
        <a:xfrm>
          <a:off x="24108644" y="20999755"/>
          <a:ext cx="1538100" cy="458707"/>
        </a:xfrm>
        <a:prstGeom prst="borderCallout1">
          <a:avLst>
            <a:gd name="adj1" fmla="val 47202"/>
            <a:gd name="adj2" fmla="val -1183"/>
            <a:gd name="adj3" fmla="val -176448"/>
            <a:gd name="adj4" fmla="val -4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30</xdr:col>
      <xdr:colOff>19792</xdr:colOff>
      <xdr:row>89</xdr:row>
      <xdr:rowOff>68186</xdr:rowOff>
    </xdr:from>
    <xdr:to>
      <xdr:col>33</xdr:col>
      <xdr:colOff>0</xdr:colOff>
      <xdr:row>94</xdr:row>
      <xdr:rowOff>0</xdr:rowOff>
    </xdr:to>
    <xdr:sp macro="" textlink="">
      <xdr:nvSpPr>
        <xdr:cNvPr id="89" name="正方形/長方形 88">
          <a:extLst>
            <a:ext uri="{FF2B5EF4-FFF2-40B4-BE49-F238E27FC236}">
              <a16:creationId xmlns:a16="http://schemas.microsoft.com/office/drawing/2014/main" id="{00000000-0008-0000-0800-000059000000}"/>
            </a:ext>
          </a:extLst>
        </xdr:cNvPr>
        <xdr:cNvSpPr/>
      </xdr:nvSpPr>
      <xdr:spPr>
        <a:xfrm>
          <a:off x="25221821" y="19801745"/>
          <a:ext cx="2030885" cy="7722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672352</xdr:colOff>
      <xdr:row>89</xdr:row>
      <xdr:rowOff>71900</xdr:rowOff>
    </xdr:from>
    <xdr:to>
      <xdr:col>35</xdr:col>
      <xdr:colOff>33616</xdr:colOff>
      <xdr:row>94</xdr:row>
      <xdr:rowOff>1</xdr:rowOff>
    </xdr:to>
    <xdr:sp macro="" textlink="">
      <xdr:nvSpPr>
        <xdr:cNvPr id="91" name="正方形/長方形 90">
          <a:extLst>
            <a:ext uri="{FF2B5EF4-FFF2-40B4-BE49-F238E27FC236}">
              <a16:creationId xmlns:a16="http://schemas.microsoft.com/office/drawing/2014/main" id="{00000000-0008-0000-0800-00005B000000}"/>
            </a:ext>
          </a:extLst>
        </xdr:cNvPr>
        <xdr:cNvSpPr/>
      </xdr:nvSpPr>
      <xdr:spPr>
        <a:xfrm>
          <a:off x="27241499" y="19805459"/>
          <a:ext cx="1411941" cy="768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271152</xdr:colOff>
      <xdr:row>115</xdr:row>
      <xdr:rowOff>52351</xdr:rowOff>
    </xdr:from>
    <xdr:to>
      <xdr:col>30</xdr:col>
      <xdr:colOff>21771</xdr:colOff>
      <xdr:row>123</xdr:row>
      <xdr:rowOff>141514</xdr:rowOff>
    </xdr:to>
    <xdr:sp macro="" textlink="">
      <xdr:nvSpPr>
        <xdr:cNvPr id="92" name="正方形/長方形 91">
          <a:extLst>
            <a:ext uri="{FF2B5EF4-FFF2-40B4-BE49-F238E27FC236}">
              <a16:creationId xmlns:a16="http://schemas.microsoft.com/office/drawing/2014/main" id="{00000000-0008-0000-0800-00005C000000}"/>
            </a:ext>
          </a:extLst>
        </xdr:cNvPr>
        <xdr:cNvSpPr/>
      </xdr:nvSpPr>
      <xdr:spPr>
        <a:xfrm>
          <a:off x="21650695" y="23674351"/>
          <a:ext cx="969819" cy="13954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494294</xdr:colOff>
      <xdr:row>111</xdr:row>
      <xdr:rowOff>103909</xdr:rowOff>
    </xdr:from>
    <xdr:to>
      <xdr:col>34</xdr:col>
      <xdr:colOff>203624</xdr:colOff>
      <xdr:row>114</xdr:row>
      <xdr:rowOff>89630</xdr:rowOff>
    </xdr:to>
    <xdr:sp macro="" textlink="">
      <xdr:nvSpPr>
        <xdr:cNvPr id="93" name="線吹き出し 1 (枠付き) 92">
          <a:extLst>
            <a:ext uri="{FF2B5EF4-FFF2-40B4-BE49-F238E27FC236}">
              <a16:creationId xmlns:a16="http://schemas.microsoft.com/office/drawing/2014/main" id="{00000000-0008-0000-0800-00005D000000}"/>
            </a:ext>
          </a:extLst>
        </xdr:cNvPr>
        <xdr:cNvSpPr/>
      </xdr:nvSpPr>
      <xdr:spPr>
        <a:xfrm>
          <a:off x="47876839" y="24384000"/>
          <a:ext cx="2480240" cy="505266"/>
        </a:xfrm>
        <a:prstGeom prst="borderCallout1">
          <a:avLst>
            <a:gd name="adj1" fmla="val 43705"/>
            <a:gd name="adj2" fmla="val 1432"/>
            <a:gd name="adj3" fmla="val 129790"/>
            <a:gd name="adj4" fmla="val -27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558504</xdr:colOff>
      <xdr:row>112</xdr:row>
      <xdr:rowOff>132608</xdr:rowOff>
    </xdr:from>
    <xdr:to>
      <xdr:col>41</xdr:col>
      <xdr:colOff>556648</xdr:colOff>
      <xdr:row>114</xdr:row>
      <xdr:rowOff>111608</xdr:rowOff>
    </xdr:to>
    <xdr:sp macro="" textlink="">
      <xdr:nvSpPr>
        <xdr:cNvPr id="95" name="線吹き出し 1 (枠付き) 94">
          <a:extLst>
            <a:ext uri="{FF2B5EF4-FFF2-40B4-BE49-F238E27FC236}">
              <a16:creationId xmlns:a16="http://schemas.microsoft.com/office/drawing/2014/main" id="{00000000-0008-0000-0800-00005F000000}"/>
            </a:ext>
          </a:extLst>
        </xdr:cNvPr>
        <xdr:cNvSpPr/>
      </xdr:nvSpPr>
      <xdr:spPr>
        <a:xfrm>
          <a:off x="28034047" y="23264751"/>
          <a:ext cx="1826944" cy="305571"/>
        </a:xfrm>
        <a:prstGeom prst="borderCallout1">
          <a:avLst>
            <a:gd name="adj1" fmla="val 49102"/>
            <a:gd name="adj2" fmla="val 1468"/>
            <a:gd name="adj3" fmla="val 136667"/>
            <a:gd name="adj4" fmla="val -473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407574</xdr:colOff>
      <xdr:row>115</xdr:row>
      <xdr:rowOff>83552</xdr:rowOff>
    </xdr:from>
    <xdr:to>
      <xdr:col>37</xdr:col>
      <xdr:colOff>516432</xdr:colOff>
      <xdr:row>123</xdr:row>
      <xdr:rowOff>153361</xdr:rowOff>
    </xdr:to>
    <xdr:sp macro="" textlink="">
      <xdr:nvSpPr>
        <xdr:cNvPr id="96" name="正方形/長方形 95">
          <a:extLst>
            <a:ext uri="{FF2B5EF4-FFF2-40B4-BE49-F238E27FC236}">
              <a16:creationId xmlns:a16="http://schemas.microsoft.com/office/drawing/2014/main" id="{00000000-0008-0000-0800-000060000000}"/>
            </a:ext>
          </a:extLst>
        </xdr:cNvPr>
        <xdr:cNvSpPr/>
      </xdr:nvSpPr>
      <xdr:spPr>
        <a:xfrm>
          <a:off x="29710956" y="24187405"/>
          <a:ext cx="792417" cy="14145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556161</xdr:colOff>
      <xdr:row>126</xdr:row>
      <xdr:rowOff>57894</xdr:rowOff>
    </xdr:from>
    <xdr:to>
      <xdr:col>23</xdr:col>
      <xdr:colOff>478971</xdr:colOff>
      <xdr:row>131</xdr:row>
      <xdr:rowOff>10886</xdr:rowOff>
    </xdr:to>
    <xdr:sp macro="" textlink="">
      <xdr:nvSpPr>
        <xdr:cNvPr id="99" name="正方形/長方形 98">
          <a:extLst>
            <a:ext uri="{FF2B5EF4-FFF2-40B4-BE49-F238E27FC236}">
              <a16:creationId xmlns:a16="http://schemas.microsoft.com/office/drawing/2014/main" id="{00000000-0008-0000-0800-000063000000}"/>
            </a:ext>
          </a:extLst>
        </xdr:cNvPr>
        <xdr:cNvSpPr/>
      </xdr:nvSpPr>
      <xdr:spPr>
        <a:xfrm>
          <a:off x="17668504" y="25476037"/>
          <a:ext cx="1142010" cy="7694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24247</xdr:colOff>
      <xdr:row>126</xdr:row>
      <xdr:rowOff>81891</xdr:rowOff>
    </xdr:from>
    <xdr:to>
      <xdr:col>33</xdr:col>
      <xdr:colOff>33618</xdr:colOff>
      <xdr:row>131</xdr:row>
      <xdr:rowOff>21772</xdr:rowOff>
    </xdr:to>
    <xdr:sp macro="" textlink="">
      <xdr:nvSpPr>
        <xdr:cNvPr id="101" name="正方形/長方形 100">
          <a:extLst>
            <a:ext uri="{FF2B5EF4-FFF2-40B4-BE49-F238E27FC236}">
              <a16:creationId xmlns:a16="http://schemas.microsoft.com/office/drawing/2014/main" id="{00000000-0008-0000-0800-000065000000}"/>
            </a:ext>
          </a:extLst>
        </xdr:cNvPr>
        <xdr:cNvSpPr/>
      </xdr:nvSpPr>
      <xdr:spPr>
        <a:xfrm>
          <a:off x="25226276" y="26034715"/>
          <a:ext cx="2060048" cy="780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68546</xdr:colOff>
      <xdr:row>126</xdr:row>
      <xdr:rowOff>98615</xdr:rowOff>
    </xdr:from>
    <xdr:to>
      <xdr:col>35</xdr:col>
      <xdr:colOff>105655</xdr:colOff>
      <xdr:row>131</xdr:row>
      <xdr:rowOff>44184</xdr:rowOff>
    </xdr:to>
    <xdr:sp macro="" textlink="">
      <xdr:nvSpPr>
        <xdr:cNvPr id="109" name="正方形/長方形 108">
          <a:extLst>
            <a:ext uri="{FF2B5EF4-FFF2-40B4-BE49-F238E27FC236}">
              <a16:creationId xmlns:a16="http://schemas.microsoft.com/office/drawing/2014/main" id="{00000000-0008-0000-0800-00006D000000}"/>
            </a:ext>
          </a:extLst>
        </xdr:cNvPr>
        <xdr:cNvSpPr/>
      </xdr:nvSpPr>
      <xdr:spPr>
        <a:xfrm>
          <a:off x="27321252" y="26051439"/>
          <a:ext cx="1404227" cy="7860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566057</xdr:colOff>
      <xdr:row>33</xdr:row>
      <xdr:rowOff>252005</xdr:rowOff>
    </xdr:from>
    <xdr:to>
      <xdr:col>59</xdr:col>
      <xdr:colOff>293914</xdr:colOff>
      <xdr:row>47</xdr:row>
      <xdr:rowOff>65315</xdr:rowOff>
    </xdr:to>
    <xdr:sp macro="" textlink="">
      <xdr:nvSpPr>
        <xdr:cNvPr id="127" name="正方形/長方形 126">
          <a:extLst>
            <a:ext uri="{FF2B5EF4-FFF2-40B4-BE49-F238E27FC236}">
              <a16:creationId xmlns:a16="http://schemas.microsoft.com/office/drawing/2014/main" id="{00000000-0008-0000-0800-00007F000000}"/>
            </a:ext>
          </a:extLst>
        </xdr:cNvPr>
        <xdr:cNvSpPr/>
      </xdr:nvSpPr>
      <xdr:spPr>
        <a:xfrm>
          <a:off x="39624000" y="9570176"/>
          <a:ext cx="947057" cy="29592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302063</xdr:colOff>
      <xdr:row>32</xdr:row>
      <xdr:rowOff>840922</xdr:rowOff>
    </xdr:from>
    <xdr:to>
      <xdr:col>65</xdr:col>
      <xdr:colOff>11393</xdr:colOff>
      <xdr:row>32</xdr:row>
      <xdr:rowOff>1387009</xdr:rowOff>
    </xdr:to>
    <xdr:sp macro="" textlink="">
      <xdr:nvSpPr>
        <xdr:cNvPr id="128" name="線吹き出し 1 (枠付き) 127">
          <a:extLst>
            <a:ext uri="{FF2B5EF4-FFF2-40B4-BE49-F238E27FC236}">
              <a16:creationId xmlns:a16="http://schemas.microsoft.com/office/drawing/2014/main" id="{00000000-0008-0000-0800-000080000000}"/>
            </a:ext>
          </a:extLst>
        </xdr:cNvPr>
        <xdr:cNvSpPr/>
      </xdr:nvSpPr>
      <xdr:spPr>
        <a:xfrm>
          <a:off x="41798406" y="8471808"/>
          <a:ext cx="2147730" cy="546087"/>
        </a:xfrm>
        <a:prstGeom prst="borderCallout1">
          <a:avLst>
            <a:gd name="adj1" fmla="val 43705"/>
            <a:gd name="adj2" fmla="val 1432"/>
            <a:gd name="adj3" fmla="val 271322"/>
            <a:gd name="adj4" fmla="val -564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70</xdr:col>
      <xdr:colOff>351674</xdr:colOff>
      <xdr:row>32</xdr:row>
      <xdr:rowOff>653143</xdr:rowOff>
    </xdr:from>
    <xdr:to>
      <xdr:col>73</xdr:col>
      <xdr:colOff>374583</xdr:colOff>
      <xdr:row>32</xdr:row>
      <xdr:rowOff>996195</xdr:rowOff>
    </xdr:to>
    <xdr:sp macro="" textlink="">
      <xdr:nvSpPr>
        <xdr:cNvPr id="129" name="線吹き出し 1 (枠付き) 128">
          <a:extLst>
            <a:ext uri="{FF2B5EF4-FFF2-40B4-BE49-F238E27FC236}">
              <a16:creationId xmlns:a16="http://schemas.microsoft.com/office/drawing/2014/main" id="{00000000-0008-0000-0800-000081000000}"/>
            </a:ext>
          </a:extLst>
        </xdr:cNvPr>
        <xdr:cNvSpPr/>
      </xdr:nvSpPr>
      <xdr:spPr>
        <a:xfrm>
          <a:off x="47334417" y="8284029"/>
          <a:ext cx="1851709" cy="343052"/>
        </a:xfrm>
        <a:prstGeom prst="borderCallout1">
          <a:avLst>
            <a:gd name="adj1" fmla="val 49102"/>
            <a:gd name="adj2" fmla="val 1468"/>
            <a:gd name="adj3" fmla="val 268477"/>
            <a:gd name="adj4" fmla="val -20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69</xdr:col>
      <xdr:colOff>132113</xdr:colOff>
      <xdr:row>32</xdr:row>
      <xdr:rowOff>1542144</xdr:rowOff>
    </xdr:from>
    <xdr:to>
      <xdr:col>70</xdr:col>
      <xdr:colOff>0</xdr:colOff>
      <xdr:row>47</xdr:row>
      <xdr:rowOff>76200</xdr:rowOff>
    </xdr:to>
    <xdr:sp macro="" textlink="">
      <xdr:nvSpPr>
        <xdr:cNvPr id="130" name="正方形/長方形 129">
          <a:extLst>
            <a:ext uri="{FF2B5EF4-FFF2-40B4-BE49-F238E27FC236}">
              <a16:creationId xmlns:a16="http://schemas.microsoft.com/office/drawing/2014/main" id="{00000000-0008-0000-0800-000082000000}"/>
            </a:ext>
          </a:extLst>
        </xdr:cNvPr>
        <xdr:cNvSpPr/>
      </xdr:nvSpPr>
      <xdr:spPr>
        <a:xfrm>
          <a:off x="46505256" y="9173030"/>
          <a:ext cx="477487" cy="33673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589116</xdr:colOff>
      <xdr:row>67</xdr:row>
      <xdr:rowOff>53070</xdr:rowOff>
    </xdr:from>
    <xdr:to>
      <xdr:col>57</xdr:col>
      <xdr:colOff>413657</xdr:colOff>
      <xdr:row>69</xdr:row>
      <xdr:rowOff>144236</xdr:rowOff>
    </xdr:to>
    <xdr:sp macro="" textlink="">
      <xdr:nvSpPr>
        <xdr:cNvPr id="131" name="線吹き出し 1 (枠付き) 130">
          <a:extLst>
            <a:ext uri="{FF2B5EF4-FFF2-40B4-BE49-F238E27FC236}">
              <a16:creationId xmlns:a16="http://schemas.microsoft.com/office/drawing/2014/main" id="{00000000-0008-0000-0800-000083000000}"/>
            </a:ext>
          </a:extLst>
        </xdr:cNvPr>
        <xdr:cNvSpPr/>
      </xdr:nvSpPr>
      <xdr:spPr>
        <a:xfrm>
          <a:off x="35379859" y="15782927"/>
          <a:ext cx="4091741" cy="417738"/>
        </a:xfrm>
        <a:prstGeom prst="borderCallout1">
          <a:avLst>
            <a:gd name="adj1" fmla="val 42429"/>
            <a:gd name="adj2" fmla="val -3670"/>
            <a:gd name="adj3" fmla="val -208731"/>
            <a:gd name="adj4" fmla="val -116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ACCMSG3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が存在する。</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（下記</a:t>
          </a:r>
          <a:r>
            <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抜粋参照）</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391885</xdr:colOff>
      <xdr:row>57</xdr:row>
      <xdr:rowOff>43544</xdr:rowOff>
    </xdr:from>
    <xdr:to>
      <xdr:col>52</xdr:col>
      <xdr:colOff>152399</xdr:colOff>
      <xdr:row>62</xdr:row>
      <xdr:rowOff>10885</xdr:rowOff>
    </xdr:to>
    <xdr:sp macro="" textlink="">
      <xdr:nvSpPr>
        <xdr:cNvPr id="132" name="正方形/長方形 131">
          <a:extLst>
            <a:ext uri="{FF2B5EF4-FFF2-40B4-BE49-F238E27FC236}">
              <a16:creationId xmlns:a16="http://schemas.microsoft.com/office/drawing/2014/main" id="{00000000-0008-0000-0800-000084000000}"/>
            </a:ext>
          </a:extLst>
        </xdr:cNvPr>
        <xdr:cNvSpPr/>
      </xdr:nvSpPr>
      <xdr:spPr>
        <a:xfrm>
          <a:off x="34573028" y="14140544"/>
          <a:ext cx="1589314" cy="7837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255592</xdr:colOff>
      <xdr:row>62</xdr:row>
      <xdr:rowOff>95873</xdr:rowOff>
    </xdr:from>
    <xdr:to>
      <xdr:col>70</xdr:col>
      <xdr:colOff>864</xdr:colOff>
      <xdr:row>66</xdr:row>
      <xdr:rowOff>154683</xdr:rowOff>
    </xdr:to>
    <xdr:sp macro="" textlink="">
      <xdr:nvSpPr>
        <xdr:cNvPr id="133" name="線吹き出し 1 (枠付き) 132">
          <a:extLst>
            <a:ext uri="{FF2B5EF4-FFF2-40B4-BE49-F238E27FC236}">
              <a16:creationId xmlns:a16="http://schemas.microsoft.com/office/drawing/2014/main" id="{00000000-0008-0000-0800-000085000000}"/>
            </a:ext>
          </a:extLst>
        </xdr:cNvPr>
        <xdr:cNvSpPr/>
      </xdr:nvSpPr>
      <xdr:spPr>
        <a:xfrm>
          <a:off x="44190335" y="15009302"/>
          <a:ext cx="2793272" cy="711952"/>
        </a:xfrm>
        <a:prstGeom prst="borderCallout1">
          <a:avLst>
            <a:gd name="adj1" fmla="val 47202"/>
            <a:gd name="adj2" fmla="val -1183"/>
            <a:gd name="adj3" fmla="val -13170"/>
            <a:gd name="adj4" fmla="val -862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通信</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途絶時は、非表示</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63</xdr:col>
      <xdr:colOff>53192</xdr:colOff>
      <xdr:row>69</xdr:row>
      <xdr:rowOff>36492</xdr:rowOff>
    </xdr:from>
    <xdr:to>
      <xdr:col>65</xdr:col>
      <xdr:colOff>304799</xdr:colOff>
      <xdr:row>72</xdr:row>
      <xdr:rowOff>36493</xdr:rowOff>
    </xdr:to>
    <xdr:sp macro="" textlink="">
      <xdr:nvSpPr>
        <xdr:cNvPr id="134" name="線吹き出し 1 (枠付き) 133">
          <a:extLst>
            <a:ext uri="{FF2B5EF4-FFF2-40B4-BE49-F238E27FC236}">
              <a16:creationId xmlns:a16="http://schemas.microsoft.com/office/drawing/2014/main" id="{00000000-0008-0000-0800-000086000000}"/>
            </a:ext>
          </a:extLst>
        </xdr:cNvPr>
        <xdr:cNvSpPr/>
      </xdr:nvSpPr>
      <xdr:spPr>
        <a:xfrm>
          <a:off x="42768735" y="16092921"/>
          <a:ext cx="1470807" cy="500743"/>
        </a:xfrm>
        <a:prstGeom prst="borderCallout1">
          <a:avLst>
            <a:gd name="adj1" fmla="val 47202"/>
            <a:gd name="adj2" fmla="val -1183"/>
            <a:gd name="adj3" fmla="val -237596"/>
            <a:gd name="adj4" fmla="val -1651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57</xdr:col>
      <xdr:colOff>438152</xdr:colOff>
      <xdr:row>57</xdr:row>
      <xdr:rowOff>53070</xdr:rowOff>
    </xdr:from>
    <xdr:to>
      <xdr:col>59</xdr:col>
      <xdr:colOff>174172</xdr:colOff>
      <xdr:row>62</xdr:row>
      <xdr:rowOff>1</xdr:rowOff>
    </xdr:to>
    <xdr:sp macro="" textlink="">
      <xdr:nvSpPr>
        <xdr:cNvPr id="135" name="正方形/長方形 134">
          <a:extLst>
            <a:ext uri="{FF2B5EF4-FFF2-40B4-BE49-F238E27FC236}">
              <a16:creationId xmlns:a16="http://schemas.microsoft.com/office/drawing/2014/main" id="{00000000-0008-0000-0800-000087000000}"/>
            </a:ext>
          </a:extLst>
        </xdr:cNvPr>
        <xdr:cNvSpPr/>
      </xdr:nvSpPr>
      <xdr:spPr>
        <a:xfrm>
          <a:off x="39496095" y="14150070"/>
          <a:ext cx="955220" cy="7633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189015</xdr:colOff>
      <xdr:row>57</xdr:row>
      <xdr:rowOff>76201</xdr:rowOff>
    </xdr:from>
    <xdr:to>
      <xdr:col>61</xdr:col>
      <xdr:colOff>359228</xdr:colOff>
      <xdr:row>61</xdr:row>
      <xdr:rowOff>152400</xdr:rowOff>
    </xdr:to>
    <xdr:sp macro="" textlink="">
      <xdr:nvSpPr>
        <xdr:cNvPr id="136" name="正方形/長方形 135">
          <a:extLst>
            <a:ext uri="{FF2B5EF4-FFF2-40B4-BE49-F238E27FC236}">
              <a16:creationId xmlns:a16="http://schemas.microsoft.com/office/drawing/2014/main" id="{00000000-0008-0000-0800-000088000000}"/>
            </a:ext>
          </a:extLst>
        </xdr:cNvPr>
        <xdr:cNvSpPr/>
      </xdr:nvSpPr>
      <xdr:spPr>
        <a:xfrm>
          <a:off x="40466158" y="14173201"/>
          <a:ext cx="1389413" cy="7293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979714</xdr:colOff>
      <xdr:row>24</xdr:row>
      <xdr:rowOff>27214</xdr:rowOff>
    </xdr:from>
    <xdr:to>
      <xdr:col>13</xdr:col>
      <xdr:colOff>602716</xdr:colOff>
      <xdr:row>26</xdr:row>
      <xdr:rowOff>10371</xdr:rowOff>
    </xdr:to>
    <xdr:sp macro="" textlink="">
      <xdr:nvSpPr>
        <xdr:cNvPr id="65" name="線吹き出し 1 (枠付き) 64">
          <a:extLst>
            <a:ext uri="{FF2B5EF4-FFF2-40B4-BE49-F238E27FC236}">
              <a16:creationId xmlns:a16="http://schemas.microsoft.com/office/drawing/2014/main" id="{00000000-0008-0000-0800-000041000000}"/>
            </a:ext>
          </a:extLst>
        </xdr:cNvPr>
        <xdr:cNvSpPr/>
      </xdr:nvSpPr>
      <xdr:spPr>
        <a:xfrm>
          <a:off x="7715250" y="5510893"/>
          <a:ext cx="4045323" cy="336942"/>
        </a:xfrm>
        <a:prstGeom prst="borderCallout1">
          <a:avLst>
            <a:gd name="adj1" fmla="val 38295"/>
            <a:gd name="adj2" fmla="val -1002"/>
            <a:gd name="adj3" fmla="val 143934"/>
            <a:gd name="adj4" fmla="val -555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117022</xdr:colOff>
      <xdr:row>39</xdr:row>
      <xdr:rowOff>72118</xdr:rowOff>
    </xdr:from>
    <xdr:to>
      <xdr:col>49</xdr:col>
      <xdr:colOff>511628</xdr:colOff>
      <xdr:row>43</xdr:row>
      <xdr:rowOff>54429</xdr:rowOff>
    </xdr:to>
    <xdr:sp macro="" textlink="">
      <xdr:nvSpPr>
        <xdr:cNvPr id="66" name="正方形/長方形 65">
          <a:extLst>
            <a:ext uri="{FF2B5EF4-FFF2-40B4-BE49-F238E27FC236}">
              <a16:creationId xmlns:a16="http://schemas.microsoft.com/office/drawing/2014/main" id="{00000000-0008-0000-0800-000042000000}"/>
            </a:ext>
          </a:extLst>
        </xdr:cNvPr>
        <xdr:cNvSpPr/>
      </xdr:nvSpPr>
      <xdr:spPr>
        <a:xfrm>
          <a:off x="34298165" y="11229975"/>
          <a:ext cx="394606" cy="6354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13607</xdr:colOff>
      <xdr:row>49</xdr:row>
      <xdr:rowOff>76200</xdr:rowOff>
    </xdr:from>
    <xdr:to>
      <xdr:col>54</xdr:col>
      <xdr:colOff>315141</xdr:colOff>
      <xdr:row>53</xdr:row>
      <xdr:rowOff>46263</xdr:rowOff>
    </xdr:to>
    <xdr:sp macro="" textlink="">
      <xdr:nvSpPr>
        <xdr:cNvPr id="67" name="線吹き出し 1 (枠付き) 66">
          <a:extLst>
            <a:ext uri="{FF2B5EF4-FFF2-40B4-BE49-F238E27FC236}">
              <a16:creationId xmlns:a16="http://schemas.microsoft.com/office/drawing/2014/main" id="{00000000-0008-0000-0800-000043000000}"/>
            </a:ext>
          </a:extLst>
        </xdr:cNvPr>
        <xdr:cNvSpPr/>
      </xdr:nvSpPr>
      <xdr:spPr>
        <a:xfrm>
          <a:off x="35413950" y="12866914"/>
          <a:ext cx="2130334" cy="623206"/>
        </a:xfrm>
        <a:prstGeom prst="borderCallout1">
          <a:avLst>
            <a:gd name="adj1" fmla="val 47202"/>
            <a:gd name="adj2" fmla="val -1183"/>
            <a:gd name="adj3" fmla="val -157660"/>
            <a:gd name="adj4" fmla="val -482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No3.</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要求廃止</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(METHUD800B-3658)</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58</xdr:col>
      <xdr:colOff>112618</xdr:colOff>
      <xdr:row>249</xdr:row>
      <xdr:rowOff>41926</xdr:rowOff>
    </xdr:from>
    <xdr:to>
      <xdr:col>66</xdr:col>
      <xdr:colOff>453998</xdr:colOff>
      <xdr:row>254</xdr:row>
      <xdr:rowOff>91329</xdr:rowOff>
    </xdr:to>
    <xdr:sp macro="" textlink="">
      <xdr:nvSpPr>
        <xdr:cNvPr id="70" name="線吹き出し 1 (枠付き) 69">
          <a:extLst>
            <a:ext uri="{FF2B5EF4-FFF2-40B4-BE49-F238E27FC236}">
              <a16:creationId xmlns:a16="http://schemas.microsoft.com/office/drawing/2014/main" id="{00000000-0008-0000-0800-000046000000}"/>
            </a:ext>
          </a:extLst>
        </xdr:cNvPr>
        <xdr:cNvSpPr/>
      </xdr:nvSpPr>
      <xdr:spPr>
        <a:xfrm>
          <a:off x="39781442" y="47276961"/>
          <a:ext cx="5218180" cy="901050"/>
        </a:xfrm>
        <a:prstGeom prst="borderCallout1">
          <a:avLst>
            <a:gd name="adj1" fmla="val 43944"/>
            <a:gd name="adj2" fmla="val 100317"/>
            <a:gd name="adj3" fmla="val -25037"/>
            <a:gd name="adj4" fmla="val 1087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ACCMSG3</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以外に</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信号の判定条件が存在するため、実装の複雑化が懸念される</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発行済）。</a:t>
          </a:r>
          <a:endPar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信号の機能の実装状況を確認してから、再度検討する。</a:t>
          </a:r>
          <a:endParaRPr kumimoji="0" lang="en-US" altLang="ja-JP"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ACCMSG3</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S_ACC</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でも使用しており、</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送信は</a:t>
          </a:r>
          <a:r>
            <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S_ACC</a:t>
          </a:r>
          <a:r>
            <a:rPr kumimoji="1" lang="ja-JP" altLang="en-US"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で実施済</a:t>
          </a:r>
          <a:endParaRPr kumimoji="1" lang="en-US" altLang="ja-JP" sz="11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a:solidFill>
              <a:sysClr val="windowText" lastClr="000000"/>
            </a:solidFill>
            <a:effectLst/>
          </a:endParaRPr>
        </a:p>
      </xdr:txBody>
    </xdr:sp>
    <xdr:clientData/>
  </xdr:twoCellAnchor>
  <xdr:twoCellAnchor>
    <xdr:from>
      <xdr:col>64</xdr:col>
      <xdr:colOff>161365</xdr:colOff>
      <xdr:row>239</xdr:row>
      <xdr:rowOff>28336</xdr:rowOff>
    </xdr:from>
    <xdr:to>
      <xdr:col>69</xdr:col>
      <xdr:colOff>152401</xdr:colOff>
      <xdr:row>247</xdr:row>
      <xdr:rowOff>134471</xdr:rowOff>
    </xdr:to>
    <xdr:sp macro="" textlink="">
      <xdr:nvSpPr>
        <xdr:cNvPr id="71" name="正方形/長方形 70">
          <a:extLst>
            <a:ext uri="{FF2B5EF4-FFF2-40B4-BE49-F238E27FC236}">
              <a16:creationId xmlns:a16="http://schemas.microsoft.com/office/drawing/2014/main" id="{00000000-0008-0000-0800-000047000000}"/>
            </a:ext>
          </a:extLst>
        </xdr:cNvPr>
        <xdr:cNvSpPr/>
      </xdr:nvSpPr>
      <xdr:spPr>
        <a:xfrm>
          <a:off x="43487789" y="45560077"/>
          <a:ext cx="3039036" cy="14687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106937</xdr:colOff>
      <xdr:row>218</xdr:row>
      <xdr:rowOff>44183</xdr:rowOff>
    </xdr:from>
    <xdr:to>
      <xdr:col>55</xdr:col>
      <xdr:colOff>548448</xdr:colOff>
      <xdr:row>221</xdr:row>
      <xdr:rowOff>31575</xdr:rowOff>
    </xdr:to>
    <xdr:sp macro="" textlink="">
      <xdr:nvSpPr>
        <xdr:cNvPr id="76" name="線吹き出し 1 (枠付き) 75">
          <a:extLst>
            <a:ext uri="{FF2B5EF4-FFF2-40B4-BE49-F238E27FC236}">
              <a16:creationId xmlns:a16="http://schemas.microsoft.com/office/drawing/2014/main" id="{00000000-0008-0000-0800-00004C000000}"/>
            </a:ext>
          </a:extLst>
        </xdr:cNvPr>
        <xdr:cNvSpPr/>
      </xdr:nvSpPr>
      <xdr:spPr>
        <a:xfrm>
          <a:off x="36726480" y="43510840"/>
          <a:ext cx="1660711" cy="477249"/>
        </a:xfrm>
        <a:prstGeom prst="borderCallout1">
          <a:avLst>
            <a:gd name="adj1" fmla="val 47202"/>
            <a:gd name="adj2" fmla="val -1183"/>
            <a:gd name="adj3" fmla="val -12345"/>
            <a:gd name="adj4" fmla="val -594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開発対象外</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53</xdr:col>
      <xdr:colOff>577264</xdr:colOff>
      <xdr:row>89</xdr:row>
      <xdr:rowOff>69156</xdr:rowOff>
    </xdr:from>
    <xdr:to>
      <xdr:col>56</xdr:col>
      <xdr:colOff>409175</xdr:colOff>
      <xdr:row>92</xdr:row>
      <xdr:rowOff>56548</xdr:rowOff>
    </xdr:to>
    <xdr:sp macro="" textlink="">
      <xdr:nvSpPr>
        <xdr:cNvPr id="77" name="線吹き出し 1 (枠付き) 76">
          <a:extLst>
            <a:ext uri="{FF2B5EF4-FFF2-40B4-BE49-F238E27FC236}">
              <a16:creationId xmlns:a16="http://schemas.microsoft.com/office/drawing/2014/main" id="{00000000-0008-0000-0800-00004D000000}"/>
            </a:ext>
          </a:extLst>
        </xdr:cNvPr>
        <xdr:cNvSpPr/>
      </xdr:nvSpPr>
      <xdr:spPr>
        <a:xfrm>
          <a:off x="37196807" y="19445727"/>
          <a:ext cx="1660711" cy="477250"/>
        </a:xfrm>
        <a:prstGeom prst="borderCallout1">
          <a:avLst>
            <a:gd name="adj1" fmla="val 47202"/>
            <a:gd name="adj2" fmla="val -1183"/>
            <a:gd name="adj3" fmla="val 15006"/>
            <a:gd name="adj4" fmla="val -1624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開発対象外</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544288</xdr:colOff>
      <xdr:row>18</xdr:row>
      <xdr:rowOff>61634</xdr:rowOff>
    </xdr:from>
    <xdr:to>
      <xdr:col>10</xdr:col>
      <xdr:colOff>272144</xdr:colOff>
      <xdr:row>21</xdr:row>
      <xdr:rowOff>169794</xdr:rowOff>
    </xdr:to>
    <xdr:sp macro="" textlink="">
      <xdr:nvSpPr>
        <xdr:cNvPr id="80" name="線吹き出し 1 (枠付き) 79">
          <a:extLst>
            <a:ext uri="{FF2B5EF4-FFF2-40B4-BE49-F238E27FC236}">
              <a16:creationId xmlns:a16="http://schemas.microsoft.com/office/drawing/2014/main" id="{00000000-0008-0000-0800-000050000000}"/>
            </a:ext>
          </a:extLst>
        </xdr:cNvPr>
        <xdr:cNvSpPr/>
      </xdr:nvSpPr>
      <xdr:spPr>
        <a:xfrm>
          <a:off x="1224645" y="5368420"/>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xdr:col>
      <xdr:colOff>557893</xdr:colOff>
      <xdr:row>71</xdr:row>
      <xdr:rowOff>68036</xdr:rowOff>
    </xdr:from>
    <xdr:to>
      <xdr:col>10</xdr:col>
      <xdr:colOff>285749</xdr:colOff>
      <xdr:row>74</xdr:row>
      <xdr:rowOff>176196</xdr:rowOff>
    </xdr:to>
    <xdr:sp macro="" textlink="">
      <xdr:nvSpPr>
        <xdr:cNvPr id="87" name="線吹き出し 1 (枠付き) 86">
          <a:extLst>
            <a:ext uri="{FF2B5EF4-FFF2-40B4-BE49-F238E27FC236}">
              <a16:creationId xmlns:a16="http://schemas.microsoft.com/office/drawing/2014/main" id="{00000000-0008-0000-0800-000057000000}"/>
            </a:ext>
          </a:extLst>
        </xdr:cNvPr>
        <xdr:cNvSpPr/>
      </xdr:nvSpPr>
      <xdr:spPr>
        <a:xfrm>
          <a:off x="1238250" y="17185822"/>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36</xdr:col>
      <xdr:colOff>599844</xdr:colOff>
      <xdr:row>95</xdr:row>
      <xdr:rowOff>143</xdr:rowOff>
    </xdr:from>
    <xdr:to>
      <xdr:col>41</xdr:col>
      <xdr:colOff>398457</xdr:colOff>
      <xdr:row>98</xdr:row>
      <xdr:rowOff>156882</xdr:rowOff>
    </xdr:to>
    <xdr:sp macro="" textlink="">
      <xdr:nvSpPr>
        <xdr:cNvPr id="104" name="線吹き出し 1 (枠付き) 103">
          <a:extLst>
            <a:ext uri="{FF2B5EF4-FFF2-40B4-BE49-F238E27FC236}">
              <a16:creationId xmlns:a16="http://schemas.microsoft.com/office/drawing/2014/main" id="{00000000-0008-0000-0800-000068000000}"/>
            </a:ext>
          </a:extLst>
        </xdr:cNvPr>
        <xdr:cNvSpPr/>
      </xdr:nvSpPr>
      <xdr:spPr>
        <a:xfrm>
          <a:off x="29903226" y="20742231"/>
          <a:ext cx="3216407" cy="661004"/>
        </a:xfrm>
        <a:prstGeom prst="borderCallout1">
          <a:avLst>
            <a:gd name="adj1" fmla="val 47202"/>
            <a:gd name="adj2" fmla="val -1183"/>
            <a:gd name="adj3" fmla="val -20631"/>
            <a:gd name="adj4" fmla="val -38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chemeClr val="tx1"/>
              </a:solidFill>
              <a:effectLst/>
              <a:latin typeface="+mn-lt"/>
              <a:ea typeface="+mn-ea"/>
              <a:cs typeface="+mn-cs"/>
            </a:rPr>
            <a:t>通信途絶判定後にセットする値を</a:t>
          </a:r>
        </a:p>
        <a:p>
          <a:r>
            <a:rPr kumimoji="1" lang="en-US" altLang="ja-JP" sz="1200" b="1">
              <a:solidFill>
                <a:schemeClr val="tx1"/>
              </a:solidFill>
              <a:effectLst/>
              <a:latin typeface="+mn-lt"/>
              <a:ea typeface="+mn-ea"/>
              <a:cs typeface="+mn-cs"/>
            </a:rPr>
            <a:t>-(</a:t>
          </a:r>
          <a:r>
            <a:rPr kumimoji="1" lang="ja-JP" altLang="en-US" sz="1200" b="1">
              <a:solidFill>
                <a:schemeClr val="tx1"/>
              </a:solidFill>
              <a:effectLst/>
              <a:latin typeface="+mn-lt"/>
              <a:ea typeface="+mn-ea"/>
              <a:cs typeface="+mn-cs"/>
            </a:rPr>
            <a:t>途絶判定しない</a:t>
          </a:r>
          <a:r>
            <a:rPr kumimoji="1" lang="en-US" altLang="ja-JP" sz="1200" b="1">
              <a:solidFill>
                <a:schemeClr val="tx1"/>
              </a:solidFill>
              <a:effectLst/>
              <a:latin typeface="+mn-lt"/>
              <a:ea typeface="+mn-ea"/>
              <a:cs typeface="+mn-cs"/>
            </a:rPr>
            <a:t>)</a:t>
          </a:r>
          <a:r>
            <a:rPr kumimoji="1" lang="ja-JP" altLang="en-US" sz="1200" b="1">
              <a:solidFill>
                <a:schemeClr val="tx1"/>
              </a:solidFill>
              <a:effectLst/>
              <a:latin typeface="+mn-lt"/>
              <a:ea typeface="+mn-ea"/>
              <a:cs typeface="+mn-cs"/>
            </a:rPr>
            <a:t>から</a:t>
          </a:r>
          <a:r>
            <a:rPr kumimoji="1" lang="en-US" altLang="ja-JP" sz="1200" b="1">
              <a:solidFill>
                <a:schemeClr val="tx1"/>
              </a:solidFill>
              <a:effectLst/>
              <a:latin typeface="+mn-lt"/>
              <a:ea typeface="+mn-ea"/>
              <a:cs typeface="+mn-cs"/>
            </a:rPr>
            <a:t>00b</a:t>
          </a:r>
          <a:r>
            <a:rPr kumimoji="1" lang="ja-JP" altLang="en-US" sz="1200" b="1">
              <a:solidFill>
                <a:schemeClr val="tx1"/>
              </a:solidFill>
              <a:effectLst/>
              <a:latin typeface="+mn-lt"/>
              <a:ea typeface="+mn-ea"/>
              <a:cs typeface="+mn-cs"/>
            </a:rPr>
            <a:t>に変更</a:t>
          </a:r>
          <a:endParaRPr lang="ja-JP" altLang="ja-JP" sz="1200">
            <a:solidFill>
              <a:schemeClr val="tx1"/>
            </a:solidFill>
            <a:effectLst/>
          </a:endParaRPr>
        </a:p>
      </xdr:txBody>
    </xdr:sp>
    <xdr:clientData/>
  </xdr:twoCellAnchor>
  <xdr:twoCellAnchor>
    <xdr:from>
      <xdr:col>24</xdr:col>
      <xdr:colOff>45570</xdr:colOff>
      <xdr:row>103</xdr:row>
      <xdr:rowOff>126652</xdr:rowOff>
    </xdr:from>
    <xdr:to>
      <xdr:col>32</xdr:col>
      <xdr:colOff>511625</xdr:colOff>
      <xdr:row>106</xdr:row>
      <xdr:rowOff>76199</xdr:rowOff>
    </xdr:to>
    <xdr:sp macro="" textlink="">
      <xdr:nvSpPr>
        <xdr:cNvPr id="105" name="線吹き出し 1 (枠付き) 104">
          <a:extLst>
            <a:ext uri="{FF2B5EF4-FFF2-40B4-BE49-F238E27FC236}">
              <a16:creationId xmlns:a16="http://schemas.microsoft.com/office/drawing/2014/main" id="{00000000-0008-0000-0800-000069000000}"/>
            </a:ext>
          </a:extLst>
        </xdr:cNvPr>
        <xdr:cNvSpPr/>
      </xdr:nvSpPr>
      <xdr:spPr>
        <a:xfrm>
          <a:off x="18986713" y="21789223"/>
          <a:ext cx="5342855" cy="439405"/>
        </a:xfrm>
        <a:prstGeom prst="borderCallout1">
          <a:avLst>
            <a:gd name="adj1" fmla="val 42429"/>
            <a:gd name="adj2" fmla="val -3670"/>
            <a:gd name="adj3" fmla="val -363011"/>
            <a:gd name="adj4" fmla="val -8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207959</xdr:colOff>
      <xdr:row>132</xdr:row>
      <xdr:rowOff>11029</xdr:rowOff>
    </xdr:from>
    <xdr:to>
      <xdr:col>42</xdr:col>
      <xdr:colOff>6572</xdr:colOff>
      <xdr:row>135</xdr:row>
      <xdr:rowOff>134470</xdr:rowOff>
    </xdr:to>
    <xdr:sp macro="" textlink="">
      <xdr:nvSpPr>
        <xdr:cNvPr id="106" name="線吹き出し 1 (枠付き) 105">
          <a:extLst>
            <a:ext uri="{FF2B5EF4-FFF2-40B4-BE49-F238E27FC236}">
              <a16:creationId xmlns:a16="http://schemas.microsoft.com/office/drawing/2014/main" id="{00000000-0008-0000-0800-00006A000000}"/>
            </a:ext>
          </a:extLst>
        </xdr:cNvPr>
        <xdr:cNvSpPr/>
      </xdr:nvSpPr>
      <xdr:spPr>
        <a:xfrm>
          <a:off x="30194900" y="26972382"/>
          <a:ext cx="3216407" cy="627706"/>
        </a:xfrm>
        <a:prstGeom prst="borderCallout1">
          <a:avLst>
            <a:gd name="adj1" fmla="val 47202"/>
            <a:gd name="adj2" fmla="val -1183"/>
            <a:gd name="adj3" fmla="val -53471"/>
            <a:gd name="adj4" fmla="val -438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chemeClr val="tx1"/>
              </a:solidFill>
              <a:effectLst/>
              <a:latin typeface="+mn-lt"/>
              <a:ea typeface="+mn-ea"/>
              <a:cs typeface="+mn-cs"/>
            </a:rPr>
            <a:t>通信途絶判定後にセットする値を</a:t>
          </a:r>
          <a:endParaRPr lang="ja-JP" altLang="ja-JP" sz="1200">
            <a:solidFill>
              <a:schemeClr val="tx1"/>
            </a:solidFill>
            <a:effectLst/>
          </a:endParaRPr>
        </a:p>
        <a:p>
          <a:r>
            <a:rPr kumimoji="1" lang="en-US" altLang="ja-JP" sz="1200" b="1">
              <a:solidFill>
                <a:schemeClr val="tx1"/>
              </a:solidFill>
              <a:effectLst/>
              <a:latin typeface="+mn-lt"/>
              <a:ea typeface="+mn-ea"/>
              <a:cs typeface="+mn-cs"/>
            </a:rPr>
            <a:t>-(</a:t>
          </a:r>
          <a:r>
            <a:rPr kumimoji="1" lang="ja-JP" altLang="ja-JP" sz="1200" b="1">
              <a:solidFill>
                <a:schemeClr val="tx1"/>
              </a:solidFill>
              <a:effectLst/>
              <a:latin typeface="+mn-lt"/>
              <a:ea typeface="+mn-ea"/>
              <a:cs typeface="+mn-cs"/>
            </a:rPr>
            <a:t>途絶判定しない</a:t>
          </a:r>
          <a:r>
            <a:rPr kumimoji="1" lang="en-US" altLang="ja-JP" sz="1200" b="1">
              <a:solidFill>
                <a:schemeClr val="tx1"/>
              </a:solidFill>
              <a:effectLst/>
              <a:latin typeface="+mn-lt"/>
              <a:ea typeface="+mn-ea"/>
              <a:cs typeface="+mn-cs"/>
            </a:rPr>
            <a:t>)</a:t>
          </a:r>
          <a:r>
            <a:rPr kumimoji="1" lang="ja-JP" altLang="ja-JP" sz="1200" b="1">
              <a:solidFill>
                <a:schemeClr val="tx1"/>
              </a:solidFill>
              <a:effectLst/>
              <a:latin typeface="+mn-lt"/>
              <a:ea typeface="+mn-ea"/>
              <a:cs typeface="+mn-cs"/>
            </a:rPr>
            <a:t>から</a:t>
          </a:r>
          <a:r>
            <a:rPr kumimoji="1" lang="en-US" altLang="ja-JP" sz="1200" b="1">
              <a:solidFill>
                <a:schemeClr val="tx1"/>
              </a:solidFill>
              <a:effectLst/>
              <a:latin typeface="+mn-lt"/>
              <a:ea typeface="+mn-ea"/>
              <a:cs typeface="+mn-cs"/>
            </a:rPr>
            <a:t>00b</a:t>
          </a:r>
          <a:r>
            <a:rPr kumimoji="1" lang="ja-JP" altLang="ja-JP" sz="1200" b="1">
              <a:solidFill>
                <a:schemeClr val="tx1"/>
              </a:solidFill>
              <a:effectLst/>
              <a:latin typeface="+mn-lt"/>
              <a:ea typeface="+mn-ea"/>
              <a:cs typeface="+mn-cs"/>
            </a:rPr>
            <a:t>に変更</a:t>
          </a:r>
          <a:endParaRPr lang="ja-JP" altLang="ja-JP" sz="1200">
            <a:solidFill>
              <a:schemeClr val="tx1"/>
            </a:solidFill>
            <a:effectLst/>
          </a:endParaRPr>
        </a:p>
      </xdr:txBody>
    </xdr:sp>
    <xdr:clientData/>
  </xdr:twoCellAnchor>
  <xdr:twoCellAnchor>
    <xdr:from>
      <xdr:col>32</xdr:col>
      <xdr:colOff>290701</xdr:colOff>
      <xdr:row>136</xdr:row>
      <xdr:rowOff>1212</xdr:rowOff>
    </xdr:from>
    <xdr:to>
      <xdr:col>35</xdr:col>
      <xdr:colOff>1</xdr:colOff>
      <xdr:row>138</xdr:row>
      <xdr:rowOff>133348</xdr:rowOff>
    </xdr:to>
    <xdr:sp macro="" textlink="">
      <xdr:nvSpPr>
        <xdr:cNvPr id="107" name="線吹き出し 1 (枠付き) 106">
          <a:extLst>
            <a:ext uri="{FF2B5EF4-FFF2-40B4-BE49-F238E27FC236}">
              <a16:creationId xmlns:a16="http://schemas.microsoft.com/office/drawing/2014/main" id="{00000000-0008-0000-0800-00006B000000}"/>
            </a:ext>
          </a:extLst>
        </xdr:cNvPr>
        <xdr:cNvSpPr/>
      </xdr:nvSpPr>
      <xdr:spPr>
        <a:xfrm>
          <a:off x="24108644" y="27052212"/>
          <a:ext cx="1538100" cy="458707"/>
        </a:xfrm>
        <a:prstGeom prst="borderCallout1">
          <a:avLst>
            <a:gd name="adj1" fmla="val 47202"/>
            <a:gd name="adj2" fmla="val -1183"/>
            <a:gd name="adj3" fmla="val -176448"/>
            <a:gd name="adj4" fmla="val -4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252400</xdr:colOff>
      <xdr:row>140</xdr:row>
      <xdr:rowOff>137537</xdr:rowOff>
    </xdr:from>
    <xdr:to>
      <xdr:col>32</xdr:col>
      <xdr:colOff>108855</xdr:colOff>
      <xdr:row>143</xdr:row>
      <xdr:rowOff>87085</xdr:rowOff>
    </xdr:to>
    <xdr:sp macro="" textlink="">
      <xdr:nvSpPr>
        <xdr:cNvPr id="110" name="線吹き出し 1 (枠付き) 109">
          <a:extLst>
            <a:ext uri="{FF2B5EF4-FFF2-40B4-BE49-F238E27FC236}">
              <a16:creationId xmlns:a16="http://schemas.microsoft.com/office/drawing/2014/main" id="{00000000-0008-0000-0800-00006E000000}"/>
            </a:ext>
          </a:extLst>
        </xdr:cNvPr>
        <xdr:cNvSpPr/>
      </xdr:nvSpPr>
      <xdr:spPr>
        <a:xfrm>
          <a:off x="18583943" y="27841680"/>
          <a:ext cx="5342855" cy="439405"/>
        </a:xfrm>
        <a:prstGeom prst="borderCallout1">
          <a:avLst>
            <a:gd name="adj1" fmla="val 42429"/>
            <a:gd name="adj2" fmla="val -3670"/>
            <a:gd name="adj3" fmla="val -363011"/>
            <a:gd name="adj4" fmla="val -8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48</xdr:col>
      <xdr:colOff>326572</xdr:colOff>
      <xdr:row>127</xdr:row>
      <xdr:rowOff>0</xdr:rowOff>
    </xdr:from>
    <xdr:to>
      <xdr:col>66</xdr:col>
      <xdr:colOff>7455</xdr:colOff>
      <xdr:row>163</xdr:row>
      <xdr:rowOff>12484</xdr:rowOff>
    </xdr:to>
    <xdr:pic>
      <xdr:nvPicPr>
        <xdr:cNvPr id="35" name="図 34" descr="画面の領域">
          <a:extLst>
            <a:ext uri="{FF2B5EF4-FFF2-40B4-BE49-F238E27FC236}">
              <a16:creationId xmlns:a16="http://schemas.microsoft.com/office/drawing/2014/main" id="{00000000-0008-0000-0800-000023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3898115" y="25581429"/>
          <a:ext cx="10653683" cy="5890770"/>
        </a:xfrm>
        <a:prstGeom prst="rect">
          <a:avLst/>
        </a:prstGeom>
      </xdr:spPr>
    </xdr:pic>
    <xdr:clientData/>
  </xdr:twoCellAnchor>
  <xdr:twoCellAnchor editAs="oneCell">
    <xdr:from>
      <xdr:col>48</xdr:col>
      <xdr:colOff>277906</xdr:colOff>
      <xdr:row>179</xdr:row>
      <xdr:rowOff>147278</xdr:rowOff>
    </xdr:from>
    <xdr:to>
      <xdr:col>67</xdr:col>
      <xdr:colOff>606598</xdr:colOff>
      <xdr:row>187</xdr:row>
      <xdr:rowOff>38013</xdr:rowOff>
    </xdr:to>
    <xdr:pic>
      <xdr:nvPicPr>
        <xdr:cNvPr id="37" name="図 36" descr="画面の領域">
          <a:extLst>
            <a:ext uri="{FF2B5EF4-FFF2-40B4-BE49-F238E27FC236}">
              <a16:creationId xmlns:a16="http://schemas.microsoft.com/office/drawing/2014/main" id="{00000000-0008-0000-0800-000025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3850730" y="35351678"/>
          <a:ext cx="11911092" cy="1253370"/>
        </a:xfrm>
        <a:prstGeom prst="rect">
          <a:avLst/>
        </a:prstGeom>
      </xdr:spPr>
    </xdr:pic>
    <xdr:clientData/>
  </xdr:twoCellAnchor>
  <xdr:twoCellAnchor editAs="oneCell">
    <xdr:from>
      <xdr:col>48</xdr:col>
      <xdr:colOff>65314</xdr:colOff>
      <xdr:row>194</xdr:row>
      <xdr:rowOff>119744</xdr:rowOff>
    </xdr:from>
    <xdr:to>
      <xdr:col>52</xdr:col>
      <xdr:colOff>576110</xdr:colOff>
      <xdr:row>197</xdr:row>
      <xdr:rowOff>56644</xdr:rowOff>
    </xdr:to>
    <xdr:pic>
      <xdr:nvPicPr>
        <xdr:cNvPr id="39" name="図 38" descr="画面の領域">
          <a:extLst>
            <a:ext uri="{FF2B5EF4-FFF2-40B4-BE49-F238E27FC236}">
              <a16:creationId xmlns:a16="http://schemas.microsoft.com/office/drawing/2014/main" id="{00000000-0008-0000-0800-000027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3636857" y="36684858"/>
          <a:ext cx="2949196" cy="426757"/>
        </a:xfrm>
        <a:prstGeom prst="rect">
          <a:avLst/>
        </a:prstGeom>
      </xdr:spPr>
    </xdr:pic>
    <xdr:clientData/>
  </xdr:twoCellAnchor>
  <xdr:twoCellAnchor editAs="oneCell">
    <xdr:from>
      <xdr:col>48</xdr:col>
      <xdr:colOff>92208</xdr:colOff>
      <xdr:row>198</xdr:row>
      <xdr:rowOff>74277</xdr:rowOff>
    </xdr:from>
    <xdr:to>
      <xdr:col>65</xdr:col>
      <xdr:colOff>580828</xdr:colOff>
      <xdr:row>212</xdr:row>
      <xdr:rowOff>82096</xdr:rowOff>
    </xdr:to>
    <xdr:pic>
      <xdr:nvPicPr>
        <xdr:cNvPr id="40" name="図 39" descr="画面の領域">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3665032" y="38550795"/>
          <a:ext cx="10851820" cy="2392431"/>
        </a:xfrm>
        <a:prstGeom prst="rect">
          <a:avLst/>
        </a:prstGeom>
      </xdr:spPr>
    </xdr:pic>
    <xdr:clientData/>
  </xdr:twoCellAnchor>
  <xdr:twoCellAnchor editAs="oneCell">
    <xdr:from>
      <xdr:col>21</xdr:col>
      <xdr:colOff>0</xdr:colOff>
      <xdr:row>4</xdr:row>
      <xdr:rowOff>168087</xdr:rowOff>
    </xdr:from>
    <xdr:to>
      <xdr:col>37</xdr:col>
      <xdr:colOff>177345</xdr:colOff>
      <xdr:row>31</xdr:row>
      <xdr:rowOff>52920</xdr:rowOff>
    </xdr:to>
    <xdr:pic>
      <xdr:nvPicPr>
        <xdr:cNvPr id="3" name="図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5"/>
        <a:stretch>
          <a:fillRect/>
        </a:stretch>
      </xdr:blipFill>
      <xdr:spPr>
        <a:xfrm>
          <a:off x="19050000" y="918881"/>
          <a:ext cx="11114286" cy="693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715L Unit Price"/>
      <sheetName val="Oct Truckfest GMAC BC"/>
      <sheetName val="Corolla Gas"/>
      <sheetName val="REPUESTOS LPA"/>
      <sheetName val="TALLER"/>
      <sheetName val="tbContab05"/>
      <sheetName val="REVICED"/>
      <sheetName val="TCL1"/>
      <sheetName val="PL_1_2"/>
      <sheetName val="TANI"/>
      <sheetName val="ESSBASE"/>
      <sheetName val="091L"/>
      <sheetName val="200L"/>
      <sheetName val="180L"/>
      <sheetName val="Table"/>
      <sheetName val="11パラメータ"/>
      <sheetName val="保有ﾘｽﾄ"/>
      <sheetName val="MARCH_APRIL_ 03"/>
      <sheetName val="ES UX  27 40.464"/>
      <sheetName val="MASTER FILE"/>
      <sheetName val="Part No."/>
      <sheetName val="RACK (CB)new"/>
      <sheetName val="現調化効果"/>
      <sheetName val="日供品"/>
      <sheetName val="Price"/>
      <sheetName val="ﾄﾖﾀUNIT"/>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投資ﾌｫﾛｰ"/>
      <sheetName val="Datos HHRR"/>
      <sheetName val="094W原紙 "/>
      <sheetName val="ヘッダ"/>
      <sheetName val="latest"/>
      <sheetName val="Actual"/>
      <sheetName val="Wenger"/>
      <sheetName val="銷售&amp;毛利"/>
      <sheetName val="2005 TKM"/>
      <sheetName val="投資･工数推移"/>
      <sheetName val="推移"/>
      <sheetName val="?"/>
      <sheetName val="Avanza"/>
      <sheetName val="Hiace"/>
      <sheetName val="Comm CKD"/>
      <sheetName val="Alphard"/>
      <sheetName val="TR"/>
      <sheetName val="542F"/>
      <sheetName val="Plate_Bumper"/>
      <sheetName val="７月発注分 (VLOOK)"/>
      <sheetName val="DBS040_RPT.RPT"/>
      <sheetName val="CPF"/>
      <sheetName val="Parts"/>
      <sheetName val="編集"/>
      <sheetName val="97RAW"/>
      <sheetName val="costing"/>
      <sheetName val="PP_LETTER"/>
      <sheetName val="Inpanel"/>
      <sheetName val="Interior Trim"/>
      <sheetName val="Assumptions"/>
      <sheetName val="FAD Sum"/>
      <sheetName val="Medium"/>
      <sheetName val="Small"/>
      <sheetName val="Regional Penetration"/>
      <sheetName val="TMMI"/>
      <sheetName val="PAIData"/>
      <sheetName val="DATA"/>
      <sheetName val="Plate_Bumper (Summary)"/>
      <sheetName val="AS"/>
      <sheetName val="進度管理表"/>
      <sheetName val="諸元表STR58043"/>
      <sheetName val="dongia (2)"/>
      <sheetName val="方針書表紙"/>
      <sheetName val="ｻﾝﾌﾟﾙ取出日程"/>
      <sheetName val="金型申入書ﾃﾞｰﾀ(05.7～)"/>
      <sheetName val="MTRX96"/>
      <sheetName val="NWEA1180"/>
      <sheetName val="原単位表"/>
      <sheetName val="RMBSS's Triggered"/>
      <sheetName val="6770T02"/>
      <sheetName val="Sheet2"/>
      <sheetName val="NAME"/>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Supp.List"/>
      <sheetName val="ＦＣ～FT"/>
      <sheetName val="Risk &amp; Opps"/>
      <sheetName val="長計対比"/>
      <sheetName val="⑪1ﾊﾞﾘｴｰｼｮﾝ(16LX)△１"/>
      <sheetName val="NCastalone"/>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BUYERS"/>
      <sheetName val="Status"/>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マスター"/>
      <sheetName val="PR"/>
      <sheetName val="大物部品"/>
      <sheetName val="C1(TMENG)"/>
      <sheetName val="C2(TMENG)"/>
      <sheetName val=""/>
      <sheetName val="Annexes toutes bases"/>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コード表"/>
      <sheetName val="改定記録"/>
      <sheetName val="為替前提"/>
      <sheetName val="PCD"/>
      <sheetName val="matrix"/>
      <sheetName val="Loss Time"/>
      <sheetName val="Price range IT"/>
      <sheetName val="Avensis+d seg  in &amp; out of UK+F"/>
      <sheetName val="NAVI"/>
      <sheetName val="#ofclose .xl"/>
      <sheetName val="解説a"/>
      <sheetName val="従推"/>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本修正_DIFF "/>
      <sheetName val="Sector Assignment"/>
      <sheetName val="PROFIL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ｺﾝﾋﾞ"/>
      <sheetName val="Config - dspmgr"/>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1</v>
          </cell>
        </row>
      </sheetData>
      <sheetData sheetId="310">
        <row r="1">
          <cell r="B1" t="str">
            <v>1</v>
          </cell>
        </row>
      </sheetData>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row r="3">
          <cell r="B3" t="str">
            <v>TOYOTA   TSUSHO  PHILIPPINES CORPORATION</v>
          </cell>
        </row>
      </sheetData>
      <sheetData sheetId="445">
        <row r="3">
          <cell r="B3" t="str">
            <v>TOYOTA   TSUSHO  PHILIPPINES CORPORATION</v>
          </cell>
        </row>
      </sheetData>
      <sheetData sheetId="446"/>
      <sheetData sheetId="447" refreshError="1"/>
      <sheetData sheetId="448" refreshError="1"/>
      <sheetData sheetId="449" refreshError="1"/>
      <sheetData sheetId="450" refreshError="1"/>
      <sheetData sheetId="451" refreshError="1"/>
      <sheetData sheetId="452" refreshError="1"/>
      <sheetData sheetId="453">
        <row r="3">
          <cell r="B3" t="str">
            <v>TOYOTA   TSUSHO  PHILIPPINES CORPORATION</v>
          </cell>
        </row>
      </sheetData>
      <sheetData sheetId="454">
        <row r="3">
          <cell r="B3" t="str">
            <v>TOYOTA   TSUSHO  PHILIPPINES CORPORATION</v>
          </cell>
        </row>
      </sheetData>
      <sheetData sheetId="455">
        <row r="3">
          <cell r="B3" t="str">
            <v>TOYOTA   TSUSHO  PHILIPPINES CORPORATION</v>
          </cell>
        </row>
      </sheetData>
      <sheetData sheetId="456">
        <row r="3">
          <cell r="B3" t="str">
            <v>TOYOTA   TSUSHO  PHILIPPINES CORPORATION</v>
          </cell>
        </row>
      </sheetData>
      <sheetData sheetId="457">
        <row r="3">
          <cell r="B3" t="str">
            <v>TOYOTA   TSUSHO  PHILIPPINES CORPORATION</v>
          </cell>
        </row>
      </sheetData>
      <sheetData sheetId="458">
        <row r="3">
          <cell r="B3" t="str">
            <v>TOYOTA   TSUSHO  PHILIPPINES CORPORATION</v>
          </cell>
        </row>
      </sheetData>
      <sheetData sheetId="459">
        <row r="3">
          <cell r="B3" t="str">
            <v>TOYOTA   TSUSHO  PHILIPPINES CORPORATION</v>
          </cell>
        </row>
      </sheetData>
      <sheetData sheetId="460">
        <row r="3">
          <cell r="B3" t="str">
            <v>TOYOTA   TSUSHO  PHILIPPINES CORPORATION</v>
          </cell>
        </row>
      </sheetData>
      <sheetData sheetId="461">
        <row r="3">
          <cell r="B3" t="str">
            <v>TOYOTA   TSUSHO  PHILIPPINES CORPORATION</v>
          </cell>
        </row>
      </sheetData>
      <sheetData sheetId="462">
        <row r="3">
          <cell r="B3" t="str">
            <v>TOYOTA   TSUSHO  PHILIPPINES CORPORATION</v>
          </cell>
        </row>
      </sheetData>
      <sheetData sheetId="463">
        <row r="3">
          <cell r="B3" t="str">
            <v>TOYOTA   TSUSHO  PHILIPPINES CORPORATION</v>
          </cell>
        </row>
      </sheetData>
      <sheetData sheetId="464">
        <row r="3">
          <cell r="B3" t="str">
            <v>TOYOTA   TSUSHO  PHILIPPINES CORPORATION</v>
          </cell>
        </row>
      </sheetData>
      <sheetData sheetId="465">
        <row r="3">
          <cell r="B3" t="str">
            <v>TOYOTA   TSUSHO  PHILIPPINES CORPORATION</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ow r="3">
          <cell r="B3" t="str">
            <v>TOYOTA   TSUSHO  PHILIPPINES CORPORATION</v>
          </cell>
        </row>
      </sheetData>
      <sheetData sheetId="495">
        <row r="3">
          <cell r="B3" t="str">
            <v>TOYOTA   TSUSHO  PHILIPPINES CORPORATION</v>
          </cell>
        </row>
      </sheetData>
      <sheetData sheetId="496">
        <row r="3">
          <cell r="B3" t="str">
            <v>TOYOTA   TSUSHO  PHILIPPINES CORPORATION</v>
          </cell>
        </row>
      </sheetData>
      <sheetData sheetId="497">
        <row r="3">
          <cell r="B3" t="str">
            <v>TOYOTA   TSUSHO  PHILIPPINES CORPORATION</v>
          </cell>
        </row>
      </sheetData>
      <sheetData sheetId="498">
        <row r="3">
          <cell r="B3" t="str">
            <v>TOYOTA   TSUSHO  PHILIPPINES CORPORATION</v>
          </cell>
        </row>
      </sheetData>
      <sheetData sheetId="499">
        <row r="3">
          <cell r="B3" t="str">
            <v>TOYOTA   TSUSHO  PHILIPPINES CORPORATION</v>
          </cell>
        </row>
      </sheetData>
      <sheetData sheetId="500">
        <row r="3">
          <cell r="B3" t="str">
            <v>TOYOTA   TSUSHO  PHILIPPINES CORPORATION</v>
          </cell>
        </row>
      </sheetData>
      <sheetData sheetId="501">
        <row r="3">
          <cell r="B3" t="str">
            <v>TOYOTA   TSUSHO  PHILIPPINES CORPORATION</v>
          </cell>
        </row>
      </sheetData>
      <sheetData sheetId="502">
        <row r="3">
          <cell r="B3" t="str">
            <v>TOYOTA   TSUSHO  PHILIPPINES CORPORATION</v>
          </cell>
        </row>
      </sheetData>
      <sheetData sheetId="503">
        <row r="3">
          <cell r="B3" t="str">
            <v>TOYOTA   TSUSHO  PHILIPPINES CORPORATION</v>
          </cell>
        </row>
      </sheetData>
      <sheetData sheetId="504">
        <row r="3">
          <cell r="B3" t="str">
            <v>TOYOTA   TSUSHO  PHILIPPINES CORPORATION</v>
          </cell>
        </row>
      </sheetData>
      <sheetData sheetId="505">
        <row r="3">
          <cell r="B3" t="str">
            <v>TOYOTA   TSUSHO  PHILIPPINES CORPORATION</v>
          </cell>
        </row>
      </sheetData>
      <sheetData sheetId="506">
        <row r="3">
          <cell r="B3" t="str">
            <v>TOYOTA   TSUSHO  PHILIPPINES CORPORATION</v>
          </cell>
        </row>
      </sheetData>
      <sheetData sheetId="507">
        <row r="3">
          <cell r="B3" t="str">
            <v>TOYOTA   TSUSHO  PHILIPPINES CORPORATION</v>
          </cell>
        </row>
      </sheetData>
      <sheetData sheetId="508">
        <row r="3">
          <cell r="B3" t="str">
            <v>TOYOTA   TSUSHO  PHILIPPINES CORPORATION</v>
          </cell>
        </row>
      </sheetData>
      <sheetData sheetId="509">
        <row r="3">
          <cell r="B3" t="str">
            <v>TOYOTA   TSUSHO  PHILIPPINES CORPORATION</v>
          </cell>
        </row>
      </sheetData>
      <sheetData sheetId="510">
        <row r="3">
          <cell r="B3" t="str">
            <v>TOYOTA   TSUSHO  PHILIPPINES CORPORATION</v>
          </cell>
        </row>
      </sheetData>
      <sheetData sheetId="511">
        <row r="3">
          <cell r="B3" t="str">
            <v>TOYOTA   TSUSHO  PHILIPPINES CORPORATION</v>
          </cell>
        </row>
      </sheetData>
      <sheetData sheetId="512">
        <row r="3">
          <cell r="B3" t="str">
            <v>TOYOTA   TSUSHO  PHILIPPINES CORPORATION</v>
          </cell>
        </row>
      </sheetData>
      <sheetData sheetId="513">
        <row r="3">
          <cell r="B3" t="str">
            <v>TOYOTA   TSUSHO  PHILIPPINES CORPORATION</v>
          </cell>
        </row>
      </sheetData>
      <sheetData sheetId="514">
        <row r="3">
          <cell r="B3" t="str">
            <v>TOYOTA   TSUSHO  PHILIPPINES CORPORATION</v>
          </cell>
        </row>
      </sheetData>
      <sheetData sheetId="515">
        <row r="3">
          <cell r="B3" t="str">
            <v>TOYOTA   TSUSHO  PHILIPPINES CORPORATION</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sheetData sheetId="738"/>
      <sheetData sheetId="739"/>
      <sheetData sheetId="740"/>
      <sheetData sheetId="741"/>
      <sheetData sheetId="742"/>
      <sheetData sheetId="743"/>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row r="1">
          <cell r="B1" t="str">
            <v>1</v>
          </cell>
        </row>
      </sheetData>
      <sheetData sheetId="778"/>
      <sheetData sheetId="779"/>
      <sheetData sheetId="780"/>
      <sheetData sheetId="781"/>
      <sheetData sheetId="782">
        <row r="1">
          <cell r="B1" t="str">
            <v>1</v>
          </cell>
        </row>
      </sheetData>
      <sheetData sheetId="783">
        <row r="1">
          <cell r="B1" t="str">
            <v>1</v>
          </cell>
        </row>
      </sheetData>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sheetData sheetId="856"/>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row r="1">
          <cell r="B1" t="str">
            <v>1</v>
          </cell>
        </row>
      </sheetData>
      <sheetData sheetId="884"/>
      <sheetData sheetId="885">
        <row r="1">
          <cell r="B1" t="str">
            <v>1</v>
          </cell>
        </row>
      </sheetData>
      <sheetData sheetId="886">
        <row r="1">
          <cell r="B1" t="str">
            <v>1</v>
          </cell>
        </row>
      </sheetData>
      <sheetData sheetId="887"/>
      <sheetData sheetId="888">
        <row r="3">
          <cell r="B3" t="str">
            <v>TOYOTA   TSUSHO  PHILIPPINES CORPORATION</v>
          </cell>
        </row>
      </sheetData>
      <sheetData sheetId="889">
        <row r="3">
          <cell r="B3" t="str">
            <v>TOYOTA   TSUSHO  PHILIPPINES CORPORATION</v>
          </cell>
        </row>
      </sheetData>
      <sheetData sheetId="890"/>
      <sheetData sheetId="891">
        <row r="1">
          <cell r="B1" t="str">
            <v>1</v>
          </cell>
        </row>
      </sheetData>
      <sheetData sheetId="892">
        <row r="1">
          <cell r="B1" t="str">
            <v>1</v>
          </cell>
        </row>
      </sheetData>
      <sheetData sheetId="893"/>
      <sheetData sheetId="894"/>
      <sheetData sheetId="895"/>
      <sheetData sheetId="896"/>
      <sheetData sheetId="897"/>
      <sheetData sheetId="898">
        <row r="1">
          <cell r="B1" t="str">
            <v>1</v>
          </cell>
        </row>
      </sheetData>
      <sheetData sheetId="899">
        <row r="1">
          <cell r="B1" t="str">
            <v>1</v>
          </cell>
        </row>
      </sheetData>
      <sheetData sheetId="900"/>
      <sheetData sheetId="901"/>
      <sheetData sheetId="902"/>
      <sheetData sheetId="903"/>
      <sheetData sheetId="904">
        <row r="1">
          <cell r="B1" t="str">
            <v>1</v>
          </cell>
        </row>
      </sheetData>
      <sheetData sheetId="905">
        <row r="1">
          <cell r="B1" t="str">
            <v>1</v>
          </cell>
        </row>
      </sheetData>
      <sheetData sheetId="906"/>
      <sheetData sheetId="907"/>
      <sheetData sheetId="908"/>
      <sheetData sheetId="909"/>
      <sheetData sheetId="910"/>
      <sheetData sheetId="911"/>
      <sheetData sheetId="912"/>
      <sheetData sheetId="913">
        <row r="1">
          <cell r="B1" t="str">
            <v>1</v>
          </cell>
        </row>
      </sheetData>
      <sheetData sheetId="914">
        <row r="1">
          <cell r="B1" t="str">
            <v>1</v>
          </cell>
        </row>
      </sheetData>
      <sheetData sheetId="915"/>
      <sheetData sheetId="916"/>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sheetData sheetId="922"/>
      <sheetData sheetId="923"/>
      <sheetData sheetId="924"/>
      <sheetData sheetId="925"/>
      <sheetData sheetId="926"/>
      <sheetData sheetId="927">
        <row r="3">
          <cell r="B3" t="str">
            <v>TOYOTA   TSUSHO  PHILIPPINES CORPORATION</v>
          </cell>
        </row>
      </sheetData>
      <sheetData sheetId="928">
        <row r="3">
          <cell r="B3" t="str">
            <v>TOYOTA   TSUSHO  PHILIPPINES CORPORATION</v>
          </cell>
        </row>
      </sheetData>
      <sheetData sheetId="929"/>
      <sheetData sheetId="930"/>
      <sheetData sheetId="931"/>
      <sheetData sheetId="932"/>
      <sheetData sheetId="933">
        <row r="3">
          <cell r="B3" t="str">
            <v>TOYOTA   TSUSHO  PHILIPPINES CORPORATION</v>
          </cell>
        </row>
      </sheetData>
      <sheetData sheetId="934">
        <row r="3">
          <cell r="B3" t="str">
            <v>TOYOTA   TSUSHO  PHILIPPINES CORPORATION</v>
          </cell>
        </row>
      </sheetData>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row r="1">
          <cell r="B1" t="str">
            <v>1</v>
          </cell>
        </row>
      </sheetData>
      <sheetData sheetId="945"/>
      <sheetData sheetId="946"/>
      <sheetData sheetId="947"/>
      <sheetData sheetId="948">
        <row r="3">
          <cell r="B3" t="str">
            <v>TOYOTA   TSUSHO  PHILIPPINES CORPORATION</v>
          </cell>
        </row>
      </sheetData>
      <sheetData sheetId="949">
        <row r="3">
          <cell r="B3" t="str">
            <v>TOYOTA   TSUSHO  PHILIPPINES CORPORATION</v>
          </cell>
        </row>
      </sheetData>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1B5D3-727B-46DB-BED7-E1FF793B1D82}">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47" customWidth="1"/>
    <col min="53" max="16384" width="8.125" style="24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8"/>
    </row>
    <row r="11" spans="6:20" ht="13.15" customHeight="1"/>
    <row r="12" spans="6:20" ht="13.15" customHeight="1"/>
    <row r="13" spans="6:20" ht="13.15" customHeight="1">
      <c r="T13" s="249" t="str">
        <f ca="1">MID(CELL("filename",A1),FIND("[",CELL("filename",A1))+1,FIND("]",CELL("filename",A1))-FIND("[",CELL("filename",A1))-1)</f>
        <v>alert_S_ISA-CSTD-1-00-A-C0.xlsx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0"/>
      <c r="V32" s="250"/>
    </row>
    <row r="33" spans="3:39" ht="13.15" customHeight="1">
      <c r="M33" s="251"/>
      <c r="N33" s="251"/>
      <c r="O33" s="251"/>
      <c r="P33" s="251"/>
      <c r="Q33" s="251"/>
      <c r="AF33" s="251"/>
      <c r="AG33" s="251"/>
      <c r="AH33" s="251"/>
      <c r="AI33" s="251"/>
      <c r="AJ33" s="251"/>
    </row>
    <row r="34" spans="3:39" ht="13.15" customHeight="1">
      <c r="Y34" s="252" t="s">
        <v>369</v>
      </c>
      <c r="Z34" s="253"/>
    </row>
    <row r="35" spans="3:39" ht="13.15" customHeight="1">
      <c r="Y35" s="276" t="s">
        <v>370</v>
      </c>
      <c r="Z35" s="277"/>
      <c r="AA35" s="277"/>
      <c r="AB35" s="277"/>
      <c r="AC35" s="278"/>
      <c r="AD35" s="276" t="s">
        <v>371</v>
      </c>
      <c r="AE35" s="277"/>
      <c r="AF35" s="277"/>
      <c r="AG35" s="277"/>
      <c r="AH35" s="278"/>
      <c r="AI35" s="276" t="s">
        <v>372</v>
      </c>
      <c r="AJ35" s="277"/>
      <c r="AK35" s="277"/>
      <c r="AL35" s="277"/>
      <c r="AM35" s="278"/>
    </row>
    <row r="36" spans="3:39" ht="13.15" customHeight="1">
      <c r="D36" s="251"/>
      <c r="E36" s="254"/>
      <c r="F36" s="251"/>
      <c r="G36" s="251"/>
      <c r="I36" s="251"/>
      <c r="J36" s="254"/>
      <c r="K36" s="251"/>
      <c r="L36" s="251"/>
      <c r="M36" s="251"/>
      <c r="N36" s="251"/>
      <c r="O36" s="254"/>
      <c r="P36" s="251"/>
      <c r="Q36" s="251"/>
      <c r="W36" s="251"/>
      <c r="X36" s="254"/>
      <c r="Y36" s="255"/>
      <c r="Z36" s="256"/>
      <c r="AA36" s="256"/>
      <c r="AB36" s="256"/>
      <c r="AC36" s="257"/>
      <c r="AD36" s="255"/>
      <c r="AE36" s="256"/>
      <c r="AF36" s="256"/>
      <c r="AG36" s="256"/>
      <c r="AH36" s="257"/>
      <c r="AI36" s="255"/>
      <c r="AJ36" s="256"/>
      <c r="AK36" s="256"/>
      <c r="AL36" s="256"/>
      <c r="AM36" s="257"/>
    </row>
    <row r="37" spans="3:39" ht="13.15" customHeight="1">
      <c r="Y37" s="258"/>
      <c r="AC37" s="259"/>
      <c r="AD37" s="258"/>
      <c r="AH37" s="259"/>
      <c r="AI37" s="258"/>
      <c r="AM37" s="259"/>
    </row>
    <row r="38" spans="3:39" ht="13.15" customHeight="1">
      <c r="Y38" s="258"/>
      <c r="Z38" s="251"/>
      <c r="AA38" s="254" t="s">
        <v>373</v>
      </c>
      <c r="AB38" s="251"/>
      <c r="AC38" s="260"/>
      <c r="AD38" s="258"/>
      <c r="AE38" s="251"/>
      <c r="AF38" s="254" t="s">
        <v>374</v>
      </c>
      <c r="AG38" s="251"/>
      <c r="AH38" s="260"/>
      <c r="AI38" s="261"/>
      <c r="AJ38" s="251"/>
      <c r="AK38" s="254" t="s">
        <v>375</v>
      </c>
      <c r="AL38" s="251"/>
      <c r="AM38" s="260"/>
    </row>
    <row r="39" spans="3:39" ht="13.15" customHeight="1">
      <c r="Y39" s="258"/>
      <c r="AC39" s="259"/>
      <c r="AD39" s="258"/>
      <c r="AH39" s="259"/>
      <c r="AI39" s="258"/>
      <c r="AM39" s="259"/>
    </row>
    <row r="40" spans="3:39" ht="13.15" customHeight="1">
      <c r="C40" s="250"/>
      <c r="V40" s="250"/>
      <c r="Y40" s="262"/>
      <c r="Z40" s="263"/>
      <c r="AA40" s="263"/>
      <c r="AB40" s="263"/>
      <c r="AC40" s="264"/>
      <c r="AD40" s="262"/>
      <c r="AE40" s="263"/>
      <c r="AF40" s="263"/>
      <c r="AG40" s="263"/>
      <c r="AH40" s="264"/>
      <c r="AI40" s="262"/>
      <c r="AJ40" s="263"/>
      <c r="AK40" s="263"/>
      <c r="AL40" s="263"/>
      <c r="AM40" s="264"/>
    </row>
    <row r="41" spans="3:39" ht="13.15" customHeight="1"/>
    <row r="42" spans="3:39" ht="13.15" customHeight="1">
      <c r="Y42" s="265" t="s">
        <v>376</v>
      </c>
    </row>
    <row r="43" spans="3:39" ht="13.15" customHeight="1">
      <c r="Y43" s="276" t="s">
        <v>370</v>
      </c>
      <c r="Z43" s="277"/>
      <c r="AA43" s="277"/>
      <c r="AB43" s="277"/>
      <c r="AC43" s="278"/>
      <c r="AD43" s="276" t="s">
        <v>371</v>
      </c>
      <c r="AE43" s="277"/>
      <c r="AF43" s="277"/>
      <c r="AG43" s="277"/>
      <c r="AH43" s="278"/>
      <c r="AI43" s="276" t="s">
        <v>372</v>
      </c>
      <c r="AJ43" s="277"/>
      <c r="AK43" s="277"/>
      <c r="AL43" s="277"/>
      <c r="AM43" s="278"/>
    </row>
    <row r="44" spans="3:39" ht="13.15" customHeight="1">
      <c r="D44" s="251"/>
      <c r="E44" s="254"/>
      <c r="F44" s="251"/>
      <c r="G44" s="251"/>
      <c r="H44" s="251"/>
      <c r="I44" s="251"/>
      <c r="J44" s="254"/>
      <c r="K44" s="251"/>
      <c r="L44" s="251"/>
      <c r="M44" s="251"/>
      <c r="N44" s="251"/>
      <c r="O44" s="254"/>
      <c r="P44" s="251"/>
      <c r="Q44" s="251"/>
      <c r="W44" s="251"/>
      <c r="X44" s="254"/>
      <c r="Y44" s="255"/>
      <c r="Z44" s="256"/>
      <c r="AA44" s="256"/>
      <c r="AB44" s="256"/>
      <c r="AC44" s="257"/>
      <c r="AD44" s="256"/>
      <c r="AE44" s="256"/>
      <c r="AF44" s="256"/>
      <c r="AG44" s="256"/>
      <c r="AH44" s="257"/>
      <c r="AI44" s="255"/>
      <c r="AJ44" s="256"/>
      <c r="AK44" s="256"/>
      <c r="AL44" s="256"/>
      <c r="AM44" s="257"/>
    </row>
    <row r="45" spans="3:39" ht="13.15" customHeight="1">
      <c r="Y45" s="258"/>
      <c r="AC45" s="259"/>
      <c r="AH45" s="259"/>
      <c r="AI45" s="258"/>
      <c r="AM45" s="259"/>
    </row>
    <row r="46" spans="3:39" ht="13.15" customHeight="1">
      <c r="Y46" s="258"/>
      <c r="Z46" s="251"/>
      <c r="AA46" s="254" t="s">
        <v>377</v>
      </c>
      <c r="AB46" s="251"/>
      <c r="AC46" s="260"/>
      <c r="AD46" s="251"/>
      <c r="AE46" s="251"/>
      <c r="AF46" s="254" t="s">
        <v>378</v>
      </c>
      <c r="AG46" s="251"/>
      <c r="AH46" s="260"/>
      <c r="AI46" s="261"/>
      <c r="AJ46" s="251"/>
      <c r="AK46" s="254" t="s">
        <v>379</v>
      </c>
      <c r="AL46" s="251"/>
      <c r="AM46" s="260"/>
    </row>
    <row r="47" spans="3:39" ht="13.15" customHeight="1">
      <c r="Y47" s="258"/>
      <c r="AC47" s="259"/>
      <c r="AH47" s="259"/>
      <c r="AI47" s="258"/>
      <c r="AM47" s="259"/>
    </row>
    <row r="48" spans="3:39" ht="13.15" customHeight="1">
      <c r="C48" s="250"/>
      <c r="V48" s="250"/>
      <c r="Y48" s="262"/>
      <c r="Z48" s="263"/>
      <c r="AA48" s="263"/>
      <c r="AB48" s="263"/>
      <c r="AC48" s="264"/>
      <c r="AD48" s="263"/>
      <c r="AE48" s="263"/>
      <c r="AF48" s="263"/>
      <c r="AG48" s="263"/>
      <c r="AH48" s="264"/>
      <c r="AI48" s="262"/>
      <c r="AJ48" s="263"/>
      <c r="AK48" s="263"/>
      <c r="AL48" s="263"/>
      <c r="AM48" s="264"/>
    </row>
    <row r="49" spans="4:39" ht="13.15" customHeight="1"/>
    <row r="50" spans="4:39" ht="13.15" customHeight="1">
      <c r="Y50" s="250" t="s">
        <v>380</v>
      </c>
    </row>
    <row r="51" spans="4:39" ht="13.15" customHeight="1">
      <c r="Y51" s="276" t="s">
        <v>370</v>
      </c>
      <c r="Z51" s="277"/>
      <c r="AA51" s="277"/>
      <c r="AB51" s="277"/>
      <c r="AC51" s="278"/>
      <c r="AD51" s="276" t="s">
        <v>371</v>
      </c>
      <c r="AE51" s="277"/>
      <c r="AF51" s="277"/>
      <c r="AG51" s="277"/>
      <c r="AH51" s="278"/>
      <c r="AI51" s="276" t="s">
        <v>372</v>
      </c>
      <c r="AJ51" s="277"/>
      <c r="AK51" s="277"/>
      <c r="AL51" s="277"/>
      <c r="AM51" s="278"/>
    </row>
    <row r="52" spans="4:39" ht="13.15" customHeight="1">
      <c r="D52" s="251"/>
      <c r="E52" s="254"/>
      <c r="F52" s="251"/>
      <c r="G52" s="251"/>
      <c r="H52" s="251"/>
      <c r="I52" s="251"/>
      <c r="J52" s="254"/>
      <c r="K52" s="251"/>
      <c r="L52" s="251"/>
      <c r="M52" s="251"/>
      <c r="N52" s="251"/>
      <c r="O52" s="254"/>
      <c r="P52" s="251"/>
      <c r="Q52" s="251"/>
      <c r="W52" s="251"/>
      <c r="X52" s="254"/>
      <c r="Y52" s="255"/>
      <c r="Z52" s="256"/>
      <c r="AA52" s="256"/>
      <c r="AB52" s="256"/>
      <c r="AC52" s="257"/>
      <c r="AD52" s="256"/>
      <c r="AE52" s="256"/>
      <c r="AF52" s="256"/>
      <c r="AG52" s="256"/>
      <c r="AH52" s="257"/>
      <c r="AI52" s="255"/>
      <c r="AJ52" s="256"/>
      <c r="AK52" s="256"/>
      <c r="AL52" s="256"/>
      <c r="AM52" s="257"/>
    </row>
    <row r="53" spans="4:39" ht="13.15" customHeight="1">
      <c r="Y53" s="258"/>
      <c r="AC53" s="259"/>
      <c r="AH53" s="259"/>
      <c r="AI53" s="258"/>
      <c r="AM53" s="259"/>
    </row>
    <row r="54" spans="4:39" ht="13.15" customHeight="1">
      <c r="Y54" s="258"/>
      <c r="Z54" s="251"/>
      <c r="AA54" s="254" t="s">
        <v>381</v>
      </c>
      <c r="AB54" s="251"/>
      <c r="AC54" s="260"/>
      <c r="AD54" s="251"/>
      <c r="AE54" s="251"/>
      <c r="AF54" s="254" t="s">
        <v>382</v>
      </c>
      <c r="AG54" s="251"/>
      <c r="AH54" s="260"/>
      <c r="AI54" s="261"/>
      <c r="AJ54" s="251"/>
      <c r="AK54" s="254" t="s">
        <v>379</v>
      </c>
      <c r="AL54" s="251"/>
      <c r="AM54" s="260"/>
    </row>
    <row r="55" spans="4:39" ht="13.15" customHeight="1">
      <c r="Y55" s="258"/>
      <c r="AC55" s="259"/>
      <c r="AH55" s="259"/>
      <c r="AI55" s="258"/>
      <c r="AM55" s="259"/>
    </row>
    <row r="56" spans="4:39" ht="13.15" customHeight="1">
      <c r="Y56" s="262"/>
      <c r="Z56" s="263"/>
      <c r="AA56" s="263"/>
      <c r="AB56" s="263"/>
      <c r="AC56" s="264"/>
      <c r="AD56" s="263"/>
      <c r="AE56" s="263"/>
      <c r="AF56" s="263"/>
      <c r="AG56" s="263"/>
      <c r="AH56" s="264"/>
      <c r="AI56" s="262"/>
      <c r="AJ56" s="263"/>
      <c r="AK56" s="263"/>
      <c r="AL56" s="263"/>
      <c r="AM56" s="264"/>
    </row>
    <row r="57" spans="4:39" ht="13.15" customHeight="1">
      <c r="AK57" s="247" t="s">
        <v>383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1506" r:id="rId4">
          <objectPr defaultSize="0" r:id="rId5">
            <anchor>
              <from>
                <xdr:col>34</xdr:col>
                <xdr:colOff>47625</xdr:colOff>
                <xdr:row>43</xdr:row>
                <xdr:rowOff>66675</xdr:rowOff>
              </from>
              <to>
                <xdr:col>38</xdr:col>
                <xdr:colOff>85725</xdr:colOff>
                <xdr:row>47</xdr:row>
                <xdr:rowOff>114300</xdr:rowOff>
              </to>
            </anchor>
          </objectPr>
        </oleObject>
      </mc:Choice>
      <mc:Fallback>
        <oleObject progId="Dstmp.StampObject.7" shapeId="2150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4" max="24" width="11.625" bestFit="1" customWidth="1"/>
  </cols>
  <sheetData>
    <row r="2" spans="2:24" ht="25.5" customHeight="1">
      <c r="C2" s="6"/>
      <c r="D2" s="6"/>
      <c r="E2" s="6"/>
      <c r="F2" s="6"/>
      <c r="H2" s="7" t="s">
        <v>13</v>
      </c>
      <c r="I2" s="279" t="s">
        <v>14</v>
      </c>
      <c r="J2" s="279"/>
      <c r="K2" s="279"/>
      <c r="L2" s="279"/>
      <c r="M2" s="279"/>
      <c r="N2" s="279"/>
      <c r="O2" s="279"/>
      <c r="P2" s="279"/>
      <c r="Q2" s="279"/>
      <c r="R2" s="279"/>
    </row>
    <row r="3" spans="2:24" ht="25.5" customHeight="1">
      <c r="C3" s="6"/>
      <c r="D3" s="10" t="str">
        <f ca="1">REPLACE(LEFT(CELL("filename",$B$1),FIND(".xls",CELL("filename",$B$1))-1),1,FIND("[",CELL("filename",$B$1)),)</f>
        <v>alert_S_ISA-CSTD-1-00-A-C0</v>
      </c>
      <c r="E3" s="6"/>
      <c r="F3" s="6"/>
      <c r="H3" s="8" t="s">
        <v>189</v>
      </c>
      <c r="I3" s="280" t="s">
        <v>214</v>
      </c>
      <c r="J3" s="281"/>
      <c r="K3" s="281"/>
      <c r="L3" s="281"/>
      <c r="M3" s="281"/>
      <c r="N3" s="281"/>
      <c r="O3" s="281"/>
      <c r="P3" s="281"/>
      <c r="Q3" s="281"/>
      <c r="R3" s="281"/>
    </row>
    <row r="4" spans="2:24" ht="25.5" customHeight="1">
      <c r="C4" s="6"/>
      <c r="D4" s="6"/>
      <c r="E4" s="22" t="str">
        <f>DGET(B8:C15,"Ver.",H4:H5)</f>
        <v>1.4.0</v>
      </c>
      <c r="F4" s="6"/>
      <c r="H4" s="9" t="s">
        <v>16</v>
      </c>
    </row>
    <row r="5" spans="2:24" ht="25.5" customHeight="1">
      <c r="C5" s="6"/>
      <c r="D5" s="6"/>
      <c r="E5" s="6"/>
      <c r="F5" s="6"/>
      <c r="H5" s="11">
        <f>MAX(B9:B15)</f>
        <v>5</v>
      </c>
    </row>
    <row r="6" spans="2:24" ht="14.25" thickBot="1"/>
    <row r="7" spans="2:24">
      <c r="C7" s="285" t="s">
        <v>0</v>
      </c>
      <c r="D7" s="286"/>
      <c r="E7" s="287" t="s">
        <v>2</v>
      </c>
      <c r="F7" s="287"/>
      <c r="G7" s="288" t="s">
        <v>5</v>
      </c>
      <c r="H7" s="288"/>
      <c r="I7" s="288"/>
      <c r="J7" s="288"/>
      <c r="K7" s="288"/>
      <c r="L7" s="288"/>
      <c r="M7" s="289" t="s">
        <v>12</v>
      </c>
      <c r="N7" s="289"/>
      <c r="O7" s="289"/>
      <c r="P7" s="289"/>
      <c r="Q7" s="289"/>
      <c r="R7" s="289"/>
      <c r="S7" s="282" t="s">
        <v>361</v>
      </c>
      <c r="T7" s="283"/>
      <c r="U7" s="283"/>
      <c r="V7" s="283"/>
      <c r="W7" s="283"/>
      <c r="X7" s="284"/>
    </row>
    <row r="8" spans="2:24"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75" t="s">
        <v>362</v>
      </c>
      <c r="T8" s="245" t="s">
        <v>7</v>
      </c>
      <c r="U8" s="245" t="s">
        <v>8</v>
      </c>
      <c r="V8" s="245" t="s">
        <v>9</v>
      </c>
      <c r="W8" s="245" t="s">
        <v>10</v>
      </c>
      <c r="X8" s="246" t="s">
        <v>11</v>
      </c>
    </row>
    <row r="9" spans="2:24" ht="108.75" thickTop="1">
      <c r="B9" s="9">
        <f>IF(C9=0,0,ROW()-ROW($B$8))</f>
        <v>1</v>
      </c>
      <c r="C9" s="12" t="s">
        <v>15</v>
      </c>
      <c r="D9" s="244" t="s">
        <v>352</v>
      </c>
      <c r="E9" s="13" t="s">
        <v>32</v>
      </c>
      <c r="F9" s="13" t="s">
        <v>213</v>
      </c>
      <c r="G9" s="13" t="s">
        <v>32</v>
      </c>
      <c r="H9" s="13" t="s">
        <v>32</v>
      </c>
      <c r="I9" s="13" t="s">
        <v>32</v>
      </c>
      <c r="J9" s="13" t="s">
        <v>32</v>
      </c>
      <c r="K9" s="13" t="s">
        <v>32</v>
      </c>
      <c r="L9" s="13" t="s">
        <v>32</v>
      </c>
      <c r="M9" s="13"/>
      <c r="N9" s="239"/>
      <c r="O9" s="13"/>
      <c r="P9" s="239"/>
      <c r="Q9" s="13" t="s">
        <v>350</v>
      </c>
      <c r="R9" s="273">
        <v>44279</v>
      </c>
      <c r="S9" s="272" t="s">
        <v>32</v>
      </c>
      <c r="T9" s="13" t="s">
        <v>32</v>
      </c>
      <c r="U9" s="13" t="s">
        <v>32</v>
      </c>
      <c r="V9" s="13" t="s">
        <v>32</v>
      </c>
      <c r="W9" s="13" t="s">
        <v>32</v>
      </c>
      <c r="X9" s="71" t="s">
        <v>32</v>
      </c>
    </row>
    <row r="10" spans="2:24" ht="94.5">
      <c r="B10" s="9">
        <f t="shared" ref="B10:B14" si="0">IF(C10=0,0,ROW()-ROW($B$8))</f>
        <v>2</v>
      </c>
      <c r="C10" s="241" t="s">
        <v>354</v>
      </c>
      <c r="D10" s="242" t="s">
        <v>356</v>
      </c>
      <c r="E10" s="13" t="s">
        <v>32</v>
      </c>
      <c r="F10" s="13" t="s">
        <v>213</v>
      </c>
      <c r="G10" s="13" t="s">
        <v>32</v>
      </c>
      <c r="H10" s="13" t="s">
        <v>32</v>
      </c>
      <c r="I10" s="13" t="s">
        <v>32</v>
      </c>
      <c r="J10" s="13" t="s">
        <v>32</v>
      </c>
      <c r="K10" s="13" t="s">
        <v>32</v>
      </c>
      <c r="L10" s="13" t="s">
        <v>32</v>
      </c>
      <c r="M10" s="1"/>
      <c r="N10" s="1"/>
      <c r="O10" s="1"/>
      <c r="P10" s="1"/>
      <c r="Q10" s="1" t="s">
        <v>355</v>
      </c>
      <c r="R10" s="274">
        <v>44491</v>
      </c>
      <c r="S10" s="272" t="s">
        <v>32</v>
      </c>
      <c r="T10" s="13" t="s">
        <v>32</v>
      </c>
      <c r="U10" s="13" t="s">
        <v>32</v>
      </c>
      <c r="V10" s="13" t="s">
        <v>32</v>
      </c>
      <c r="W10" s="13" t="s">
        <v>32</v>
      </c>
      <c r="X10" s="71" t="s">
        <v>32</v>
      </c>
    </row>
    <row r="11" spans="2:24" ht="67.5">
      <c r="B11" s="9">
        <f t="shared" si="0"/>
        <v>3</v>
      </c>
      <c r="C11" s="2" t="s">
        <v>359</v>
      </c>
      <c r="D11" s="242" t="s">
        <v>365</v>
      </c>
      <c r="E11" s="13" t="s">
        <v>32</v>
      </c>
      <c r="F11" s="1" t="s">
        <v>360</v>
      </c>
      <c r="G11" s="13" t="s">
        <v>32</v>
      </c>
      <c r="H11" s="13" t="s">
        <v>32</v>
      </c>
      <c r="I11" s="13" t="s">
        <v>32</v>
      </c>
      <c r="J11" s="13" t="s">
        <v>32</v>
      </c>
      <c r="K11" s="13" t="s">
        <v>32</v>
      </c>
      <c r="L11" s="13" t="s">
        <v>32</v>
      </c>
      <c r="M11" s="13" t="s">
        <v>32</v>
      </c>
      <c r="N11" s="13" t="s">
        <v>32</v>
      </c>
      <c r="O11" s="13" t="s">
        <v>32</v>
      </c>
      <c r="P11" s="13" t="s">
        <v>32</v>
      </c>
      <c r="Q11" s="13" t="s">
        <v>32</v>
      </c>
      <c r="R11" s="13" t="s">
        <v>32</v>
      </c>
      <c r="S11" s="13" t="s">
        <v>32</v>
      </c>
      <c r="T11" s="13" t="s">
        <v>32</v>
      </c>
      <c r="U11" s="13" t="s">
        <v>32</v>
      </c>
      <c r="V11" s="13" t="s">
        <v>32</v>
      </c>
      <c r="W11" s="1" t="s">
        <v>363</v>
      </c>
      <c r="X11" s="243">
        <v>45245</v>
      </c>
    </row>
    <row r="12" spans="2:24" ht="67.5">
      <c r="B12" s="9">
        <f t="shared" si="0"/>
        <v>4</v>
      </c>
      <c r="C12" s="2" t="s">
        <v>384</v>
      </c>
      <c r="D12" s="242" t="s">
        <v>385</v>
      </c>
      <c r="E12" s="13" t="s">
        <v>32</v>
      </c>
      <c r="F12" s="1" t="s">
        <v>386</v>
      </c>
      <c r="G12" s="13" t="s">
        <v>32</v>
      </c>
      <c r="H12" s="13" t="s">
        <v>32</v>
      </c>
      <c r="I12" s="13" t="s">
        <v>32</v>
      </c>
      <c r="J12" s="13" t="s">
        <v>32</v>
      </c>
      <c r="K12" s="13" t="s">
        <v>32</v>
      </c>
      <c r="L12" s="13" t="s">
        <v>32</v>
      </c>
      <c r="M12" s="13" t="s">
        <v>32</v>
      </c>
      <c r="N12" s="13" t="s">
        <v>32</v>
      </c>
      <c r="O12" s="13" t="s">
        <v>32</v>
      </c>
      <c r="P12" s="13" t="s">
        <v>32</v>
      </c>
      <c r="Q12" s="13" t="s">
        <v>32</v>
      </c>
      <c r="R12" s="13" t="s">
        <v>32</v>
      </c>
      <c r="S12" s="13" t="s">
        <v>32</v>
      </c>
      <c r="T12" s="13" t="s">
        <v>32</v>
      </c>
      <c r="U12" s="13" t="s">
        <v>32</v>
      </c>
      <c r="V12" s="13" t="s">
        <v>32</v>
      </c>
      <c r="W12" s="13" t="s">
        <v>387</v>
      </c>
      <c r="X12" s="243">
        <v>45387</v>
      </c>
    </row>
    <row r="13" spans="2:24" ht="94.5">
      <c r="B13" s="9">
        <f t="shared" ref="B13" si="1">IF(C13=0,0,ROW()-ROW($B$8))</f>
        <v>5</v>
      </c>
      <c r="C13" s="2" t="s">
        <v>389</v>
      </c>
      <c r="D13" s="242" t="s">
        <v>399</v>
      </c>
      <c r="E13" s="13" t="s">
        <v>32</v>
      </c>
      <c r="F13" s="1" t="s">
        <v>397</v>
      </c>
      <c r="G13" s="13" t="s">
        <v>32</v>
      </c>
      <c r="H13" s="13" t="s">
        <v>32</v>
      </c>
      <c r="I13" s="13" t="s">
        <v>32</v>
      </c>
      <c r="J13" s="13" t="s">
        <v>32</v>
      </c>
      <c r="K13" s="13" t="s">
        <v>32</v>
      </c>
      <c r="L13" s="13" t="s">
        <v>32</v>
      </c>
      <c r="M13" s="13" t="s">
        <v>32</v>
      </c>
      <c r="N13" s="13" t="s">
        <v>32</v>
      </c>
      <c r="O13" s="13" t="s">
        <v>32</v>
      </c>
      <c r="P13" s="13" t="s">
        <v>32</v>
      </c>
      <c r="Q13" s="13" t="s">
        <v>32</v>
      </c>
      <c r="R13" s="13" t="s">
        <v>32</v>
      </c>
      <c r="S13" s="13" t="s">
        <v>32</v>
      </c>
      <c r="T13" s="13" t="s">
        <v>32</v>
      </c>
      <c r="U13" s="13" t="s">
        <v>32</v>
      </c>
      <c r="V13" s="13" t="s">
        <v>32</v>
      </c>
      <c r="W13" s="13" t="s">
        <v>387</v>
      </c>
      <c r="X13" s="243">
        <v>45460</v>
      </c>
    </row>
    <row r="14" spans="2:24" ht="14.25" thickBot="1">
      <c r="B14" s="9">
        <f t="shared" si="0"/>
        <v>0</v>
      </c>
      <c r="C14" s="3"/>
      <c r="D14" s="4"/>
      <c r="E14" s="4"/>
      <c r="F14" s="4"/>
      <c r="G14" s="4"/>
      <c r="H14" s="4"/>
      <c r="I14" s="4"/>
      <c r="J14" s="4"/>
      <c r="K14" s="4"/>
      <c r="L14" s="4"/>
      <c r="M14" s="4"/>
      <c r="N14" s="4"/>
      <c r="O14" s="4"/>
      <c r="P14" s="4"/>
      <c r="Q14" s="4"/>
      <c r="R14" s="4"/>
      <c r="S14" s="4"/>
      <c r="T14" s="4"/>
      <c r="U14" s="4"/>
      <c r="V14" s="4"/>
      <c r="W14" s="4"/>
      <c r="X14"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4" t="s">
        <v>129</v>
      </c>
    </row>
    <row r="3" spans="2:5">
      <c r="C3" t="s">
        <v>139</v>
      </c>
    </row>
    <row r="6" spans="2:5" ht="14.25" thickBot="1">
      <c r="B6" s="154" t="s">
        <v>130</v>
      </c>
      <c r="C6" s="154"/>
    </row>
    <row r="7" spans="2:5" ht="14.25" thickBot="1">
      <c r="C7" s="75" t="s">
        <v>132</v>
      </c>
      <c r="D7" s="83"/>
      <c r="E7" s="76" t="s">
        <v>140</v>
      </c>
    </row>
    <row r="8" spans="2:5" ht="20.25" customHeight="1" thickTop="1">
      <c r="C8" s="158">
        <v>0</v>
      </c>
      <c r="D8" s="84" t="s">
        <v>141</v>
      </c>
      <c r="E8" s="157" t="s">
        <v>142</v>
      </c>
    </row>
    <row r="9" spans="2:5" ht="27">
      <c r="C9" s="164">
        <v>1</v>
      </c>
      <c r="D9" s="166" t="s">
        <v>163</v>
      </c>
      <c r="E9" s="165" t="s">
        <v>162</v>
      </c>
    </row>
    <row r="10" spans="2:5" ht="14.25" thickBot="1">
      <c r="C10" s="162"/>
      <c r="D10" s="86"/>
      <c r="E10" s="5"/>
    </row>
    <row r="11" spans="2:5">
      <c r="C11" s="160"/>
    </row>
    <row r="12" spans="2:5" ht="14.25" thickBot="1">
      <c r="B12" s="155" t="s">
        <v>131</v>
      </c>
      <c r="C12" s="82"/>
      <c r="D12" s="82"/>
    </row>
    <row r="13" spans="2:5" ht="14.25" thickBot="1">
      <c r="B13" s="156"/>
      <c r="C13" s="161" t="s">
        <v>132</v>
      </c>
      <c r="D13" s="83" t="s">
        <v>133</v>
      </c>
      <c r="E13" s="76" t="s">
        <v>134</v>
      </c>
    </row>
    <row r="14" spans="2:5" ht="14.25" thickTop="1">
      <c r="C14" s="158">
        <v>0</v>
      </c>
      <c r="D14" s="84" t="s">
        <v>147</v>
      </c>
      <c r="E14" s="163" t="s">
        <v>148</v>
      </c>
    </row>
    <row r="15" spans="2:5">
      <c r="C15" s="159">
        <v>1</v>
      </c>
      <c r="D15" s="85" t="s">
        <v>24</v>
      </c>
      <c r="E15" s="71" t="s">
        <v>135</v>
      </c>
    </row>
    <row r="16" spans="2:5">
      <c r="C16" s="159">
        <v>2</v>
      </c>
      <c r="D16" s="85" t="s">
        <v>25</v>
      </c>
      <c r="E16" s="71" t="s">
        <v>136</v>
      </c>
    </row>
    <row r="17" spans="2:5">
      <c r="C17" s="159">
        <v>3</v>
      </c>
      <c r="D17" s="85" t="s">
        <v>26</v>
      </c>
      <c r="E17" s="71" t="s">
        <v>137</v>
      </c>
    </row>
    <row r="18" spans="2:5">
      <c r="C18" s="159">
        <v>4</v>
      </c>
      <c r="D18" s="85" t="s">
        <v>27</v>
      </c>
      <c r="E18" s="71" t="s">
        <v>138</v>
      </c>
    </row>
    <row r="19" spans="2:5">
      <c r="C19" s="159">
        <v>5</v>
      </c>
      <c r="D19" s="85" t="s">
        <v>149</v>
      </c>
      <c r="E19" s="71" t="s">
        <v>151</v>
      </c>
    </row>
    <row r="20" spans="2:5">
      <c r="C20" s="159">
        <v>6</v>
      </c>
      <c r="D20" s="85" t="s">
        <v>156</v>
      </c>
      <c r="E20" s="71" t="s">
        <v>183</v>
      </c>
    </row>
    <row r="21" spans="2:5" ht="14.25" thickBot="1">
      <c r="C21" s="162"/>
      <c r="D21" s="86"/>
      <c r="E21" s="5"/>
    </row>
    <row r="24" spans="2:5" ht="14.25" thickBot="1">
      <c r="B24" s="154" t="s">
        <v>143</v>
      </c>
    </row>
    <row r="25" spans="2:5" ht="14.25" thickBot="1">
      <c r="C25" s="161" t="s">
        <v>132</v>
      </c>
      <c r="D25" s="83" t="s">
        <v>133</v>
      </c>
      <c r="E25" s="76" t="s">
        <v>134</v>
      </c>
    </row>
    <row r="26" spans="2:5" ht="30.75" customHeight="1" thickTop="1">
      <c r="C26" s="158">
        <v>0</v>
      </c>
      <c r="D26" s="84" t="s">
        <v>144</v>
      </c>
      <c r="E26" s="163" t="s">
        <v>153</v>
      </c>
    </row>
    <row r="27" spans="2:5" ht="120" customHeight="1">
      <c r="C27" s="159">
        <v>1</v>
      </c>
      <c r="D27" s="85" t="s">
        <v>186</v>
      </c>
      <c r="E27" s="87" t="s">
        <v>188</v>
      </c>
    </row>
    <row r="28" spans="2:5" ht="81" customHeight="1">
      <c r="C28" s="159">
        <v>2</v>
      </c>
      <c r="D28" s="85" t="s">
        <v>182</v>
      </c>
      <c r="E28" s="87" t="s">
        <v>193</v>
      </c>
    </row>
    <row r="29" spans="2:5" ht="45" customHeight="1">
      <c r="C29" s="159">
        <v>3</v>
      </c>
      <c r="D29" s="85" t="s">
        <v>150</v>
      </c>
      <c r="E29" s="87" t="s">
        <v>154</v>
      </c>
    </row>
    <row r="30" spans="2:5" ht="16.5" customHeight="1">
      <c r="C30" s="159">
        <v>4</v>
      </c>
      <c r="D30" s="85" t="s">
        <v>145</v>
      </c>
      <c r="E30" s="71" t="s">
        <v>161</v>
      </c>
    </row>
    <row r="31" spans="2:5" ht="16.5" customHeight="1">
      <c r="C31" s="159">
        <v>5</v>
      </c>
      <c r="D31" s="85" t="s">
        <v>146</v>
      </c>
      <c r="E31" s="71" t="s">
        <v>155</v>
      </c>
    </row>
    <row r="32" spans="2:5">
      <c r="C32" s="159"/>
      <c r="D32" s="85"/>
      <c r="E32" s="71"/>
    </row>
    <row r="33" spans="2:5">
      <c r="C33" s="159"/>
      <c r="D33" s="85"/>
      <c r="E33" s="71"/>
    </row>
    <row r="34" spans="2:5" ht="14.25" thickBot="1">
      <c r="C34" s="162"/>
      <c r="D34" s="86"/>
      <c r="E34" s="5"/>
    </row>
    <row r="37" spans="2:5" ht="14.25" thickBot="1">
      <c r="B37" s="154" t="s">
        <v>179</v>
      </c>
    </row>
    <row r="38" spans="2:5">
      <c r="C38" s="290"/>
      <c r="D38" s="291"/>
      <c r="E38" s="111" t="s">
        <v>119</v>
      </c>
    </row>
    <row r="39" spans="2:5" ht="14.25" thickBot="1">
      <c r="C39" s="292"/>
      <c r="D39" s="293"/>
      <c r="E39" s="5" t="s">
        <v>120</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4" t="s">
        <v>19</v>
      </c>
      <c r="C2" s="295"/>
      <c r="D2" s="300" t="s">
        <v>364</v>
      </c>
      <c r="E2" s="301"/>
      <c r="F2" s="301"/>
      <c r="G2" s="301"/>
      <c r="H2" s="302"/>
    </row>
    <row r="3" spans="2:14">
      <c r="B3" s="296" t="s">
        <v>117</v>
      </c>
      <c r="C3" s="297"/>
      <c r="D3" s="303" t="s">
        <v>398</v>
      </c>
      <c r="E3" s="304"/>
      <c r="F3" s="304"/>
      <c r="G3" s="304"/>
      <c r="H3" s="305"/>
    </row>
    <row r="4" spans="2:14" ht="14.25" thickBot="1">
      <c r="B4" s="298" t="s">
        <v>18</v>
      </c>
      <c r="C4" s="299"/>
      <c r="D4" s="306" t="str">
        <f ca="1">表紙!D3&amp;".c"</f>
        <v>alert_S_ISA-CSTD-1-00-A-C0.c</v>
      </c>
      <c r="E4" s="307"/>
      <c r="F4" s="307"/>
      <c r="G4" s="307"/>
      <c r="H4" s="30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4" t="s">
        <v>37</v>
      </c>
      <c r="C6" s="295"/>
      <c r="D6" s="309" t="str">
        <f ca="1">MID(D4, LEN("alert_") + 1, FIND("-",D4,1) - LEN("alert_") - 1)</f>
        <v>S_ISA</v>
      </c>
      <c r="E6" s="310"/>
      <c r="F6" s="310"/>
      <c r="G6" s="310"/>
      <c r="H6" s="311"/>
    </row>
    <row r="7" spans="2:14">
      <c r="B7" s="296" t="s">
        <v>38</v>
      </c>
      <c r="C7" s="297"/>
      <c r="D7" s="312">
        <f>COUNTA($D$13:$D$37)</f>
        <v>2</v>
      </c>
      <c r="E7" s="313"/>
      <c r="F7" s="313"/>
      <c r="G7" s="313"/>
      <c r="H7" s="314"/>
    </row>
    <row r="8" spans="2:14">
      <c r="B8" s="296" t="s">
        <v>96</v>
      </c>
      <c r="C8" s="297"/>
      <c r="D8" s="312" t="str">
        <f ca="1">"st_gp_ALERT_"&amp;UPPER(D6)&amp;"_MTRX"</f>
        <v>st_gp_ALERT_S_ISA_MTRX</v>
      </c>
      <c r="E8" s="313"/>
      <c r="F8" s="313"/>
      <c r="G8" s="313"/>
      <c r="H8" s="314"/>
    </row>
    <row r="9" spans="2:14">
      <c r="B9" s="296" t="s">
        <v>39</v>
      </c>
      <c r="C9" s="297"/>
      <c r="D9" s="315" t="s">
        <v>216</v>
      </c>
      <c r="E9" s="316"/>
      <c r="F9" s="316"/>
      <c r="G9" s="316"/>
      <c r="H9" s="317"/>
    </row>
    <row r="10" spans="2:14" ht="14.25" thickBot="1">
      <c r="B10" s="298" t="s">
        <v>45</v>
      </c>
      <c r="C10" s="299"/>
      <c r="D10" s="318"/>
      <c r="E10" s="319"/>
      <c r="F10" s="319"/>
      <c r="G10" s="319"/>
      <c r="H10" s="320"/>
    </row>
    <row r="11" spans="2:14" ht="14.25" thickBot="1"/>
    <row r="12" spans="2:14" ht="14.25" thickBot="1">
      <c r="B12" s="145" t="s">
        <v>35</v>
      </c>
      <c r="C12" s="101" t="s">
        <v>44</v>
      </c>
      <c r="D12" s="102" t="s">
        <v>36</v>
      </c>
      <c r="E12" s="102" t="s">
        <v>40</v>
      </c>
      <c r="F12" s="102" t="s">
        <v>41</v>
      </c>
      <c r="G12" s="102" t="s">
        <v>42</v>
      </c>
      <c r="H12" s="103" t="s">
        <v>43</v>
      </c>
      <c r="I12" s="150" t="s">
        <v>52</v>
      </c>
      <c r="K12" s="42" t="s">
        <v>46</v>
      </c>
      <c r="L12" s="42" t="s">
        <v>39</v>
      </c>
      <c r="M12" t="s">
        <v>88</v>
      </c>
    </row>
    <row r="13" spans="2:14" ht="14.25" thickTop="1">
      <c r="B13" s="104">
        <v>1</v>
      </c>
      <c r="C13" s="109" t="s">
        <v>316</v>
      </c>
      <c r="D13" s="110" t="s">
        <v>49</v>
      </c>
      <c r="E13" s="110" t="s">
        <v>178</v>
      </c>
      <c r="F13" s="48" t="str">
        <f t="shared" ref="F13:F37" ca="1" si="0">IF($D13&lt;&gt;"","u4_s_Alert"&amp;UPPER(LEFT($D$6,1))&amp;LOWER(MID($D$6,2,100))&amp;IF($D$7=1,"",N13)&amp;"Srcchk","")</f>
        <v>u4_s_AlertS_isaTtSrcchk</v>
      </c>
      <c r="G13" s="48" t="str">
        <f t="shared" ref="G13:G37" si="1">IF($D13&lt;&gt;"",IF($E13="○","vd_s_Alert"&amp;UPPER(LEFT($D$6,1))&amp;LOWER(MID($D$6,2,100))&amp;IF($D$7=1,"",N13)&amp;"RwTx","NULL"),"")</f>
        <v>NULL</v>
      </c>
      <c r="H13" s="108" t="str">
        <f ca="1">IF($D13&lt;&gt;"","ALERT_CH_"&amp;UPPER($D$6)&amp;IF($D$7=1,"","_"&amp;UPPER($C13)),"")</f>
        <v>ALERT_CH_S_ISA_TT</v>
      </c>
      <c r="I13" s="151" t="str">
        <f ca="1">IF($D13&lt;&gt;"","ALERT_REQ_"&amp;UPPER($D$6)&amp;IF($D$7=1,"","_"&amp;UPPER($C13)),"")</f>
        <v>ALERT_REQ_S_ISA_TT</v>
      </c>
      <c r="K13" t="s">
        <v>47</v>
      </c>
      <c r="L13" t="s">
        <v>51</v>
      </c>
      <c r="M13" t="e">
        <f t="shared" ref="M13:M37" si="2">FIND("_",C13,1)</f>
        <v>#VALUE!</v>
      </c>
      <c r="N13" t="str">
        <f t="shared" ref="N13:N37" si="3">IF(IFERROR(M13,0),UPPER(LEFT(C13,1))&amp;LOWER(MID(C13,2,M13-2))&amp;UPPER(MID(C13,M13+1,1))&amp;LOWER(MID(C13,M13+2,100)),UPPER(LEFT(C13,1))&amp;LOWER(MID(C13,2,100)))</f>
        <v>Tt</v>
      </c>
    </row>
    <row r="14" spans="2:14">
      <c r="B14" s="94">
        <v>2</v>
      </c>
      <c r="C14" s="148" t="s">
        <v>317</v>
      </c>
      <c r="D14" s="149" t="s">
        <v>49</v>
      </c>
      <c r="E14" s="149" t="s">
        <v>368</v>
      </c>
      <c r="F14" s="43" t="str">
        <f t="shared" ca="1" si="0"/>
        <v>u4_s_AlertS_isaPdSrcchk</v>
      </c>
      <c r="G14" s="43" t="str">
        <f t="shared" ca="1" si="1"/>
        <v>vd_s_AlertS_isaPdRwTx</v>
      </c>
      <c r="H14" s="64" t="str">
        <f t="shared" ref="H14:H37" ca="1" si="4">IF($D14&lt;&gt;"","ALERT_CH_"&amp;UPPER($D$6)&amp;IF($D$7=1,"","_"&amp;UPPER($C14)),"")</f>
        <v>ALERT_CH_S_ISA_PD</v>
      </c>
      <c r="I14" s="152" t="str">
        <f t="shared" ref="I14:I37" ca="1" si="5">IF($D14&lt;&gt;"","ALERT_REQ_"&amp;UPPER($D$6)&amp;IF($D$7=1,"","_"&amp;UPPER($C14)),"")</f>
        <v>ALERT_REQ_S_ISA_PD</v>
      </c>
      <c r="K14" t="s">
        <v>48</v>
      </c>
      <c r="L14" t="str">
        <f ca="1">"vd_g_Alert"&amp;UPPER(LEFT(D6,1))&amp;LOWER(MID(D6,2,100))&amp;"Init"</f>
        <v>vd_g_AlertS_isaInit</v>
      </c>
      <c r="M14" t="e">
        <f t="shared" si="2"/>
        <v>#VALUE!</v>
      </c>
      <c r="N14" t="str">
        <f t="shared" si="3"/>
        <v>Pd</v>
      </c>
    </row>
    <row r="15" spans="2:14">
      <c r="B15" s="94">
        <v>3</v>
      </c>
      <c r="C15" s="148"/>
      <c r="D15" s="149"/>
      <c r="E15" s="149"/>
      <c r="F15" s="43" t="str">
        <f t="shared" si="0"/>
        <v/>
      </c>
      <c r="G15" s="43" t="str">
        <f t="shared" si="1"/>
        <v/>
      </c>
      <c r="H15" s="64" t="str">
        <f t="shared" si="4"/>
        <v/>
      </c>
      <c r="I15" s="152" t="str">
        <f t="shared" si="5"/>
        <v/>
      </c>
      <c r="K15" t="s">
        <v>121</v>
      </c>
      <c r="M15" t="e">
        <f t="shared" si="2"/>
        <v>#VALUE!</v>
      </c>
      <c r="N15" t="str">
        <f t="shared" si="3"/>
        <v/>
      </c>
    </row>
    <row r="16" spans="2:14">
      <c r="B16" s="94">
        <v>4</v>
      </c>
      <c r="C16" s="148"/>
      <c r="D16" s="149"/>
      <c r="E16" s="149"/>
      <c r="F16" s="43" t="str">
        <f t="shared" si="0"/>
        <v/>
      </c>
      <c r="G16" s="43" t="str">
        <f t="shared" si="1"/>
        <v/>
      </c>
      <c r="H16" s="64" t="str">
        <f t="shared" si="4"/>
        <v/>
      </c>
      <c r="I16" s="152" t="str">
        <f t="shared" si="5"/>
        <v/>
      </c>
      <c r="K16" t="s">
        <v>122</v>
      </c>
      <c r="M16" t="e">
        <f t="shared" si="2"/>
        <v>#VALUE!</v>
      </c>
      <c r="N16" t="str">
        <f t="shared" si="3"/>
        <v/>
      </c>
    </row>
    <row r="17" spans="2:14">
      <c r="B17" s="94">
        <v>5</v>
      </c>
      <c r="C17" s="148"/>
      <c r="D17" s="149"/>
      <c r="E17" s="149"/>
      <c r="F17" s="43" t="str">
        <f t="shared" si="0"/>
        <v/>
      </c>
      <c r="G17" s="43" t="str">
        <f t="shared" si="1"/>
        <v/>
      </c>
      <c r="H17" s="64" t="str">
        <f t="shared" si="4"/>
        <v/>
      </c>
      <c r="I17" s="152" t="str">
        <f t="shared" si="5"/>
        <v/>
      </c>
      <c r="K17" t="s">
        <v>49</v>
      </c>
      <c r="M17" t="e">
        <f t="shared" si="2"/>
        <v>#VALUE!</v>
      </c>
      <c r="N17" t="str">
        <f t="shared" si="3"/>
        <v/>
      </c>
    </row>
    <row r="18" spans="2:14">
      <c r="B18" s="94">
        <v>6</v>
      </c>
      <c r="C18" s="148"/>
      <c r="D18" s="149"/>
      <c r="E18" s="149"/>
      <c r="F18" s="43" t="str">
        <f t="shared" si="0"/>
        <v/>
      </c>
      <c r="G18" s="43" t="str">
        <f t="shared" si="1"/>
        <v/>
      </c>
      <c r="H18" s="64" t="str">
        <f t="shared" si="4"/>
        <v/>
      </c>
      <c r="I18" s="152" t="str">
        <f t="shared" si="5"/>
        <v/>
      </c>
      <c r="K18" t="s">
        <v>50</v>
      </c>
      <c r="M18" t="e">
        <f t="shared" si="2"/>
        <v>#VALUE!</v>
      </c>
      <c r="N18" t="str">
        <f t="shared" si="3"/>
        <v/>
      </c>
    </row>
    <row r="19" spans="2:14">
      <c r="B19" s="94">
        <v>7</v>
      </c>
      <c r="C19" s="148"/>
      <c r="D19" s="149"/>
      <c r="E19" s="149"/>
      <c r="F19" s="43" t="str">
        <f t="shared" si="0"/>
        <v/>
      </c>
      <c r="G19" s="43" t="str">
        <f t="shared" si="1"/>
        <v/>
      </c>
      <c r="H19" s="64" t="str">
        <f t="shared" si="4"/>
        <v/>
      </c>
      <c r="I19" s="152" t="str">
        <f t="shared" si="5"/>
        <v/>
      </c>
      <c r="K19" t="s">
        <v>50</v>
      </c>
      <c r="M19" t="e">
        <f t="shared" si="2"/>
        <v>#VALUE!</v>
      </c>
      <c r="N19" t="str">
        <f t="shared" si="3"/>
        <v/>
      </c>
    </row>
    <row r="20" spans="2:14">
      <c r="B20" s="94">
        <v>8</v>
      </c>
      <c r="C20" s="148"/>
      <c r="D20" s="149"/>
      <c r="E20" s="149"/>
      <c r="F20" s="43" t="str">
        <f t="shared" si="0"/>
        <v/>
      </c>
      <c r="G20" s="43" t="str">
        <f t="shared" si="1"/>
        <v/>
      </c>
      <c r="H20" s="64" t="str">
        <f t="shared" si="4"/>
        <v/>
      </c>
      <c r="I20" s="152" t="str">
        <f t="shared" si="5"/>
        <v/>
      </c>
      <c r="K20" t="s">
        <v>50</v>
      </c>
      <c r="M20" t="e">
        <f t="shared" si="2"/>
        <v>#VALUE!</v>
      </c>
      <c r="N20" t="str">
        <f t="shared" si="3"/>
        <v/>
      </c>
    </row>
    <row r="21" spans="2:14">
      <c r="B21" s="94">
        <v>9</v>
      </c>
      <c r="C21" s="148"/>
      <c r="D21" s="149"/>
      <c r="E21" s="149"/>
      <c r="F21" s="43" t="str">
        <f t="shared" si="0"/>
        <v/>
      </c>
      <c r="G21" s="43" t="str">
        <f t="shared" si="1"/>
        <v/>
      </c>
      <c r="H21" s="64" t="str">
        <f t="shared" si="4"/>
        <v/>
      </c>
      <c r="I21" s="152" t="str">
        <f t="shared" si="5"/>
        <v/>
      </c>
      <c r="K21" t="s">
        <v>50</v>
      </c>
      <c r="M21" t="e">
        <f t="shared" si="2"/>
        <v>#VALUE!</v>
      </c>
      <c r="N21" t="str">
        <f t="shared" si="3"/>
        <v/>
      </c>
    </row>
    <row r="22" spans="2:14">
      <c r="B22" s="94">
        <v>10</v>
      </c>
      <c r="C22" s="148"/>
      <c r="D22" s="149"/>
      <c r="E22" s="149"/>
      <c r="F22" s="43" t="str">
        <f t="shared" si="0"/>
        <v/>
      </c>
      <c r="G22" s="43" t="str">
        <f t="shared" si="1"/>
        <v/>
      </c>
      <c r="H22" s="64" t="str">
        <f t="shared" si="4"/>
        <v/>
      </c>
      <c r="I22" s="152" t="str">
        <f t="shared" si="5"/>
        <v/>
      </c>
      <c r="K22" t="s">
        <v>50</v>
      </c>
      <c r="M22" t="e">
        <f t="shared" si="2"/>
        <v>#VALUE!</v>
      </c>
      <c r="N22" t="str">
        <f t="shared" si="3"/>
        <v/>
      </c>
    </row>
    <row r="23" spans="2:14">
      <c r="B23" s="94">
        <v>11</v>
      </c>
      <c r="C23" s="148"/>
      <c r="D23" s="149"/>
      <c r="E23" s="149"/>
      <c r="F23" s="43" t="str">
        <f t="shared" si="0"/>
        <v/>
      </c>
      <c r="G23" s="43" t="str">
        <f t="shared" si="1"/>
        <v/>
      </c>
      <c r="H23" s="64" t="str">
        <f t="shared" si="4"/>
        <v/>
      </c>
      <c r="I23" s="152" t="str">
        <f t="shared" si="5"/>
        <v/>
      </c>
      <c r="K23" t="s">
        <v>50</v>
      </c>
      <c r="M23" t="e">
        <f t="shared" si="2"/>
        <v>#VALUE!</v>
      </c>
      <c r="N23" t="str">
        <f t="shared" si="3"/>
        <v/>
      </c>
    </row>
    <row r="24" spans="2:14">
      <c r="B24" s="94">
        <v>12</v>
      </c>
      <c r="C24" s="148"/>
      <c r="D24" s="149"/>
      <c r="E24" s="149"/>
      <c r="F24" s="43" t="str">
        <f t="shared" si="0"/>
        <v/>
      </c>
      <c r="G24" s="43" t="str">
        <f t="shared" si="1"/>
        <v/>
      </c>
      <c r="H24" s="64" t="str">
        <f t="shared" si="4"/>
        <v/>
      </c>
      <c r="I24" s="152" t="str">
        <f t="shared" si="5"/>
        <v/>
      </c>
      <c r="K24" t="s">
        <v>50</v>
      </c>
      <c r="M24" t="e">
        <f t="shared" si="2"/>
        <v>#VALUE!</v>
      </c>
      <c r="N24" t="str">
        <f t="shared" si="3"/>
        <v/>
      </c>
    </row>
    <row r="25" spans="2:14">
      <c r="B25" s="94">
        <v>13</v>
      </c>
      <c r="C25" s="148"/>
      <c r="D25" s="149"/>
      <c r="E25" s="149"/>
      <c r="F25" s="43" t="str">
        <f t="shared" si="0"/>
        <v/>
      </c>
      <c r="G25" s="43" t="str">
        <f t="shared" si="1"/>
        <v/>
      </c>
      <c r="H25" s="64" t="str">
        <f t="shared" si="4"/>
        <v/>
      </c>
      <c r="I25" s="152" t="str">
        <f t="shared" si="5"/>
        <v/>
      </c>
      <c r="K25" t="s">
        <v>50</v>
      </c>
      <c r="M25" t="e">
        <f t="shared" si="2"/>
        <v>#VALUE!</v>
      </c>
      <c r="N25" t="str">
        <f t="shared" si="3"/>
        <v/>
      </c>
    </row>
    <row r="26" spans="2:14">
      <c r="B26" s="94">
        <v>14</v>
      </c>
      <c r="C26" s="148"/>
      <c r="D26" s="149"/>
      <c r="E26" s="149"/>
      <c r="F26" s="43" t="str">
        <f t="shared" si="0"/>
        <v/>
      </c>
      <c r="G26" s="43" t="str">
        <f t="shared" si="1"/>
        <v/>
      </c>
      <c r="H26" s="64" t="str">
        <f t="shared" si="4"/>
        <v/>
      </c>
      <c r="I26" s="152" t="str">
        <f t="shared" si="5"/>
        <v/>
      </c>
      <c r="K26" t="s">
        <v>50</v>
      </c>
      <c r="M26" t="e">
        <f t="shared" si="2"/>
        <v>#VALUE!</v>
      </c>
      <c r="N26" t="str">
        <f t="shared" si="3"/>
        <v/>
      </c>
    </row>
    <row r="27" spans="2:14">
      <c r="B27" s="94">
        <v>15</v>
      </c>
      <c r="C27" s="148"/>
      <c r="D27" s="149"/>
      <c r="E27" s="149"/>
      <c r="F27" s="43" t="str">
        <f t="shared" si="0"/>
        <v/>
      </c>
      <c r="G27" s="43" t="str">
        <f t="shared" si="1"/>
        <v/>
      </c>
      <c r="H27" s="64" t="str">
        <f t="shared" si="4"/>
        <v/>
      </c>
      <c r="I27" s="152" t="str">
        <f t="shared" si="5"/>
        <v/>
      </c>
      <c r="K27" t="s">
        <v>50</v>
      </c>
      <c r="M27" t="e">
        <f t="shared" si="2"/>
        <v>#VALUE!</v>
      </c>
      <c r="N27" t="str">
        <f t="shared" si="3"/>
        <v/>
      </c>
    </row>
    <row r="28" spans="2:14">
      <c r="B28" s="94">
        <v>16</v>
      </c>
      <c r="C28" s="148"/>
      <c r="D28" s="149"/>
      <c r="E28" s="149"/>
      <c r="F28" s="43" t="str">
        <f t="shared" si="0"/>
        <v/>
      </c>
      <c r="G28" s="43" t="str">
        <f t="shared" si="1"/>
        <v/>
      </c>
      <c r="H28" s="64" t="str">
        <f t="shared" si="4"/>
        <v/>
      </c>
      <c r="I28" s="152" t="str">
        <f t="shared" si="5"/>
        <v/>
      </c>
      <c r="K28" t="s">
        <v>50</v>
      </c>
      <c r="M28" t="e">
        <f t="shared" si="2"/>
        <v>#VALUE!</v>
      </c>
      <c r="N28" t="str">
        <f t="shared" si="3"/>
        <v/>
      </c>
    </row>
    <row r="29" spans="2:14">
      <c r="B29" s="94">
        <v>17</v>
      </c>
      <c r="C29" s="148"/>
      <c r="D29" s="149"/>
      <c r="E29" s="149"/>
      <c r="F29" s="43" t="str">
        <f t="shared" si="0"/>
        <v/>
      </c>
      <c r="G29" s="43" t="str">
        <f t="shared" si="1"/>
        <v/>
      </c>
      <c r="H29" s="64" t="str">
        <f t="shared" si="4"/>
        <v/>
      </c>
      <c r="I29" s="152" t="str">
        <f t="shared" si="5"/>
        <v/>
      </c>
      <c r="K29" t="s">
        <v>50</v>
      </c>
      <c r="M29" t="e">
        <f t="shared" si="2"/>
        <v>#VALUE!</v>
      </c>
      <c r="N29" t="str">
        <f t="shared" si="3"/>
        <v/>
      </c>
    </row>
    <row r="30" spans="2:14">
      <c r="B30" s="94">
        <v>18</v>
      </c>
      <c r="C30" s="148"/>
      <c r="D30" s="149"/>
      <c r="E30" s="149"/>
      <c r="F30" s="43" t="str">
        <f t="shared" si="0"/>
        <v/>
      </c>
      <c r="G30" s="43" t="str">
        <f t="shared" si="1"/>
        <v/>
      </c>
      <c r="H30" s="64" t="str">
        <f t="shared" si="4"/>
        <v/>
      </c>
      <c r="I30" s="152" t="str">
        <f t="shared" si="5"/>
        <v/>
      </c>
      <c r="K30" t="s">
        <v>50</v>
      </c>
      <c r="M30" t="e">
        <f t="shared" si="2"/>
        <v>#VALUE!</v>
      </c>
      <c r="N30" t="str">
        <f t="shared" si="3"/>
        <v/>
      </c>
    </row>
    <row r="31" spans="2:14">
      <c r="B31" s="94">
        <v>19</v>
      </c>
      <c r="C31" s="148"/>
      <c r="D31" s="149"/>
      <c r="E31" s="149"/>
      <c r="F31" s="43" t="str">
        <f t="shared" si="0"/>
        <v/>
      </c>
      <c r="G31" s="43" t="str">
        <f t="shared" si="1"/>
        <v/>
      </c>
      <c r="H31" s="64" t="str">
        <f t="shared" si="4"/>
        <v/>
      </c>
      <c r="I31" s="152" t="str">
        <f t="shared" si="5"/>
        <v/>
      </c>
      <c r="K31" t="s">
        <v>50</v>
      </c>
      <c r="M31" t="e">
        <f t="shared" si="2"/>
        <v>#VALUE!</v>
      </c>
      <c r="N31" t="str">
        <f t="shared" si="3"/>
        <v/>
      </c>
    </row>
    <row r="32" spans="2:14">
      <c r="B32" s="94">
        <v>20</v>
      </c>
      <c r="C32" s="148"/>
      <c r="D32" s="149"/>
      <c r="E32" s="149"/>
      <c r="F32" s="43" t="str">
        <f t="shared" si="0"/>
        <v/>
      </c>
      <c r="G32" s="43" t="str">
        <f t="shared" si="1"/>
        <v/>
      </c>
      <c r="H32" s="64" t="str">
        <f t="shared" si="4"/>
        <v/>
      </c>
      <c r="I32" s="152" t="str">
        <f t="shared" si="5"/>
        <v/>
      </c>
      <c r="K32" t="s">
        <v>50</v>
      </c>
      <c r="M32" t="e">
        <f t="shared" si="2"/>
        <v>#VALUE!</v>
      </c>
      <c r="N32" t="str">
        <f t="shared" si="3"/>
        <v/>
      </c>
    </row>
    <row r="33" spans="2:14">
      <c r="B33" s="94">
        <v>21</v>
      </c>
      <c r="C33" s="148"/>
      <c r="D33" s="149"/>
      <c r="E33" s="149"/>
      <c r="F33" s="43" t="str">
        <f t="shared" si="0"/>
        <v/>
      </c>
      <c r="G33" s="43" t="str">
        <f t="shared" si="1"/>
        <v/>
      </c>
      <c r="H33" s="64" t="str">
        <f t="shared" si="4"/>
        <v/>
      </c>
      <c r="I33" s="152" t="str">
        <f t="shared" si="5"/>
        <v/>
      </c>
      <c r="K33" t="s">
        <v>50</v>
      </c>
      <c r="M33" t="e">
        <f t="shared" si="2"/>
        <v>#VALUE!</v>
      </c>
      <c r="N33" t="str">
        <f t="shared" si="3"/>
        <v/>
      </c>
    </row>
    <row r="34" spans="2:14">
      <c r="B34" s="94">
        <v>22</v>
      </c>
      <c r="C34" s="148"/>
      <c r="D34" s="149"/>
      <c r="E34" s="149"/>
      <c r="F34" s="43" t="str">
        <f t="shared" si="0"/>
        <v/>
      </c>
      <c r="G34" s="43" t="str">
        <f t="shared" si="1"/>
        <v/>
      </c>
      <c r="H34" s="64" t="str">
        <f t="shared" si="4"/>
        <v/>
      </c>
      <c r="I34" s="152" t="str">
        <f t="shared" si="5"/>
        <v/>
      </c>
      <c r="K34" t="s">
        <v>50</v>
      </c>
      <c r="M34" t="e">
        <f t="shared" si="2"/>
        <v>#VALUE!</v>
      </c>
      <c r="N34" t="str">
        <f t="shared" si="3"/>
        <v/>
      </c>
    </row>
    <row r="35" spans="2:14">
      <c r="B35" s="94">
        <v>23</v>
      </c>
      <c r="C35" s="148"/>
      <c r="D35" s="149"/>
      <c r="E35" s="149"/>
      <c r="F35" s="43" t="str">
        <f t="shared" si="0"/>
        <v/>
      </c>
      <c r="G35" s="43" t="str">
        <f t="shared" si="1"/>
        <v/>
      </c>
      <c r="H35" s="64" t="str">
        <f t="shared" si="4"/>
        <v/>
      </c>
      <c r="I35" s="152" t="str">
        <f t="shared" si="5"/>
        <v/>
      </c>
      <c r="K35" t="s">
        <v>50</v>
      </c>
      <c r="M35" t="e">
        <f t="shared" si="2"/>
        <v>#VALUE!</v>
      </c>
      <c r="N35" t="str">
        <f t="shared" si="3"/>
        <v/>
      </c>
    </row>
    <row r="36" spans="2:14">
      <c r="B36" s="94">
        <v>24</v>
      </c>
      <c r="C36" s="148"/>
      <c r="D36" s="149"/>
      <c r="E36" s="149"/>
      <c r="F36" s="43" t="str">
        <f t="shared" si="0"/>
        <v/>
      </c>
      <c r="G36" s="43" t="str">
        <f t="shared" si="1"/>
        <v/>
      </c>
      <c r="H36" s="64" t="str">
        <f t="shared" si="4"/>
        <v/>
      </c>
      <c r="I36" s="152" t="str">
        <f t="shared" si="5"/>
        <v/>
      </c>
      <c r="K36" t="s">
        <v>50</v>
      </c>
      <c r="M36" t="e">
        <f t="shared" si="2"/>
        <v>#VALUE!</v>
      </c>
      <c r="N36" t="str">
        <f t="shared" si="3"/>
        <v/>
      </c>
    </row>
    <row r="37" spans="2:14" ht="14.25" thickBot="1">
      <c r="B37" s="95">
        <v>25</v>
      </c>
      <c r="C37" s="146"/>
      <c r="D37" s="147"/>
      <c r="E37" s="147"/>
      <c r="F37" s="51" t="str">
        <f t="shared" si="0"/>
        <v/>
      </c>
      <c r="G37" s="51" t="str">
        <f t="shared" si="1"/>
        <v/>
      </c>
      <c r="H37" s="65" t="str">
        <f t="shared" si="4"/>
        <v/>
      </c>
      <c r="I37" s="153"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34" priority="4">
      <formula>14&lt;LEN($D$6)+LEN($C13)</formula>
    </cfRule>
  </conditionalFormatting>
  <conditionalFormatting sqref="D6">
    <cfRule type="expression" dxfId="33" priority="3">
      <formula>14 &lt; LEN($D$6)</formula>
    </cfRule>
  </conditionalFormatting>
  <conditionalFormatting sqref="D5">
    <cfRule type="containsText" dxfId="32"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205</v>
      </c>
      <c r="O2" t="s">
        <v>207</v>
      </c>
    </row>
    <row r="3" spans="2:18" ht="14.25" thickBot="1">
      <c r="B3" s="145" t="s">
        <v>35</v>
      </c>
      <c r="C3" s="102" t="s">
        <v>195</v>
      </c>
      <c r="D3" s="102" t="s">
        <v>201</v>
      </c>
      <c r="E3" s="103" t="s">
        <v>202</v>
      </c>
      <c r="F3" s="188" t="s">
        <v>197</v>
      </c>
      <c r="G3" s="185" t="s">
        <v>210</v>
      </c>
      <c r="H3" s="42"/>
      <c r="I3" s="42"/>
      <c r="J3" s="42"/>
      <c r="K3" s="42"/>
      <c r="L3" s="42"/>
      <c r="M3" s="42"/>
      <c r="O3" s="145" t="s">
        <v>35</v>
      </c>
      <c r="P3" s="184" t="s">
        <v>191</v>
      </c>
      <c r="Q3" s="184" t="s">
        <v>204</v>
      </c>
      <c r="R3" s="185" t="s">
        <v>197</v>
      </c>
    </row>
    <row r="4" spans="2:18" ht="14.25" hidden="1" thickTop="1">
      <c r="B4" s="176">
        <v>0</v>
      </c>
      <c r="C4" s="177" t="s">
        <v>180</v>
      </c>
      <c r="D4" s="177"/>
      <c r="E4" s="178"/>
      <c r="F4" s="189"/>
      <c r="G4" s="190"/>
      <c r="H4" s="42"/>
      <c r="I4" s="42"/>
      <c r="J4" s="42"/>
      <c r="K4" s="42"/>
      <c r="L4" s="42"/>
      <c r="M4" s="42"/>
      <c r="O4" s="186">
        <v>0</v>
      </c>
      <c r="P4" s="183" t="s">
        <v>180</v>
      </c>
      <c r="Q4" s="183" t="s">
        <v>180</v>
      </c>
      <c r="R4" s="140"/>
    </row>
    <row r="5" spans="2:18" ht="14.25" thickTop="1">
      <c r="B5" s="179">
        <v>1</v>
      </c>
      <c r="C5" s="149"/>
      <c r="D5" s="23"/>
      <c r="E5" s="64" t="str">
        <f>IF($C5&lt;&gt;"","ALERT_" &amp; D5 &amp; "_ID_"&amp;UPPER(Matrix!$D$6) &amp; "_" &amp; $C5,"")</f>
        <v/>
      </c>
      <c r="F5" s="115"/>
      <c r="G5" s="64" t="str">
        <f>IF(E5&lt;&gt;"",LEN(E5),"")</f>
        <v/>
      </c>
      <c r="O5" s="179">
        <v>1</v>
      </c>
      <c r="P5" s="149"/>
      <c r="Q5" s="149"/>
      <c r="R5" s="116"/>
    </row>
    <row r="6" spans="2:18">
      <c r="B6" s="179">
        <v>2</v>
      </c>
      <c r="C6" s="149"/>
      <c r="D6" s="23"/>
      <c r="E6" s="64" t="str">
        <f>IF($C6&lt;&gt;"","ALERT_" &amp; D6 &amp; "_ID_"&amp;UPPER(Matrix!$D$6) &amp; "_" &amp; $C6,"")</f>
        <v/>
      </c>
      <c r="F6" s="115"/>
      <c r="G6" s="64" t="str">
        <f t="shared" ref="G6:G29" si="0">IF(E6&lt;&gt;"",LEN(E6),"")</f>
        <v/>
      </c>
      <c r="O6" s="179">
        <v>2</v>
      </c>
      <c r="P6" s="149"/>
      <c r="Q6" s="149"/>
      <c r="R6" s="116"/>
    </row>
    <row r="7" spans="2:18">
      <c r="B7" s="179">
        <v>3</v>
      </c>
      <c r="C7" s="149"/>
      <c r="D7" s="23"/>
      <c r="E7" s="64" t="str">
        <f>IF($C7&lt;&gt;"","ALERT_" &amp; D7 &amp; "_ID_"&amp;UPPER(Matrix!$D$6) &amp; "_" &amp; $C7,"")</f>
        <v/>
      </c>
      <c r="F7" s="115"/>
      <c r="G7" s="64" t="str">
        <f t="shared" si="0"/>
        <v/>
      </c>
      <c r="O7" s="179">
        <v>3</v>
      </c>
      <c r="P7" s="149"/>
      <c r="Q7" s="149"/>
      <c r="R7" s="116"/>
    </row>
    <row r="8" spans="2:18">
      <c r="B8" s="179">
        <v>4</v>
      </c>
      <c r="C8" s="149"/>
      <c r="D8" s="23"/>
      <c r="E8" s="64" t="str">
        <f>IF($C8&lt;&gt;"","ALERT_" &amp; D8 &amp; "_ID_"&amp;UPPER(Matrix!$D$6) &amp; "_" &amp; $C8,"")</f>
        <v/>
      </c>
      <c r="F8" s="115"/>
      <c r="G8" s="64" t="str">
        <f t="shared" si="0"/>
        <v/>
      </c>
      <c r="O8" s="179">
        <v>4</v>
      </c>
      <c r="P8" s="149"/>
      <c r="Q8" s="149"/>
      <c r="R8" s="116"/>
    </row>
    <row r="9" spans="2:18">
      <c r="B9" s="179">
        <v>5</v>
      </c>
      <c r="C9" s="149"/>
      <c r="D9" s="23"/>
      <c r="E9" s="64" t="str">
        <f>IF($C9&lt;&gt;"","ALERT_" &amp; D9 &amp; "_ID_"&amp;UPPER(Matrix!$D$6) &amp; "_" &amp; $C9,"")</f>
        <v/>
      </c>
      <c r="F9" s="115"/>
      <c r="G9" s="64" t="str">
        <f t="shared" si="0"/>
        <v/>
      </c>
      <c r="O9" s="179">
        <v>5</v>
      </c>
      <c r="P9" s="149"/>
      <c r="Q9" s="149"/>
      <c r="R9" s="116"/>
    </row>
    <row r="10" spans="2:18">
      <c r="B10" s="179">
        <v>6</v>
      </c>
      <c r="C10" s="149"/>
      <c r="D10" s="23"/>
      <c r="E10" s="64" t="str">
        <f>IF($C10&lt;&gt;"","ALERT_" &amp; D10 &amp; "_ID_"&amp;UPPER(Matrix!$D$6) &amp; "_" &amp; $C10,"")</f>
        <v/>
      </c>
      <c r="F10" s="115"/>
      <c r="G10" s="64" t="str">
        <f t="shared" si="0"/>
        <v/>
      </c>
      <c r="O10" s="179">
        <v>6</v>
      </c>
      <c r="P10" s="149"/>
      <c r="Q10" s="149"/>
      <c r="R10" s="116"/>
    </row>
    <row r="11" spans="2:18">
      <c r="B11" s="179">
        <v>7</v>
      </c>
      <c r="C11" s="149"/>
      <c r="D11" s="23"/>
      <c r="E11" s="64" t="str">
        <f>IF($C11&lt;&gt;"","ALERT_" &amp; D11 &amp; "_ID_"&amp;UPPER(Matrix!$D$6) &amp; "_" &amp; $C11,"")</f>
        <v/>
      </c>
      <c r="F11" s="115"/>
      <c r="G11" s="64" t="str">
        <f t="shared" si="0"/>
        <v/>
      </c>
      <c r="O11" s="179">
        <v>7</v>
      </c>
      <c r="P11" s="149"/>
      <c r="Q11" s="149"/>
      <c r="R11" s="116"/>
    </row>
    <row r="12" spans="2:18">
      <c r="B12" s="179">
        <v>8</v>
      </c>
      <c r="C12" s="149"/>
      <c r="D12" s="23"/>
      <c r="E12" s="64" t="str">
        <f>IF($C12&lt;&gt;"","ALERT_" &amp; D12 &amp; "_ID_"&amp;UPPER(Matrix!$D$6) &amp; "_" &amp; $C12,"")</f>
        <v/>
      </c>
      <c r="F12" s="115"/>
      <c r="G12" s="64" t="str">
        <f t="shared" si="0"/>
        <v/>
      </c>
      <c r="O12" s="179">
        <v>8</v>
      </c>
      <c r="P12" s="149"/>
      <c r="Q12" s="149"/>
      <c r="R12" s="116"/>
    </row>
    <row r="13" spans="2:18">
      <c r="B13" s="179">
        <v>9</v>
      </c>
      <c r="C13" s="149"/>
      <c r="D13" s="23"/>
      <c r="E13" s="64" t="str">
        <f>IF($C13&lt;&gt;"","ALERT_" &amp; D13 &amp; "_ID_"&amp;UPPER(Matrix!$D$6) &amp; "_" &amp; $C13,"")</f>
        <v/>
      </c>
      <c r="F13" s="115"/>
      <c r="G13" s="64" t="str">
        <f t="shared" si="0"/>
        <v/>
      </c>
      <c r="O13" s="179">
        <v>9</v>
      </c>
      <c r="P13" s="149"/>
      <c r="Q13" s="149"/>
      <c r="R13" s="116"/>
    </row>
    <row r="14" spans="2:18">
      <c r="B14" s="179">
        <v>10</v>
      </c>
      <c r="C14" s="149"/>
      <c r="D14" s="23"/>
      <c r="E14" s="64" t="str">
        <f>IF($C14&lt;&gt;"","ALERT_" &amp; D14 &amp; "_ID_"&amp;UPPER(Matrix!$D$6) &amp; "_" &amp; $C14,"")</f>
        <v/>
      </c>
      <c r="F14" s="115"/>
      <c r="G14" s="64" t="str">
        <f t="shared" si="0"/>
        <v/>
      </c>
      <c r="O14" s="179">
        <v>10</v>
      </c>
      <c r="P14" s="149"/>
      <c r="Q14" s="149"/>
      <c r="R14" s="116"/>
    </row>
    <row r="15" spans="2:18">
      <c r="B15" s="179">
        <v>11</v>
      </c>
      <c r="C15" s="149"/>
      <c r="D15" s="23"/>
      <c r="E15" s="64" t="str">
        <f>IF($C15&lt;&gt;"","ALERT_" &amp; D15 &amp; "_ID_"&amp;UPPER(Matrix!$D$6) &amp; "_" &amp; $C15,"")</f>
        <v/>
      </c>
      <c r="F15" s="115"/>
      <c r="G15" s="64" t="str">
        <f t="shared" si="0"/>
        <v/>
      </c>
      <c r="O15" s="179">
        <v>11</v>
      </c>
      <c r="P15" s="149"/>
      <c r="Q15" s="149"/>
      <c r="R15" s="116"/>
    </row>
    <row r="16" spans="2:18">
      <c r="B16" s="179">
        <v>12</v>
      </c>
      <c r="C16" s="149"/>
      <c r="D16" s="23"/>
      <c r="E16" s="64" t="str">
        <f>IF($C16&lt;&gt;"","ALERT_" &amp; D16 &amp; "_ID_"&amp;UPPER(Matrix!$D$6) &amp; "_" &amp; $C16,"")</f>
        <v/>
      </c>
      <c r="F16" s="115"/>
      <c r="G16" s="64" t="str">
        <f t="shared" si="0"/>
        <v/>
      </c>
      <c r="O16" s="179">
        <v>12</v>
      </c>
      <c r="P16" s="149"/>
      <c r="Q16" s="149"/>
      <c r="R16" s="116"/>
    </row>
    <row r="17" spans="2:18">
      <c r="B17" s="179">
        <v>13</v>
      </c>
      <c r="C17" s="149"/>
      <c r="D17" s="23"/>
      <c r="E17" s="64" t="str">
        <f>IF($C17&lt;&gt;"","ALERT_" &amp; D17 &amp; "_ID_"&amp;UPPER(Matrix!$D$6) &amp; "_" &amp; $C17,"")</f>
        <v/>
      </c>
      <c r="F17" s="115"/>
      <c r="G17" s="64" t="str">
        <f t="shared" si="0"/>
        <v/>
      </c>
      <c r="O17" s="179">
        <v>13</v>
      </c>
      <c r="P17" s="149"/>
      <c r="Q17" s="149"/>
      <c r="R17" s="116"/>
    </row>
    <row r="18" spans="2:18">
      <c r="B18" s="179">
        <v>14</v>
      </c>
      <c r="C18" s="149"/>
      <c r="D18" s="23"/>
      <c r="E18" s="64" t="str">
        <f>IF($C18&lt;&gt;"","ALERT_" &amp; D18 &amp; "_ID_"&amp;UPPER(Matrix!$D$6) &amp; "_" &amp; $C18,"")</f>
        <v/>
      </c>
      <c r="F18" s="115"/>
      <c r="G18" s="64" t="str">
        <f t="shared" si="0"/>
        <v/>
      </c>
      <c r="O18" s="179">
        <v>14</v>
      </c>
      <c r="P18" s="149"/>
      <c r="Q18" s="149"/>
      <c r="R18" s="116"/>
    </row>
    <row r="19" spans="2:18">
      <c r="B19" s="179">
        <v>15</v>
      </c>
      <c r="C19" s="149"/>
      <c r="D19" s="23"/>
      <c r="E19" s="64" t="str">
        <f>IF($C19&lt;&gt;"","ALERT_" &amp; D19 &amp; "_ID_"&amp;UPPER(Matrix!$D$6) &amp; "_" &amp; $C19,"")</f>
        <v/>
      </c>
      <c r="F19" s="115"/>
      <c r="G19" s="64" t="str">
        <f t="shared" si="0"/>
        <v/>
      </c>
      <c r="O19" s="179">
        <v>15</v>
      </c>
      <c r="P19" s="149"/>
      <c r="Q19" s="149"/>
      <c r="R19" s="116"/>
    </row>
    <row r="20" spans="2:18">
      <c r="B20" s="179">
        <v>16</v>
      </c>
      <c r="C20" s="149"/>
      <c r="D20" s="23"/>
      <c r="E20" s="64" t="str">
        <f>IF($C20&lt;&gt;"","ALERT_" &amp; D20 &amp; "_ID_"&amp;UPPER(Matrix!$D$6) &amp; "_" &amp; $C20,"")</f>
        <v/>
      </c>
      <c r="F20" s="115"/>
      <c r="G20" s="64" t="str">
        <f t="shared" si="0"/>
        <v/>
      </c>
      <c r="O20" s="179">
        <v>16</v>
      </c>
      <c r="P20" s="149"/>
      <c r="Q20" s="149"/>
      <c r="R20" s="116"/>
    </row>
    <row r="21" spans="2:18">
      <c r="B21" s="179">
        <v>17</v>
      </c>
      <c r="C21" s="149"/>
      <c r="D21" s="23"/>
      <c r="E21" s="64" t="str">
        <f>IF($C21&lt;&gt;"","ALERT_" &amp; D21 &amp; "_ID_"&amp;UPPER(Matrix!$D$6) &amp; "_" &amp; $C21,"")</f>
        <v/>
      </c>
      <c r="F21" s="115"/>
      <c r="G21" s="64" t="str">
        <f t="shared" si="0"/>
        <v/>
      </c>
      <c r="O21" s="179">
        <v>17</v>
      </c>
      <c r="P21" s="149"/>
      <c r="Q21" s="149"/>
      <c r="R21" s="116"/>
    </row>
    <row r="22" spans="2:18">
      <c r="B22" s="179">
        <v>18</v>
      </c>
      <c r="C22" s="149"/>
      <c r="D22" s="23"/>
      <c r="E22" s="64" t="str">
        <f>IF($C22&lt;&gt;"","ALERT_" &amp; D22 &amp; "_ID_"&amp;UPPER(Matrix!$D$6) &amp; "_" &amp; $C22,"")</f>
        <v/>
      </c>
      <c r="F22" s="115"/>
      <c r="G22" s="64" t="str">
        <f t="shared" si="0"/>
        <v/>
      </c>
      <c r="O22" s="179">
        <v>18</v>
      </c>
      <c r="P22" s="149"/>
      <c r="Q22" s="149"/>
      <c r="R22" s="116"/>
    </row>
    <row r="23" spans="2:18">
      <c r="B23" s="179">
        <v>19</v>
      </c>
      <c r="C23" s="149"/>
      <c r="D23" s="23"/>
      <c r="E23" s="64" t="str">
        <f>IF($C23&lt;&gt;"","ALERT_" &amp; D23 &amp; "_ID_"&amp;UPPER(Matrix!$D$6) &amp; "_" &amp; $C23,"")</f>
        <v/>
      </c>
      <c r="F23" s="115"/>
      <c r="G23" s="64" t="str">
        <f t="shared" si="0"/>
        <v/>
      </c>
      <c r="O23" s="179">
        <v>19</v>
      </c>
      <c r="P23" s="149"/>
      <c r="Q23" s="149"/>
      <c r="R23" s="116"/>
    </row>
    <row r="24" spans="2:18">
      <c r="B24" s="179">
        <v>20</v>
      </c>
      <c r="C24" s="149"/>
      <c r="D24" s="23"/>
      <c r="E24" s="64" t="str">
        <f>IF($C24&lt;&gt;"","ALERT_" &amp; D24 &amp; "_ID_"&amp;UPPER(Matrix!$D$6) &amp; "_" &amp; $C24,"")</f>
        <v/>
      </c>
      <c r="F24" s="115"/>
      <c r="G24" s="64" t="str">
        <f t="shared" si="0"/>
        <v/>
      </c>
      <c r="O24" s="179">
        <v>20</v>
      </c>
      <c r="P24" s="149"/>
      <c r="Q24" s="149"/>
      <c r="R24" s="116"/>
    </row>
    <row r="25" spans="2:18">
      <c r="B25" s="179">
        <v>21</v>
      </c>
      <c r="C25" s="149"/>
      <c r="D25" s="23"/>
      <c r="E25" s="64" t="str">
        <f>IF($C25&lt;&gt;"","ALERT_" &amp; D25 &amp; "_ID_"&amp;UPPER(Matrix!$D$6) &amp; "_" &amp; $C25,"")</f>
        <v/>
      </c>
      <c r="F25" s="115"/>
      <c r="G25" s="64" t="str">
        <f t="shared" si="0"/>
        <v/>
      </c>
      <c r="O25" s="179">
        <v>21</v>
      </c>
      <c r="P25" s="149"/>
      <c r="Q25" s="149"/>
      <c r="R25" s="116"/>
    </row>
    <row r="26" spans="2:18">
      <c r="B26" s="179">
        <v>22</v>
      </c>
      <c r="C26" s="149"/>
      <c r="D26" s="23"/>
      <c r="E26" s="64" t="str">
        <f>IF($C26&lt;&gt;"","ALERT_" &amp; D26 &amp; "_ID_"&amp;UPPER(Matrix!$D$6) &amp; "_" &amp; $C26,"")</f>
        <v/>
      </c>
      <c r="F26" s="115"/>
      <c r="G26" s="64" t="str">
        <f t="shared" si="0"/>
        <v/>
      </c>
      <c r="O26" s="179">
        <v>22</v>
      </c>
      <c r="P26" s="149"/>
      <c r="Q26" s="149"/>
      <c r="R26" s="116"/>
    </row>
    <row r="27" spans="2:18">
      <c r="B27" s="179">
        <v>23</v>
      </c>
      <c r="C27" s="149"/>
      <c r="D27" s="23"/>
      <c r="E27" s="64" t="str">
        <f>IF($C27&lt;&gt;"","ALERT_" &amp; D27 &amp; "_ID_"&amp;UPPER(Matrix!$D$6) &amp; "_" &amp; $C27,"")</f>
        <v/>
      </c>
      <c r="F27" s="115"/>
      <c r="G27" s="64" t="str">
        <f t="shared" si="0"/>
        <v/>
      </c>
      <c r="O27" s="179">
        <v>23</v>
      </c>
      <c r="P27" s="149"/>
      <c r="Q27" s="149"/>
      <c r="R27" s="116"/>
    </row>
    <row r="28" spans="2:18">
      <c r="B28" s="179">
        <v>24</v>
      </c>
      <c r="C28" s="149"/>
      <c r="D28" s="23"/>
      <c r="E28" s="64" t="str">
        <f>IF($C28&lt;&gt;"","ALERT_" &amp; D28 &amp; "_ID_"&amp;UPPER(Matrix!$D$6) &amp; "_" &amp; $C28,"")</f>
        <v/>
      </c>
      <c r="F28" s="115"/>
      <c r="G28" s="64" t="str">
        <f t="shared" si="0"/>
        <v/>
      </c>
      <c r="O28" s="179">
        <v>24</v>
      </c>
      <c r="P28" s="149"/>
      <c r="Q28" s="149"/>
      <c r="R28" s="116"/>
    </row>
    <row r="29" spans="2:18" ht="14.25" thickBot="1">
      <c r="B29" s="180">
        <v>25</v>
      </c>
      <c r="C29" s="147"/>
      <c r="D29" s="50"/>
      <c r="E29" s="65" t="str">
        <f>IF($C29&lt;&gt;"","ALERT_" &amp; D29 &amp; "_ID_"&amp;UPPER(Matrix!$D$6) &amp; "_" &amp; $C29,"")</f>
        <v/>
      </c>
      <c r="F29" s="117"/>
      <c r="G29" s="65" t="str">
        <f t="shared" si="0"/>
        <v/>
      </c>
      <c r="O29" s="180">
        <v>25</v>
      </c>
      <c r="P29" s="147"/>
      <c r="Q29" s="147"/>
      <c r="R29" s="118"/>
    </row>
    <row r="32" spans="2:18" ht="14.25" thickBot="1">
      <c r="B32" t="s">
        <v>206</v>
      </c>
      <c r="O32" t="s">
        <v>203</v>
      </c>
    </row>
    <row r="33" spans="2:18" ht="14.25" thickBot="1">
      <c r="B33" s="145" t="s">
        <v>35</v>
      </c>
      <c r="C33" s="102" t="s">
        <v>195</v>
      </c>
      <c r="D33" s="102" t="s">
        <v>200</v>
      </c>
      <c r="E33" s="103" t="s">
        <v>198</v>
      </c>
      <c r="F33" s="185" t="s">
        <v>199</v>
      </c>
      <c r="G33" s="185" t="s">
        <v>210</v>
      </c>
      <c r="O33" s="145" t="s">
        <v>35</v>
      </c>
      <c r="P33" s="184" t="s">
        <v>192</v>
      </c>
      <c r="Q33" s="184" t="s">
        <v>208</v>
      </c>
      <c r="R33" s="185" t="s">
        <v>196</v>
      </c>
    </row>
    <row r="34" spans="2:18" ht="14.25" hidden="1" thickTop="1">
      <c r="B34" s="176">
        <v>0</v>
      </c>
      <c r="C34" s="177" t="s">
        <v>180</v>
      </c>
      <c r="D34" s="177"/>
      <c r="E34" s="178"/>
      <c r="F34" s="187" t="s">
        <v>180</v>
      </c>
      <c r="G34" s="190"/>
      <c r="O34" s="186">
        <v>0</v>
      </c>
      <c r="P34" s="183" t="s">
        <v>180</v>
      </c>
      <c r="Q34" s="183" t="s">
        <v>180</v>
      </c>
      <c r="R34" s="187" t="s">
        <v>180</v>
      </c>
    </row>
    <row r="35" spans="2:18" ht="14.25" thickTop="1">
      <c r="B35" s="179">
        <v>1</v>
      </c>
      <c r="C35" s="149"/>
      <c r="D35" s="23"/>
      <c r="E35" s="64" t="str">
        <f>IF($C35&lt;&gt;"","ALERT_" &amp; UPPER(Matrix!$D$6) &amp; "_" &amp; $C35,"")</f>
        <v/>
      </c>
      <c r="F35" s="181"/>
      <c r="G35" s="64" t="str">
        <f>IF(E35&lt;&gt;"",LEN(E35),"")</f>
        <v/>
      </c>
      <c r="O35" s="179">
        <v>1</v>
      </c>
      <c r="P35" s="149"/>
      <c r="Q35" s="149"/>
      <c r="R35" s="181"/>
    </row>
    <row r="36" spans="2:18">
      <c r="B36" s="179">
        <v>2</v>
      </c>
      <c r="C36" s="149"/>
      <c r="D36" s="23"/>
      <c r="E36" s="64" t="str">
        <f>IF($C36&lt;&gt;"","ALERT_" &amp; UPPER(Matrix!$D$6) &amp; "_" &amp; $C36,"")</f>
        <v/>
      </c>
      <c r="F36" s="181"/>
      <c r="G36" s="64" t="str">
        <f>IF(E36&lt;&gt;"",LEN(E36),"")</f>
        <v/>
      </c>
      <c r="O36" s="179">
        <v>2</v>
      </c>
      <c r="P36" s="149"/>
      <c r="Q36" s="149"/>
      <c r="R36" s="181"/>
    </row>
    <row r="37" spans="2:18">
      <c r="B37" s="179">
        <v>3</v>
      </c>
      <c r="C37" s="149"/>
      <c r="D37" s="23"/>
      <c r="E37" s="64" t="str">
        <f>IF($C37&lt;&gt;"","ALERT_" &amp; UPPER(Matrix!$D$6) &amp; "_" &amp; $C37,"")</f>
        <v/>
      </c>
      <c r="F37" s="181"/>
      <c r="G37" s="64" t="str">
        <f>IF(E37&lt;&gt;"",LEN(E37),"")</f>
        <v/>
      </c>
      <c r="O37" s="179">
        <v>3</v>
      </c>
      <c r="P37" s="149"/>
      <c r="Q37" s="149"/>
      <c r="R37" s="181"/>
    </row>
    <row r="38" spans="2:18">
      <c r="B38" s="179">
        <v>4</v>
      </c>
      <c r="C38" s="149"/>
      <c r="D38" s="23"/>
      <c r="E38" s="64" t="str">
        <f>IF($C38&lt;&gt;"","ALERT_" &amp; UPPER(Matrix!$D$6) &amp; "_" &amp; $C38,"")</f>
        <v/>
      </c>
      <c r="F38" s="181"/>
      <c r="G38" s="64" t="str">
        <f t="shared" ref="G38:G59" si="1">IF(E38&lt;&gt;"",LEN(E38),"")</f>
        <v/>
      </c>
      <c r="O38" s="179">
        <v>4</v>
      </c>
      <c r="P38" s="149"/>
      <c r="Q38" s="149"/>
      <c r="R38" s="181"/>
    </row>
    <row r="39" spans="2:18">
      <c r="B39" s="179">
        <v>5</v>
      </c>
      <c r="C39" s="149"/>
      <c r="D39" s="23"/>
      <c r="E39" s="64" t="str">
        <f>IF($C39&lt;&gt;"","ALERT_" &amp; UPPER(Matrix!$D$6) &amp; "_" &amp; $C39,"")</f>
        <v/>
      </c>
      <c r="F39" s="181"/>
      <c r="G39" s="64" t="str">
        <f t="shared" si="1"/>
        <v/>
      </c>
      <c r="O39" s="179">
        <v>5</v>
      </c>
      <c r="P39" s="149"/>
      <c r="Q39" s="149"/>
      <c r="R39" s="181"/>
    </row>
    <row r="40" spans="2:18">
      <c r="B40" s="179">
        <v>6</v>
      </c>
      <c r="C40" s="149"/>
      <c r="D40" s="23"/>
      <c r="E40" s="64" t="str">
        <f>IF($C40&lt;&gt;"","ALERT_" &amp; UPPER(Matrix!$D$6) &amp; "_" &amp; $C40,"")</f>
        <v/>
      </c>
      <c r="F40" s="181"/>
      <c r="G40" s="64" t="str">
        <f t="shared" si="1"/>
        <v/>
      </c>
      <c r="O40" s="179">
        <v>6</v>
      </c>
      <c r="P40" s="149"/>
      <c r="Q40" s="149"/>
      <c r="R40" s="181"/>
    </row>
    <row r="41" spans="2:18">
      <c r="B41" s="179">
        <v>7</v>
      </c>
      <c r="C41" s="149"/>
      <c r="D41" s="23"/>
      <c r="E41" s="64" t="str">
        <f>IF($C41&lt;&gt;"","ALERT_" &amp; UPPER(Matrix!$D$6) &amp; "_" &amp; $C41,"")</f>
        <v/>
      </c>
      <c r="F41" s="181"/>
      <c r="G41" s="64" t="str">
        <f t="shared" si="1"/>
        <v/>
      </c>
      <c r="O41" s="179">
        <v>7</v>
      </c>
      <c r="P41" s="149"/>
      <c r="Q41" s="149"/>
      <c r="R41" s="181"/>
    </row>
    <row r="42" spans="2:18">
      <c r="B42" s="179">
        <v>8</v>
      </c>
      <c r="C42" s="149"/>
      <c r="D42" s="23"/>
      <c r="E42" s="64" t="str">
        <f>IF($C42&lt;&gt;"","ALERT_" &amp; UPPER(Matrix!$D$6) &amp; "_" &amp; $C42,"")</f>
        <v/>
      </c>
      <c r="F42" s="181"/>
      <c r="G42" s="64" t="str">
        <f t="shared" si="1"/>
        <v/>
      </c>
      <c r="O42" s="179">
        <v>8</v>
      </c>
      <c r="P42" s="149"/>
      <c r="Q42" s="149"/>
      <c r="R42" s="181"/>
    </row>
    <row r="43" spans="2:18">
      <c r="B43" s="179">
        <v>9</v>
      </c>
      <c r="C43" s="149"/>
      <c r="D43" s="23"/>
      <c r="E43" s="64" t="str">
        <f>IF($C43&lt;&gt;"","ALERT_" &amp; UPPER(Matrix!$D$6) &amp; "_" &amp; $C43,"")</f>
        <v/>
      </c>
      <c r="F43" s="181"/>
      <c r="G43" s="64" t="str">
        <f t="shared" si="1"/>
        <v/>
      </c>
      <c r="O43" s="179">
        <v>9</v>
      </c>
      <c r="P43" s="149"/>
      <c r="Q43" s="149"/>
      <c r="R43" s="181"/>
    </row>
    <row r="44" spans="2:18">
      <c r="B44" s="179">
        <v>10</v>
      </c>
      <c r="C44" s="149"/>
      <c r="D44" s="23"/>
      <c r="E44" s="64" t="str">
        <f>IF($C44&lt;&gt;"","ALERT_" &amp; UPPER(Matrix!$D$6) &amp; "_" &amp; $C44,"")</f>
        <v/>
      </c>
      <c r="F44" s="181"/>
      <c r="G44" s="64" t="str">
        <f t="shared" si="1"/>
        <v/>
      </c>
      <c r="O44" s="179">
        <v>10</v>
      </c>
      <c r="P44" s="149"/>
      <c r="Q44" s="149"/>
      <c r="R44" s="181"/>
    </row>
    <row r="45" spans="2:18">
      <c r="B45" s="179">
        <v>11</v>
      </c>
      <c r="C45" s="149"/>
      <c r="D45" s="23"/>
      <c r="E45" s="64" t="str">
        <f>IF($C45&lt;&gt;"","ALERT_" &amp; UPPER(Matrix!$D$6) &amp; "_" &amp; $C45,"")</f>
        <v/>
      </c>
      <c r="F45" s="181"/>
      <c r="G45" s="64" t="str">
        <f t="shared" si="1"/>
        <v/>
      </c>
      <c r="O45" s="179">
        <v>11</v>
      </c>
      <c r="P45" s="149"/>
      <c r="Q45" s="149"/>
      <c r="R45" s="181"/>
    </row>
    <row r="46" spans="2:18">
      <c r="B46" s="179">
        <v>12</v>
      </c>
      <c r="C46" s="149"/>
      <c r="D46" s="23"/>
      <c r="E46" s="64" t="str">
        <f>IF($C46&lt;&gt;"","ALERT_" &amp; UPPER(Matrix!$D$6) &amp; "_" &amp; $C46,"")</f>
        <v/>
      </c>
      <c r="F46" s="181"/>
      <c r="G46" s="64" t="str">
        <f t="shared" si="1"/>
        <v/>
      </c>
      <c r="O46" s="179">
        <v>12</v>
      </c>
      <c r="P46" s="149"/>
      <c r="Q46" s="149"/>
      <c r="R46" s="181"/>
    </row>
    <row r="47" spans="2:18">
      <c r="B47" s="179">
        <v>13</v>
      </c>
      <c r="C47" s="149"/>
      <c r="D47" s="23"/>
      <c r="E47" s="64" t="str">
        <f>IF($C47&lt;&gt;"","ALERT_" &amp; UPPER(Matrix!$D$6) &amp; "_" &amp; $C47,"")</f>
        <v/>
      </c>
      <c r="F47" s="181"/>
      <c r="G47" s="64" t="str">
        <f t="shared" si="1"/>
        <v/>
      </c>
      <c r="O47" s="179">
        <v>13</v>
      </c>
      <c r="P47" s="149"/>
      <c r="Q47" s="149"/>
      <c r="R47" s="181"/>
    </row>
    <row r="48" spans="2:18">
      <c r="B48" s="179">
        <v>14</v>
      </c>
      <c r="C48" s="149"/>
      <c r="D48" s="23"/>
      <c r="E48" s="64" t="str">
        <f>IF($C48&lt;&gt;"","ALERT_" &amp; UPPER(Matrix!$D$6) &amp; "_" &amp; $C48,"")</f>
        <v/>
      </c>
      <c r="F48" s="181"/>
      <c r="G48" s="64" t="str">
        <f t="shared" si="1"/>
        <v/>
      </c>
      <c r="O48" s="179">
        <v>14</v>
      </c>
      <c r="P48" s="149"/>
      <c r="Q48" s="149"/>
      <c r="R48" s="181"/>
    </row>
    <row r="49" spans="2:18">
      <c r="B49" s="179">
        <v>15</v>
      </c>
      <c r="C49" s="149"/>
      <c r="D49" s="23"/>
      <c r="E49" s="64" t="str">
        <f>IF($C49&lt;&gt;"","ALERT_" &amp; UPPER(Matrix!$D$6) &amp; "_" &amp; $C49,"")</f>
        <v/>
      </c>
      <c r="F49" s="181"/>
      <c r="G49" s="64" t="str">
        <f t="shared" si="1"/>
        <v/>
      </c>
      <c r="O49" s="179">
        <v>15</v>
      </c>
      <c r="P49" s="149"/>
      <c r="Q49" s="149"/>
      <c r="R49" s="181"/>
    </row>
    <row r="50" spans="2:18">
      <c r="B50" s="179">
        <v>16</v>
      </c>
      <c r="C50" s="149"/>
      <c r="D50" s="23"/>
      <c r="E50" s="64" t="str">
        <f>IF($C50&lt;&gt;"","ALERT_" &amp; UPPER(Matrix!$D$6) &amp; "_" &amp; $C50,"")</f>
        <v/>
      </c>
      <c r="F50" s="181"/>
      <c r="G50" s="64" t="str">
        <f t="shared" si="1"/>
        <v/>
      </c>
      <c r="O50" s="179">
        <v>16</v>
      </c>
      <c r="P50" s="149"/>
      <c r="Q50" s="149"/>
      <c r="R50" s="181"/>
    </row>
    <row r="51" spans="2:18">
      <c r="B51" s="179">
        <v>17</v>
      </c>
      <c r="C51" s="149"/>
      <c r="D51" s="23"/>
      <c r="E51" s="64" t="str">
        <f>IF($C51&lt;&gt;"","ALERT_" &amp; UPPER(Matrix!$D$6) &amp; "_" &amp; $C51,"")</f>
        <v/>
      </c>
      <c r="F51" s="181"/>
      <c r="G51" s="64" t="str">
        <f t="shared" si="1"/>
        <v/>
      </c>
      <c r="O51" s="179">
        <v>17</v>
      </c>
      <c r="P51" s="149"/>
      <c r="Q51" s="149"/>
      <c r="R51" s="181"/>
    </row>
    <row r="52" spans="2:18">
      <c r="B52" s="179">
        <v>18</v>
      </c>
      <c r="C52" s="149"/>
      <c r="D52" s="23"/>
      <c r="E52" s="64" t="str">
        <f>IF($C52&lt;&gt;"","ALERT_" &amp; UPPER(Matrix!$D$6) &amp; "_" &amp; $C52,"")</f>
        <v/>
      </c>
      <c r="F52" s="181"/>
      <c r="G52" s="64" t="str">
        <f t="shared" si="1"/>
        <v/>
      </c>
      <c r="O52" s="179">
        <v>18</v>
      </c>
      <c r="P52" s="149"/>
      <c r="Q52" s="149"/>
      <c r="R52" s="181"/>
    </row>
    <row r="53" spans="2:18">
      <c r="B53" s="179">
        <v>19</v>
      </c>
      <c r="C53" s="149"/>
      <c r="D53" s="23"/>
      <c r="E53" s="64" t="str">
        <f>IF($C53&lt;&gt;"","ALERT_" &amp; UPPER(Matrix!$D$6) &amp; "_" &amp; $C53,"")</f>
        <v/>
      </c>
      <c r="F53" s="181"/>
      <c r="G53" s="64" t="str">
        <f t="shared" si="1"/>
        <v/>
      </c>
      <c r="O53" s="179">
        <v>19</v>
      </c>
      <c r="P53" s="149"/>
      <c r="Q53" s="149"/>
      <c r="R53" s="181"/>
    </row>
    <row r="54" spans="2:18">
      <c r="B54" s="179">
        <v>20</v>
      </c>
      <c r="C54" s="149"/>
      <c r="D54" s="23"/>
      <c r="E54" s="64" t="str">
        <f>IF($C54&lt;&gt;"","ALERT_" &amp; UPPER(Matrix!$D$6) &amp; "_" &amp; $C54,"")</f>
        <v/>
      </c>
      <c r="F54" s="181"/>
      <c r="G54" s="64" t="str">
        <f t="shared" si="1"/>
        <v/>
      </c>
      <c r="O54" s="179">
        <v>20</v>
      </c>
      <c r="P54" s="149"/>
      <c r="Q54" s="149"/>
      <c r="R54" s="181"/>
    </row>
    <row r="55" spans="2:18">
      <c r="B55" s="179">
        <v>21</v>
      </c>
      <c r="C55" s="149"/>
      <c r="D55" s="23"/>
      <c r="E55" s="64" t="str">
        <f>IF($C55&lt;&gt;"","ALERT_" &amp; UPPER(Matrix!$D$6) &amp; "_" &amp; $C55,"")</f>
        <v/>
      </c>
      <c r="F55" s="181"/>
      <c r="G55" s="64" t="str">
        <f t="shared" si="1"/>
        <v/>
      </c>
      <c r="O55" s="179">
        <v>21</v>
      </c>
      <c r="P55" s="149"/>
      <c r="Q55" s="149"/>
      <c r="R55" s="181"/>
    </row>
    <row r="56" spans="2:18">
      <c r="B56" s="179">
        <v>22</v>
      </c>
      <c r="C56" s="149"/>
      <c r="D56" s="23"/>
      <c r="E56" s="64" t="str">
        <f>IF($C56&lt;&gt;"","ALERT_" &amp; UPPER(Matrix!$D$6) &amp; "_" &amp; $C56,"")</f>
        <v/>
      </c>
      <c r="F56" s="181"/>
      <c r="G56" s="64" t="str">
        <f t="shared" si="1"/>
        <v/>
      </c>
      <c r="O56" s="179">
        <v>22</v>
      </c>
      <c r="P56" s="149"/>
      <c r="Q56" s="149"/>
      <c r="R56" s="181"/>
    </row>
    <row r="57" spans="2:18">
      <c r="B57" s="179">
        <v>23</v>
      </c>
      <c r="C57" s="149"/>
      <c r="D57" s="23"/>
      <c r="E57" s="64" t="str">
        <f>IF($C57&lt;&gt;"","ALERT_" &amp; UPPER(Matrix!$D$6) &amp; "_" &amp; $C57,"")</f>
        <v/>
      </c>
      <c r="F57" s="181"/>
      <c r="G57" s="64" t="str">
        <f t="shared" si="1"/>
        <v/>
      </c>
      <c r="O57" s="179">
        <v>23</v>
      </c>
      <c r="P57" s="149"/>
      <c r="Q57" s="149"/>
      <c r="R57" s="181"/>
    </row>
    <row r="58" spans="2:18">
      <c r="B58" s="179">
        <v>24</v>
      </c>
      <c r="C58" s="149"/>
      <c r="D58" s="23"/>
      <c r="E58" s="64" t="str">
        <f>IF($C58&lt;&gt;"","ALERT_" &amp; UPPER(Matrix!$D$6) &amp; "_" &amp; $C58,"")</f>
        <v/>
      </c>
      <c r="F58" s="181"/>
      <c r="G58" s="64" t="str">
        <f t="shared" si="1"/>
        <v/>
      </c>
      <c r="O58" s="179">
        <v>24</v>
      </c>
      <c r="P58" s="149"/>
      <c r="Q58" s="149"/>
      <c r="R58" s="181"/>
    </row>
    <row r="59" spans="2:18" ht="14.25" thickBot="1">
      <c r="B59" s="180">
        <v>25</v>
      </c>
      <c r="C59" s="147"/>
      <c r="D59" s="50"/>
      <c r="E59" s="65" t="str">
        <f>IF($C59&lt;&gt;"","ALERT_" &amp; UPPER(Matrix!$D$6) &amp; "_" &amp; $C59,"")</f>
        <v/>
      </c>
      <c r="F59" s="182"/>
      <c r="G59" s="65" t="str">
        <f t="shared" si="1"/>
        <v/>
      </c>
      <c r="O59" s="180">
        <v>25</v>
      </c>
      <c r="P59" s="147"/>
      <c r="Q59" s="147"/>
      <c r="R59" s="18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8" t="s">
        <v>105</v>
      </c>
    </row>
    <row r="2" spans="2:21" ht="14.25" thickBot="1">
      <c r="B2" s="96" t="s">
        <v>59</v>
      </c>
      <c r="C2" s="97" t="s">
        <v>123</v>
      </c>
      <c r="D2" s="98" t="s">
        <v>53</v>
      </c>
      <c r="E2" s="99" t="s">
        <v>54</v>
      </c>
      <c r="F2" s="100" t="s">
        <v>24</v>
      </c>
      <c r="G2" s="99" t="s">
        <v>55</v>
      </c>
      <c r="H2" s="100" t="s">
        <v>26</v>
      </c>
      <c r="I2" s="99" t="s">
        <v>56</v>
      </c>
      <c r="J2" s="100" t="s">
        <v>177</v>
      </c>
      <c r="K2" s="99" t="s">
        <v>57</v>
      </c>
      <c r="L2" s="100" t="s">
        <v>27</v>
      </c>
      <c r="M2" s="97" t="s">
        <v>58</v>
      </c>
      <c r="N2" s="100" t="s">
        <v>118</v>
      </c>
      <c r="O2" s="121" t="s">
        <v>84</v>
      </c>
    </row>
    <row r="3" spans="2:21" ht="15" hidden="1" thickTop="1" thickBot="1">
      <c r="B3" s="24"/>
      <c r="C3" s="47" t="s">
        <v>109</v>
      </c>
      <c r="D3" s="112"/>
      <c r="E3" s="12"/>
      <c r="F3" s="14"/>
      <c r="G3" s="12"/>
      <c r="H3" s="14"/>
      <c r="I3" s="12"/>
      <c r="J3" s="14"/>
      <c r="K3" s="12"/>
      <c r="L3" s="14"/>
      <c r="M3" s="48"/>
      <c r="N3" s="108"/>
      <c r="O3" s="122"/>
      <c r="U3" s="92" t="s">
        <v>99</v>
      </c>
    </row>
    <row r="4" spans="2:21" ht="14.25" thickTop="1">
      <c r="B4" s="24" t="s">
        <v>320</v>
      </c>
      <c r="C4" s="47" t="s">
        <v>307</v>
      </c>
      <c r="D4" s="112">
        <v>0</v>
      </c>
      <c r="E4" s="113" t="s">
        <v>127</v>
      </c>
      <c r="F4" s="114" t="s">
        <v>334</v>
      </c>
      <c r="G4" s="113" t="s">
        <v>127</v>
      </c>
      <c r="H4" s="114" t="s">
        <v>224</v>
      </c>
      <c r="I4" s="113" t="s">
        <v>127</v>
      </c>
      <c r="J4" s="238" t="s">
        <v>165</v>
      </c>
      <c r="K4" s="113" t="s">
        <v>127</v>
      </c>
      <c r="L4" s="114" t="s">
        <v>223</v>
      </c>
      <c r="M4" s="48">
        <f ca="1">LEN(N4)</f>
        <v>23</v>
      </c>
      <c r="N4" s="108" t="str">
        <f ca="1">VLOOKUP($B4,Matrix!$H$13:$I$37,2,FALSE)&amp;"_"&amp;C4</f>
        <v>ALERT_REQ_S_ISA_TT_ON_W</v>
      </c>
      <c r="O4" s="122" t="str">
        <f t="shared" ref="O4:O35" ca="1" si="0">"#define "&amp;N4&amp;REPT(" ",48-M4)&amp;"("&amp;D4&amp;"U)"</f>
        <v>#define ALERT_REQ_S_ISA_TT_ON_W                         (0U)</v>
      </c>
      <c r="U4" s="92" t="s">
        <v>99</v>
      </c>
    </row>
    <row r="5" spans="2:21">
      <c r="B5" s="24" t="s">
        <v>318</v>
      </c>
      <c r="C5" s="23" t="s">
        <v>308</v>
      </c>
      <c r="D5" s="115">
        <v>1</v>
      </c>
      <c r="E5" s="24" t="s">
        <v>127</v>
      </c>
      <c r="F5" s="116" t="s">
        <v>335</v>
      </c>
      <c r="G5" s="24" t="s">
        <v>127</v>
      </c>
      <c r="H5" s="116" t="s">
        <v>224</v>
      </c>
      <c r="I5" s="24" t="s">
        <v>127</v>
      </c>
      <c r="J5" s="205" t="s">
        <v>165</v>
      </c>
      <c r="K5" s="24" t="s">
        <v>127</v>
      </c>
      <c r="L5" s="116" t="s">
        <v>224</v>
      </c>
      <c r="M5" s="43">
        <f t="shared" ref="M5:M68" ca="1" si="1">LEN(N5)</f>
        <v>23</v>
      </c>
      <c r="N5" s="108" t="str">
        <f ca="1">VLOOKUP($B5,Matrix!$H$13:$I$37,2,FALSE)&amp;"_"&amp;C5</f>
        <v>ALERT_REQ_S_ISA_TT_ON_G</v>
      </c>
      <c r="O5" s="123" t="str">
        <f t="shared" ca="1" si="0"/>
        <v>#define ALERT_REQ_S_ISA_TT_ON_G                         (1U)</v>
      </c>
      <c r="U5" s="90" t="s">
        <v>100</v>
      </c>
    </row>
    <row r="6" spans="2:21">
      <c r="B6" s="24" t="s">
        <v>318</v>
      </c>
      <c r="C6" s="105" t="s">
        <v>333</v>
      </c>
      <c r="D6" s="119">
        <v>2</v>
      </c>
      <c r="E6" s="24" t="s">
        <v>127</v>
      </c>
      <c r="F6" s="116" t="s">
        <v>336</v>
      </c>
      <c r="G6" s="24" t="s">
        <v>127</v>
      </c>
      <c r="H6" s="116" t="s">
        <v>225</v>
      </c>
      <c r="I6" s="24" t="s">
        <v>127</v>
      </c>
      <c r="J6" s="205" t="s">
        <v>165</v>
      </c>
      <c r="K6" s="24" t="s">
        <v>127</v>
      </c>
      <c r="L6" s="116" t="s">
        <v>223</v>
      </c>
      <c r="M6" s="43">
        <f t="shared" ca="1" si="1"/>
        <v>23</v>
      </c>
      <c r="N6" s="108" t="str">
        <f ca="1">VLOOKUP($B6,Matrix!$H$13:$I$37,2,FALSE)&amp;"_"&amp;C6</f>
        <v>ALERT_REQ_S_ISA_TT_ON_A</v>
      </c>
      <c r="O6" s="123" t="str">
        <f t="shared" ca="1" si="0"/>
        <v>#define ALERT_REQ_S_ISA_TT_ON_A                         (2U)</v>
      </c>
      <c r="U6" s="30" t="s">
        <v>101</v>
      </c>
    </row>
    <row r="7" spans="2:21">
      <c r="B7" s="107" t="s">
        <v>319</v>
      </c>
      <c r="C7" s="106" t="s">
        <v>306</v>
      </c>
      <c r="D7" s="120">
        <v>0</v>
      </c>
      <c r="E7" s="107" t="s">
        <v>127</v>
      </c>
      <c r="F7" s="205" t="s">
        <v>224</v>
      </c>
      <c r="G7" s="107" t="s">
        <v>127</v>
      </c>
      <c r="H7" s="205" t="s">
        <v>225</v>
      </c>
      <c r="I7" s="107" t="s">
        <v>127</v>
      </c>
      <c r="J7" s="116" t="s">
        <v>357</v>
      </c>
      <c r="K7" s="107" t="s">
        <v>127</v>
      </c>
      <c r="L7" s="205" t="s">
        <v>223</v>
      </c>
      <c r="M7" s="43">
        <f t="shared" ca="1" si="1"/>
        <v>26</v>
      </c>
      <c r="N7" s="108" t="str">
        <f ca="1">VLOOKUP($B7,Matrix!$H$13:$I$37,2,FALSE)&amp;"_"&amp;C7</f>
        <v>ALERT_REQ_S_ISA_PD_MALFUNC</v>
      </c>
      <c r="O7" s="123" t="str">
        <f t="shared" ca="1" si="0"/>
        <v>#define ALERT_REQ_S_ISA_PD_MALFUNC                      (0U)</v>
      </c>
      <c r="U7" s="30" t="s">
        <v>102</v>
      </c>
    </row>
    <row r="8" spans="2:21">
      <c r="B8" s="107" t="s">
        <v>319</v>
      </c>
      <c r="C8" s="106" t="s">
        <v>305</v>
      </c>
      <c r="D8" s="120">
        <v>1</v>
      </c>
      <c r="E8" s="107" t="s">
        <v>127</v>
      </c>
      <c r="F8" s="205" t="s">
        <v>165</v>
      </c>
      <c r="G8" s="107" t="s">
        <v>127</v>
      </c>
      <c r="H8" s="205" t="s">
        <v>165</v>
      </c>
      <c r="I8" s="107" t="s">
        <v>127</v>
      </c>
      <c r="J8" s="205" t="s">
        <v>358</v>
      </c>
      <c r="K8" s="107" t="s">
        <v>127</v>
      </c>
      <c r="L8" s="205" t="s">
        <v>223</v>
      </c>
      <c r="M8" s="43">
        <f t="shared" ca="1" si="1"/>
        <v>26</v>
      </c>
      <c r="N8" s="108" t="str">
        <f ca="1">VLOOKUP($B8,Matrix!$H$13:$I$37,2,FALSE)&amp;"_"&amp;C8</f>
        <v>ALERT_REQ_S_ISA_PD_UNAVLBL</v>
      </c>
      <c r="O8" s="123" t="str">
        <f t="shared" ca="1" si="0"/>
        <v>#define ALERT_REQ_S_ISA_PD_UNAVLBL                      (1U)</v>
      </c>
      <c r="U8" s="30" t="s">
        <v>103</v>
      </c>
    </row>
    <row r="9" spans="2:21">
      <c r="B9" s="24" t="s">
        <v>319</v>
      </c>
      <c r="C9" s="23" t="s">
        <v>367</v>
      </c>
      <c r="D9" s="115">
        <v>2</v>
      </c>
      <c r="E9" s="107" t="s">
        <v>127</v>
      </c>
      <c r="F9" s="205" t="s">
        <v>165</v>
      </c>
      <c r="G9" s="107" t="s">
        <v>127</v>
      </c>
      <c r="H9" s="205" t="s">
        <v>165</v>
      </c>
      <c r="I9" s="107" t="s">
        <v>127</v>
      </c>
      <c r="J9" s="205" t="s">
        <v>165</v>
      </c>
      <c r="K9" s="107" t="s">
        <v>127</v>
      </c>
      <c r="L9" s="205" t="s">
        <v>388</v>
      </c>
      <c r="M9" s="43">
        <f t="shared" ca="1" si="1"/>
        <v>21</v>
      </c>
      <c r="N9" s="108" t="str">
        <f ca="1">VLOOKUP($B9,Matrix!$H$13:$I$37,2,FALSE)&amp;"_"&amp;C9</f>
        <v>ALERT_REQ_S_ISA_PD_RW</v>
      </c>
      <c r="O9" s="123" t="str">
        <f t="shared" ca="1" si="0"/>
        <v>#define ALERT_REQ_S_ISA_PD_RW                           (2U)</v>
      </c>
      <c r="U9" s="30" t="s">
        <v>104</v>
      </c>
    </row>
    <row r="10" spans="2:21">
      <c r="B10" s="24"/>
      <c r="C10" s="23"/>
      <c r="D10" s="115"/>
      <c r="E10" s="24"/>
      <c r="F10" s="116"/>
      <c r="G10" s="24"/>
      <c r="H10" s="116"/>
      <c r="I10" s="24"/>
      <c r="J10" s="116"/>
      <c r="K10" s="24"/>
      <c r="L10" s="116"/>
      <c r="M10" s="43" t="e">
        <f t="shared" ca="1" si="1"/>
        <v>#N/A</v>
      </c>
      <c r="N10" s="108" t="e">
        <f ca="1">VLOOKUP($B10,Matrix!$H$13:$I$37,2,FALSE)&amp;"_"&amp;C10</f>
        <v>#N/A</v>
      </c>
      <c r="O10" s="123" t="e">
        <f t="shared" ca="1" si="0"/>
        <v>#N/A</v>
      </c>
      <c r="U10" s="30"/>
    </row>
    <row r="11" spans="2:21">
      <c r="B11" s="24"/>
      <c r="C11" s="23"/>
      <c r="D11" s="115"/>
      <c r="E11" s="24"/>
      <c r="F11" s="116"/>
      <c r="G11" s="24"/>
      <c r="H11" s="116"/>
      <c r="I11" s="24"/>
      <c r="J11" s="116"/>
      <c r="K11" s="24"/>
      <c r="L11" s="116"/>
      <c r="M11" s="43" t="e">
        <f t="shared" ca="1" si="1"/>
        <v>#N/A</v>
      </c>
      <c r="N11" s="108" t="e">
        <f ca="1">VLOOKUP($B11,Matrix!$H$13:$I$37,2,FALSE)&amp;"_"&amp;C11</f>
        <v>#N/A</v>
      </c>
      <c r="O11" s="123" t="e">
        <f t="shared" ca="1" si="0"/>
        <v>#N/A</v>
      </c>
      <c r="U11" s="30"/>
    </row>
    <row r="12" spans="2:21">
      <c r="B12" s="24"/>
      <c r="C12" s="23"/>
      <c r="D12" s="115"/>
      <c r="E12" s="24"/>
      <c r="F12" s="116"/>
      <c r="G12" s="24"/>
      <c r="H12" s="116"/>
      <c r="I12" s="24"/>
      <c r="J12" s="116"/>
      <c r="K12" s="24"/>
      <c r="L12" s="116"/>
      <c r="M12" s="43" t="e">
        <f t="shared" ca="1" si="1"/>
        <v>#N/A</v>
      </c>
      <c r="N12" s="108" t="e">
        <f ca="1">VLOOKUP($B12,Matrix!$H$13:$I$37,2,FALSE)&amp;"_"&amp;C12</f>
        <v>#N/A</v>
      </c>
      <c r="O12" s="123" t="e">
        <f t="shared" ca="1" si="0"/>
        <v>#N/A</v>
      </c>
      <c r="U12" s="30"/>
    </row>
    <row r="13" spans="2:21" ht="14.25" thickBot="1">
      <c r="B13" s="24"/>
      <c r="C13" s="23"/>
      <c r="D13" s="115"/>
      <c r="E13" s="24"/>
      <c r="F13" s="116"/>
      <c r="G13" s="24"/>
      <c r="H13" s="116"/>
      <c r="I13" s="24"/>
      <c r="J13" s="116"/>
      <c r="K13" s="24"/>
      <c r="L13" s="116"/>
      <c r="M13" s="43" t="e">
        <f t="shared" ca="1" si="1"/>
        <v>#N/A</v>
      </c>
      <c r="N13" s="108" t="e">
        <f ca="1">VLOOKUP($B13,Matrix!$H$13:$I$37,2,FALSE)&amp;"_"&amp;C13</f>
        <v>#N/A</v>
      </c>
      <c r="O13" s="123" t="e">
        <f t="shared" ca="1" si="0"/>
        <v>#N/A</v>
      </c>
      <c r="U13" s="91"/>
    </row>
    <row r="14" spans="2:21">
      <c r="B14" s="24"/>
      <c r="C14" s="23"/>
      <c r="D14" s="115"/>
      <c r="E14" s="24"/>
      <c r="F14" s="116"/>
      <c r="G14" s="24"/>
      <c r="H14" s="116"/>
      <c r="I14" s="24"/>
      <c r="J14" s="116"/>
      <c r="K14" s="24"/>
      <c r="L14" s="116"/>
      <c r="M14" s="43" t="e">
        <f t="shared" ca="1" si="1"/>
        <v>#N/A</v>
      </c>
      <c r="N14" s="108" t="e">
        <f ca="1">VLOOKUP($B14,Matrix!$H$13:$I$37,2,FALSE)&amp;"_"&amp;C14</f>
        <v>#N/A</v>
      </c>
      <c r="O14" s="123" t="e">
        <f t="shared" ca="1" si="0"/>
        <v>#N/A</v>
      </c>
    </row>
    <row r="15" spans="2:21">
      <c r="B15" s="24"/>
      <c r="C15" s="23"/>
      <c r="D15" s="115"/>
      <c r="E15" s="24"/>
      <c r="F15" s="116"/>
      <c r="G15" s="24"/>
      <c r="H15" s="116"/>
      <c r="I15" s="24"/>
      <c r="J15" s="116"/>
      <c r="K15" s="24"/>
      <c r="L15" s="116"/>
      <c r="M15" s="43" t="e">
        <f t="shared" ca="1" si="1"/>
        <v>#N/A</v>
      </c>
      <c r="N15" s="108" t="e">
        <f ca="1">VLOOKUP($B15,Matrix!$H$13:$I$37,2,FALSE)&amp;"_"&amp;C15</f>
        <v>#N/A</v>
      </c>
      <c r="O15" s="123" t="e">
        <f t="shared" ca="1" si="0"/>
        <v>#N/A</v>
      </c>
    </row>
    <row r="16" spans="2:21">
      <c r="B16" s="24"/>
      <c r="C16" s="23"/>
      <c r="D16" s="115"/>
      <c r="E16" s="24"/>
      <c r="F16" s="116"/>
      <c r="G16" s="24"/>
      <c r="H16" s="116"/>
      <c r="I16" s="24"/>
      <c r="J16" s="116"/>
      <c r="K16" s="24"/>
      <c r="L16" s="116"/>
      <c r="M16" s="43" t="e">
        <f t="shared" ca="1" si="1"/>
        <v>#N/A</v>
      </c>
      <c r="N16" s="108" t="e">
        <f ca="1">VLOOKUP($B16,Matrix!$H$13:$I$37,2,FALSE)&amp;"_"&amp;C16</f>
        <v>#N/A</v>
      </c>
      <c r="O16" s="123" t="e">
        <f t="shared" ca="1" si="0"/>
        <v>#N/A</v>
      </c>
    </row>
    <row r="17" spans="2:15">
      <c r="B17" s="24"/>
      <c r="C17" s="23"/>
      <c r="D17" s="115"/>
      <c r="E17" s="24"/>
      <c r="F17" s="116"/>
      <c r="G17" s="24"/>
      <c r="H17" s="116"/>
      <c r="I17" s="24"/>
      <c r="J17" s="116"/>
      <c r="K17" s="24"/>
      <c r="L17" s="116"/>
      <c r="M17" s="43" t="e">
        <f t="shared" ca="1" si="1"/>
        <v>#N/A</v>
      </c>
      <c r="N17" s="108" t="e">
        <f ca="1">VLOOKUP($B17,Matrix!$H$13:$I$37,2,FALSE)&amp;"_"&amp;C17</f>
        <v>#N/A</v>
      </c>
      <c r="O17" s="123" t="e">
        <f t="shared" ca="1" si="0"/>
        <v>#N/A</v>
      </c>
    </row>
    <row r="18" spans="2:15">
      <c r="B18" s="24"/>
      <c r="C18" s="23"/>
      <c r="D18" s="115"/>
      <c r="E18" s="24"/>
      <c r="F18" s="116"/>
      <c r="G18" s="24"/>
      <c r="H18" s="116"/>
      <c r="I18" s="24"/>
      <c r="J18" s="116"/>
      <c r="K18" s="24"/>
      <c r="L18" s="116"/>
      <c r="M18" s="43" t="e">
        <f t="shared" ca="1" si="1"/>
        <v>#N/A</v>
      </c>
      <c r="N18" s="108" t="e">
        <f ca="1">VLOOKUP($B18,Matrix!$H$13:$I$37,2,FALSE)&amp;"_"&amp;C18</f>
        <v>#N/A</v>
      </c>
      <c r="O18" s="123" t="e">
        <f t="shared" ca="1" si="0"/>
        <v>#N/A</v>
      </c>
    </row>
    <row r="19" spans="2:15">
      <c r="B19" s="24"/>
      <c r="C19" s="23"/>
      <c r="D19" s="115"/>
      <c r="E19" s="24"/>
      <c r="F19" s="116"/>
      <c r="G19" s="24"/>
      <c r="H19" s="116"/>
      <c r="I19" s="24"/>
      <c r="J19" s="116"/>
      <c r="K19" s="24"/>
      <c r="L19" s="116"/>
      <c r="M19" s="43" t="e">
        <f t="shared" ca="1" si="1"/>
        <v>#N/A</v>
      </c>
      <c r="N19" s="108" t="e">
        <f ca="1">VLOOKUP($B19,Matrix!$H$13:$I$37,2,FALSE)&amp;"_"&amp;C19</f>
        <v>#N/A</v>
      </c>
      <c r="O19" s="123" t="e">
        <f t="shared" ca="1" si="0"/>
        <v>#N/A</v>
      </c>
    </row>
    <row r="20" spans="2:15">
      <c r="B20" s="24"/>
      <c r="C20" s="23"/>
      <c r="D20" s="115"/>
      <c r="E20" s="24"/>
      <c r="F20" s="116"/>
      <c r="G20" s="24"/>
      <c r="H20" s="116"/>
      <c r="I20" s="24"/>
      <c r="J20" s="116"/>
      <c r="K20" s="24"/>
      <c r="L20" s="116"/>
      <c r="M20" s="43" t="e">
        <f t="shared" ca="1" si="1"/>
        <v>#N/A</v>
      </c>
      <c r="N20" s="108" t="e">
        <f ca="1">VLOOKUP($B20,Matrix!$H$13:$I$37,2,FALSE)&amp;"_"&amp;C20</f>
        <v>#N/A</v>
      </c>
      <c r="O20" s="123" t="e">
        <f t="shared" ca="1" si="0"/>
        <v>#N/A</v>
      </c>
    </row>
    <row r="21" spans="2:15">
      <c r="B21" s="24"/>
      <c r="C21" s="23"/>
      <c r="D21" s="115"/>
      <c r="E21" s="24"/>
      <c r="F21" s="116"/>
      <c r="G21" s="24"/>
      <c r="H21" s="116"/>
      <c r="I21" s="24"/>
      <c r="J21" s="116"/>
      <c r="K21" s="24"/>
      <c r="L21" s="116"/>
      <c r="M21" s="43" t="e">
        <f t="shared" ca="1" si="1"/>
        <v>#N/A</v>
      </c>
      <c r="N21" s="108" t="e">
        <f ca="1">VLOOKUP($B21,Matrix!$H$13:$I$37,2,FALSE)&amp;"_"&amp;C21</f>
        <v>#N/A</v>
      </c>
      <c r="O21" s="123" t="e">
        <f t="shared" ca="1" si="0"/>
        <v>#N/A</v>
      </c>
    </row>
    <row r="22" spans="2:15">
      <c r="B22" s="24"/>
      <c r="C22" s="23"/>
      <c r="D22" s="115"/>
      <c r="E22" s="24"/>
      <c r="F22" s="116"/>
      <c r="G22" s="24"/>
      <c r="H22" s="116"/>
      <c r="I22" s="24"/>
      <c r="J22" s="116"/>
      <c r="K22" s="24"/>
      <c r="L22" s="116"/>
      <c r="M22" s="43" t="e">
        <f t="shared" ca="1" si="1"/>
        <v>#N/A</v>
      </c>
      <c r="N22" s="108" t="e">
        <f ca="1">VLOOKUP($B22,Matrix!$H$13:$I$37,2,FALSE)&amp;"_"&amp;C22</f>
        <v>#N/A</v>
      </c>
      <c r="O22" s="123" t="e">
        <f t="shared" ca="1" si="0"/>
        <v>#N/A</v>
      </c>
    </row>
    <row r="23" spans="2:15">
      <c r="B23" s="24"/>
      <c r="C23" s="23"/>
      <c r="D23" s="115"/>
      <c r="E23" s="24"/>
      <c r="F23" s="116"/>
      <c r="G23" s="24"/>
      <c r="H23" s="116"/>
      <c r="I23" s="24"/>
      <c r="J23" s="116"/>
      <c r="K23" s="24"/>
      <c r="L23" s="116"/>
      <c r="M23" s="43" t="e">
        <f t="shared" ca="1" si="1"/>
        <v>#N/A</v>
      </c>
      <c r="N23" s="108" t="e">
        <f ca="1">VLOOKUP($B23,Matrix!$H$13:$I$37,2,FALSE)&amp;"_"&amp;C23</f>
        <v>#N/A</v>
      </c>
      <c r="O23" s="123" t="e">
        <f t="shared" ca="1" si="0"/>
        <v>#N/A</v>
      </c>
    </row>
    <row r="24" spans="2:15">
      <c r="B24" s="24"/>
      <c r="C24" s="23"/>
      <c r="D24" s="115"/>
      <c r="E24" s="24"/>
      <c r="F24" s="116"/>
      <c r="G24" s="24"/>
      <c r="H24" s="116"/>
      <c r="I24" s="24"/>
      <c r="J24" s="116"/>
      <c r="K24" s="24"/>
      <c r="L24" s="116"/>
      <c r="M24" s="43" t="e">
        <f t="shared" ca="1" si="1"/>
        <v>#N/A</v>
      </c>
      <c r="N24" s="108" t="e">
        <f ca="1">VLOOKUP($B24,Matrix!$H$13:$I$37,2,FALSE)&amp;"_"&amp;C24</f>
        <v>#N/A</v>
      </c>
      <c r="O24" s="123" t="e">
        <f t="shared" ca="1" si="0"/>
        <v>#N/A</v>
      </c>
    </row>
    <row r="25" spans="2:15">
      <c r="B25" s="24"/>
      <c r="C25" s="23"/>
      <c r="D25" s="115"/>
      <c r="E25" s="24"/>
      <c r="F25" s="116"/>
      <c r="G25" s="24"/>
      <c r="H25" s="116"/>
      <c r="I25" s="24"/>
      <c r="J25" s="116"/>
      <c r="K25" s="24"/>
      <c r="L25" s="116"/>
      <c r="M25" s="43" t="e">
        <f t="shared" ca="1" si="1"/>
        <v>#N/A</v>
      </c>
      <c r="N25" s="108" t="e">
        <f ca="1">VLOOKUP($B25,Matrix!$H$13:$I$37,2,FALSE)&amp;"_"&amp;C25</f>
        <v>#N/A</v>
      </c>
      <c r="O25" s="123" t="e">
        <f t="shared" ca="1" si="0"/>
        <v>#N/A</v>
      </c>
    </row>
    <row r="26" spans="2:15">
      <c r="B26" s="24"/>
      <c r="C26" s="23"/>
      <c r="D26" s="115"/>
      <c r="E26" s="24"/>
      <c r="F26" s="116"/>
      <c r="G26" s="24"/>
      <c r="H26" s="116"/>
      <c r="I26" s="24"/>
      <c r="J26" s="116"/>
      <c r="K26" s="24"/>
      <c r="L26" s="116"/>
      <c r="M26" s="43" t="e">
        <f t="shared" ca="1" si="1"/>
        <v>#N/A</v>
      </c>
      <c r="N26" s="108" t="e">
        <f ca="1">VLOOKUP($B26,Matrix!$H$13:$I$37,2,FALSE)&amp;"_"&amp;C26</f>
        <v>#N/A</v>
      </c>
      <c r="O26" s="123" t="e">
        <f t="shared" ca="1" si="0"/>
        <v>#N/A</v>
      </c>
    </row>
    <row r="27" spans="2:15">
      <c r="B27" s="24"/>
      <c r="C27" s="23"/>
      <c r="D27" s="115"/>
      <c r="E27" s="24"/>
      <c r="F27" s="116"/>
      <c r="G27" s="24"/>
      <c r="H27" s="116"/>
      <c r="I27" s="24"/>
      <c r="J27" s="116"/>
      <c r="K27" s="24"/>
      <c r="L27" s="116"/>
      <c r="M27" s="43" t="e">
        <f t="shared" ca="1" si="1"/>
        <v>#N/A</v>
      </c>
      <c r="N27" s="108" t="e">
        <f ca="1">VLOOKUP($B27,Matrix!$H$13:$I$37,2,FALSE)&amp;"_"&amp;C27</f>
        <v>#N/A</v>
      </c>
      <c r="O27" s="123" t="e">
        <f t="shared" ca="1" si="0"/>
        <v>#N/A</v>
      </c>
    </row>
    <row r="28" spans="2:15">
      <c r="B28" s="24"/>
      <c r="C28" s="23"/>
      <c r="D28" s="115"/>
      <c r="E28" s="24"/>
      <c r="F28" s="116"/>
      <c r="G28" s="24"/>
      <c r="H28" s="116"/>
      <c r="I28" s="24"/>
      <c r="J28" s="116"/>
      <c r="K28" s="24"/>
      <c r="L28" s="116"/>
      <c r="M28" s="43" t="e">
        <f t="shared" ca="1" si="1"/>
        <v>#N/A</v>
      </c>
      <c r="N28" s="108" t="e">
        <f ca="1">VLOOKUP($B28,Matrix!$H$13:$I$37,2,FALSE)&amp;"_"&amp;C28</f>
        <v>#N/A</v>
      </c>
      <c r="O28" s="123" t="e">
        <f t="shared" ca="1" si="0"/>
        <v>#N/A</v>
      </c>
    </row>
    <row r="29" spans="2:15">
      <c r="B29" s="24"/>
      <c r="C29" s="23"/>
      <c r="D29" s="115"/>
      <c r="E29" s="24"/>
      <c r="F29" s="116"/>
      <c r="G29" s="24"/>
      <c r="H29" s="116"/>
      <c r="I29" s="24"/>
      <c r="J29" s="116"/>
      <c r="K29" s="24"/>
      <c r="L29" s="116"/>
      <c r="M29" s="43" t="e">
        <f t="shared" ca="1" si="1"/>
        <v>#N/A</v>
      </c>
      <c r="N29" s="108" t="e">
        <f ca="1">VLOOKUP($B29,Matrix!$H$13:$I$37,2,FALSE)&amp;"_"&amp;C29</f>
        <v>#N/A</v>
      </c>
      <c r="O29" s="123" t="e">
        <f t="shared" ca="1" si="0"/>
        <v>#N/A</v>
      </c>
    </row>
    <row r="30" spans="2:15">
      <c r="B30" s="24"/>
      <c r="C30" s="23"/>
      <c r="D30" s="115"/>
      <c r="E30" s="24"/>
      <c r="F30" s="116"/>
      <c r="G30" s="24"/>
      <c r="H30" s="116"/>
      <c r="I30" s="24"/>
      <c r="J30" s="116"/>
      <c r="K30" s="24"/>
      <c r="L30" s="116"/>
      <c r="M30" s="43" t="e">
        <f t="shared" ca="1" si="1"/>
        <v>#N/A</v>
      </c>
      <c r="N30" s="108" t="e">
        <f ca="1">VLOOKUP($B30,Matrix!$H$13:$I$37,2,FALSE)&amp;"_"&amp;C30</f>
        <v>#N/A</v>
      </c>
      <c r="O30" s="123" t="e">
        <f t="shared" ca="1" si="0"/>
        <v>#N/A</v>
      </c>
    </row>
    <row r="31" spans="2:15">
      <c r="B31" s="24"/>
      <c r="C31" s="23"/>
      <c r="D31" s="115"/>
      <c r="E31" s="24"/>
      <c r="F31" s="116"/>
      <c r="G31" s="24"/>
      <c r="H31" s="116"/>
      <c r="I31" s="24"/>
      <c r="J31" s="116"/>
      <c r="K31" s="24"/>
      <c r="L31" s="116"/>
      <c r="M31" s="43" t="e">
        <f t="shared" ca="1" si="1"/>
        <v>#N/A</v>
      </c>
      <c r="N31" s="108" t="e">
        <f ca="1">VLOOKUP($B31,Matrix!$H$13:$I$37,2,FALSE)&amp;"_"&amp;C31</f>
        <v>#N/A</v>
      </c>
      <c r="O31" s="123" t="e">
        <f t="shared" ca="1" si="0"/>
        <v>#N/A</v>
      </c>
    </row>
    <row r="32" spans="2:15">
      <c r="B32" s="24"/>
      <c r="C32" s="23"/>
      <c r="D32" s="115"/>
      <c r="E32" s="24"/>
      <c r="F32" s="116"/>
      <c r="G32" s="24"/>
      <c r="H32" s="116"/>
      <c r="I32" s="24"/>
      <c r="J32" s="116"/>
      <c r="K32" s="24"/>
      <c r="L32" s="116"/>
      <c r="M32" s="43" t="e">
        <f t="shared" ca="1" si="1"/>
        <v>#N/A</v>
      </c>
      <c r="N32" s="108" t="e">
        <f ca="1">VLOOKUP($B32,Matrix!$H$13:$I$37,2,FALSE)&amp;"_"&amp;C32</f>
        <v>#N/A</v>
      </c>
      <c r="O32" s="123" t="e">
        <f t="shared" ca="1" si="0"/>
        <v>#N/A</v>
      </c>
    </row>
    <row r="33" spans="2:15">
      <c r="B33" s="24"/>
      <c r="C33" s="23"/>
      <c r="D33" s="115"/>
      <c r="E33" s="24"/>
      <c r="F33" s="116"/>
      <c r="G33" s="24"/>
      <c r="H33" s="116"/>
      <c r="I33" s="24"/>
      <c r="J33" s="116"/>
      <c r="K33" s="24"/>
      <c r="L33" s="116"/>
      <c r="M33" s="43" t="e">
        <f t="shared" ca="1" si="1"/>
        <v>#N/A</v>
      </c>
      <c r="N33" s="108" t="e">
        <f ca="1">VLOOKUP($B33,Matrix!$H$13:$I$37,2,FALSE)&amp;"_"&amp;C33</f>
        <v>#N/A</v>
      </c>
      <c r="O33" s="123" t="e">
        <f t="shared" ca="1" si="0"/>
        <v>#N/A</v>
      </c>
    </row>
    <row r="34" spans="2:15">
      <c r="B34" s="24"/>
      <c r="C34" s="23"/>
      <c r="D34" s="115"/>
      <c r="E34" s="24"/>
      <c r="F34" s="116"/>
      <c r="G34" s="24"/>
      <c r="H34" s="116"/>
      <c r="I34" s="24"/>
      <c r="J34" s="116"/>
      <c r="K34" s="24"/>
      <c r="L34" s="116"/>
      <c r="M34" s="43" t="e">
        <f t="shared" ca="1" si="1"/>
        <v>#N/A</v>
      </c>
      <c r="N34" s="108" t="e">
        <f ca="1">VLOOKUP($B34,Matrix!$H$13:$I$37,2,FALSE)&amp;"_"&amp;C34</f>
        <v>#N/A</v>
      </c>
      <c r="O34" s="123" t="e">
        <f t="shared" ca="1" si="0"/>
        <v>#N/A</v>
      </c>
    </row>
    <row r="35" spans="2:15">
      <c r="B35" s="24"/>
      <c r="C35" s="23"/>
      <c r="D35" s="115"/>
      <c r="E35" s="24"/>
      <c r="F35" s="116"/>
      <c r="G35" s="24"/>
      <c r="H35" s="116"/>
      <c r="I35" s="24"/>
      <c r="J35" s="116"/>
      <c r="K35" s="24"/>
      <c r="L35" s="116"/>
      <c r="M35" s="43" t="e">
        <f t="shared" ca="1" si="1"/>
        <v>#N/A</v>
      </c>
      <c r="N35" s="108" t="e">
        <f ca="1">VLOOKUP($B35,Matrix!$H$13:$I$37,2,FALSE)&amp;"_"&amp;C35</f>
        <v>#N/A</v>
      </c>
      <c r="O35" s="123" t="e">
        <f t="shared" ca="1" si="0"/>
        <v>#N/A</v>
      </c>
    </row>
    <row r="36" spans="2:15">
      <c r="B36" s="24"/>
      <c r="C36" s="23"/>
      <c r="D36" s="115"/>
      <c r="E36" s="24"/>
      <c r="F36" s="116"/>
      <c r="G36" s="24"/>
      <c r="H36" s="116"/>
      <c r="I36" s="24"/>
      <c r="J36" s="116"/>
      <c r="K36" s="24"/>
      <c r="L36" s="116"/>
      <c r="M36" s="43" t="e">
        <f t="shared" ca="1" si="1"/>
        <v>#N/A</v>
      </c>
      <c r="N36" s="108" t="e">
        <f ca="1">VLOOKUP($B36,Matrix!$H$13:$I$37,2,FALSE)&amp;"_"&amp;C36</f>
        <v>#N/A</v>
      </c>
      <c r="O36" s="123" t="e">
        <f t="shared" ref="O36:O67" ca="1" si="2">"#define "&amp;N36&amp;REPT(" ",48-M36)&amp;"("&amp;D36&amp;"U)"</f>
        <v>#N/A</v>
      </c>
    </row>
    <row r="37" spans="2:15">
      <c r="B37" s="24"/>
      <c r="C37" s="23"/>
      <c r="D37" s="115"/>
      <c r="E37" s="24"/>
      <c r="F37" s="116"/>
      <c r="G37" s="24"/>
      <c r="H37" s="116"/>
      <c r="I37" s="24"/>
      <c r="J37" s="116"/>
      <c r="K37" s="24"/>
      <c r="L37" s="116"/>
      <c r="M37" s="43" t="e">
        <f t="shared" ca="1" si="1"/>
        <v>#N/A</v>
      </c>
      <c r="N37" s="108" t="e">
        <f ca="1">VLOOKUP($B37,Matrix!$H$13:$I$37,2,FALSE)&amp;"_"&amp;C37</f>
        <v>#N/A</v>
      </c>
      <c r="O37" s="123" t="e">
        <f t="shared" ca="1" si="2"/>
        <v>#N/A</v>
      </c>
    </row>
    <row r="38" spans="2:15">
      <c r="B38" s="24"/>
      <c r="C38" s="23"/>
      <c r="D38" s="115"/>
      <c r="E38" s="24"/>
      <c r="F38" s="116"/>
      <c r="G38" s="24"/>
      <c r="H38" s="116"/>
      <c r="I38" s="24"/>
      <c r="J38" s="116"/>
      <c r="K38" s="24"/>
      <c r="L38" s="116"/>
      <c r="M38" s="43" t="e">
        <f t="shared" ca="1" si="1"/>
        <v>#N/A</v>
      </c>
      <c r="N38" s="108" t="e">
        <f ca="1">VLOOKUP($B38,Matrix!$H$13:$I$37,2,FALSE)&amp;"_"&amp;C38</f>
        <v>#N/A</v>
      </c>
      <c r="O38" s="123" t="e">
        <f t="shared" ca="1" si="2"/>
        <v>#N/A</v>
      </c>
    </row>
    <row r="39" spans="2:15">
      <c r="B39" s="24"/>
      <c r="C39" s="23"/>
      <c r="D39" s="115"/>
      <c r="E39" s="24"/>
      <c r="F39" s="116"/>
      <c r="G39" s="24"/>
      <c r="H39" s="116"/>
      <c r="I39" s="24"/>
      <c r="J39" s="116"/>
      <c r="K39" s="24"/>
      <c r="L39" s="116"/>
      <c r="M39" s="43" t="e">
        <f t="shared" ca="1" si="1"/>
        <v>#N/A</v>
      </c>
      <c r="N39" s="108" t="e">
        <f ca="1">VLOOKUP($B39,Matrix!$H$13:$I$37,2,FALSE)&amp;"_"&amp;C39</f>
        <v>#N/A</v>
      </c>
      <c r="O39" s="123" t="e">
        <f t="shared" ca="1" si="2"/>
        <v>#N/A</v>
      </c>
    </row>
    <row r="40" spans="2:15">
      <c r="B40" s="24"/>
      <c r="C40" s="23"/>
      <c r="D40" s="115"/>
      <c r="E40" s="24"/>
      <c r="F40" s="116"/>
      <c r="G40" s="24"/>
      <c r="H40" s="116"/>
      <c r="I40" s="24"/>
      <c r="J40" s="116"/>
      <c r="K40" s="24"/>
      <c r="L40" s="116"/>
      <c r="M40" s="43" t="e">
        <f t="shared" ca="1" si="1"/>
        <v>#N/A</v>
      </c>
      <c r="N40" s="108" t="e">
        <f ca="1">VLOOKUP($B40,Matrix!$H$13:$I$37,2,FALSE)&amp;"_"&amp;C40</f>
        <v>#N/A</v>
      </c>
      <c r="O40" s="123" t="e">
        <f t="shared" ca="1" si="2"/>
        <v>#N/A</v>
      </c>
    </row>
    <row r="41" spans="2:15">
      <c r="B41" s="24"/>
      <c r="C41" s="23"/>
      <c r="D41" s="115"/>
      <c r="E41" s="24"/>
      <c r="F41" s="116"/>
      <c r="G41" s="24"/>
      <c r="H41" s="116"/>
      <c r="I41" s="24"/>
      <c r="J41" s="116"/>
      <c r="K41" s="24"/>
      <c r="L41" s="116"/>
      <c r="M41" s="43" t="e">
        <f t="shared" ca="1" si="1"/>
        <v>#N/A</v>
      </c>
      <c r="N41" s="108" t="e">
        <f ca="1">VLOOKUP($B41,Matrix!$H$13:$I$37,2,FALSE)&amp;"_"&amp;C41</f>
        <v>#N/A</v>
      </c>
      <c r="O41" s="123" t="e">
        <f t="shared" ca="1" si="2"/>
        <v>#N/A</v>
      </c>
    </row>
    <row r="42" spans="2:15">
      <c r="B42" s="24"/>
      <c r="C42" s="23"/>
      <c r="D42" s="115"/>
      <c r="E42" s="24"/>
      <c r="F42" s="116"/>
      <c r="G42" s="24"/>
      <c r="H42" s="116"/>
      <c r="I42" s="24"/>
      <c r="J42" s="116"/>
      <c r="K42" s="24"/>
      <c r="L42" s="116"/>
      <c r="M42" s="43" t="e">
        <f t="shared" ca="1" si="1"/>
        <v>#N/A</v>
      </c>
      <c r="N42" s="108" t="e">
        <f ca="1">VLOOKUP($B42,Matrix!$H$13:$I$37,2,FALSE)&amp;"_"&amp;C42</f>
        <v>#N/A</v>
      </c>
      <c r="O42" s="123" t="e">
        <f t="shared" ca="1" si="2"/>
        <v>#N/A</v>
      </c>
    </row>
    <row r="43" spans="2:15">
      <c r="B43" s="24"/>
      <c r="C43" s="23"/>
      <c r="D43" s="115"/>
      <c r="E43" s="24"/>
      <c r="F43" s="116"/>
      <c r="G43" s="24"/>
      <c r="H43" s="116"/>
      <c r="I43" s="24"/>
      <c r="J43" s="116"/>
      <c r="K43" s="24"/>
      <c r="L43" s="116"/>
      <c r="M43" s="43" t="e">
        <f t="shared" ca="1" si="1"/>
        <v>#N/A</v>
      </c>
      <c r="N43" s="108" t="e">
        <f ca="1">VLOOKUP($B43,Matrix!$H$13:$I$37,2,FALSE)&amp;"_"&amp;C43</f>
        <v>#N/A</v>
      </c>
      <c r="O43" s="123" t="e">
        <f t="shared" ca="1" si="2"/>
        <v>#N/A</v>
      </c>
    </row>
    <row r="44" spans="2:15">
      <c r="B44" s="24"/>
      <c r="C44" s="23"/>
      <c r="D44" s="115"/>
      <c r="E44" s="24"/>
      <c r="F44" s="116"/>
      <c r="G44" s="24"/>
      <c r="H44" s="116"/>
      <c r="I44" s="24"/>
      <c r="J44" s="116"/>
      <c r="K44" s="24"/>
      <c r="L44" s="116"/>
      <c r="M44" s="43" t="e">
        <f t="shared" ca="1" si="1"/>
        <v>#N/A</v>
      </c>
      <c r="N44" s="108" t="e">
        <f ca="1">VLOOKUP($B44,Matrix!$H$13:$I$37,2,FALSE)&amp;"_"&amp;C44</f>
        <v>#N/A</v>
      </c>
      <c r="O44" s="123" t="e">
        <f t="shared" ca="1" si="2"/>
        <v>#N/A</v>
      </c>
    </row>
    <row r="45" spans="2:15">
      <c r="B45" s="24"/>
      <c r="C45" s="23"/>
      <c r="D45" s="115"/>
      <c r="E45" s="24"/>
      <c r="F45" s="116"/>
      <c r="G45" s="24"/>
      <c r="H45" s="116"/>
      <c r="I45" s="24"/>
      <c r="J45" s="116"/>
      <c r="K45" s="24"/>
      <c r="L45" s="116"/>
      <c r="M45" s="43" t="e">
        <f t="shared" ca="1" si="1"/>
        <v>#N/A</v>
      </c>
      <c r="N45" s="108" t="e">
        <f ca="1">VLOOKUP($B45,Matrix!$H$13:$I$37,2,FALSE)&amp;"_"&amp;C45</f>
        <v>#N/A</v>
      </c>
      <c r="O45" s="123" t="e">
        <f t="shared" ca="1" si="2"/>
        <v>#N/A</v>
      </c>
    </row>
    <row r="46" spans="2:15">
      <c r="B46" s="24"/>
      <c r="C46" s="23"/>
      <c r="D46" s="115"/>
      <c r="E46" s="24"/>
      <c r="F46" s="116"/>
      <c r="G46" s="24"/>
      <c r="H46" s="116"/>
      <c r="I46" s="24"/>
      <c r="J46" s="116"/>
      <c r="K46" s="24"/>
      <c r="L46" s="116"/>
      <c r="M46" s="43" t="e">
        <f t="shared" ca="1" si="1"/>
        <v>#N/A</v>
      </c>
      <c r="N46" s="108" t="e">
        <f ca="1">VLOOKUP($B46,Matrix!$H$13:$I$37,2,FALSE)&amp;"_"&amp;C46</f>
        <v>#N/A</v>
      </c>
      <c r="O46" s="123" t="e">
        <f t="shared" ca="1" si="2"/>
        <v>#N/A</v>
      </c>
    </row>
    <row r="47" spans="2:15">
      <c r="B47" s="24"/>
      <c r="C47" s="23"/>
      <c r="D47" s="115"/>
      <c r="E47" s="24"/>
      <c r="F47" s="116"/>
      <c r="G47" s="24"/>
      <c r="H47" s="116"/>
      <c r="I47" s="24"/>
      <c r="J47" s="116"/>
      <c r="K47" s="24"/>
      <c r="L47" s="116"/>
      <c r="M47" s="43" t="e">
        <f t="shared" ca="1" si="1"/>
        <v>#N/A</v>
      </c>
      <c r="N47" s="108" t="e">
        <f ca="1">VLOOKUP($B47,Matrix!$H$13:$I$37,2,FALSE)&amp;"_"&amp;C47</f>
        <v>#N/A</v>
      </c>
      <c r="O47" s="123" t="e">
        <f t="shared" ca="1" si="2"/>
        <v>#N/A</v>
      </c>
    </row>
    <row r="48" spans="2:15">
      <c r="B48" s="24"/>
      <c r="C48" s="23"/>
      <c r="D48" s="115"/>
      <c r="E48" s="24"/>
      <c r="F48" s="116"/>
      <c r="G48" s="24"/>
      <c r="H48" s="116"/>
      <c r="I48" s="24"/>
      <c r="J48" s="116"/>
      <c r="K48" s="24"/>
      <c r="L48" s="116"/>
      <c r="M48" s="43" t="e">
        <f t="shared" ca="1" si="1"/>
        <v>#N/A</v>
      </c>
      <c r="N48" s="108" t="e">
        <f ca="1">VLOOKUP($B48,Matrix!$H$13:$I$37,2,FALSE)&amp;"_"&amp;C48</f>
        <v>#N/A</v>
      </c>
      <c r="O48" s="123" t="e">
        <f t="shared" ca="1" si="2"/>
        <v>#N/A</v>
      </c>
    </row>
    <row r="49" spans="2:15">
      <c r="B49" s="24"/>
      <c r="C49" s="23"/>
      <c r="D49" s="115"/>
      <c r="E49" s="24"/>
      <c r="F49" s="116"/>
      <c r="G49" s="24"/>
      <c r="H49" s="116"/>
      <c r="I49" s="24"/>
      <c r="J49" s="116"/>
      <c r="K49" s="24"/>
      <c r="L49" s="116"/>
      <c r="M49" s="43" t="e">
        <f t="shared" ca="1" si="1"/>
        <v>#N/A</v>
      </c>
      <c r="N49" s="108" t="e">
        <f ca="1">VLOOKUP($B49,Matrix!$H$13:$I$37,2,FALSE)&amp;"_"&amp;C49</f>
        <v>#N/A</v>
      </c>
      <c r="O49" s="123" t="e">
        <f t="shared" ca="1" si="2"/>
        <v>#N/A</v>
      </c>
    </row>
    <row r="50" spans="2:15">
      <c r="B50" s="24"/>
      <c r="C50" s="23"/>
      <c r="D50" s="115"/>
      <c r="E50" s="24"/>
      <c r="F50" s="116"/>
      <c r="G50" s="24"/>
      <c r="H50" s="116"/>
      <c r="I50" s="24"/>
      <c r="J50" s="116"/>
      <c r="K50" s="24"/>
      <c r="L50" s="116"/>
      <c r="M50" s="43" t="e">
        <f t="shared" ca="1" si="1"/>
        <v>#N/A</v>
      </c>
      <c r="N50" s="108" t="e">
        <f ca="1">VLOOKUP($B50,Matrix!$H$13:$I$37,2,FALSE)&amp;"_"&amp;C50</f>
        <v>#N/A</v>
      </c>
      <c r="O50" s="123" t="e">
        <f t="shared" ca="1" si="2"/>
        <v>#N/A</v>
      </c>
    </row>
    <row r="51" spans="2:15">
      <c r="B51" s="24"/>
      <c r="C51" s="23"/>
      <c r="D51" s="115"/>
      <c r="E51" s="24"/>
      <c r="F51" s="116"/>
      <c r="G51" s="24"/>
      <c r="H51" s="116"/>
      <c r="I51" s="24"/>
      <c r="J51" s="116"/>
      <c r="K51" s="24"/>
      <c r="L51" s="116"/>
      <c r="M51" s="43" t="e">
        <f t="shared" ca="1" si="1"/>
        <v>#N/A</v>
      </c>
      <c r="N51" s="108" t="e">
        <f ca="1">VLOOKUP($B51,Matrix!$H$13:$I$37,2,FALSE)&amp;"_"&amp;C51</f>
        <v>#N/A</v>
      </c>
      <c r="O51" s="123" t="e">
        <f t="shared" ca="1" si="2"/>
        <v>#N/A</v>
      </c>
    </row>
    <row r="52" spans="2:15">
      <c r="B52" s="24"/>
      <c r="C52" s="23"/>
      <c r="D52" s="115"/>
      <c r="E52" s="24"/>
      <c r="F52" s="116"/>
      <c r="G52" s="24"/>
      <c r="H52" s="116"/>
      <c r="I52" s="24"/>
      <c r="J52" s="116"/>
      <c r="K52" s="24"/>
      <c r="L52" s="116"/>
      <c r="M52" s="43" t="e">
        <f t="shared" ca="1" si="1"/>
        <v>#N/A</v>
      </c>
      <c r="N52" s="108" t="e">
        <f ca="1">VLOOKUP($B52,Matrix!$H$13:$I$37,2,FALSE)&amp;"_"&amp;C52</f>
        <v>#N/A</v>
      </c>
      <c r="O52" s="123" t="e">
        <f t="shared" ca="1" si="2"/>
        <v>#N/A</v>
      </c>
    </row>
    <row r="53" spans="2:15">
      <c r="B53" s="24"/>
      <c r="C53" s="23"/>
      <c r="D53" s="115"/>
      <c r="E53" s="24"/>
      <c r="F53" s="116"/>
      <c r="G53" s="24"/>
      <c r="H53" s="116"/>
      <c r="I53" s="24"/>
      <c r="J53" s="116"/>
      <c r="K53" s="24"/>
      <c r="L53" s="116"/>
      <c r="M53" s="43" t="e">
        <f t="shared" ca="1" si="1"/>
        <v>#N/A</v>
      </c>
      <c r="N53" s="108" t="e">
        <f ca="1">VLOOKUP($B53,Matrix!$H$13:$I$37,2,FALSE)&amp;"_"&amp;C53</f>
        <v>#N/A</v>
      </c>
      <c r="O53" s="123" t="e">
        <f t="shared" ca="1" si="2"/>
        <v>#N/A</v>
      </c>
    </row>
    <row r="54" spans="2:15">
      <c r="B54" s="24"/>
      <c r="C54" s="23"/>
      <c r="D54" s="115"/>
      <c r="E54" s="24"/>
      <c r="F54" s="116"/>
      <c r="G54" s="24"/>
      <c r="H54" s="116"/>
      <c r="I54" s="24"/>
      <c r="J54" s="116"/>
      <c r="K54" s="24"/>
      <c r="L54" s="116"/>
      <c r="M54" s="43" t="e">
        <f t="shared" ca="1" si="1"/>
        <v>#N/A</v>
      </c>
      <c r="N54" s="108" t="e">
        <f ca="1">VLOOKUP($B54,Matrix!$H$13:$I$37,2,FALSE)&amp;"_"&amp;C54</f>
        <v>#N/A</v>
      </c>
      <c r="O54" s="123" t="e">
        <f t="shared" ca="1" si="2"/>
        <v>#N/A</v>
      </c>
    </row>
    <row r="55" spans="2:15">
      <c r="B55" s="24"/>
      <c r="C55" s="23"/>
      <c r="D55" s="115"/>
      <c r="E55" s="24"/>
      <c r="F55" s="116"/>
      <c r="G55" s="24"/>
      <c r="H55" s="116"/>
      <c r="I55" s="24"/>
      <c r="J55" s="116"/>
      <c r="K55" s="24"/>
      <c r="L55" s="116"/>
      <c r="M55" s="43" t="e">
        <f t="shared" ca="1" si="1"/>
        <v>#N/A</v>
      </c>
      <c r="N55" s="108" t="e">
        <f ca="1">VLOOKUP($B55,Matrix!$H$13:$I$37,2,FALSE)&amp;"_"&amp;C55</f>
        <v>#N/A</v>
      </c>
      <c r="O55" s="123" t="e">
        <f t="shared" ca="1" si="2"/>
        <v>#N/A</v>
      </c>
    </row>
    <row r="56" spans="2:15">
      <c r="B56" s="24"/>
      <c r="C56" s="23"/>
      <c r="D56" s="115"/>
      <c r="E56" s="24"/>
      <c r="F56" s="116"/>
      <c r="G56" s="24"/>
      <c r="H56" s="116"/>
      <c r="I56" s="24"/>
      <c r="J56" s="116"/>
      <c r="K56" s="24"/>
      <c r="L56" s="116"/>
      <c r="M56" s="43" t="e">
        <f t="shared" ca="1" si="1"/>
        <v>#N/A</v>
      </c>
      <c r="N56" s="108" t="e">
        <f ca="1">VLOOKUP($B56,Matrix!$H$13:$I$37,2,FALSE)&amp;"_"&amp;C56</f>
        <v>#N/A</v>
      </c>
      <c r="O56" s="123" t="e">
        <f t="shared" ca="1" si="2"/>
        <v>#N/A</v>
      </c>
    </row>
    <row r="57" spans="2:15">
      <c r="B57" s="24"/>
      <c r="C57" s="23"/>
      <c r="D57" s="115"/>
      <c r="E57" s="24"/>
      <c r="F57" s="116"/>
      <c r="G57" s="24"/>
      <c r="H57" s="116"/>
      <c r="I57" s="24"/>
      <c r="J57" s="116"/>
      <c r="K57" s="24"/>
      <c r="L57" s="116"/>
      <c r="M57" s="43" t="e">
        <f t="shared" ca="1" si="1"/>
        <v>#N/A</v>
      </c>
      <c r="N57" s="108" t="e">
        <f ca="1">VLOOKUP($B57,Matrix!$H$13:$I$37,2,FALSE)&amp;"_"&amp;C57</f>
        <v>#N/A</v>
      </c>
      <c r="O57" s="123" t="e">
        <f t="shared" ca="1" si="2"/>
        <v>#N/A</v>
      </c>
    </row>
    <row r="58" spans="2:15">
      <c r="B58" s="24"/>
      <c r="C58" s="23"/>
      <c r="D58" s="115"/>
      <c r="E58" s="24"/>
      <c r="F58" s="116"/>
      <c r="G58" s="24"/>
      <c r="H58" s="116"/>
      <c r="I58" s="24"/>
      <c r="J58" s="116"/>
      <c r="K58" s="24"/>
      <c r="L58" s="116"/>
      <c r="M58" s="43" t="e">
        <f t="shared" ca="1" si="1"/>
        <v>#N/A</v>
      </c>
      <c r="N58" s="108" t="e">
        <f ca="1">VLOOKUP($B58,Matrix!$H$13:$I$37,2,FALSE)&amp;"_"&amp;C58</f>
        <v>#N/A</v>
      </c>
      <c r="O58" s="123" t="e">
        <f t="shared" ca="1" si="2"/>
        <v>#N/A</v>
      </c>
    </row>
    <row r="59" spans="2:15">
      <c r="B59" s="24"/>
      <c r="C59" s="23"/>
      <c r="D59" s="115"/>
      <c r="E59" s="24"/>
      <c r="F59" s="116"/>
      <c r="G59" s="24"/>
      <c r="H59" s="116"/>
      <c r="I59" s="24"/>
      <c r="J59" s="116"/>
      <c r="K59" s="24"/>
      <c r="L59" s="116"/>
      <c r="M59" s="43" t="e">
        <f t="shared" ca="1" si="1"/>
        <v>#N/A</v>
      </c>
      <c r="N59" s="108" t="e">
        <f ca="1">VLOOKUP($B59,Matrix!$H$13:$I$37,2,FALSE)&amp;"_"&amp;C59</f>
        <v>#N/A</v>
      </c>
      <c r="O59" s="123" t="e">
        <f t="shared" ca="1" si="2"/>
        <v>#N/A</v>
      </c>
    </row>
    <row r="60" spans="2:15">
      <c r="B60" s="24"/>
      <c r="C60" s="23"/>
      <c r="D60" s="115"/>
      <c r="E60" s="24"/>
      <c r="F60" s="116"/>
      <c r="G60" s="24"/>
      <c r="H60" s="116"/>
      <c r="I60" s="24"/>
      <c r="J60" s="116"/>
      <c r="K60" s="24"/>
      <c r="L60" s="116"/>
      <c r="M60" s="43" t="e">
        <f t="shared" ca="1" si="1"/>
        <v>#N/A</v>
      </c>
      <c r="N60" s="108" t="e">
        <f ca="1">VLOOKUP($B60,Matrix!$H$13:$I$37,2,FALSE)&amp;"_"&amp;C60</f>
        <v>#N/A</v>
      </c>
      <c r="O60" s="123" t="e">
        <f t="shared" ca="1" si="2"/>
        <v>#N/A</v>
      </c>
    </row>
    <row r="61" spans="2:15">
      <c r="B61" s="24"/>
      <c r="C61" s="23"/>
      <c r="D61" s="115"/>
      <c r="E61" s="24"/>
      <c r="F61" s="116"/>
      <c r="G61" s="24"/>
      <c r="H61" s="116"/>
      <c r="I61" s="24"/>
      <c r="J61" s="116"/>
      <c r="K61" s="24"/>
      <c r="L61" s="116"/>
      <c r="M61" s="43" t="e">
        <f t="shared" ca="1" si="1"/>
        <v>#N/A</v>
      </c>
      <c r="N61" s="108" t="e">
        <f ca="1">VLOOKUP($B61,Matrix!$H$13:$I$37,2,FALSE)&amp;"_"&amp;C61</f>
        <v>#N/A</v>
      </c>
      <c r="O61" s="123" t="e">
        <f t="shared" ca="1" si="2"/>
        <v>#N/A</v>
      </c>
    </row>
    <row r="62" spans="2:15">
      <c r="B62" s="24"/>
      <c r="C62" s="23"/>
      <c r="D62" s="115"/>
      <c r="E62" s="24"/>
      <c r="F62" s="116"/>
      <c r="G62" s="24"/>
      <c r="H62" s="116"/>
      <c r="I62" s="24"/>
      <c r="J62" s="116"/>
      <c r="K62" s="24"/>
      <c r="L62" s="116"/>
      <c r="M62" s="43" t="e">
        <f t="shared" ca="1" si="1"/>
        <v>#N/A</v>
      </c>
      <c r="N62" s="108" t="e">
        <f ca="1">VLOOKUP($B62,Matrix!$H$13:$I$37,2,FALSE)&amp;"_"&amp;C62</f>
        <v>#N/A</v>
      </c>
      <c r="O62" s="123" t="e">
        <f t="shared" ca="1" si="2"/>
        <v>#N/A</v>
      </c>
    </row>
    <row r="63" spans="2:15">
      <c r="B63" s="24"/>
      <c r="C63" s="23"/>
      <c r="D63" s="115"/>
      <c r="E63" s="24"/>
      <c r="F63" s="116"/>
      <c r="G63" s="24"/>
      <c r="H63" s="116"/>
      <c r="I63" s="24"/>
      <c r="J63" s="116"/>
      <c r="K63" s="24"/>
      <c r="L63" s="116"/>
      <c r="M63" s="43" t="e">
        <f t="shared" ca="1" si="1"/>
        <v>#N/A</v>
      </c>
      <c r="N63" s="108" t="e">
        <f ca="1">VLOOKUP($B63,Matrix!$H$13:$I$37,2,FALSE)&amp;"_"&amp;C63</f>
        <v>#N/A</v>
      </c>
      <c r="O63" s="123" t="e">
        <f t="shared" ca="1" si="2"/>
        <v>#N/A</v>
      </c>
    </row>
    <row r="64" spans="2:15">
      <c r="B64" s="24"/>
      <c r="C64" s="23"/>
      <c r="D64" s="115"/>
      <c r="E64" s="24"/>
      <c r="F64" s="116"/>
      <c r="G64" s="24"/>
      <c r="H64" s="116"/>
      <c r="I64" s="24"/>
      <c r="J64" s="116"/>
      <c r="K64" s="24"/>
      <c r="L64" s="116"/>
      <c r="M64" s="43" t="e">
        <f t="shared" ca="1" si="1"/>
        <v>#N/A</v>
      </c>
      <c r="N64" s="108" t="e">
        <f ca="1">VLOOKUP($B64,Matrix!$H$13:$I$37,2,FALSE)&amp;"_"&amp;C64</f>
        <v>#N/A</v>
      </c>
      <c r="O64" s="123" t="e">
        <f t="shared" ca="1" si="2"/>
        <v>#N/A</v>
      </c>
    </row>
    <row r="65" spans="2:15">
      <c r="B65" s="24"/>
      <c r="C65" s="23"/>
      <c r="D65" s="115"/>
      <c r="E65" s="24"/>
      <c r="F65" s="116"/>
      <c r="G65" s="24"/>
      <c r="H65" s="116"/>
      <c r="I65" s="24"/>
      <c r="J65" s="116"/>
      <c r="K65" s="24"/>
      <c r="L65" s="116"/>
      <c r="M65" s="43" t="e">
        <f t="shared" ca="1" si="1"/>
        <v>#N/A</v>
      </c>
      <c r="N65" s="108" t="e">
        <f ca="1">VLOOKUP($B65,Matrix!$H$13:$I$37,2,FALSE)&amp;"_"&amp;C65</f>
        <v>#N/A</v>
      </c>
      <c r="O65" s="123" t="e">
        <f t="shared" ca="1" si="2"/>
        <v>#N/A</v>
      </c>
    </row>
    <row r="66" spans="2:15">
      <c r="B66" s="24"/>
      <c r="C66" s="23"/>
      <c r="D66" s="115"/>
      <c r="E66" s="24"/>
      <c r="F66" s="116"/>
      <c r="G66" s="24"/>
      <c r="H66" s="116"/>
      <c r="I66" s="24"/>
      <c r="J66" s="116"/>
      <c r="K66" s="24"/>
      <c r="L66" s="116"/>
      <c r="M66" s="43" t="e">
        <f t="shared" ca="1" si="1"/>
        <v>#N/A</v>
      </c>
      <c r="N66" s="108" t="e">
        <f ca="1">VLOOKUP($B66,Matrix!$H$13:$I$37,2,FALSE)&amp;"_"&amp;C66</f>
        <v>#N/A</v>
      </c>
      <c r="O66" s="123" t="e">
        <f t="shared" ca="1" si="2"/>
        <v>#N/A</v>
      </c>
    </row>
    <row r="67" spans="2:15">
      <c r="B67" s="24"/>
      <c r="C67" s="23"/>
      <c r="D67" s="115"/>
      <c r="E67" s="24"/>
      <c r="F67" s="116"/>
      <c r="G67" s="24"/>
      <c r="H67" s="116"/>
      <c r="I67" s="24"/>
      <c r="J67" s="116"/>
      <c r="K67" s="24"/>
      <c r="L67" s="116"/>
      <c r="M67" s="43" t="e">
        <f t="shared" ca="1" si="1"/>
        <v>#N/A</v>
      </c>
      <c r="N67" s="108" t="e">
        <f ca="1">VLOOKUP($B67,Matrix!$H$13:$I$37,2,FALSE)&amp;"_"&amp;C67</f>
        <v>#N/A</v>
      </c>
      <c r="O67" s="123" t="e">
        <f t="shared" ca="1" si="2"/>
        <v>#N/A</v>
      </c>
    </row>
    <row r="68" spans="2:15">
      <c r="B68" s="24"/>
      <c r="C68" s="23"/>
      <c r="D68" s="115"/>
      <c r="E68" s="24"/>
      <c r="F68" s="116"/>
      <c r="G68" s="24"/>
      <c r="H68" s="116"/>
      <c r="I68" s="24"/>
      <c r="J68" s="116"/>
      <c r="K68" s="24"/>
      <c r="L68" s="116"/>
      <c r="M68" s="43" t="e">
        <f t="shared" ca="1" si="1"/>
        <v>#N/A</v>
      </c>
      <c r="N68" s="108" t="e">
        <f ca="1">VLOOKUP($B68,Matrix!$H$13:$I$37,2,FALSE)&amp;"_"&amp;C68</f>
        <v>#N/A</v>
      </c>
      <c r="O68" s="123" t="e">
        <f t="shared" ref="O68:O99" ca="1" si="3">"#define "&amp;N68&amp;REPT(" ",48-M68)&amp;"("&amp;D68&amp;"U)"</f>
        <v>#N/A</v>
      </c>
    </row>
    <row r="69" spans="2:15">
      <c r="B69" s="24"/>
      <c r="C69" s="23"/>
      <c r="D69" s="115"/>
      <c r="E69" s="24"/>
      <c r="F69" s="116"/>
      <c r="G69" s="24"/>
      <c r="H69" s="116"/>
      <c r="I69" s="24"/>
      <c r="J69" s="116"/>
      <c r="K69" s="24"/>
      <c r="L69" s="116"/>
      <c r="M69" s="43" t="e">
        <f t="shared" ref="M69:M103" ca="1" si="4">LEN(N69)</f>
        <v>#N/A</v>
      </c>
      <c r="N69" s="108" t="e">
        <f ca="1">VLOOKUP($B69,Matrix!$H$13:$I$37,2,FALSE)&amp;"_"&amp;C69</f>
        <v>#N/A</v>
      </c>
      <c r="O69" s="123" t="e">
        <f t="shared" ca="1" si="3"/>
        <v>#N/A</v>
      </c>
    </row>
    <row r="70" spans="2:15">
      <c r="B70" s="24"/>
      <c r="C70" s="23"/>
      <c r="D70" s="115"/>
      <c r="E70" s="24"/>
      <c r="F70" s="116"/>
      <c r="G70" s="24"/>
      <c r="H70" s="116"/>
      <c r="I70" s="24"/>
      <c r="J70" s="116"/>
      <c r="K70" s="24"/>
      <c r="L70" s="116"/>
      <c r="M70" s="43" t="e">
        <f t="shared" ca="1" si="4"/>
        <v>#N/A</v>
      </c>
      <c r="N70" s="108" t="e">
        <f ca="1">VLOOKUP($B70,Matrix!$H$13:$I$37,2,FALSE)&amp;"_"&amp;C70</f>
        <v>#N/A</v>
      </c>
      <c r="O70" s="123" t="e">
        <f t="shared" ca="1" si="3"/>
        <v>#N/A</v>
      </c>
    </row>
    <row r="71" spans="2:15">
      <c r="B71" s="24"/>
      <c r="C71" s="23"/>
      <c r="D71" s="115"/>
      <c r="E71" s="24"/>
      <c r="F71" s="116"/>
      <c r="G71" s="24"/>
      <c r="H71" s="116"/>
      <c r="I71" s="24"/>
      <c r="J71" s="116"/>
      <c r="K71" s="24"/>
      <c r="L71" s="116"/>
      <c r="M71" s="43" t="e">
        <f t="shared" ca="1" si="4"/>
        <v>#N/A</v>
      </c>
      <c r="N71" s="108" t="e">
        <f ca="1">VLOOKUP($B71,Matrix!$H$13:$I$37,2,FALSE)&amp;"_"&amp;C71</f>
        <v>#N/A</v>
      </c>
      <c r="O71" s="123" t="e">
        <f t="shared" ca="1" si="3"/>
        <v>#N/A</v>
      </c>
    </row>
    <row r="72" spans="2:15">
      <c r="B72" s="24"/>
      <c r="C72" s="23"/>
      <c r="D72" s="115"/>
      <c r="E72" s="24"/>
      <c r="F72" s="116"/>
      <c r="G72" s="24"/>
      <c r="H72" s="116"/>
      <c r="I72" s="24"/>
      <c r="J72" s="116"/>
      <c r="K72" s="24"/>
      <c r="L72" s="116"/>
      <c r="M72" s="43" t="e">
        <f t="shared" ca="1" si="4"/>
        <v>#N/A</v>
      </c>
      <c r="N72" s="108" t="e">
        <f ca="1">VLOOKUP($B72,Matrix!$H$13:$I$37,2,FALSE)&amp;"_"&amp;C72</f>
        <v>#N/A</v>
      </c>
      <c r="O72" s="123" t="e">
        <f t="shared" ca="1" si="3"/>
        <v>#N/A</v>
      </c>
    </row>
    <row r="73" spans="2:15">
      <c r="B73" s="24"/>
      <c r="C73" s="23"/>
      <c r="D73" s="115"/>
      <c r="E73" s="24"/>
      <c r="F73" s="116"/>
      <c r="G73" s="24"/>
      <c r="H73" s="116"/>
      <c r="I73" s="24"/>
      <c r="J73" s="116"/>
      <c r="K73" s="24"/>
      <c r="L73" s="116"/>
      <c r="M73" s="43" t="e">
        <f t="shared" ca="1" si="4"/>
        <v>#N/A</v>
      </c>
      <c r="N73" s="108" t="e">
        <f ca="1">VLOOKUP($B73,Matrix!$H$13:$I$37,2,FALSE)&amp;"_"&amp;C73</f>
        <v>#N/A</v>
      </c>
      <c r="O73" s="123" t="e">
        <f t="shared" ca="1" si="3"/>
        <v>#N/A</v>
      </c>
    </row>
    <row r="74" spans="2:15">
      <c r="B74" s="24"/>
      <c r="C74" s="23"/>
      <c r="D74" s="115"/>
      <c r="E74" s="24"/>
      <c r="F74" s="116"/>
      <c r="G74" s="24"/>
      <c r="H74" s="116"/>
      <c r="I74" s="24"/>
      <c r="J74" s="116"/>
      <c r="K74" s="24"/>
      <c r="L74" s="116"/>
      <c r="M74" s="43" t="e">
        <f t="shared" ca="1" si="4"/>
        <v>#N/A</v>
      </c>
      <c r="N74" s="108" t="e">
        <f ca="1">VLOOKUP($B74,Matrix!$H$13:$I$37,2,FALSE)&amp;"_"&amp;C74</f>
        <v>#N/A</v>
      </c>
      <c r="O74" s="123" t="e">
        <f t="shared" ca="1" si="3"/>
        <v>#N/A</v>
      </c>
    </row>
    <row r="75" spans="2:15">
      <c r="B75" s="24"/>
      <c r="C75" s="23"/>
      <c r="D75" s="115"/>
      <c r="E75" s="24"/>
      <c r="F75" s="116"/>
      <c r="G75" s="24"/>
      <c r="H75" s="116"/>
      <c r="I75" s="24"/>
      <c r="J75" s="116"/>
      <c r="K75" s="24"/>
      <c r="L75" s="116"/>
      <c r="M75" s="43" t="e">
        <f t="shared" ca="1" si="4"/>
        <v>#N/A</v>
      </c>
      <c r="N75" s="108" t="e">
        <f ca="1">VLOOKUP($B75,Matrix!$H$13:$I$37,2,FALSE)&amp;"_"&amp;C75</f>
        <v>#N/A</v>
      </c>
      <c r="O75" s="123" t="e">
        <f t="shared" ca="1" si="3"/>
        <v>#N/A</v>
      </c>
    </row>
    <row r="76" spans="2:15">
      <c r="B76" s="24"/>
      <c r="C76" s="23"/>
      <c r="D76" s="115"/>
      <c r="E76" s="24"/>
      <c r="F76" s="116"/>
      <c r="G76" s="24"/>
      <c r="H76" s="116"/>
      <c r="I76" s="24"/>
      <c r="J76" s="116"/>
      <c r="K76" s="24"/>
      <c r="L76" s="116"/>
      <c r="M76" s="43" t="e">
        <f t="shared" ca="1" si="4"/>
        <v>#N/A</v>
      </c>
      <c r="N76" s="108" t="e">
        <f ca="1">VLOOKUP($B76,Matrix!$H$13:$I$37,2,FALSE)&amp;"_"&amp;C76</f>
        <v>#N/A</v>
      </c>
      <c r="O76" s="123" t="e">
        <f t="shared" ca="1" si="3"/>
        <v>#N/A</v>
      </c>
    </row>
    <row r="77" spans="2:15">
      <c r="B77" s="24"/>
      <c r="C77" s="23"/>
      <c r="D77" s="115"/>
      <c r="E77" s="24"/>
      <c r="F77" s="116"/>
      <c r="G77" s="24"/>
      <c r="H77" s="116"/>
      <c r="I77" s="24"/>
      <c r="J77" s="116"/>
      <c r="K77" s="24"/>
      <c r="L77" s="116"/>
      <c r="M77" s="43" t="e">
        <f t="shared" ca="1" si="4"/>
        <v>#N/A</v>
      </c>
      <c r="N77" s="108" t="e">
        <f ca="1">VLOOKUP($B77,Matrix!$H$13:$I$37,2,FALSE)&amp;"_"&amp;C77</f>
        <v>#N/A</v>
      </c>
      <c r="O77" s="123" t="e">
        <f t="shared" ca="1" si="3"/>
        <v>#N/A</v>
      </c>
    </row>
    <row r="78" spans="2:15">
      <c r="B78" s="24"/>
      <c r="C78" s="23"/>
      <c r="D78" s="115"/>
      <c r="E78" s="24"/>
      <c r="F78" s="116"/>
      <c r="G78" s="24"/>
      <c r="H78" s="116"/>
      <c r="I78" s="24"/>
      <c r="J78" s="116"/>
      <c r="K78" s="24"/>
      <c r="L78" s="116"/>
      <c r="M78" s="43" t="e">
        <f t="shared" ca="1" si="4"/>
        <v>#N/A</v>
      </c>
      <c r="N78" s="108" t="e">
        <f ca="1">VLOOKUP($B78,Matrix!$H$13:$I$37,2,FALSE)&amp;"_"&amp;C78</f>
        <v>#N/A</v>
      </c>
      <c r="O78" s="123" t="e">
        <f t="shared" ca="1" si="3"/>
        <v>#N/A</v>
      </c>
    </row>
    <row r="79" spans="2:15">
      <c r="B79" s="24"/>
      <c r="C79" s="23"/>
      <c r="D79" s="115"/>
      <c r="E79" s="24"/>
      <c r="F79" s="116"/>
      <c r="G79" s="24"/>
      <c r="H79" s="116"/>
      <c r="I79" s="24"/>
      <c r="J79" s="116"/>
      <c r="K79" s="24"/>
      <c r="L79" s="116"/>
      <c r="M79" s="43" t="e">
        <f t="shared" ca="1" si="4"/>
        <v>#N/A</v>
      </c>
      <c r="N79" s="108" t="e">
        <f ca="1">VLOOKUP($B79,Matrix!$H$13:$I$37,2,FALSE)&amp;"_"&amp;C79</f>
        <v>#N/A</v>
      </c>
      <c r="O79" s="123" t="e">
        <f t="shared" ca="1" si="3"/>
        <v>#N/A</v>
      </c>
    </row>
    <row r="80" spans="2:15">
      <c r="B80" s="24"/>
      <c r="C80" s="23"/>
      <c r="D80" s="115"/>
      <c r="E80" s="24"/>
      <c r="F80" s="116"/>
      <c r="G80" s="24"/>
      <c r="H80" s="116"/>
      <c r="I80" s="24"/>
      <c r="J80" s="116"/>
      <c r="K80" s="24"/>
      <c r="L80" s="116"/>
      <c r="M80" s="43" t="e">
        <f t="shared" ca="1" si="4"/>
        <v>#N/A</v>
      </c>
      <c r="N80" s="108" t="e">
        <f ca="1">VLOOKUP($B80,Matrix!$H$13:$I$37,2,FALSE)&amp;"_"&amp;C80</f>
        <v>#N/A</v>
      </c>
      <c r="O80" s="123" t="e">
        <f t="shared" ca="1" si="3"/>
        <v>#N/A</v>
      </c>
    </row>
    <row r="81" spans="2:15">
      <c r="B81" s="24"/>
      <c r="C81" s="23"/>
      <c r="D81" s="115"/>
      <c r="E81" s="24"/>
      <c r="F81" s="116"/>
      <c r="G81" s="24"/>
      <c r="H81" s="116"/>
      <c r="I81" s="24"/>
      <c r="J81" s="116"/>
      <c r="K81" s="24"/>
      <c r="L81" s="116"/>
      <c r="M81" s="43" t="e">
        <f t="shared" ca="1" si="4"/>
        <v>#N/A</v>
      </c>
      <c r="N81" s="108" t="e">
        <f ca="1">VLOOKUP($B81,Matrix!$H$13:$I$37,2,FALSE)&amp;"_"&amp;C81</f>
        <v>#N/A</v>
      </c>
      <c r="O81" s="123" t="e">
        <f t="shared" ca="1" si="3"/>
        <v>#N/A</v>
      </c>
    </row>
    <row r="82" spans="2:15">
      <c r="B82" s="24"/>
      <c r="C82" s="23"/>
      <c r="D82" s="115"/>
      <c r="E82" s="24"/>
      <c r="F82" s="116"/>
      <c r="G82" s="24"/>
      <c r="H82" s="116"/>
      <c r="I82" s="24"/>
      <c r="J82" s="116"/>
      <c r="K82" s="24"/>
      <c r="L82" s="116"/>
      <c r="M82" s="43" t="e">
        <f t="shared" ca="1" si="4"/>
        <v>#N/A</v>
      </c>
      <c r="N82" s="108" t="e">
        <f ca="1">VLOOKUP($B82,Matrix!$H$13:$I$37,2,FALSE)&amp;"_"&amp;C82</f>
        <v>#N/A</v>
      </c>
      <c r="O82" s="123" t="e">
        <f t="shared" ca="1" si="3"/>
        <v>#N/A</v>
      </c>
    </row>
    <row r="83" spans="2:15">
      <c r="B83" s="24"/>
      <c r="C83" s="23"/>
      <c r="D83" s="115"/>
      <c r="E83" s="24"/>
      <c r="F83" s="116"/>
      <c r="G83" s="24"/>
      <c r="H83" s="116"/>
      <c r="I83" s="24"/>
      <c r="J83" s="116"/>
      <c r="K83" s="24"/>
      <c r="L83" s="116"/>
      <c r="M83" s="43" t="e">
        <f t="shared" ca="1" si="4"/>
        <v>#N/A</v>
      </c>
      <c r="N83" s="108" t="e">
        <f ca="1">VLOOKUP($B83,Matrix!$H$13:$I$37,2,FALSE)&amp;"_"&amp;C83</f>
        <v>#N/A</v>
      </c>
      <c r="O83" s="123" t="e">
        <f t="shared" ca="1" si="3"/>
        <v>#N/A</v>
      </c>
    </row>
    <row r="84" spans="2:15">
      <c r="B84" s="24"/>
      <c r="C84" s="23"/>
      <c r="D84" s="115"/>
      <c r="E84" s="24"/>
      <c r="F84" s="116"/>
      <c r="G84" s="24"/>
      <c r="H84" s="116"/>
      <c r="I84" s="24"/>
      <c r="J84" s="116"/>
      <c r="K84" s="24"/>
      <c r="L84" s="116"/>
      <c r="M84" s="43" t="e">
        <f t="shared" ca="1" si="4"/>
        <v>#N/A</v>
      </c>
      <c r="N84" s="108" t="e">
        <f ca="1">VLOOKUP($B84,Matrix!$H$13:$I$37,2,FALSE)&amp;"_"&amp;C84</f>
        <v>#N/A</v>
      </c>
      <c r="O84" s="123" t="e">
        <f t="shared" ca="1" si="3"/>
        <v>#N/A</v>
      </c>
    </row>
    <row r="85" spans="2:15">
      <c r="B85" s="24"/>
      <c r="C85" s="23"/>
      <c r="D85" s="115"/>
      <c r="E85" s="24"/>
      <c r="F85" s="116"/>
      <c r="G85" s="24"/>
      <c r="H85" s="116"/>
      <c r="I85" s="24"/>
      <c r="J85" s="116"/>
      <c r="K85" s="24"/>
      <c r="L85" s="116"/>
      <c r="M85" s="43" t="e">
        <f t="shared" ca="1" si="4"/>
        <v>#N/A</v>
      </c>
      <c r="N85" s="108" t="e">
        <f ca="1">VLOOKUP($B85,Matrix!$H$13:$I$37,2,FALSE)&amp;"_"&amp;C85</f>
        <v>#N/A</v>
      </c>
      <c r="O85" s="123" t="e">
        <f t="shared" ca="1" si="3"/>
        <v>#N/A</v>
      </c>
    </row>
    <row r="86" spans="2:15">
      <c r="B86" s="24"/>
      <c r="C86" s="23"/>
      <c r="D86" s="115"/>
      <c r="E86" s="24"/>
      <c r="F86" s="116"/>
      <c r="G86" s="24"/>
      <c r="H86" s="116"/>
      <c r="I86" s="24"/>
      <c r="J86" s="116"/>
      <c r="K86" s="24"/>
      <c r="L86" s="116"/>
      <c r="M86" s="43" t="e">
        <f t="shared" ca="1" si="4"/>
        <v>#N/A</v>
      </c>
      <c r="N86" s="108" t="e">
        <f ca="1">VLOOKUP($B86,Matrix!$H$13:$I$37,2,FALSE)&amp;"_"&amp;C86</f>
        <v>#N/A</v>
      </c>
      <c r="O86" s="123" t="e">
        <f t="shared" ca="1" si="3"/>
        <v>#N/A</v>
      </c>
    </row>
    <row r="87" spans="2:15">
      <c r="B87" s="24"/>
      <c r="C87" s="23"/>
      <c r="D87" s="115"/>
      <c r="E87" s="24"/>
      <c r="F87" s="116"/>
      <c r="G87" s="24"/>
      <c r="H87" s="116"/>
      <c r="I87" s="24"/>
      <c r="J87" s="116"/>
      <c r="K87" s="24"/>
      <c r="L87" s="116"/>
      <c r="M87" s="43" t="e">
        <f t="shared" ca="1" si="4"/>
        <v>#N/A</v>
      </c>
      <c r="N87" s="64" t="e">
        <f ca="1">VLOOKUP($B87,Matrix!$H$13:$I$37,2,FALSE)&amp;"_"&amp;C87</f>
        <v>#N/A</v>
      </c>
      <c r="O87" s="123" t="e">
        <f t="shared" ca="1" si="3"/>
        <v>#N/A</v>
      </c>
    </row>
    <row r="88" spans="2:15">
      <c r="B88" s="24"/>
      <c r="C88" s="23"/>
      <c r="D88" s="115"/>
      <c r="E88" s="24"/>
      <c r="F88" s="116"/>
      <c r="G88" s="24"/>
      <c r="H88" s="116"/>
      <c r="I88" s="24"/>
      <c r="J88" s="116"/>
      <c r="K88" s="24"/>
      <c r="L88" s="116"/>
      <c r="M88" s="43" t="e">
        <f t="shared" ca="1" si="4"/>
        <v>#N/A</v>
      </c>
      <c r="N88" s="64" t="e">
        <f ca="1">VLOOKUP($B88,Matrix!$H$13:$I$37,2,FALSE)&amp;"_"&amp;C88</f>
        <v>#N/A</v>
      </c>
      <c r="O88" s="123" t="e">
        <f t="shared" ca="1" si="3"/>
        <v>#N/A</v>
      </c>
    </row>
    <row r="89" spans="2:15">
      <c r="B89" s="24"/>
      <c r="C89" s="23"/>
      <c r="D89" s="115"/>
      <c r="E89" s="24"/>
      <c r="F89" s="116"/>
      <c r="G89" s="24"/>
      <c r="H89" s="116"/>
      <c r="I89" s="24"/>
      <c r="J89" s="116"/>
      <c r="K89" s="24"/>
      <c r="L89" s="116"/>
      <c r="M89" s="43" t="e">
        <f t="shared" ca="1" si="4"/>
        <v>#N/A</v>
      </c>
      <c r="N89" s="64" t="e">
        <f ca="1">VLOOKUP($B89,Matrix!$H$13:$I$37,2,FALSE)&amp;"_"&amp;C89</f>
        <v>#N/A</v>
      </c>
      <c r="O89" s="123" t="e">
        <f t="shared" ca="1" si="3"/>
        <v>#N/A</v>
      </c>
    </row>
    <row r="90" spans="2:15">
      <c r="B90" s="24"/>
      <c r="C90" s="23"/>
      <c r="D90" s="115"/>
      <c r="E90" s="24"/>
      <c r="F90" s="116"/>
      <c r="G90" s="24"/>
      <c r="H90" s="116"/>
      <c r="I90" s="24"/>
      <c r="J90" s="116"/>
      <c r="K90" s="24"/>
      <c r="L90" s="116"/>
      <c r="M90" s="43" t="e">
        <f t="shared" ca="1" si="4"/>
        <v>#N/A</v>
      </c>
      <c r="N90" s="64" t="e">
        <f ca="1">VLOOKUP($B90,Matrix!$H$13:$I$37,2,FALSE)&amp;"_"&amp;C90</f>
        <v>#N/A</v>
      </c>
      <c r="O90" s="123" t="e">
        <f t="shared" ca="1" si="3"/>
        <v>#N/A</v>
      </c>
    </row>
    <row r="91" spans="2:15">
      <c r="B91" s="24"/>
      <c r="C91" s="23"/>
      <c r="D91" s="115"/>
      <c r="E91" s="24"/>
      <c r="F91" s="116"/>
      <c r="G91" s="24"/>
      <c r="H91" s="116"/>
      <c r="I91" s="24"/>
      <c r="J91" s="116"/>
      <c r="K91" s="24"/>
      <c r="L91" s="116"/>
      <c r="M91" s="43" t="e">
        <f t="shared" ca="1" si="4"/>
        <v>#N/A</v>
      </c>
      <c r="N91" s="64" t="e">
        <f ca="1">VLOOKUP($B91,Matrix!$H$13:$I$37,2,FALSE)&amp;"_"&amp;C91</f>
        <v>#N/A</v>
      </c>
      <c r="O91" s="123" t="e">
        <f t="shared" ca="1" si="3"/>
        <v>#N/A</v>
      </c>
    </row>
    <row r="92" spans="2:15">
      <c r="B92" s="24"/>
      <c r="C92" s="23"/>
      <c r="D92" s="115"/>
      <c r="E92" s="24"/>
      <c r="F92" s="116"/>
      <c r="G92" s="24"/>
      <c r="H92" s="116"/>
      <c r="I92" s="24"/>
      <c r="J92" s="116"/>
      <c r="K92" s="24"/>
      <c r="L92" s="116"/>
      <c r="M92" s="43" t="e">
        <f t="shared" ca="1" si="4"/>
        <v>#N/A</v>
      </c>
      <c r="N92" s="64" t="e">
        <f ca="1">VLOOKUP($B92,Matrix!$H$13:$I$37,2,FALSE)&amp;"_"&amp;C92</f>
        <v>#N/A</v>
      </c>
      <c r="O92" s="123" t="e">
        <f t="shared" ca="1" si="3"/>
        <v>#N/A</v>
      </c>
    </row>
    <row r="93" spans="2:15">
      <c r="B93" s="24"/>
      <c r="C93" s="23"/>
      <c r="D93" s="115"/>
      <c r="E93" s="24"/>
      <c r="F93" s="116"/>
      <c r="G93" s="24"/>
      <c r="H93" s="116"/>
      <c r="I93" s="24"/>
      <c r="J93" s="116"/>
      <c r="K93" s="24"/>
      <c r="L93" s="116"/>
      <c r="M93" s="43" t="e">
        <f t="shared" ca="1" si="4"/>
        <v>#N/A</v>
      </c>
      <c r="N93" s="64" t="e">
        <f ca="1">VLOOKUP($B93,Matrix!$H$13:$I$37,2,FALSE)&amp;"_"&amp;C93</f>
        <v>#N/A</v>
      </c>
      <c r="O93" s="123" t="e">
        <f t="shared" ca="1" si="3"/>
        <v>#N/A</v>
      </c>
    </row>
    <row r="94" spans="2:15">
      <c r="B94" s="24"/>
      <c r="C94" s="23"/>
      <c r="D94" s="115"/>
      <c r="E94" s="24"/>
      <c r="F94" s="116"/>
      <c r="G94" s="24"/>
      <c r="H94" s="116"/>
      <c r="I94" s="24"/>
      <c r="J94" s="116"/>
      <c r="K94" s="24"/>
      <c r="L94" s="116"/>
      <c r="M94" s="43" t="e">
        <f t="shared" ca="1" si="4"/>
        <v>#N/A</v>
      </c>
      <c r="N94" s="64" t="e">
        <f ca="1">VLOOKUP($B94,Matrix!$H$13:$I$37,2,FALSE)&amp;"_"&amp;C94</f>
        <v>#N/A</v>
      </c>
      <c r="O94" s="123" t="e">
        <f t="shared" ca="1" si="3"/>
        <v>#N/A</v>
      </c>
    </row>
    <row r="95" spans="2:15">
      <c r="B95" s="24"/>
      <c r="C95" s="23"/>
      <c r="D95" s="115"/>
      <c r="E95" s="24"/>
      <c r="F95" s="116"/>
      <c r="G95" s="24"/>
      <c r="H95" s="116"/>
      <c r="I95" s="24"/>
      <c r="J95" s="116"/>
      <c r="K95" s="24"/>
      <c r="L95" s="116"/>
      <c r="M95" s="43" t="e">
        <f t="shared" ca="1" si="4"/>
        <v>#N/A</v>
      </c>
      <c r="N95" s="64" t="e">
        <f ca="1">VLOOKUP($B95,Matrix!$H$13:$I$37,2,FALSE)&amp;"_"&amp;C95</f>
        <v>#N/A</v>
      </c>
      <c r="O95" s="123" t="e">
        <f t="shared" ca="1" si="3"/>
        <v>#N/A</v>
      </c>
    </row>
    <row r="96" spans="2:15">
      <c r="B96" s="24"/>
      <c r="C96" s="23"/>
      <c r="D96" s="115"/>
      <c r="E96" s="24"/>
      <c r="F96" s="116"/>
      <c r="G96" s="24"/>
      <c r="H96" s="116"/>
      <c r="I96" s="24"/>
      <c r="J96" s="116"/>
      <c r="K96" s="24"/>
      <c r="L96" s="116"/>
      <c r="M96" s="43" t="e">
        <f t="shared" ca="1" si="4"/>
        <v>#N/A</v>
      </c>
      <c r="N96" s="64" t="e">
        <f ca="1">VLOOKUP($B96,Matrix!$H$13:$I$37,2,FALSE)&amp;"_"&amp;C96</f>
        <v>#N/A</v>
      </c>
      <c r="O96" s="123" t="e">
        <f t="shared" ca="1" si="3"/>
        <v>#N/A</v>
      </c>
    </row>
    <row r="97" spans="2:15">
      <c r="B97" s="24"/>
      <c r="C97" s="23"/>
      <c r="D97" s="115"/>
      <c r="E97" s="24"/>
      <c r="F97" s="116"/>
      <c r="G97" s="24"/>
      <c r="H97" s="116"/>
      <c r="I97" s="24"/>
      <c r="J97" s="116"/>
      <c r="K97" s="24"/>
      <c r="L97" s="116"/>
      <c r="M97" s="43" t="e">
        <f t="shared" ca="1" si="4"/>
        <v>#N/A</v>
      </c>
      <c r="N97" s="64" t="e">
        <f ca="1">VLOOKUP($B97,Matrix!$H$13:$I$37,2,FALSE)&amp;"_"&amp;C97</f>
        <v>#N/A</v>
      </c>
      <c r="O97" s="123" t="e">
        <f t="shared" ca="1" si="3"/>
        <v>#N/A</v>
      </c>
    </row>
    <row r="98" spans="2:15">
      <c r="B98" s="24"/>
      <c r="C98" s="23"/>
      <c r="D98" s="115"/>
      <c r="E98" s="24"/>
      <c r="F98" s="116"/>
      <c r="G98" s="24"/>
      <c r="H98" s="116"/>
      <c r="I98" s="24"/>
      <c r="J98" s="116"/>
      <c r="K98" s="24"/>
      <c r="L98" s="116"/>
      <c r="M98" s="43" t="e">
        <f t="shared" ca="1" si="4"/>
        <v>#N/A</v>
      </c>
      <c r="N98" s="64" t="e">
        <f ca="1">VLOOKUP($B98,Matrix!$H$13:$I$37,2,FALSE)&amp;"_"&amp;C98</f>
        <v>#N/A</v>
      </c>
      <c r="O98" s="123" t="e">
        <f t="shared" ca="1" si="3"/>
        <v>#N/A</v>
      </c>
    </row>
    <row r="99" spans="2:15">
      <c r="B99" s="24"/>
      <c r="C99" s="23"/>
      <c r="D99" s="115"/>
      <c r="E99" s="24"/>
      <c r="F99" s="116"/>
      <c r="G99" s="24"/>
      <c r="H99" s="116"/>
      <c r="I99" s="24"/>
      <c r="J99" s="116"/>
      <c r="K99" s="24"/>
      <c r="L99" s="116"/>
      <c r="M99" s="43" t="e">
        <f t="shared" ca="1" si="4"/>
        <v>#N/A</v>
      </c>
      <c r="N99" s="64" t="e">
        <f ca="1">VLOOKUP($B99,Matrix!$H$13:$I$37,2,FALSE)&amp;"_"&amp;C99</f>
        <v>#N/A</v>
      </c>
      <c r="O99" s="123" t="e">
        <f t="shared" ca="1" si="3"/>
        <v>#N/A</v>
      </c>
    </row>
    <row r="100" spans="2:15">
      <c r="B100" s="24"/>
      <c r="C100" s="23"/>
      <c r="D100" s="115"/>
      <c r="E100" s="24"/>
      <c r="F100" s="116"/>
      <c r="G100" s="24"/>
      <c r="H100" s="116"/>
      <c r="I100" s="24"/>
      <c r="J100" s="116"/>
      <c r="K100" s="24"/>
      <c r="L100" s="116"/>
      <c r="M100" s="43" t="e">
        <f t="shared" ca="1" si="4"/>
        <v>#N/A</v>
      </c>
      <c r="N100" s="64" t="e">
        <f ca="1">VLOOKUP($B100,Matrix!$H$13:$I$37,2,FALSE)&amp;"_"&amp;C100</f>
        <v>#N/A</v>
      </c>
      <c r="O100" s="123" t="e">
        <f t="shared" ref="O100:O103" ca="1" si="5">"#define "&amp;N100&amp;REPT(" ",48-M100)&amp;"("&amp;D100&amp;"U)"</f>
        <v>#N/A</v>
      </c>
    </row>
    <row r="101" spans="2:15">
      <c r="B101" s="24"/>
      <c r="C101" s="23"/>
      <c r="D101" s="115"/>
      <c r="E101" s="24"/>
      <c r="F101" s="116"/>
      <c r="G101" s="24"/>
      <c r="H101" s="116"/>
      <c r="I101" s="24"/>
      <c r="J101" s="116"/>
      <c r="K101" s="24"/>
      <c r="L101" s="116"/>
      <c r="M101" s="43" t="e">
        <f t="shared" ca="1" si="4"/>
        <v>#N/A</v>
      </c>
      <c r="N101" s="64" t="e">
        <f ca="1">VLOOKUP($B101,Matrix!$H$13:$I$37,2,FALSE)&amp;"_"&amp;C101</f>
        <v>#N/A</v>
      </c>
      <c r="O101" s="123" t="e">
        <f t="shared" ca="1" si="5"/>
        <v>#N/A</v>
      </c>
    </row>
    <row r="102" spans="2:15">
      <c r="B102" s="24"/>
      <c r="C102" s="23"/>
      <c r="D102" s="115"/>
      <c r="E102" s="24"/>
      <c r="F102" s="116"/>
      <c r="G102" s="24"/>
      <c r="H102" s="116"/>
      <c r="I102" s="24"/>
      <c r="J102" s="116"/>
      <c r="K102" s="24"/>
      <c r="L102" s="116"/>
      <c r="M102" s="43" t="e">
        <f t="shared" ca="1" si="4"/>
        <v>#N/A</v>
      </c>
      <c r="N102" s="64" t="e">
        <f ca="1">VLOOKUP($B102,Matrix!$H$13:$I$37,2,FALSE)&amp;"_"&amp;C102</f>
        <v>#N/A</v>
      </c>
      <c r="O102" s="123" t="e">
        <f t="shared" ca="1" si="5"/>
        <v>#N/A</v>
      </c>
    </row>
    <row r="103" spans="2:15" ht="14.25" thickBot="1">
      <c r="B103" s="49"/>
      <c r="C103" s="50"/>
      <c r="D103" s="117"/>
      <c r="E103" s="49"/>
      <c r="F103" s="118"/>
      <c r="G103" s="49"/>
      <c r="H103" s="118"/>
      <c r="I103" s="49"/>
      <c r="J103" s="118"/>
      <c r="K103" s="49"/>
      <c r="L103" s="118"/>
      <c r="M103" s="51" t="e">
        <f t="shared" ca="1" si="4"/>
        <v>#N/A</v>
      </c>
      <c r="N103" s="65" t="e">
        <f ca="1">VLOOKUP($B103,Matrix!$H$13:$I$37,2,FALSE)&amp;"_"&amp;C103</f>
        <v>#N/A</v>
      </c>
      <c r="O103" s="124" t="e">
        <f t="shared" ca="1" si="5"/>
        <v>#N/A</v>
      </c>
    </row>
  </sheetData>
  <sheetProtection sheet="1" objects="1" scenarios="1"/>
  <protectedRanges>
    <protectedRange sqref="B4:L103" name="範囲1"/>
  </protectedRanges>
  <phoneticPr fontId="2"/>
  <conditionalFormatting sqref="M4:M103">
    <cfRule type="cellIs" dxfId="31" priority="2" operator="greaterThan">
      <formula>32</formula>
    </cfRule>
  </conditionalFormatting>
  <conditionalFormatting sqref="M3">
    <cfRule type="cellIs" dxfId="30"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5" t="s">
        <v>124</v>
      </c>
      <c r="C2" s="323" t="s">
        <v>85</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25" t="s">
        <v>157</v>
      </c>
    </row>
    <row r="3" spans="1:49" ht="213" customHeight="1" thickBot="1">
      <c r="B3" s="240" t="str">
        <f>IF(OR(IF(COUNTIF(D6:AC69,"0")&lt;&gt;0,TRUE,FALSE),IF(COUNTIF(D6:AC69,"1")&lt;&gt;0,TRUE,FALSE)),"Search Table","Index Table")</f>
        <v>Index Table</v>
      </c>
      <c r="C3" s="324"/>
      <c r="D3" s="127" t="s">
        <v>62</v>
      </c>
      <c r="E3" s="127" t="s">
        <v>67</v>
      </c>
      <c r="F3" s="127" t="s">
        <v>50</v>
      </c>
      <c r="G3" s="127" t="s">
        <v>49</v>
      </c>
      <c r="H3" s="127" t="s">
        <v>122</v>
      </c>
      <c r="I3" s="127" t="s">
        <v>121</v>
      </c>
      <c r="J3" s="127" t="s">
        <v>126</v>
      </c>
      <c r="K3" s="127" t="s">
        <v>125</v>
      </c>
      <c r="L3" s="128" t="s">
        <v>67</v>
      </c>
      <c r="M3" s="128" t="s">
        <v>63</v>
      </c>
      <c r="N3" s="128" t="s">
        <v>63</v>
      </c>
      <c r="O3" s="128" t="s">
        <v>63</v>
      </c>
      <c r="P3" s="128" t="s">
        <v>63</v>
      </c>
      <c r="Q3" s="128" t="s">
        <v>63</v>
      </c>
      <c r="R3" s="128" t="s">
        <v>63</v>
      </c>
      <c r="S3" s="128" t="s">
        <v>63</v>
      </c>
      <c r="T3" s="128" t="s">
        <v>63</v>
      </c>
      <c r="U3" s="128" t="s">
        <v>63</v>
      </c>
      <c r="V3" s="128" t="s">
        <v>63</v>
      </c>
      <c r="W3" s="128" t="s">
        <v>63</v>
      </c>
      <c r="X3" s="128" t="s">
        <v>63</v>
      </c>
      <c r="Y3" s="128" t="s">
        <v>63</v>
      </c>
      <c r="Z3" s="128" t="s">
        <v>63</v>
      </c>
      <c r="AA3" s="128" t="s">
        <v>63</v>
      </c>
      <c r="AB3" s="128" t="s">
        <v>159</v>
      </c>
      <c r="AC3" s="128" t="s">
        <v>63</v>
      </c>
      <c r="AD3" s="128" t="s">
        <v>159</v>
      </c>
      <c r="AE3" s="128" t="s">
        <v>63</v>
      </c>
      <c r="AF3" s="321" t="s">
        <v>310</v>
      </c>
      <c r="AG3" s="322"/>
      <c r="AH3" s="321" t="s">
        <v>348</v>
      </c>
      <c r="AI3" s="322"/>
      <c r="AJ3" s="326"/>
      <c r="AR3" s="89" t="s">
        <v>97</v>
      </c>
    </row>
    <row r="4" spans="1:49" ht="14.25" thickBot="1">
      <c r="A4" s="327" t="s">
        <v>64</v>
      </c>
      <c r="B4" s="328"/>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0"/>
      <c r="AR4" s="77" t="s">
        <v>83</v>
      </c>
      <c r="AS4" s="78"/>
      <c r="AT4" s="78"/>
      <c r="AU4" s="78"/>
      <c r="AV4" s="78"/>
      <c r="AW4" s="79"/>
    </row>
    <row r="5" spans="1:49" ht="14.25" thickBot="1">
      <c r="A5" s="329"/>
      <c r="B5" s="330"/>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1"/>
      <c r="AR5" s="80" t="str">
        <f ca="1">"static const U4  "&amp;AW8&amp;"["&amp;AW10&amp;"]"&amp;" = {"</f>
        <v>static const U4  u4_sp_ALERT_S_ISA_TT_CRIT[ALERT_S_ISA_TT_NUM_DST] = {</v>
      </c>
      <c r="AS5" s="80" t="str">
        <f ca="1">"static const U4  "&amp;$AW$9&amp;"["&amp;$AW$10&amp;"] = {"</f>
        <v>static const U4  u4_sp_ALERT_S_ISA_TT_MASK[ALERT_S_ISA_TT_NUM_DST] = {</v>
      </c>
      <c r="AT5" s="80" t="str">
        <f ca="1">"static const U1  "&amp;$AW$11&amp;"["&amp;$AW$10&amp;"] = {"</f>
        <v>static const U1  u1_sp_ALERT_S_ISA_TT_DST[ALERT_S_ISA_TT_NUM_DST] = {</v>
      </c>
      <c r="AU5" s="80" t="str">
        <f ca="1">"const ST_ALERT_MTRX "&amp;$AW$12&amp;" = {"</f>
        <v>const ST_ALERT_MTRX st_gp_ALERT_S_ISA_MTRX[2] = {</v>
      </c>
      <c r="AV5" s="61" t="str">
        <f ca="1">"#define "&amp;AW10&amp;REPT(" ",41-LEN(AW10))&amp;"("&amp;AW13&amp;"U)"</f>
        <v>#define ALERT_S_ISA_TT_NUM_DST                   (16U)</v>
      </c>
      <c r="AW5" s="62"/>
    </row>
    <row r="6" spans="1:49">
      <c r="B6" s="133" t="str">
        <f ca="1">"Table "&amp;$AW$6</f>
        <v>Table TT</v>
      </c>
      <c r="C6" s="48">
        <f>ROW()-ROW($C$6)</f>
        <v>0</v>
      </c>
      <c r="D6" s="129" t="s">
        <v>68</v>
      </c>
      <c r="E6" s="129" t="s">
        <v>68</v>
      </c>
      <c r="F6" s="129" t="s">
        <v>68</v>
      </c>
      <c r="G6" s="129" t="s">
        <v>68</v>
      </c>
      <c r="H6" s="129" t="s">
        <v>68</v>
      </c>
      <c r="I6" s="129" t="s">
        <v>68</v>
      </c>
      <c r="J6" s="129" t="s">
        <v>68</v>
      </c>
      <c r="K6" s="57" t="s">
        <v>68</v>
      </c>
      <c r="L6" s="129" t="s">
        <v>68</v>
      </c>
      <c r="M6" s="129" t="s">
        <v>68</v>
      </c>
      <c r="N6" s="129" t="s">
        <v>68</v>
      </c>
      <c r="O6" s="129" t="s">
        <v>68</v>
      </c>
      <c r="P6" s="129" t="s">
        <v>68</v>
      </c>
      <c r="Q6" s="129" t="s">
        <v>68</v>
      </c>
      <c r="R6" s="129" t="s">
        <v>68</v>
      </c>
      <c r="S6" s="129" t="s">
        <v>68</v>
      </c>
      <c r="T6" s="129" t="s">
        <v>68</v>
      </c>
      <c r="U6" s="129" t="s">
        <v>68</v>
      </c>
      <c r="V6" s="129" t="s">
        <v>68</v>
      </c>
      <c r="W6" s="129" t="s">
        <v>68</v>
      </c>
      <c r="X6" s="129" t="s">
        <v>68</v>
      </c>
      <c r="Y6" s="129" t="s">
        <v>68</v>
      </c>
      <c r="Z6" s="129" t="s">
        <v>68</v>
      </c>
      <c r="AA6" s="129" t="s">
        <v>68</v>
      </c>
      <c r="AB6" s="129" t="s">
        <v>68</v>
      </c>
      <c r="AC6" s="129" t="s">
        <v>68</v>
      </c>
      <c r="AD6" s="129" t="s">
        <v>68</v>
      </c>
      <c r="AE6" s="129" t="s">
        <v>68</v>
      </c>
      <c r="AF6" s="195">
        <v>0</v>
      </c>
      <c r="AG6" s="195">
        <v>0</v>
      </c>
      <c r="AH6" s="195">
        <v>0</v>
      </c>
      <c r="AI6" s="195">
        <v>0</v>
      </c>
      <c r="AJ6" s="47" t="s">
        <v>33</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(U4)0x0000000FU,                                                           /* 00 UNKNOWN                                         */</v>
      </c>
      <c r="AT6" s="59" t="str">
        <f t="shared" ref="AT6:AT69" si="1">IF(AJ6&lt;&gt;"",AL6&amp;IF(AJ7&lt;&gt;"",","," ")&amp;REPT(" ",78-LEN(AL6))&amp;"/* "&amp;IF(C6&lt;10,"0"&amp;C6,C6)&amp;" "&amp;AJ6&amp;REPT(" ",48-LEN(AJ6))&amp;"*/",IF(AJ5&lt;&gt;"","};",""))</f>
        <v xml:space="preserve">    (U1)ALERT_REQ_UNKNOWN,                                                     /* 00 UNKNOWN                                         */</v>
      </c>
      <c r="AU6" s="59" t="s">
        <v>69</v>
      </c>
      <c r="AV6" s="44" t="s">
        <v>71</v>
      </c>
      <c r="AW6" s="63" t="str">
        <f ca="1">UPPER(RIGHT(CELL("filename",A1),LEN(CELL("filename",A1))-FIND("]",CELL("filename",A1))))</f>
        <v>TT</v>
      </c>
    </row>
    <row r="7" spans="1:49">
      <c r="B7" s="133"/>
      <c r="C7" s="43">
        <f t="shared" ref="C7:C69" si="2">ROW()-ROW($C$6)</f>
        <v>1</v>
      </c>
      <c r="D7" s="57" t="s">
        <v>68</v>
      </c>
      <c r="E7" s="57" t="s">
        <v>68</v>
      </c>
      <c r="F7" s="57" t="s">
        <v>68</v>
      </c>
      <c r="G7" s="129" t="s">
        <v>68</v>
      </c>
      <c r="H7" s="57" t="s">
        <v>68</v>
      </c>
      <c r="I7" s="57" t="s">
        <v>68</v>
      </c>
      <c r="J7" s="57" t="s">
        <v>68</v>
      </c>
      <c r="K7" s="57" t="s">
        <v>68</v>
      </c>
      <c r="L7" s="57" t="s">
        <v>68</v>
      </c>
      <c r="M7" s="57" t="s">
        <v>68</v>
      </c>
      <c r="N7" s="57" t="s">
        <v>68</v>
      </c>
      <c r="O7" s="57" t="s">
        <v>68</v>
      </c>
      <c r="P7" s="57" t="s">
        <v>68</v>
      </c>
      <c r="Q7" s="57" t="s">
        <v>68</v>
      </c>
      <c r="R7" s="57" t="s">
        <v>68</v>
      </c>
      <c r="S7" s="57" t="s">
        <v>68</v>
      </c>
      <c r="T7" s="57" t="s">
        <v>68</v>
      </c>
      <c r="U7" s="57" t="s">
        <v>68</v>
      </c>
      <c r="V7" s="57" t="s">
        <v>68</v>
      </c>
      <c r="W7" s="57" t="s">
        <v>68</v>
      </c>
      <c r="X7" s="57" t="s">
        <v>68</v>
      </c>
      <c r="Y7" s="57" t="s">
        <v>68</v>
      </c>
      <c r="Z7" s="57" t="s">
        <v>68</v>
      </c>
      <c r="AA7" s="57" t="s">
        <v>68</v>
      </c>
      <c r="AB7" s="57" t="s">
        <v>68</v>
      </c>
      <c r="AC7" s="57" t="s">
        <v>68</v>
      </c>
      <c r="AD7" s="129" t="s">
        <v>68</v>
      </c>
      <c r="AE7" s="129" t="s">
        <v>68</v>
      </c>
      <c r="AF7" s="195">
        <v>0</v>
      </c>
      <c r="AG7" s="195">
        <v>0</v>
      </c>
      <c r="AH7" s="195">
        <v>0</v>
      </c>
      <c r="AI7" s="195">
        <v>1</v>
      </c>
      <c r="AJ7" s="23" t="s">
        <v>257</v>
      </c>
      <c r="AL7" t="str">
        <f t="shared" ca="1" si="0"/>
        <v xml:space="preserve">    (U1)ALERT_REQ_S_ISA_TT_ON_W</v>
      </c>
      <c r="AR7" s="59" t="str">
        <f t="shared" ref="AR7:AR70" si="3">IF(AQ72&lt;&gt;"",AQ72,IF(AQ71&lt;&gt;"","};",""))</f>
        <v xml:space="preserve">    (U4)0x00000001U,                                                           /* 01 ON_W                                            */</v>
      </c>
      <c r="AS7" s="59" t="str">
        <f t="shared" ref="AS7:AS70" si="4">IF(AQ137&lt;&gt;"",AQ137,IF(AQ136&lt;&gt;"","};",""))</f>
        <v xml:space="preserve">    (U4)0x0000000FU,                                                           /* 01 ON_W                                            */</v>
      </c>
      <c r="AT7" s="59" t="str">
        <f t="shared" ca="1" si="1"/>
        <v xml:space="preserve">    (U1)ALERT_REQ_S_ISA_TT_ON_W,                                               /* 01 ON_W                                            */</v>
      </c>
      <c r="AU7" s="59" t="str">
        <f ca="1">"        &amp;"&amp;$AW$14&amp;","&amp;REPT(" ",69-LEN($AW$14))&amp;"/* fp_u4_SRC_CHK                                      */"</f>
        <v xml:space="preserve">        &amp;u4_s_AlertS_isaTtSrcchk,                                              /* fp_u4_SRC_CHK                                      */</v>
      </c>
      <c r="AV7" s="45" t="s">
        <v>72</v>
      </c>
      <c r="AW7" s="132">
        <f>IF(B3="Search Table",1,0)</f>
        <v>0</v>
      </c>
    </row>
    <row r="8" spans="1:49">
      <c r="B8" s="133"/>
      <c r="C8" s="43">
        <f t="shared" si="2"/>
        <v>2</v>
      </c>
      <c r="D8" s="57" t="s">
        <v>68</v>
      </c>
      <c r="E8" s="57" t="s">
        <v>68</v>
      </c>
      <c r="F8" s="57" t="s">
        <v>68</v>
      </c>
      <c r="G8" s="129" t="s">
        <v>68</v>
      </c>
      <c r="H8" s="57" t="s">
        <v>68</v>
      </c>
      <c r="I8" s="57" t="s">
        <v>68</v>
      </c>
      <c r="J8" s="57" t="s">
        <v>68</v>
      </c>
      <c r="K8" s="57" t="s">
        <v>68</v>
      </c>
      <c r="L8" s="57" t="s">
        <v>68</v>
      </c>
      <c r="M8" s="57" t="s">
        <v>68</v>
      </c>
      <c r="N8" s="57" t="s">
        <v>68</v>
      </c>
      <c r="O8" s="57" t="s">
        <v>68</v>
      </c>
      <c r="P8" s="57" t="s">
        <v>68</v>
      </c>
      <c r="Q8" s="57" t="s">
        <v>68</v>
      </c>
      <c r="R8" s="57" t="s">
        <v>68</v>
      </c>
      <c r="S8" s="57" t="s">
        <v>68</v>
      </c>
      <c r="T8" s="57" t="s">
        <v>68</v>
      </c>
      <c r="U8" s="57" t="s">
        <v>68</v>
      </c>
      <c r="V8" s="57" t="s">
        <v>68</v>
      </c>
      <c r="W8" s="57" t="s">
        <v>68</v>
      </c>
      <c r="X8" s="57" t="s">
        <v>68</v>
      </c>
      <c r="Y8" s="57" t="s">
        <v>68</v>
      </c>
      <c r="Z8" s="57" t="s">
        <v>68</v>
      </c>
      <c r="AA8" s="57" t="s">
        <v>68</v>
      </c>
      <c r="AB8" s="57" t="s">
        <v>68</v>
      </c>
      <c r="AC8" s="57" t="s">
        <v>68</v>
      </c>
      <c r="AD8" s="57" t="s">
        <v>68</v>
      </c>
      <c r="AE8" s="129" t="s">
        <v>68</v>
      </c>
      <c r="AF8" s="195">
        <v>0</v>
      </c>
      <c r="AG8" s="195">
        <v>0</v>
      </c>
      <c r="AH8" s="195">
        <v>1</v>
      </c>
      <c r="AI8" s="195">
        <v>0</v>
      </c>
      <c r="AJ8" s="23" t="s">
        <v>259</v>
      </c>
      <c r="AL8" t="str">
        <f t="shared" ca="1" si="0"/>
        <v xml:space="preserve">    (U1)ALERT_REQ_S_ISA_TT_ON_G</v>
      </c>
      <c r="AR8" s="59" t="str">
        <f t="shared" si="3"/>
        <v xml:space="preserve">    (U4)0x00000002U,                                                           /* 02 ON_G                                            */</v>
      </c>
      <c r="AS8" s="59" t="str">
        <f t="shared" si="4"/>
        <v xml:space="preserve">    (U4)0x0000000FU,                                                           /* 02 ON_G                                            */</v>
      </c>
      <c r="AT8" s="59" t="str">
        <f ca="1">IF(AJ8&lt;&gt;"",AL8&amp;IF(AJ9&lt;&gt;"",","," ")&amp;REPT(" ",78-LEN(AL8))&amp;"/* "&amp;IF(C8&lt;10,"0"&amp;C8,C8)&amp;" "&amp;AJ8&amp;REPT(" ",48-LEN(AJ8))&amp;"*/",IF(AJ7&lt;&gt;"","};",""))</f>
        <v xml:space="preserve">    (U1)ALERT_REQ_S_ISA_TT_ON_G,                                               /* 02 ON_G                                            */</v>
      </c>
      <c r="AU8" s="59" t="str">
        <f ca="1">IF($AW$15&lt;&gt;"NULL","        &amp;"&amp;$AW$15&amp;","&amp;REPT(" ",69-LEN($AW$15))&amp;"/* fp_vd_XDST                                         */","        vdp_PTR_NA,                                                            /* fp_vd_XDST                                         */")</f>
        <v xml:space="preserve">        vdp_PTR_NA,                                                            /* fp_vd_XDST                                         */</v>
      </c>
      <c r="AV8" s="45" t="s">
        <v>73</v>
      </c>
      <c r="AW8" s="64" t="str">
        <f ca="1">"u4_sp_ALERT_"&amp;IF(AW6&lt;&gt;AW17,$AW$17&amp;"_"&amp;$AW$6,AW17)&amp;"_CRIT"</f>
        <v>u4_sp_ALERT_S_ISA_TT_CRIT</v>
      </c>
    </row>
    <row r="9" spans="1:49">
      <c r="B9" s="133"/>
      <c r="C9" s="43">
        <f t="shared" si="2"/>
        <v>3</v>
      </c>
      <c r="D9" s="129" t="s">
        <v>68</v>
      </c>
      <c r="E9" s="129" t="s">
        <v>68</v>
      </c>
      <c r="F9" s="129" t="s">
        <v>68</v>
      </c>
      <c r="G9" s="129" t="s">
        <v>68</v>
      </c>
      <c r="H9" s="129" t="s">
        <v>68</v>
      </c>
      <c r="I9" s="129" t="s">
        <v>68</v>
      </c>
      <c r="J9" s="129" t="s">
        <v>68</v>
      </c>
      <c r="K9" s="129" t="s">
        <v>68</v>
      </c>
      <c r="L9" s="129" t="s">
        <v>68</v>
      </c>
      <c r="M9" s="129" t="s">
        <v>68</v>
      </c>
      <c r="N9" s="129" t="s">
        <v>68</v>
      </c>
      <c r="O9" s="129" t="s">
        <v>68</v>
      </c>
      <c r="P9" s="129" t="s">
        <v>68</v>
      </c>
      <c r="Q9" s="129" t="s">
        <v>68</v>
      </c>
      <c r="R9" s="129" t="s">
        <v>68</v>
      </c>
      <c r="S9" s="129" t="s">
        <v>68</v>
      </c>
      <c r="T9" s="129" t="s">
        <v>68</v>
      </c>
      <c r="U9" s="129" t="s">
        <v>68</v>
      </c>
      <c r="V9" s="129" t="s">
        <v>68</v>
      </c>
      <c r="W9" s="129" t="s">
        <v>68</v>
      </c>
      <c r="X9" s="129" t="s">
        <v>68</v>
      </c>
      <c r="Y9" s="129" t="s">
        <v>68</v>
      </c>
      <c r="Z9" s="129" t="s">
        <v>68</v>
      </c>
      <c r="AA9" s="129" t="s">
        <v>68</v>
      </c>
      <c r="AB9" s="129" t="s">
        <v>68</v>
      </c>
      <c r="AC9" s="129" t="s">
        <v>68</v>
      </c>
      <c r="AD9" s="129" t="s">
        <v>68</v>
      </c>
      <c r="AE9" s="129" t="s">
        <v>68</v>
      </c>
      <c r="AF9" s="195">
        <v>0</v>
      </c>
      <c r="AG9" s="195">
        <v>0</v>
      </c>
      <c r="AH9" s="57">
        <v>1</v>
      </c>
      <c r="AI9" s="57">
        <v>1</v>
      </c>
      <c r="AJ9" s="23" t="s">
        <v>332</v>
      </c>
      <c r="AL9" t="str">
        <f t="shared" ca="1" si="0"/>
        <v xml:space="preserve">    (U1)ALERT_REQ_S_ISA_TT_ON_A</v>
      </c>
      <c r="AR9" s="59" t="str">
        <f t="shared" si="3"/>
        <v xml:space="preserve">    (U4)0x00000003U,                                                           /* 03 ON_A                                            */</v>
      </c>
      <c r="AS9" s="59" t="str">
        <f t="shared" si="4"/>
        <v xml:space="preserve">    (U4)0x0000000FU,                                                           /* 03 ON_A                                            */</v>
      </c>
      <c r="AT9" s="59" t="str">
        <f t="shared" ca="1" si="1"/>
        <v xml:space="preserve">    (U1)ALERT_REQ_S_ISA_TT_ON_A,                                               /* 03 ON_A                                            */</v>
      </c>
      <c r="AU9" s="59"/>
      <c r="AV9" s="45" t="s">
        <v>74</v>
      </c>
      <c r="AW9" s="64" t="str">
        <f ca="1">"u4_sp_ALERT_"&amp;IF(AW6&lt;&gt;AW17,$AW$17&amp;"_"&amp;$AW$6,AW17)&amp;"_MASK"</f>
        <v>u4_sp_ALERT_S_ISA_TT_MASK</v>
      </c>
    </row>
    <row r="10" spans="1:49">
      <c r="B10" s="133"/>
      <c r="C10" s="43">
        <f t="shared" si="2"/>
        <v>4</v>
      </c>
      <c r="D10" s="129" t="s">
        <v>68</v>
      </c>
      <c r="E10" s="129" t="s">
        <v>68</v>
      </c>
      <c r="F10" s="129" t="s">
        <v>68</v>
      </c>
      <c r="G10" s="129" t="s">
        <v>68</v>
      </c>
      <c r="H10" s="129" t="s">
        <v>68</v>
      </c>
      <c r="I10" s="129" t="s">
        <v>68</v>
      </c>
      <c r="J10" s="129" t="s">
        <v>68</v>
      </c>
      <c r="K10" s="129" t="s">
        <v>68</v>
      </c>
      <c r="L10" s="129" t="s">
        <v>68</v>
      </c>
      <c r="M10" s="129" t="s">
        <v>68</v>
      </c>
      <c r="N10" s="129" t="s">
        <v>68</v>
      </c>
      <c r="O10" s="129" t="s">
        <v>68</v>
      </c>
      <c r="P10" s="129" t="s">
        <v>68</v>
      </c>
      <c r="Q10" s="129" t="s">
        <v>68</v>
      </c>
      <c r="R10" s="129" t="s">
        <v>68</v>
      </c>
      <c r="S10" s="129" t="s">
        <v>68</v>
      </c>
      <c r="T10" s="129" t="s">
        <v>68</v>
      </c>
      <c r="U10" s="129" t="s">
        <v>68</v>
      </c>
      <c r="V10" s="129" t="s">
        <v>68</v>
      </c>
      <c r="W10" s="129" t="s">
        <v>68</v>
      </c>
      <c r="X10" s="129" t="s">
        <v>68</v>
      </c>
      <c r="Y10" s="129" t="s">
        <v>68</v>
      </c>
      <c r="Z10" s="129" t="s">
        <v>68</v>
      </c>
      <c r="AA10" s="129" t="s">
        <v>68</v>
      </c>
      <c r="AB10" s="129" t="s">
        <v>68</v>
      </c>
      <c r="AC10" s="129" t="s">
        <v>68</v>
      </c>
      <c r="AD10" s="129" t="s">
        <v>68</v>
      </c>
      <c r="AE10" s="129" t="s">
        <v>68</v>
      </c>
      <c r="AF10" s="195">
        <v>0</v>
      </c>
      <c r="AG10" s="57">
        <v>1</v>
      </c>
      <c r="AH10" s="57">
        <v>0</v>
      </c>
      <c r="AI10" s="57">
        <v>0</v>
      </c>
      <c r="AJ10" s="23" t="s">
        <v>33</v>
      </c>
      <c r="AL10" t="str">
        <f t="shared" si="0"/>
        <v xml:space="preserve">    (U1)ALERT_REQ_UNKNOWN</v>
      </c>
      <c r="AR10" s="59" t="str">
        <f t="shared" si="3"/>
        <v xml:space="preserve">    (U4)0x00000004U,                                                           /* 04 UNKNOWN                                         */</v>
      </c>
      <c r="AS10" s="59" t="str">
        <f t="shared" si="4"/>
        <v xml:space="preserve">    (U4)0x0000000FU,                                                           /* 04 UNKNOWN                                         */</v>
      </c>
      <c r="AT10" s="59" t="str">
        <f t="shared" si="1"/>
        <v xml:space="preserve">    (U1)ALERT_REQ_UNKNOWN,                                                     /* 04 UNKNOWN                                         */</v>
      </c>
      <c r="AU10" s="59" t="str">
        <f>IF($AW$7=1,"        &amp;"&amp;$AW$9&amp;"[0],"&amp;REPT(" ",66-LEN($AW$9))&amp;"/* u4p_MASK                                           */","        (const U4 *)vdp_PTR_NA,                                                /* u4p_MASK                                           */")</f>
        <v xml:space="preserve">        (const U4 *)vdp_PTR_NA,                                                /* u4p_MASK                                           */</v>
      </c>
      <c r="AV10" s="45" t="s">
        <v>75</v>
      </c>
      <c r="AW10" s="64" t="str">
        <f ca="1">"ALERT_"&amp;IF(AW6&lt;&gt;AW17,$AW$17&amp;"_"&amp;$AW$6,AW17)&amp;"_NUM_DST"</f>
        <v>ALERT_S_ISA_TT_NUM_DST</v>
      </c>
    </row>
    <row r="11" spans="1:49">
      <c r="B11" s="133"/>
      <c r="C11" s="43">
        <f t="shared" si="2"/>
        <v>5</v>
      </c>
      <c r="D11" s="129" t="s">
        <v>68</v>
      </c>
      <c r="E11" s="129" t="s">
        <v>68</v>
      </c>
      <c r="F11" s="129" t="s">
        <v>68</v>
      </c>
      <c r="G11" s="129" t="s">
        <v>68</v>
      </c>
      <c r="H11" s="129" t="s">
        <v>68</v>
      </c>
      <c r="I11" s="129" t="s">
        <v>68</v>
      </c>
      <c r="J11" s="129" t="s">
        <v>68</v>
      </c>
      <c r="K11" s="129" t="s">
        <v>68</v>
      </c>
      <c r="L11" s="129" t="s">
        <v>68</v>
      </c>
      <c r="M11" s="129" t="s">
        <v>68</v>
      </c>
      <c r="N11" s="129" t="s">
        <v>68</v>
      </c>
      <c r="O11" s="129" t="s">
        <v>68</v>
      </c>
      <c r="P11" s="129" t="s">
        <v>68</v>
      </c>
      <c r="Q11" s="129" t="s">
        <v>68</v>
      </c>
      <c r="R11" s="129" t="s">
        <v>68</v>
      </c>
      <c r="S11" s="129" t="s">
        <v>68</v>
      </c>
      <c r="T11" s="129" t="s">
        <v>68</v>
      </c>
      <c r="U11" s="129" t="s">
        <v>68</v>
      </c>
      <c r="V11" s="129" t="s">
        <v>68</v>
      </c>
      <c r="W11" s="129" t="s">
        <v>68</v>
      </c>
      <c r="X11" s="129" t="s">
        <v>68</v>
      </c>
      <c r="Y11" s="129" t="s">
        <v>68</v>
      </c>
      <c r="Z11" s="129" t="s">
        <v>68</v>
      </c>
      <c r="AA11" s="129" t="s">
        <v>68</v>
      </c>
      <c r="AB11" s="129" t="s">
        <v>68</v>
      </c>
      <c r="AC11" s="129" t="s">
        <v>68</v>
      </c>
      <c r="AD11" s="129" t="s">
        <v>68</v>
      </c>
      <c r="AE11" s="129" t="s">
        <v>68</v>
      </c>
      <c r="AF11" s="195">
        <v>0</v>
      </c>
      <c r="AG11" s="57">
        <v>1</v>
      </c>
      <c r="AH11" s="57">
        <v>0</v>
      </c>
      <c r="AI11" s="57">
        <v>1</v>
      </c>
      <c r="AJ11" s="23" t="s">
        <v>33</v>
      </c>
      <c r="AL11" t="str">
        <f t="shared" si="0"/>
        <v xml:space="preserve">    (U1)ALERT_REQ_UNKNOWN</v>
      </c>
      <c r="AR11" s="59" t="str">
        <f t="shared" si="3"/>
        <v xml:space="preserve">    (U4)0x00000005U,                                                           /* 05 UNKNOWN                                         */</v>
      </c>
      <c r="AS11" s="59" t="str">
        <f t="shared" si="4"/>
        <v xml:space="preserve">    (U4)0x0000000FU,                                                           /* 05 UNKNOWN                                         */</v>
      </c>
      <c r="AT11" s="59" t="str">
        <f t="shared" si="1"/>
        <v xml:space="preserve">    (U1)ALERT_REQ_UNKNOWN,                                                     /* 05 UNKNOWN                                         */</v>
      </c>
      <c r="AU11" s="59" t="str">
        <f>IF($AW$7=1,"        &amp;"&amp;$AW$8&amp;"[0],"&amp;REPT(" ",66-LEN($AW$8))&amp;"/* u4p_CRIT                                           */","        (const U4 *)vdp_PTR_NA,                                                /* u4p_CRIT                                           */")</f>
        <v xml:space="preserve">        (const U4 *)vdp_PTR_NA,                                                /* u4p_CRIT                                           */</v>
      </c>
      <c r="AV11" s="45" t="s">
        <v>76</v>
      </c>
      <c r="AW11" s="64" t="str">
        <f ca="1">"u1_sp_ALERT_"&amp;IF(AW6&lt;&gt;AW17,$AW$17&amp;"_"&amp;$AW$6,AW17)&amp;"_DST"</f>
        <v>u1_sp_ALERT_S_ISA_TT_DST</v>
      </c>
    </row>
    <row r="12" spans="1:49">
      <c r="B12" s="133"/>
      <c r="C12" s="43">
        <f t="shared" si="2"/>
        <v>6</v>
      </c>
      <c r="D12" s="129" t="s">
        <v>68</v>
      </c>
      <c r="E12" s="129" t="s">
        <v>68</v>
      </c>
      <c r="F12" s="129" t="s">
        <v>68</v>
      </c>
      <c r="G12" s="129" t="s">
        <v>68</v>
      </c>
      <c r="H12" s="129" t="s">
        <v>68</v>
      </c>
      <c r="I12" s="129" t="s">
        <v>68</v>
      </c>
      <c r="J12" s="129" t="s">
        <v>68</v>
      </c>
      <c r="K12" s="129" t="s">
        <v>68</v>
      </c>
      <c r="L12" s="129" t="s">
        <v>68</v>
      </c>
      <c r="M12" s="129" t="s">
        <v>68</v>
      </c>
      <c r="N12" s="129" t="s">
        <v>68</v>
      </c>
      <c r="O12" s="129" t="s">
        <v>68</v>
      </c>
      <c r="P12" s="129" t="s">
        <v>68</v>
      </c>
      <c r="Q12" s="129" t="s">
        <v>68</v>
      </c>
      <c r="R12" s="129" t="s">
        <v>68</v>
      </c>
      <c r="S12" s="129" t="s">
        <v>68</v>
      </c>
      <c r="T12" s="129" t="s">
        <v>68</v>
      </c>
      <c r="U12" s="129" t="s">
        <v>68</v>
      </c>
      <c r="V12" s="129" t="s">
        <v>68</v>
      </c>
      <c r="W12" s="129" t="s">
        <v>68</v>
      </c>
      <c r="X12" s="129" t="s">
        <v>68</v>
      </c>
      <c r="Y12" s="129" t="s">
        <v>68</v>
      </c>
      <c r="Z12" s="129" t="s">
        <v>68</v>
      </c>
      <c r="AA12" s="129" t="s">
        <v>68</v>
      </c>
      <c r="AB12" s="129" t="s">
        <v>68</v>
      </c>
      <c r="AC12" s="129" t="s">
        <v>68</v>
      </c>
      <c r="AD12" s="129" t="s">
        <v>68</v>
      </c>
      <c r="AE12" s="129" t="s">
        <v>68</v>
      </c>
      <c r="AF12" s="195">
        <v>0</v>
      </c>
      <c r="AG12" s="57">
        <v>1</v>
      </c>
      <c r="AH12" s="57">
        <v>1</v>
      </c>
      <c r="AI12" s="57">
        <v>0</v>
      </c>
      <c r="AJ12" s="23" t="s">
        <v>33</v>
      </c>
      <c r="AL12" t="str">
        <f t="shared" si="0"/>
        <v xml:space="preserve">    (U1)ALERT_REQ_UNKNOWN</v>
      </c>
      <c r="AR12" s="59" t="str">
        <f t="shared" si="3"/>
        <v xml:space="preserve">    (U4)0x00000006U,                                                           /* 06 UNKNOWN                                         */</v>
      </c>
      <c r="AS12" s="59" t="str">
        <f t="shared" si="4"/>
        <v xml:space="preserve">    (U4)0x0000000FU,                                                           /* 06 UNKNOWN                                         */</v>
      </c>
      <c r="AT12" s="59" t="str">
        <f t="shared" si="1"/>
        <v xml:space="preserve">    (U1)ALERT_REQ_UNKNOWN,                                                     /* 06 UNKNOWN                                         */</v>
      </c>
      <c r="AU12" s="59"/>
      <c r="AV12" s="45" t="s">
        <v>89</v>
      </c>
      <c r="AW12" s="64" t="str">
        <f ca="1">Matrix!D8&amp;"["&amp;Matrix!D7&amp;"]"</f>
        <v>st_gp_ALERT_S_ISA_MTRX[2]</v>
      </c>
    </row>
    <row r="13" spans="1:49">
      <c r="B13" s="133"/>
      <c r="C13" s="43">
        <f t="shared" si="2"/>
        <v>7</v>
      </c>
      <c r="D13" s="129" t="s">
        <v>68</v>
      </c>
      <c r="E13" s="129" t="s">
        <v>68</v>
      </c>
      <c r="F13" s="129" t="s">
        <v>68</v>
      </c>
      <c r="G13" s="129" t="s">
        <v>68</v>
      </c>
      <c r="H13" s="129" t="s">
        <v>68</v>
      </c>
      <c r="I13" s="129" t="s">
        <v>68</v>
      </c>
      <c r="J13" s="129" t="s">
        <v>68</v>
      </c>
      <c r="K13" s="129" t="s">
        <v>68</v>
      </c>
      <c r="L13" s="129" t="s">
        <v>68</v>
      </c>
      <c r="M13" s="129" t="s">
        <v>68</v>
      </c>
      <c r="N13" s="129" t="s">
        <v>68</v>
      </c>
      <c r="O13" s="129" t="s">
        <v>68</v>
      </c>
      <c r="P13" s="129" t="s">
        <v>68</v>
      </c>
      <c r="Q13" s="129" t="s">
        <v>68</v>
      </c>
      <c r="R13" s="129" t="s">
        <v>68</v>
      </c>
      <c r="S13" s="129" t="s">
        <v>68</v>
      </c>
      <c r="T13" s="129" t="s">
        <v>68</v>
      </c>
      <c r="U13" s="129" t="s">
        <v>68</v>
      </c>
      <c r="V13" s="129" t="s">
        <v>68</v>
      </c>
      <c r="W13" s="129" t="s">
        <v>68</v>
      </c>
      <c r="X13" s="129" t="s">
        <v>68</v>
      </c>
      <c r="Y13" s="129" t="s">
        <v>68</v>
      </c>
      <c r="Z13" s="129" t="s">
        <v>68</v>
      </c>
      <c r="AA13" s="129" t="s">
        <v>68</v>
      </c>
      <c r="AB13" s="129" t="s">
        <v>68</v>
      </c>
      <c r="AC13" s="129" t="s">
        <v>68</v>
      </c>
      <c r="AD13" s="129" t="s">
        <v>68</v>
      </c>
      <c r="AE13" s="129" t="s">
        <v>68</v>
      </c>
      <c r="AF13" s="195">
        <v>0</v>
      </c>
      <c r="AG13" s="57">
        <v>1</v>
      </c>
      <c r="AH13" s="57">
        <v>1</v>
      </c>
      <c r="AI13" s="57">
        <v>1</v>
      </c>
      <c r="AJ13" s="23" t="s">
        <v>33</v>
      </c>
      <c r="AL13" t="str">
        <f t="shared" si="0"/>
        <v xml:space="preserve">    (U1)ALERT_REQ_UNKNOWN</v>
      </c>
      <c r="AR13" s="59" t="str">
        <f t="shared" si="3"/>
        <v xml:space="preserve">    (U4)0x00000007U,                                                           /* 07 UNKNOWN                                         */</v>
      </c>
      <c r="AS13" s="59" t="str">
        <f t="shared" si="4"/>
        <v xml:space="preserve">    (U4)0x0000000FU,                                                           /* 07 UNKNOWN                                         */</v>
      </c>
      <c r="AT13" s="59" t="str">
        <f t="shared" si="1"/>
        <v xml:space="preserve">    (U1)ALERT_REQ_UNKNOWN,                                                     /* 07 UNKNOWN                                         */</v>
      </c>
      <c r="AU13" s="59" t="str">
        <f ca="1">"        &amp;"&amp;$AW$11&amp;"[0],"&amp;REPT(" ",66-LEN($AW$11))&amp;"/* u1p_DST                                            */"</f>
        <v xml:space="preserve">        &amp;u1_sp_ALERT_S_ISA_TT_DST[0],                                          /* u1p_DST                                            */</v>
      </c>
      <c r="AV13" s="45" t="s">
        <v>77</v>
      </c>
      <c r="AW13" s="132">
        <f>COUNTA($AJ$6:$AJ$69)</f>
        <v>16</v>
      </c>
    </row>
    <row r="14" spans="1:49">
      <c r="B14" s="133"/>
      <c r="C14" s="43">
        <f t="shared" si="2"/>
        <v>8</v>
      </c>
      <c r="D14" s="129" t="s">
        <v>68</v>
      </c>
      <c r="E14" s="129" t="s">
        <v>68</v>
      </c>
      <c r="F14" s="129" t="s">
        <v>68</v>
      </c>
      <c r="G14" s="129" t="s">
        <v>68</v>
      </c>
      <c r="H14" s="129" t="s">
        <v>68</v>
      </c>
      <c r="I14" s="129" t="s">
        <v>68</v>
      </c>
      <c r="J14" s="129" t="s">
        <v>68</v>
      </c>
      <c r="K14" s="129" t="s">
        <v>68</v>
      </c>
      <c r="L14" s="129" t="s">
        <v>68</v>
      </c>
      <c r="M14" s="129" t="s">
        <v>68</v>
      </c>
      <c r="N14" s="129" t="s">
        <v>68</v>
      </c>
      <c r="O14" s="129" t="s">
        <v>68</v>
      </c>
      <c r="P14" s="129" t="s">
        <v>68</v>
      </c>
      <c r="Q14" s="129" t="s">
        <v>68</v>
      </c>
      <c r="R14" s="129" t="s">
        <v>68</v>
      </c>
      <c r="S14" s="129" t="s">
        <v>68</v>
      </c>
      <c r="T14" s="129" t="s">
        <v>68</v>
      </c>
      <c r="U14" s="129" t="s">
        <v>68</v>
      </c>
      <c r="V14" s="129" t="s">
        <v>68</v>
      </c>
      <c r="W14" s="129" t="s">
        <v>68</v>
      </c>
      <c r="X14" s="129" t="s">
        <v>68</v>
      </c>
      <c r="Y14" s="129" t="s">
        <v>68</v>
      </c>
      <c r="Z14" s="129" t="s">
        <v>68</v>
      </c>
      <c r="AA14" s="129" t="s">
        <v>68</v>
      </c>
      <c r="AB14" s="129" t="s">
        <v>68</v>
      </c>
      <c r="AC14" s="129" t="s">
        <v>68</v>
      </c>
      <c r="AD14" s="129" t="s">
        <v>68</v>
      </c>
      <c r="AE14" s="129" t="s">
        <v>68</v>
      </c>
      <c r="AF14" s="129">
        <v>1</v>
      </c>
      <c r="AG14" s="195">
        <v>0</v>
      </c>
      <c r="AH14" s="57">
        <v>0</v>
      </c>
      <c r="AI14" s="57">
        <v>0</v>
      </c>
      <c r="AJ14" s="23" t="s">
        <v>33</v>
      </c>
      <c r="AL14" t="str">
        <f t="shared" si="0"/>
        <v xml:space="preserve">    (U1)ALERT_REQ_UNKNOWN</v>
      </c>
      <c r="AR14" s="59" t="str">
        <f t="shared" si="3"/>
        <v xml:space="preserve">    (U4)0x00000008U,                                                           /* 08 UNKNOWN                                         */</v>
      </c>
      <c r="AS14" s="59" t="str">
        <f t="shared" si="4"/>
        <v xml:space="preserve">    (U4)0x0000000FU,                                                           /* 08 UNKNOWN                                         */</v>
      </c>
      <c r="AT14" s="59" t="str">
        <f t="shared" si="1"/>
        <v xml:space="preserve">    (U1)ALERT_REQ_UNKNOWN,                                                     /* 08 UNKNOWN                                         */</v>
      </c>
      <c r="AU14" s="59" t="str">
        <f ca="1">"        (U2)"&amp;$AW$10&amp;","&amp;REPT(" ",66-LEN($AW$10))&amp;"/* u2_num_srch                                        */"</f>
        <v xml:space="preserve">        (U2)ALERT_S_ISA_TT_NUM_DST,                                            /* u2_num_srch                                        */</v>
      </c>
      <c r="AV14" s="45" t="s">
        <v>78</v>
      </c>
      <c r="AW14" s="64" t="str">
        <f ca="1">IF(AW6&lt;&gt;AW17,VLOOKUP(AW6,Matrix!$C$13:$G$37,4,FALSE),Matrix!F13)</f>
        <v>u4_s_AlertS_isaTtSrcchk</v>
      </c>
    </row>
    <row r="15" spans="1:49">
      <c r="B15" s="133"/>
      <c r="C15" s="43">
        <f t="shared" si="2"/>
        <v>9</v>
      </c>
      <c r="D15" s="129" t="s">
        <v>68</v>
      </c>
      <c r="E15" s="129" t="s">
        <v>68</v>
      </c>
      <c r="F15" s="129" t="s">
        <v>68</v>
      </c>
      <c r="G15" s="129" t="s">
        <v>68</v>
      </c>
      <c r="H15" s="129" t="s">
        <v>68</v>
      </c>
      <c r="I15" s="129" t="s">
        <v>68</v>
      </c>
      <c r="J15" s="129" t="s">
        <v>68</v>
      </c>
      <c r="K15" s="129" t="s">
        <v>68</v>
      </c>
      <c r="L15" s="129" t="s">
        <v>68</v>
      </c>
      <c r="M15" s="129" t="s">
        <v>68</v>
      </c>
      <c r="N15" s="129" t="s">
        <v>68</v>
      </c>
      <c r="O15" s="129" t="s">
        <v>68</v>
      </c>
      <c r="P15" s="129" t="s">
        <v>68</v>
      </c>
      <c r="Q15" s="129" t="s">
        <v>68</v>
      </c>
      <c r="R15" s="129" t="s">
        <v>68</v>
      </c>
      <c r="S15" s="129" t="s">
        <v>68</v>
      </c>
      <c r="T15" s="129" t="s">
        <v>68</v>
      </c>
      <c r="U15" s="129" t="s">
        <v>68</v>
      </c>
      <c r="V15" s="129" t="s">
        <v>68</v>
      </c>
      <c r="W15" s="129" t="s">
        <v>68</v>
      </c>
      <c r="X15" s="129" t="s">
        <v>68</v>
      </c>
      <c r="Y15" s="129" t="s">
        <v>68</v>
      </c>
      <c r="Z15" s="129" t="s">
        <v>68</v>
      </c>
      <c r="AA15" s="129" t="s">
        <v>68</v>
      </c>
      <c r="AB15" s="129" t="s">
        <v>68</v>
      </c>
      <c r="AC15" s="129" t="s">
        <v>68</v>
      </c>
      <c r="AD15" s="129" t="s">
        <v>68</v>
      </c>
      <c r="AE15" s="129" t="s">
        <v>68</v>
      </c>
      <c r="AF15" s="129">
        <v>1</v>
      </c>
      <c r="AG15" s="195">
        <v>0</v>
      </c>
      <c r="AH15" s="57">
        <v>0</v>
      </c>
      <c r="AI15" s="57">
        <v>1</v>
      </c>
      <c r="AJ15" s="23" t="s">
        <v>33</v>
      </c>
      <c r="AL15" t="str">
        <f t="shared" si="0"/>
        <v xml:space="preserve">    (U1)ALERT_REQ_UNKNOWN</v>
      </c>
      <c r="AR15" s="59" t="str">
        <f t="shared" si="3"/>
        <v xml:space="preserve">    (U4)0x00000009U,                                                           /* 09 UNKNOWN                                         */</v>
      </c>
      <c r="AS15" s="59" t="str">
        <f t="shared" si="4"/>
        <v xml:space="preserve">    (U4)0x0000000FU,                                                           /* 09 UNKNOWN                                         */</v>
      </c>
      <c r="AT15" s="59" t="str">
        <f t="shared" si="1"/>
        <v xml:space="preserve">    (U1)ALERT_REQ_UNKNOWN,                                                     /* 09 UNKNOWN                                         */</v>
      </c>
      <c r="AU15" s="59" t="str">
        <f ca="1">"        (U1)"&amp;$AW$16&amp;REPT(" ",67-LEN($AW$16))&amp;"/* u1_vom_act                                         */"</f>
        <v xml:space="preserve">        (U1)ALERT_VOM_IGN_ON                                                   /* u1_vom_act                                         */</v>
      </c>
      <c r="AV15" s="45" t="s">
        <v>81</v>
      </c>
      <c r="AW15" s="64" t="str">
        <f ca="1">IF(AW6&lt;&gt;AW17,VLOOKUP(AW6,Matrix!$C$13:$G$37,5,FALSE),Matrix!G13)</f>
        <v>NULL</v>
      </c>
    </row>
    <row r="16" spans="1:49">
      <c r="B16" s="133"/>
      <c r="C16" s="43">
        <f t="shared" si="2"/>
        <v>10</v>
      </c>
      <c r="D16" s="129" t="s">
        <v>68</v>
      </c>
      <c r="E16" s="129" t="s">
        <v>68</v>
      </c>
      <c r="F16" s="129" t="s">
        <v>68</v>
      </c>
      <c r="G16" s="129" t="s">
        <v>68</v>
      </c>
      <c r="H16" s="129" t="s">
        <v>68</v>
      </c>
      <c r="I16" s="129" t="s">
        <v>68</v>
      </c>
      <c r="J16" s="129" t="s">
        <v>68</v>
      </c>
      <c r="K16" s="129" t="s">
        <v>68</v>
      </c>
      <c r="L16" s="129" t="s">
        <v>68</v>
      </c>
      <c r="M16" s="129" t="s">
        <v>68</v>
      </c>
      <c r="N16" s="129" t="s">
        <v>68</v>
      </c>
      <c r="O16" s="129" t="s">
        <v>68</v>
      </c>
      <c r="P16" s="129" t="s">
        <v>68</v>
      </c>
      <c r="Q16" s="129" t="s">
        <v>68</v>
      </c>
      <c r="R16" s="129" t="s">
        <v>68</v>
      </c>
      <c r="S16" s="129" t="s">
        <v>68</v>
      </c>
      <c r="T16" s="129" t="s">
        <v>68</v>
      </c>
      <c r="U16" s="129" t="s">
        <v>68</v>
      </c>
      <c r="V16" s="129" t="s">
        <v>68</v>
      </c>
      <c r="W16" s="129" t="s">
        <v>68</v>
      </c>
      <c r="X16" s="129" t="s">
        <v>68</v>
      </c>
      <c r="Y16" s="129" t="s">
        <v>68</v>
      </c>
      <c r="Z16" s="129" t="s">
        <v>68</v>
      </c>
      <c r="AA16" s="129" t="s">
        <v>68</v>
      </c>
      <c r="AB16" s="129" t="s">
        <v>68</v>
      </c>
      <c r="AC16" s="129" t="s">
        <v>68</v>
      </c>
      <c r="AD16" s="129" t="s">
        <v>68</v>
      </c>
      <c r="AE16" s="129" t="s">
        <v>68</v>
      </c>
      <c r="AF16" s="129">
        <v>1</v>
      </c>
      <c r="AG16" s="195">
        <v>0</v>
      </c>
      <c r="AH16" s="57">
        <v>1</v>
      </c>
      <c r="AI16" s="57">
        <v>0</v>
      </c>
      <c r="AJ16" s="23" t="s">
        <v>33</v>
      </c>
      <c r="AL16" t="str">
        <f t="shared" si="0"/>
        <v xml:space="preserve">    (U1)ALERT_REQ_UNKNOWN</v>
      </c>
      <c r="AR16" s="59" t="str">
        <f t="shared" si="3"/>
        <v xml:space="preserve">    (U4)0x0000000AU,                                                           /* 10 UNKNOWN                                         */</v>
      </c>
      <c r="AS16" s="59" t="str">
        <f t="shared" si="4"/>
        <v xml:space="preserve">    (U4)0x0000000FU,                                                           /* 10 UNKNOWN                                         */</v>
      </c>
      <c r="AT16" s="59" t="str">
        <f t="shared" si="1"/>
        <v xml:space="preserve">    (U1)ALERT_REQ_UNKNOWN,                                                     /* 10 UNKNOWN                                         */</v>
      </c>
      <c r="AU16" s="59" t="s">
        <v>70</v>
      </c>
      <c r="AV16" s="45" t="s">
        <v>79</v>
      </c>
      <c r="AW16" s="64" t="str">
        <f ca="1">IF(AW6&lt;&gt;AW17,VLOOKUP(AW6,Matrix!$C$13:$G$37,2,FALSE),Matrix!D13)</f>
        <v>ALERT_VOM_IGN_ON</v>
      </c>
    </row>
    <row r="17" spans="2:49" ht="14.25" thickBot="1">
      <c r="B17" s="133"/>
      <c r="C17" s="43">
        <f t="shared" si="2"/>
        <v>11</v>
      </c>
      <c r="D17" s="129" t="s">
        <v>68</v>
      </c>
      <c r="E17" s="129" t="s">
        <v>68</v>
      </c>
      <c r="F17" s="129" t="s">
        <v>68</v>
      </c>
      <c r="G17" s="129" t="s">
        <v>68</v>
      </c>
      <c r="H17" s="129" t="s">
        <v>68</v>
      </c>
      <c r="I17" s="129" t="s">
        <v>68</v>
      </c>
      <c r="J17" s="129" t="s">
        <v>68</v>
      </c>
      <c r="K17" s="129" t="s">
        <v>68</v>
      </c>
      <c r="L17" s="129" t="s">
        <v>68</v>
      </c>
      <c r="M17" s="129" t="s">
        <v>68</v>
      </c>
      <c r="N17" s="129" t="s">
        <v>68</v>
      </c>
      <c r="O17" s="129" t="s">
        <v>68</v>
      </c>
      <c r="P17" s="129" t="s">
        <v>68</v>
      </c>
      <c r="Q17" s="129" t="s">
        <v>68</v>
      </c>
      <c r="R17" s="129" t="s">
        <v>68</v>
      </c>
      <c r="S17" s="129" t="s">
        <v>68</v>
      </c>
      <c r="T17" s="129" t="s">
        <v>68</v>
      </c>
      <c r="U17" s="129" t="s">
        <v>68</v>
      </c>
      <c r="V17" s="129" t="s">
        <v>68</v>
      </c>
      <c r="W17" s="129" t="s">
        <v>68</v>
      </c>
      <c r="X17" s="129" t="s">
        <v>68</v>
      </c>
      <c r="Y17" s="129" t="s">
        <v>68</v>
      </c>
      <c r="Z17" s="129" t="s">
        <v>68</v>
      </c>
      <c r="AA17" s="129" t="s">
        <v>68</v>
      </c>
      <c r="AB17" s="129" t="s">
        <v>68</v>
      </c>
      <c r="AC17" s="129" t="s">
        <v>68</v>
      </c>
      <c r="AD17" s="129" t="s">
        <v>68</v>
      </c>
      <c r="AE17" s="129" t="s">
        <v>68</v>
      </c>
      <c r="AF17" s="129">
        <v>1</v>
      </c>
      <c r="AG17" s="195">
        <v>0</v>
      </c>
      <c r="AH17" s="57">
        <v>1</v>
      </c>
      <c r="AI17" s="57">
        <v>1</v>
      </c>
      <c r="AJ17" s="23" t="s">
        <v>33</v>
      </c>
      <c r="AL17" t="str">
        <f t="shared" si="0"/>
        <v xml:space="preserve">    (U1)ALERT_REQ_UNKNOWN</v>
      </c>
      <c r="AR17" s="59" t="str">
        <f t="shared" si="3"/>
        <v xml:space="preserve">    (U4)0x0000000BU,                                                           /* 11 UNKNOWN                                         */</v>
      </c>
      <c r="AS17" s="59" t="str">
        <f t="shared" si="4"/>
        <v xml:space="preserve">    (U4)0x0000000FU,                                                           /* 11 UNKNOWN                                         */</v>
      </c>
      <c r="AT17" s="59" t="str">
        <f t="shared" si="1"/>
        <v xml:space="preserve">    (U1)ALERT_REQ_UNKNOWN,                                                     /* 11 UNKNOWN                                         */</v>
      </c>
      <c r="AU17" s="60" t="s">
        <v>82</v>
      </c>
      <c r="AV17" s="46" t="s">
        <v>80</v>
      </c>
      <c r="AW17" s="65" t="str">
        <f ca="1">UPPER(Matrix!$D$6)</f>
        <v>S_ISA</v>
      </c>
    </row>
    <row r="18" spans="2:49">
      <c r="B18" s="133"/>
      <c r="C18" s="43">
        <f t="shared" si="2"/>
        <v>12</v>
      </c>
      <c r="D18" s="129" t="s">
        <v>68</v>
      </c>
      <c r="E18" s="129" t="s">
        <v>68</v>
      </c>
      <c r="F18" s="129" t="s">
        <v>68</v>
      </c>
      <c r="G18" s="129" t="s">
        <v>68</v>
      </c>
      <c r="H18" s="129" t="s">
        <v>68</v>
      </c>
      <c r="I18" s="129" t="s">
        <v>68</v>
      </c>
      <c r="J18" s="129" t="s">
        <v>68</v>
      </c>
      <c r="K18" s="129" t="s">
        <v>68</v>
      </c>
      <c r="L18" s="129" t="s">
        <v>68</v>
      </c>
      <c r="M18" s="129" t="s">
        <v>68</v>
      </c>
      <c r="N18" s="129" t="s">
        <v>68</v>
      </c>
      <c r="O18" s="129" t="s">
        <v>68</v>
      </c>
      <c r="P18" s="129" t="s">
        <v>68</v>
      </c>
      <c r="Q18" s="129" t="s">
        <v>68</v>
      </c>
      <c r="R18" s="129" t="s">
        <v>68</v>
      </c>
      <c r="S18" s="129" t="s">
        <v>68</v>
      </c>
      <c r="T18" s="129" t="s">
        <v>68</v>
      </c>
      <c r="U18" s="129" t="s">
        <v>68</v>
      </c>
      <c r="V18" s="129" t="s">
        <v>68</v>
      </c>
      <c r="W18" s="129" t="s">
        <v>68</v>
      </c>
      <c r="X18" s="129" t="s">
        <v>68</v>
      </c>
      <c r="Y18" s="129" t="s">
        <v>68</v>
      </c>
      <c r="Z18" s="129" t="s">
        <v>68</v>
      </c>
      <c r="AA18" s="129" t="s">
        <v>68</v>
      </c>
      <c r="AB18" s="129" t="s">
        <v>68</v>
      </c>
      <c r="AC18" s="129" t="s">
        <v>68</v>
      </c>
      <c r="AD18" s="129" t="s">
        <v>68</v>
      </c>
      <c r="AE18" s="129" t="s">
        <v>68</v>
      </c>
      <c r="AF18" s="57">
        <v>1</v>
      </c>
      <c r="AG18" s="57">
        <v>1</v>
      </c>
      <c r="AH18" s="57">
        <v>0</v>
      </c>
      <c r="AI18" s="57">
        <v>0</v>
      </c>
      <c r="AJ18" s="23" t="s">
        <v>33</v>
      </c>
      <c r="AL18" t="str">
        <f t="shared" si="0"/>
        <v xml:space="preserve">    (U1)ALERT_REQ_UNKNOWN</v>
      </c>
      <c r="AR18" s="59" t="str">
        <f t="shared" si="3"/>
        <v xml:space="preserve">    (U4)0x0000000CU,                                                           /* 12 UNKNOWN                                         */</v>
      </c>
      <c r="AS18" s="59" t="str">
        <f t="shared" si="4"/>
        <v xml:space="preserve">    (U4)0x0000000FU,                                                           /* 12 UNKNOWN                                         */</v>
      </c>
      <c r="AT18" s="59" t="str">
        <f t="shared" si="1"/>
        <v xml:space="preserve">    (U1)ALERT_REQ_UNKNOWN,                                                     /* 12 UNKNOWN                                         */</v>
      </c>
    </row>
    <row r="19" spans="2:49">
      <c r="B19" s="133"/>
      <c r="C19" s="43">
        <f t="shared" si="2"/>
        <v>13</v>
      </c>
      <c r="D19" s="129" t="s">
        <v>68</v>
      </c>
      <c r="E19" s="129" t="s">
        <v>68</v>
      </c>
      <c r="F19" s="129" t="s">
        <v>68</v>
      </c>
      <c r="G19" s="129" t="s">
        <v>68</v>
      </c>
      <c r="H19" s="129" t="s">
        <v>68</v>
      </c>
      <c r="I19" s="129" t="s">
        <v>68</v>
      </c>
      <c r="J19" s="129" t="s">
        <v>68</v>
      </c>
      <c r="K19" s="129" t="s">
        <v>68</v>
      </c>
      <c r="L19" s="129" t="s">
        <v>68</v>
      </c>
      <c r="M19" s="129" t="s">
        <v>68</v>
      </c>
      <c r="N19" s="129" t="s">
        <v>68</v>
      </c>
      <c r="O19" s="129" t="s">
        <v>68</v>
      </c>
      <c r="P19" s="129" t="s">
        <v>68</v>
      </c>
      <c r="Q19" s="129" t="s">
        <v>68</v>
      </c>
      <c r="R19" s="129" t="s">
        <v>68</v>
      </c>
      <c r="S19" s="129" t="s">
        <v>68</v>
      </c>
      <c r="T19" s="129" t="s">
        <v>68</v>
      </c>
      <c r="U19" s="129" t="s">
        <v>68</v>
      </c>
      <c r="V19" s="129" t="s">
        <v>68</v>
      </c>
      <c r="W19" s="129" t="s">
        <v>68</v>
      </c>
      <c r="X19" s="129" t="s">
        <v>68</v>
      </c>
      <c r="Y19" s="129" t="s">
        <v>68</v>
      </c>
      <c r="Z19" s="129" t="s">
        <v>68</v>
      </c>
      <c r="AA19" s="129" t="s">
        <v>68</v>
      </c>
      <c r="AB19" s="129" t="s">
        <v>68</v>
      </c>
      <c r="AC19" s="129" t="s">
        <v>68</v>
      </c>
      <c r="AD19" s="129" t="s">
        <v>68</v>
      </c>
      <c r="AE19" s="129" t="s">
        <v>68</v>
      </c>
      <c r="AF19" s="57">
        <v>1</v>
      </c>
      <c r="AG19" s="57">
        <v>1</v>
      </c>
      <c r="AH19" s="57">
        <v>0</v>
      </c>
      <c r="AI19" s="57">
        <v>1</v>
      </c>
      <c r="AJ19" s="23" t="s">
        <v>33</v>
      </c>
      <c r="AL19" t="str">
        <f t="shared" si="0"/>
        <v xml:space="preserve">    (U1)ALERT_REQ_UNKNOWN</v>
      </c>
      <c r="AR19" s="59" t="str">
        <f t="shared" si="3"/>
        <v xml:space="preserve">    (U4)0x0000000DU,                                                           /* 13 UNKNOWN                                         */</v>
      </c>
      <c r="AS19" s="59" t="str">
        <f t="shared" si="4"/>
        <v xml:space="preserve">    (U4)0x0000000FU,                                                           /* 13 UNKNOWN                                         */</v>
      </c>
      <c r="AT19" s="59" t="str">
        <f t="shared" si="1"/>
        <v xml:space="preserve">    (U1)ALERT_REQ_UNKNOWN,                                                     /* 13 UNKNOWN                                         */</v>
      </c>
    </row>
    <row r="20" spans="2:49">
      <c r="B20" s="133"/>
      <c r="C20" s="43">
        <f t="shared" si="2"/>
        <v>14</v>
      </c>
      <c r="D20" s="129" t="s">
        <v>68</v>
      </c>
      <c r="E20" s="129" t="s">
        <v>68</v>
      </c>
      <c r="F20" s="129" t="s">
        <v>68</v>
      </c>
      <c r="G20" s="129" t="s">
        <v>68</v>
      </c>
      <c r="H20" s="129" t="s">
        <v>68</v>
      </c>
      <c r="I20" s="129" t="s">
        <v>68</v>
      </c>
      <c r="J20" s="129" t="s">
        <v>68</v>
      </c>
      <c r="K20" s="129" t="s">
        <v>68</v>
      </c>
      <c r="L20" s="129" t="s">
        <v>68</v>
      </c>
      <c r="M20" s="129" t="s">
        <v>68</v>
      </c>
      <c r="N20" s="129" t="s">
        <v>68</v>
      </c>
      <c r="O20" s="129" t="s">
        <v>68</v>
      </c>
      <c r="P20" s="129" t="s">
        <v>68</v>
      </c>
      <c r="Q20" s="129" t="s">
        <v>68</v>
      </c>
      <c r="R20" s="129" t="s">
        <v>68</v>
      </c>
      <c r="S20" s="129" t="s">
        <v>68</v>
      </c>
      <c r="T20" s="129" t="s">
        <v>68</v>
      </c>
      <c r="U20" s="129" t="s">
        <v>68</v>
      </c>
      <c r="V20" s="129" t="s">
        <v>68</v>
      </c>
      <c r="W20" s="129" t="s">
        <v>68</v>
      </c>
      <c r="X20" s="129" t="s">
        <v>68</v>
      </c>
      <c r="Y20" s="129" t="s">
        <v>68</v>
      </c>
      <c r="Z20" s="129" t="s">
        <v>68</v>
      </c>
      <c r="AA20" s="129" t="s">
        <v>68</v>
      </c>
      <c r="AB20" s="129" t="s">
        <v>68</v>
      </c>
      <c r="AC20" s="129" t="s">
        <v>68</v>
      </c>
      <c r="AD20" s="129" t="s">
        <v>68</v>
      </c>
      <c r="AE20" s="129" t="s">
        <v>68</v>
      </c>
      <c r="AF20" s="57">
        <v>1</v>
      </c>
      <c r="AG20" s="57">
        <v>1</v>
      </c>
      <c r="AH20" s="57">
        <v>1</v>
      </c>
      <c r="AI20" s="57">
        <v>0</v>
      </c>
      <c r="AJ20" s="23" t="s">
        <v>33</v>
      </c>
      <c r="AL20" t="str">
        <f t="shared" si="0"/>
        <v xml:space="preserve">    (U1)ALERT_REQ_UNKNOWN</v>
      </c>
      <c r="AR20" s="59" t="str">
        <f t="shared" si="3"/>
        <v xml:space="preserve">    (U4)0x0000000EU,                                                           /* 14 UNKNOWN                                         */</v>
      </c>
      <c r="AS20" s="59" t="str">
        <f t="shared" si="4"/>
        <v xml:space="preserve">    (U4)0x0000000FU,                                                           /* 14 UNKNOWN                                         */</v>
      </c>
      <c r="AT20" s="59" t="str">
        <f t="shared" si="1"/>
        <v xml:space="preserve">    (U1)ALERT_REQ_UNKNOWN,                                                     /* 14 UNKNOWN                                         */</v>
      </c>
    </row>
    <row r="21" spans="2:49">
      <c r="B21" s="133"/>
      <c r="C21" s="43">
        <f t="shared" si="2"/>
        <v>15</v>
      </c>
      <c r="D21" s="129" t="s">
        <v>68</v>
      </c>
      <c r="E21" s="129" t="s">
        <v>68</v>
      </c>
      <c r="F21" s="129" t="s">
        <v>68</v>
      </c>
      <c r="G21" s="129" t="s">
        <v>68</v>
      </c>
      <c r="H21" s="129" t="s">
        <v>68</v>
      </c>
      <c r="I21" s="129" t="s">
        <v>68</v>
      </c>
      <c r="J21" s="129" t="s">
        <v>68</v>
      </c>
      <c r="K21" s="129" t="s">
        <v>68</v>
      </c>
      <c r="L21" s="129" t="s">
        <v>68</v>
      </c>
      <c r="M21" s="129" t="s">
        <v>68</v>
      </c>
      <c r="N21" s="129" t="s">
        <v>68</v>
      </c>
      <c r="O21" s="129" t="s">
        <v>68</v>
      </c>
      <c r="P21" s="129" t="s">
        <v>68</v>
      </c>
      <c r="Q21" s="129" t="s">
        <v>68</v>
      </c>
      <c r="R21" s="129" t="s">
        <v>68</v>
      </c>
      <c r="S21" s="129" t="s">
        <v>68</v>
      </c>
      <c r="T21" s="129" t="s">
        <v>68</v>
      </c>
      <c r="U21" s="129" t="s">
        <v>68</v>
      </c>
      <c r="V21" s="129" t="s">
        <v>68</v>
      </c>
      <c r="W21" s="129" t="s">
        <v>68</v>
      </c>
      <c r="X21" s="129" t="s">
        <v>68</v>
      </c>
      <c r="Y21" s="129" t="s">
        <v>68</v>
      </c>
      <c r="Z21" s="129" t="s">
        <v>68</v>
      </c>
      <c r="AA21" s="129" t="s">
        <v>68</v>
      </c>
      <c r="AB21" s="129" t="s">
        <v>68</v>
      </c>
      <c r="AC21" s="129" t="s">
        <v>68</v>
      </c>
      <c r="AD21" s="129" t="s">
        <v>68</v>
      </c>
      <c r="AE21" s="129" t="s">
        <v>68</v>
      </c>
      <c r="AF21" s="57">
        <v>1</v>
      </c>
      <c r="AG21" s="57">
        <v>1</v>
      </c>
      <c r="AH21" s="57">
        <v>1</v>
      </c>
      <c r="AI21" s="57">
        <v>1</v>
      </c>
      <c r="AJ21" s="23" t="s">
        <v>33</v>
      </c>
      <c r="AL21" t="str">
        <f t="shared" si="0"/>
        <v xml:space="preserve">    (U1)ALERT_REQ_UNKNOWN</v>
      </c>
      <c r="AR21" s="59" t="str">
        <f t="shared" si="3"/>
        <v xml:space="preserve">    (U4)0x0000000FU                                                            /* 15 UNKNOWN                                         */</v>
      </c>
      <c r="AS21" s="59" t="str">
        <f t="shared" si="4"/>
        <v xml:space="preserve">    (U4)0x0000000FU                                                            /* 15 UNKNOWN                                         */</v>
      </c>
      <c r="AT21" s="59" t="str">
        <f t="shared" si="1"/>
        <v xml:space="preserve">    (U1)ALERT_REQ_UNKNOWN                                                      /* 15 UNKNOWN                                         */</v>
      </c>
    </row>
    <row r="22" spans="2:49">
      <c r="B22" s="133"/>
      <c r="C22" s="43">
        <f t="shared" si="2"/>
        <v>16</v>
      </c>
      <c r="D22" s="57" t="s">
        <v>68</v>
      </c>
      <c r="E22" s="57" t="s">
        <v>68</v>
      </c>
      <c r="F22" s="57" t="s">
        <v>68</v>
      </c>
      <c r="G22" s="57" t="s">
        <v>68</v>
      </c>
      <c r="H22" s="57" t="s">
        <v>68</v>
      </c>
      <c r="I22" s="57" t="s">
        <v>68</v>
      </c>
      <c r="J22" s="57" t="s">
        <v>68</v>
      </c>
      <c r="K22" s="57" t="s">
        <v>68</v>
      </c>
      <c r="L22" s="57" t="s">
        <v>68</v>
      </c>
      <c r="M22" s="57" t="s">
        <v>68</v>
      </c>
      <c r="N22" s="57" t="s">
        <v>68</v>
      </c>
      <c r="O22" s="57" t="s">
        <v>68</v>
      </c>
      <c r="P22" s="57" t="s">
        <v>68</v>
      </c>
      <c r="Q22" s="57" t="s">
        <v>68</v>
      </c>
      <c r="R22" s="57" t="s">
        <v>68</v>
      </c>
      <c r="S22" s="57" t="s">
        <v>68</v>
      </c>
      <c r="T22" s="57" t="s">
        <v>68</v>
      </c>
      <c r="U22" s="57" t="s">
        <v>68</v>
      </c>
      <c r="V22" s="57" t="s">
        <v>68</v>
      </c>
      <c r="W22" s="57" t="s">
        <v>68</v>
      </c>
      <c r="X22" s="57" t="s">
        <v>68</v>
      </c>
      <c r="Y22" s="57" t="s">
        <v>68</v>
      </c>
      <c r="Z22" s="57" t="s">
        <v>68</v>
      </c>
      <c r="AA22" s="57" t="s">
        <v>68</v>
      </c>
      <c r="AB22" s="57" t="s">
        <v>68</v>
      </c>
      <c r="AC22" s="57" t="s">
        <v>68</v>
      </c>
      <c r="AD22" s="57" t="s">
        <v>68</v>
      </c>
      <c r="AE22" s="129" t="s">
        <v>68</v>
      </c>
      <c r="AF22" s="129" t="s">
        <v>68</v>
      </c>
      <c r="AG22" s="129" t="s">
        <v>68</v>
      </c>
      <c r="AH22" s="129" t="s">
        <v>68</v>
      </c>
      <c r="AI22" s="129" t="s">
        <v>68</v>
      </c>
      <c r="AJ22" s="23"/>
      <c r="AL22" t="str">
        <f t="shared" ca="1" si="0"/>
        <v xml:space="preserve">    (U1)ALERT_REQ_S_ISA_TT_</v>
      </c>
      <c r="AR22" s="59" t="str">
        <f t="shared" si="3"/>
        <v>};</v>
      </c>
      <c r="AS22" s="59" t="str">
        <f t="shared" si="4"/>
        <v>};</v>
      </c>
      <c r="AT22" s="59" t="str">
        <f t="shared" si="1"/>
        <v>};</v>
      </c>
    </row>
    <row r="23" spans="2:49">
      <c r="B23" s="133"/>
      <c r="C23" s="43">
        <f t="shared" si="2"/>
        <v>17</v>
      </c>
      <c r="D23" s="57" t="s">
        <v>68</v>
      </c>
      <c r="E23" s="57" t="s">
        <v>68</v>
      </c>
      <c r="F23" s="57" t="s">
        <v>68</v>
      </c>
      <c r="G23" s="57" t="s">
        <v>68</v>
      </c>
      <c r="H23" s="57" t="s">
        <v>68</v>
      </c>
      <c r="I23" s="57" t="s">
        <v>68</v>
      </c>
      <c r="J23" s="57" t="s">
        <v>68</v>
      </c>
      <c r="K23" s="57" t="s">
        <v>68</v>
      </c>
      <c r="L23" s="57" t="s">
        <v>68</v>
      </c>
      <c r="M23" s="57" t="s">
        <v>68</v>
      </c>
      <c r="N23" s="57" t="s">
        <v>68</v>
      </c>
      <c r="O23" s="57" t="s">
        <v>68</v>
      </c>
      <c r="P23" s="57" t="s">
        <v>68</v>
      </c>
      <c r="Q23" s="57" t="s">
        <v>68</v>
      </c>
      <c r="R23" s="57" t="s">
        <v>68</v>
      </c>
      <c r="S23" s="57" t="s">
        <v>68</v>
      </c>
      <c r="T23" s="57" t="s">
        <v>68</v>
      </c>
      <c r="U23" s="57" t="s">
        <v>68</v>
      </c>
      <c r="V23" s="57" t="s">
        <v>68</v>
      </c>
      <c r="W23" s="57" t="s">
        <v>68</v>
      </c>
      <c r="X23" s="57" t="s">
        <v>68</v>
      </c>
      <c r="Y23" s="57" t="s">
        <v>68</v>
      </c>
      <c r="Z23" s="57" t="s">
        <v>68</v>
      </c>
      <c r="AA23" s="57" t="s">
        <v>68</v>
      </c>
      <c r="AB23" s="57" t="s">
        <v>68</v>
      </c>
      <c r="AC23" s="57" t="s">
        <v>68</v>
      </c>
      <c r="AD23" s="57" t="s">
        <v>68</v>
      </c>
      <c r="AE23" s="129" t="s">
        <v>68</v>
      </c>
      <c r="AF23" s="129" t="s">
        <v>68</v>
      </c>
      <c r="AG23" s="129" t="s">
        <v>68</v>
      </c>
      <c r="AH23" s="129" t="s">
        <v>68</v>
      </c>
      <c r="AI23" s="129" t="s">
        <v>68</v>
      </c>
      <c r="AJ23" s="23"/>
      <c r="AL23" t="str">
        <f t="shared" ca="1" si="0"/>
        <v xml:space="preserve">    (U1)ALERT_REQ_S_ISA_TT_</v>
      </c>
      <c r="AR23" s="59" t="str">
        <f t="shared" si="3"/>
        <v/>
      </c>
      <c r="AS23" s="59" t="str">
        <f t="shared" si="4"/>
        <v/>
      </c>
      <c r="AT23" s="59" t="str">
        <f t="shared" si="1"/>
        <v/>
      </c>
    </row>
    <row r="24" spans="2:49">
      <c r="B24" s="133"/>
      <c r="C24" s="43">
        <f t="shared" si="2"/>
        <v>18</v>
      </c>
      <c r="D24" s="57" t="s">
        <v>68</v>
      </c>
      <c r="E24" s="57" t="s">
        <v>68</v>
      </c>
      <c r="F24" s="57" t="s">
        <v>68</v>
      </c>
      <c r="G24" s="57" t="s">
        <v>68</v>
      </c>
      <c r="H24" s="57" t="s">
        <v>68</v>
      </c>
      <c r="I24" s="57" t="s">
        <v>68</v>
      </c>
      <c r="J24" s="57" t="s">
        <v>68</v>
      </c>
      <c r="K24" s="57" t="s">
        <v>68</v>
      </c>
      <c r="L24" s="57" t="s">
        <v>68</v>
      </c>
      <c r="M24" s="57" t="s">
        <v>68</v>
      </c>
      <c r="N24" s="57" t="s">
        <v>68</v>
      </c>
      <c r="O24" s="57" t="s">
        <v>68</v>
      </c>
      <c r="P24" s="57" t="s">
        <v>68</v>
      </c>
      <c r="Q24" s="57" t="s">
        <v>68</v>
      </c>
      <c r="R24" s="57" t="s">
        <v>68</v>
      </c>
      <c r="S24" s="57" t="s">
        <v>68</v>
      </c>
      <c r="T24" s="57" t="s">
        <v>68</v>
      </c>
      <c r="U24" s="57" t="s">
        <v>68</v>
      </c>
      <c r="V24" s="57" t="s">
        <v>68</v>
      </c>
      <c r="W24" s="57" t="s">
        <v>68</v>
      </c>
      <c r="X24" s="57" t="s">
        <v>68</v>
      </c>
      <c r="Y24" s="57" t="s">
        <v>68</v>
      </c>
      <c r="Z24" s="57" t="s">
        <v>68</v>
      </c>
      <c r="AA24" s="57" t="s">
        <v>68</v>
      </c>
      <c r="AB24" s="57" t="s">
        <v>68</v>
      </c>
      <c r="AC24" s="57" t="s">
        <v>68</v>
      </c>
      <c r="AD24" s="57" t="s">
        <v>68</v>
      </c>
      <c r="AE24" s="129" t="s">
        <v>68</v>
      </c>
      <c r="AF24" s="129" t="s">
        <v>68</v>
      </c>
      <c r="AG24" s="129" t="s">
        <v>68</v>
      </c>
      <c r="AH24" s="129" t="s">
        <v>68</v>
      </c>
      <c r="AI24" s="129" t="s">
        <v>68</v>
      </c>
      <c r="AJ24" s="23"/>
      <c r="AL24" t="str">
        <f t="shared" ca="1" si="0"/>
        <v xml:space="preserve">    (U1)ALERT_REQ_S_ISA_TT_</v>
      </c>
      <c r="AR24" s="59" t="str">
        <f t="shared" si="3"/>
        <v/>
      </c>
      <c r="AS24" s="59" t="str">
        <f t="shared" si="4"/>
        <v/>
      </c>
      <c r="AT24" s="59" t="str">
        <f t="shared" si="1"/>
        <v/>
      </c>
    </row>
    <row r="25" spans="2:49">
      <c r="B25" s="133"/>
      <c r="C25" s="43">
        <f t="shared" si="2"/>
        <v>19</v>
      </c>
      <c r="D25" s="57" t="s">
        <v>68</v>
      </c>
      <c r="E25" s="57" t="s">
        <v>68</v>
      </c>
      <c r="F25" s="57" t="s">
        <v>68</v>
      </c>
      <c r="G25" s="57" t="s">
        <v>68</v>
      </c>
      <c r="H25" s="57" t="s">
        <v>68</v>
      </c>
      <c r="I25" s="57" t="s">
        <v>68</v>
      </c>
      <c r="J25" s="57" t="s">
        <v>68</v>
      </c>
      <c r="K25" s="57" t="s">
        <v>68</v>
      </c>
      <c r="L25" s="57" t="s">
        <v>68</v>
      </c>
      <c r="M25" s="57" t="s">
        <v>68</v>
      </c>
      <c r="N25" s="57" t="s">
        <v>68</v>
      </c>
      <c r="O25" s="57" t="s">
        <v>68</v>
      </c>
      <c r="P25" s="57" t="s">
        <v>68</v>
      </c>
      <c r="Q25" s="57" t="s">
        <v>68</v>
      </c>
      <c r="R25" s="57" t="s">
        <v>68</v>
      </c>
      <c r="S25" s="57" t="s">
        <v>68</v>
      </c>
      <c r="T25" s="57" t="s">
        <v>68</v>
      </c>
      <c r="U25" s="57" t="s">
        <v>68</v>
      </c>
      <c r="V25" s="57" t="s">
        <v>68</v>
      </c>
      <c r="W25" s="57" t="s">
        <v>68</v>
      </c>
      <c r="X25" s="57" t="s">
        <v>68</v>
      </c>
      <c r="Y25" s="57" t="s">
        <v>68</v>
      </c>
      <c r="Z25" s="57" t="s">
        <v>68</v>
      </c>
      <c r="AA25" s="57" t="s">
        <v>68</v>
      </c>
      <c r="AB25" s="57" t="s">
        <v>68</v>
      </c>
      <c r="AC25" s="57" t="s">
        <v>68</v>
      </c>
      <c r="AD25" s="57" t="s">
        <v>68</v>
      </c>
      <c r="AE25" s="129" t="s">
        <v>68</v>
      </c>
      <c r="AF25" s="129" t="s">
        <v>68</v>
      </c>
      <c r="AG25" s="129" t="s">
        <v>68</v>
      </c>
      <c r="AH25" s="129" t="s">
        <v>68</v>
      </c>
      <c r="AI25" s="129" t="s">
        <v>68</v>
      </c>
      <c r="AJ25" s="23"/>
      <c r="AL25" t="str">
        <f t="shared" ca="1" si="0"/>
        <v xml:space="preserve">    (U1)ALERT_REQ_S_ISA_TT_</v>
      </c>
      <c r="AR25" s="59" t="str">
        <f t="shared" si="3"/>
        <v/>
      </c>
      <c r="AS25" s="59" t="str">
        <f t="shared" si="4"/>
        <v/>
      </c>
      <c r="AT25" s="59" t="str">
        <f t="shared" si="1"/>
        <v/>
      </c>
    </row>
    <row r="26" spans="2:49">
      <c r="B26" s="133"/>
      <c r="C26" s="43">
        <f t="shared" si="2"/>
        <v>20</v>
      </c>
      <c r="D26" s="57" t="s">
        <v>68</v>
      </c>
      <c r="E26" s="57" t="s">
        <v>68</v>
      </c>
      <c r="F26" s="57" t="s">
        <v>68</v>
      </c>
      <c r="G26" s="57" t="s">
        <v>68</v>
      </c>
      <c r="H26" s="57" t="s">
        <v>68</v>
      </c>
      <c r="I26" s="57" t="s">
        <v>68</v>
      </c>
      <c r="J26" s="57" t="s">
        <v>68</v>
      </c>
      <c r="K26" s="57" t="s">
        <v>68</v>
      </c>
      <c r="L26" s="57" t="s">
        <v>68</v>
      </c>
      <c r="M26" s="57" t="s">
        <v>68</v>
      </c>
      <c r="N26" s="57" t="s">
        <v>68</v>
      </c>
      <c r="O26" s="57" t="s">
        <v>68</v>
      </c>
      <c r="P26" s="57" t="s">
        <v>68</v>
      </c>
      <c r="Q26" s="57" t="s">
        <v>68</v>
      </c>
      <c r="R26" s="57" t="s">
        <v>68</v>
      </c>
      <c r="S26" s="57" t="s">
        <v>68</v>
      </c>
      <c r="T26" s="57" t="s">
        <v>68</v>
      </c>
      <c r="U26" s="57" t="s">
        <v>68</v>
      </c>
      <c r="V26" s="57" t="s">
        <v>68</v>
      </c>
      <c r="W26" s="57" t="s">
        <v>68</v>
      </c>
      <c r="X26" s="57" t="s">
        <v>68</v>
      </c>
      <c r="Y26" s="57" t="s">
        <v>68</v>
      </c>
      <c r="Z26" s="57" t="s">
        <v>68</v>
      </c>
      <c r="AA26" s="57" t="s">
        <v>68</v>
      </c>
      <c r="AB26" s="57" t="s">
        <v>68</v>
      </c>
      <c r="AC26" s="57" t="s">
        <v>68</v>
      </c>
      <c r="AD26" s="57" t="s">
        <v>68</v>
      </c>
      <c r="AE26" s="129" t="s">
        <v>68</v>
      </c>
      <c r="AF26" s="129" t="s">
        <v>68</v>
      </c>
      <c r="AG26" s="129" t="s">
        <v>68</v>
      </c>
      <c r="AH26" s="129" t="s">
        <v>68</v>
      </c>
      <c r="AI26" s="129" t="s">
        <v>68</v>
      </c>
      <c r="AJ26" s="23"/>
      <c r="AL26" t="str">
        <f t="shared" ca="1" si="0"/>
        <v xml:space="preserve">    (U1)ALERT_REQ_S_ISA_TT_</v>
      </c>
      <c r="AR26" s="59" t="str">
        <f t="shared" si="3"/>
        <v/>
      </c>
      <c r="AS26" s="59" t="str">
        <f t="shared" si="4"/>
        <v/>
      </c>
      <c r="AT26" s="59" t="str">
        <f t="shared" si="1"/>
        <v/>
      </c>
    </row>
    <row r="27" spans="2:49">
      <c r="B27" s="133"/>
      <c r="C27" s="43">
        <f t="shared" si="2"/>
        <v>21</v>
      </c>
      <c r="D27" s="57" t="s">
        <v>68</v>
      </c>
      <c r="E27" s="57" t="s">
        <v>68</v>
      </c>
      <c r="F27" s="57" t="s">
        <v>68</v>
      </c>
      <c r="G27" s="57" t="s">
        <v>68</v>
      </c>
      <c r="H27" s="57" t="s">
        <v>68</v>
      </c>
      <c r="I27" s="57" t="s">
        <v>68</v>
      </c>
      <c r="J27" s="57" t="s">
        <v>68</v>
      </c>
      <c r="K27" s="57" t="s">
        <v>68</v>
      </c>
      <c r="L27" s="57" t="s">
        <v>68</v>
      </c>
      <c r="M27" s="57" t="s">
        <v>68</v>
      </c>
      <c r="N27" s="57" t="s">
        <v>68</v>
      </c>
      <c r="O27" s="57" t="s">
        <v>68</v>
      </c>
      <c r="P27" s="57" t="s">
        <v>68</v>
      </c>
      <c r="Q27" s="57" t="s">
        <v>68</v>
      </c>
      <c r="R27" s="57" t="s">
        <v>68</v>
      </c>
      <c r="S27" s="57" t="s">
        <v>68</v>
      </c>
      <c r="T27" s="57" t="s">
        <v>68</v>
      </c>
      <c r="U27" s="57" t="s">
        <v>68</v>
      </c>
      <c r="V27" s="57" t="s">
        <v>68</v>
      </c>
      <c r="W27" s="57" t="s">
        <v>68</v>
      </c>
      <c r="X27" s="57" t="s">
        <v>68</v>
      </c>
      <c r="Y27" s="57" t="s">
        <v>68</v>
      </c>
      <c r="Z27" s="57" t="s">
        <v>68</v>
      </c>
      <c r="AA27" s="57" t="s">
        <v>68</v>
      </c>
      <c r="AB27" s="57" t="s">
        <v>68</v>
      </c>
      <c r="AC27" s="57" t="s">
        <v>68</v>
      </c>
      <c r="AD27" s="57" t="s">
        <v>68</v>
      </c>
      <c r="AE27" s="129" t="s">
        <v>68</v>
      </c>
      <c r="AF27" s="129" t="s">
        <v>68</v>
      </c>
      <c r="AG27" s="129" t="s">
        <v>68</v>
      </c>
      <c r="AH27" s="129" t="s">
        <v>68</v>
      </c>
      <c r="AI27" s="129" t="s">
        <v>68</v>
      </c>
      <c r="AJ27" s="23"/>
      <c r="AL27" t="str">
        <f t="shared" ca="1" si="0"/>
        <v xml:space="preserve">    (U1)ALERT_REQ_S_ISA_TT_</v>
      </c>
      <c r="AR27" s="59" t="str">
        <f t="shared" si="3"/>
        <v/>
      </c>
      <c r="AS27" s="59" t="str">
        <f t="shared" si="4"/>
        <v/>
      </c>
      <c r="AT27" s="59" t="str">
        <f t="shared" si="1"/>
        <v/>
      </c>
    </row>
    <row r="28" spans="2:49">
      <c r="B28" s="133"/>
      <c r="C28" s="43">
        <f t="shared" si="2"/>
        <v>22</v>
      </c>
      <c r="D28" s="57" t="s">
        <v>68</v>
      </c>
      <c r="E28" s="57" t="s">
        <v>68</v>
      </c>
      <c r="F28" s="57" t="s">
        <v>68</v>
      </c>
      <c r="G28" s="57" t="s">
        <v>68</v>
      </c>
      <c r="H28" s="57" t="s">
        <v>68</v>
      </c>
      <c r="I28" s="57" t="s">
        <v>68</v>
      </c>
      <c r="J28" s="57" t="s">
        <v>68</v>
      </c>
      <c r="K28" s="57" t="s">
        <v>68</v>
      </c>
      <c r="L28" s="57" t="s">
        <v>68</v>
      </c>
      <c r="M28" s="57" t="s">
        <v>68</v>
      </c>
      <c r="N28" s="57" t="s">
        <v>68</v>
      </c>
      <c r="O28" s="57" t="s">
        <v>68</v>
      </c>
      <c r="P28" s="57" t="s">
        <v>68</v>
      </c>
      <c r="Q28" s="57" t="s">
        <v>68</v>
      </c>
      <c r="R28" s="57" t="s">
        <v>68</v>
      </c>
      <c r="S28" s="57" t="s">
        <v>68</v>
      </c>
      <c r="T28" s="57" t="s">
        <v>68</v>
      </c>
      <c r="U28" s="57" t="s">
        <v>68</v>
      </c>
      <c r="V28" s="57" t="s">
        <v>68</v>
      </c>
      <c r="W28" s="57" t="s">
        <v>68</v>
      </c>
      <c r="X28" s="57" t="s">
        <v>68</v>
      </c>
      <c r="Y28" s="57" t="s">
        <v>68</v>
      </c>
      <c r="Z28" s="57" t="s">
        <v>68</v>
      </c>
      <c r="AA28" s="57" t="s">
        <v>68</v>
      </c>
      <c r="AB28" s="57" t="s">
        <v>68</v>
      </c>
      <c r="AC28" s="57" t="s">
        <v>68</v>
      </c>
      <c r="AD28" s="57" t="s">
        <v>68</v>
      </c>
      <c r="AE28" s="129" t="s">
        <v>68</v>
      </c>
      <c r="AF28" s="129" t="s">
        <v>68</v>
      </c>
      <c r="AG28" s="129" t="s">
        <v>68</v>
      </c>
      <c r="AH28" s="129" t="s">
        <v>68</v>
      </c>
      <c r="AI28" s="129" t="s">
        <v>68</v>
      </c>
      <c r="AJ28" s="23"/>
      <c r="AL28" t="str">
        <f t="shared" ca="1" si="0"/>
        <v xml:space="preserve">    (U1)ALERT_REQ_S_ISA_TT_</v>
      </c>
      <c r="AR28" s="59" t="str">
        <f t="shared" si="3"/>
        <v/>
      </c>
      <c r="AS28" s="59" t="str">
        <f t="shared" si="4"/>
        <v/>
      </c>
      <c r="AT28" s="59" t="str">
        <f t="shared" si="1"/>
        <v/>
      </c>
    </row>
    <row r="29" spans="2:49">
      <c r="B29" s="133"/>
      <c r="C29" s="43">
        <f t="shared" si="2"/>
        <v>23</v>
      </c>
      <c r="D29" s="57" t="s">
        <v>68</v>
      </c>
      <c r="E29" s="57" t="s">
        <v>68</v>
      </c>
      <c r="F29" s="57" t="s">
        <v>68</v>
      </c>
      <c r="G29" s="57" t="s">
        <v>68</v>
      </c>
      <c r="H29" s="57" t="s">
        <v>68</v>
      </c>
      <c r="I29" s="57" t="s">
        <v>68</v>
      </c>
      <c r="J29" s="57" t="s">
        <v>68</v>
      </c>
      <c r="K29" s="57" t="s">
        <v>68</v>
      </c>
      <c r="L29" s="57" t="s">
        <v>68</v>
      </c>
      <c r="M29" s="57" t="s">
        <v>68</v>
      </c>
      <c r="N29" s="57" t="s">
        <v>68</v>
      </c>
      <c r="O29" s="57" t="s">
        <v>68</v>
      </c>
      <c r="P29" s="57" t="s">
        <v>68</v>
      </c>
      <c r="Q29" s="57" t="s">
        <v>68</v>
      </c>
      <c r="R29" s="57" t="s">
        <v>68</v>
      </c>
      <c r="S29" s="57" t="s">
        <v>68</v>
      </c>
      <c r="T29" s="57" t="s">
        <v>68</v>
      </c>
      <c r="U29" s="57" t="s">
        <v>68</v>
      </c>
      <c r="V29" s="57" t="s">
        <v>68</v>
      </c>
      <c r="W29" s="57" t="s">
        <v>68</v>
      </c>
      <c r="X29" s="57" t="s">
        <v>68</v>
      </c>
      <c r="Y29" s="57" t="s">
        <v>68</v>
      </c>
      <c r="Z29" s="57" t="s">
        <v>68</v>
      </c>
      <c r="AA29" s="57" t="s">
        <v>68</v>
      </c>
      <c r="AB29" s="57" t="s">
        <v>68</v>
      </c>
      <c r="AC29" s="57" t="s">
        <v>68</v>
      </c>
      <c r="AD29" s="57" t="s">
        <v>68</v>
      </c>
      <c r="AE29" s="129" t="s">
        <v>68</v>
      </c>
      <c r="AF29" s="129" t="s">
        <v>68</v>
      </c>
      <c r="AG29" s="129" t="s">
        <v>68</v>
      </c>
      <c r="AH29" s="129" t="s">
        <v>68</v>
      </c>
      <c r="AI29" s="129" t="s">
        <v>68</v>
      </c>
      <c r="AJ29" s="23"/>
      <c r="AL29" t="str">
        <f t="shared" ca="1" si="0"/>
        <v xml:space="preserve">    (U1)ALERT_REQ_S_ISA_TT_</v>
      </c>
      <c r="AR29" s="59" t="str">
        <f t="shared" si="3"/>
        <v/>
      </c>
      <c r="AS29" s="59" t="str">
        <f t="shared" si="4"/>
        <v/>
      </c>
      <c r="AT29" s="59" t="str">
        <f t="shared" si="1"/>
        <v/>
      </c>
    </row>
    <row r="30" spans="2:49">
      <c r="B30" s="133"/>
      <c r="C30" s="43">
        <f t="shared" si="2"/>
        <v>24</v>
      </c>
      <c r="D30" s="57" t="s">
        <v>68</v>
      </c>
      <c r="E30" s="57" t="s">
        <v>68</v>
      </c>
      <c r="F30" s="57" t="s">
        <v>68</v>
      </c>
      <c r="G30" s="57" t="s">
        <v>68</v>
      </c>
      <c r="H30" s="57" t="s">
        <v>68</v>
      </c>
      <c r="I30" s="57" t="s">
        <v>68</v>
      </c>
      <c r="J30" s="57" t="s">
        <v>68</v>
      </c>
      <c r="K30" s="57" t="s">
        <v>68</v>
      </c>
      <c r="L30" s="57" t="s">
        <v>68</v>
      </c>
      <c r="M30" s="57" t="s">
        <v>68</v>
      </c>
      <c r="N30" s="57" t="s">
        <v>68</v>
      </c>
      <c r="O30" s="57" t="s">
        <v>68</v>
      </c>
      <c r="P30" s="57" t="s">
        <v>68</v>
      </c>
      <c r="Q30" s="57" t="s">
        <v>68</v>
      </c>
      <c r="R30" s="57" t="s">
        <v>68</v>
      </c>
      <c r="S30" s="57" t="s">
        <v>68</v>
      </c>
      <c r="T30" s="57" t="s">
        <v>68</v>
      </c>
      <c r="U30" s="57" t="s">
        <v>68</v>
      </c>
      <c r="V30" s="57" t="s">
        <v>68</v>
      </c>
      <c r="W30" s="57" t="s">
        <v>68</v>
      </c>
      <c r="X30" s="57" t="s">
        <v>68</v>
      </c>
      <c r="Y30" s="57" t="s">
        <v>68</v>
      </c>
      <c r="Z30" s="57" t="s">
        <v>68</v>
      </c>
      <c r="AA30" s="57" t="s">
        <v>68</v>
      </c>
      <c r="AB30" s="57" t="s">
        <v>68</v>
      </c>
      <c r="AC30" s="57" t="s">
        <v>68</v>
      </c>
      <c r="AD30" s="57" t="s">
        <v>68</v>
      </c>
      <c r="AE30" s="129" t="s">
        <v>68</v>
      </c>
      <c r="AF30" s="129" t="s">
        <v>68</v>
      </c>
      <c r="AG30" s="129" t="s">
        <v>68</v>
      </c>
      <c r="AH30" s="129" t="s">
        <v>68</v>
      </c>
      <c r="AI30" s="129" t="s">
        <v>68</v>
      </c>
      <c r="AJ30" s="23"/>
      <c r="AL30" t="str">
        <f t="shared" ca="1" si="0"/>
        <v xml:space="preserve">    (U1)ALERT_REQ_S_ISA_TT_</v>
      </c>
      <c r="AR30" s="59" t="str">
        <f t="shared" si="3"/>
        <v/>
      </c>
      <c r="AS30" s="59" t="str">
        <f t="shared" si="4"/>
        <v/>
      </c>
      <c r="AT30" s="59" t="str">
        <f t="shared" si="1"/>
        <v/>
      </c>
    </row>
    <row r="31" spans="2:49">
      <c r="B31" s="133"/>
      <c r="C31" s="43">
        <f t="shared" si="2"/>
        <v>25</v>
      </c>
      <c r="D31" s="57" t="s">
        <v>68</v>
      </c>
      <c r="E31" s="57" t="s">
        <v>68</v>
      </c>
      <c r="F31" s="57" t="s">
        <v>68</v>
      </c>
      <c r="G31" s="57" t="s">
        <v>68</v>
      </c>
      <c r="H31" s="57" t="s">
        <v>68</v>
      </c>
      <c r="I31" s="57" t="s">
        <v>68</v>
      </c>
      <c r="J31" s="57" t="s">
        <v>68</v>
      </c>
      <c r="K31" s="57" t="s">
        <v>68</v>
      </c>
      <c r="L31" s="57" t="s">
        <v>68</v>
      </c>
      <c r="M31" s="57" t="s">
        <v>68</v>
      </c>
      <c r="N31" s="57" t="s">
        <v>68</v>
      </c>
      <c r="O31" s="57" t="s">
        <v>68</v>
      </c>
      <c r="P31" s="57" t="s">
        <v>68</v>
      </c>
      <c r="Q31" s="57" t="s">
        <v>68</v>
      </c>
      <c r="R31" s="57" t="s">
        <v>68</v>
      </c>
      <c r="S31" s="57" t="s">
        <v>68</v>
      </c>
      <c r="T31" s="57" t="s">
        <v>68</v>
      </c>
      <c r="U31" s="57" t="s">
        <v>68</v>
      </c>
      <c r="V31" s="57" t="s">
        <v>68</v>
      </c>
      <c r="W31" s="57" t="s">
        <v>68</v>
      </c>
      <c r="X31" s="57" t="s">
        <v>68</v>
      </c>
      <c r="Y31" s="57" t="s">
        <v>68</v>
      </c>
      <c r="Z31" s="57" t="s">
        <v>68</v>
      </c>
      <c r="AA31" s="57" t="s">
        <v>68</v>
      </c>
      <c r="AB31" s="57" t="s">
        <v>68</v>
      </c>
      <c r="AC31" s="57" t="s">
        <v>68</v>
      </c>
      <c r="AD31" s="57" t="s">
        <v>68</v>
      </c>
      <c r="AE31" s="129" t="s">
        <v>68</v>
      </c>
      <c r="AF31" s="129" t="s">
        <v>68</v>
      </c>
      <c r="AG31" s="129" t="s">
        <v>68</v>
      </c>
      <c r="AH31" s="129" t="s">
        <v>68</v>
      </c>
      <c r="AI31" s="129" t="s">
        <v>68</v>
      </c>
      <c r="AJ31" s="23"/>
      <c r="AL31" t="str">
        <f t="shared" ca="1" si="0"/>
        <v xml:space="preserve">    (U1)ALERT_REQ_S_ISA_TT_</v>
      </c>
      <c r="AR31" s="59" t="str">
        <f t="shared" si="3"/>
        <v/>
      </c>
      <c r="AS31" s="59" t="str">
        <f t="shared" si="4"/>
        <v/>
      </c>
      <c r="AT31" s="59" t="str">
        <f t="shared" si="1"/>
        <v/>
      </c>
    </row>
    <row r="32" spans="2:49">
      <c r="B32" s="133"/>
      <c r="C32" s="43">
        <f t="shared" si="2"/>
        <v>26</v>
      </c>
      <c r="D32" s="57" t="s">
        <v>68</v>
      </c>
      <c r="E32" s="57" t="s">
        <v>68</v>
      </c>
      <c r="F32" s="57" t="s">
        <v>68</v>
      </c>
      <c r="G32" s="57" t="s">
        <v>68</v>
      </c>
      <c r="H32" s="57" t="s">
        <v>68</v>
      </c>
      <c r="I32" s="57" t="s">
        <v>68</v>
      </c>
      <c r="J32" s="57" t="s">
        <v>68</v>
      </c>
      <c r="K32" s="57" t="s">
        <v>68</v>
      </c>
      <c r="L32" s="57" t="s">
        <v>68</v>
      </c>
      <c r="M32" s="57" t="s">
        <v>68</v>
      </c>
      <c r="N32" s="57" t="s">
        <v>68</v>
      </c>
      <c r="O32" s="57" t="s">
        <v>68</v>
      </c>
      <c r="P32" s="57" t="s">
        <v>68</v>
      </c>
      <c r="Q32" s="57" t="s">
        <v>68</v>
      </c>
      <c r="R32" s="57" t="s">
        <v>68</v>
      </c>
      <c r="S32" s="57" t="s">
        <v>68</v>
      </c>
      <c r="T32" s="57" t="s">
        <v>68</v>
      </c>
      <c r="U32" s="57" t="s">
        <v>68</v>
      </c>
      <c r="V32" s="57" t="s">
        <v>68</v>
      </c>
      <c r="W32" s="57" t="s">
        <v>68</v>
      </c>
      <c r="X32" s="57" t="s">
        <v>68</v>
      </c>
      <c r="Y32" s="57" t="s">
        <v>68</v>
      </c>
      <c r="Z32" s="57" t="s">
        <v>68</v>
      </c>
      <c r="AA32" s="57" t="s">
        <v>68</v>
      </c>
      <c r="AB32" s="57" t="s">
        <v>68</v>
      </c>
      <c r="AC32" s="57" t="s">
        <v>68</v>
      </c>
      <c r="AD32" s="57" t="s">
        <v>68</v>
      </c>
      <c r="AE32" s="129" t="s">
        <v>68</v>
      </c>
      <c r="AF32" s="129" t="s">
        <v>68</v>
      </c>
      <c r="AG32" s="129" t="s">
        <v>68</v>
      </c>
      <c r="AH32" s="129" t="s">
        <v>68</v>
      </c>
      <c r="AI32" s="129" t="s">
        <v>68</v>
      </c>
      <c r="AJ32" s="23"/>
      <c r="AL32" t="str">
        <f t="shared" ca="1" si="0"/>
        <v xml:space="preserve">    (U1)ALERT_REQ_S_ISA_TT_</v>
      </c>
      <c r="AR32" s="59" t="str">
        <f t="shared" si="3"/>
        <v/>
      </c>
      <c r="AS32" s="59" t="str">
        <f t="shared" si="4"/>
        <v/>
      </c>
      <c r="AT32" s="59" t="str">
        <f t="shared" si="1"/>
        <v/>
      </c>
    </row>
    <row r="33" spans="2:46">
      <c r="B33" s="133"/>
      <c r="C33" s="43">
        <f t="shared" si="2"/>
        <v>27</v>
      </c>
      <c r="D33" s="57" t="s">
        <v>68</v>
      </c>
      <c r="E33" s="57" t="s">
        <v>68</v>
      </c>
      <c r="F33" s="57" t="s">
        <v>68</v>
      </c>
      <c r="G33" s="57" t="s">
        <v>68</v>
      </c>
      <c r="H33" s="57" t="s">
        <v>68</v>
      </c>
      <c r="I33" s="57" t="s">
        <v>68</v>
      </c>
      <c r="J33" s="57" t="s">
        <v>68</v>
      </c>
      <c r="K33" s="57" t="s">
        <v>68</v>
      </c>
      <c r="L33" s="57" t="s">
        <v>68</v>
      </c>
      <c r="M33" s="57" t="s">
        <v>68</v>
      </c>
      <c r="N33" s="57" t="s">
        <v>68</v>
      </c>
      <c r="O33" s="57" t="s">
        <v>68</v>
      </c>
      <c r="P33" s="57" t="s">
        <v>68</v>
      </c>
      <c r="Q33" s="57" t="s">
        <v>68</v>
      </c>
      <c r="R33" s="57" t="s">
        <v>68</v>
      </c>
      <c r="S33" s="57" t="s">
        <v>68</v>
      </c>
      <c r="T33" s="57" t="s">
        <v>68</v>
      </c>
      <c r="U33" s="57" t="s">
        <v>68</v>
      </c>
      <c r="V33" s="57" t="s">
        <v>68</v>
      </c>
      <c r="W33" s="57" t="s">
        <v>68</v>
      </c>
      <c r="X33" s="57" t="s">
        <v>68</v>
      </c>
      <c r="Y33" s="57" t="s">
        <v>68</v>
      </c>
      <c r="Z33" s="57" t="s">
        <v>68</v>
      </c>
      <c r="AA33" s="57" t="s">
        <v>68</v>
      </c>
      <c r="AB33" s="57" t="s">
        <v>68</v>
      </c>
      <c r="AC33" s="57" t="s">
        <v>68</v>
      </c>
      <c r="AD33" s="57" t="s">
        <v>68</v>
      </c>
      <c r="AE33" s="129" t="s">
        <v>68</v>
      </c>
      <c r="AF33" s="129" t="s">
        <v>68</v>
      </c>
      <c r="AG33" s="129" t="s">
        <v>68</v>
      </c>
      <c r="AH33" s="129" t="s">
        <v>68</v>
      </c>
      <c r="AI33" s="129" t="s">
        <v>68</v>
      </c>
      <c r="AJ33" s="23"/>
      <c r="AL33" t="str">
        <f t="shared" ca="1" si="0"/>
        <v xml:space="preserve">    (U1)ALERT_REQ_S_ISA_TT_</v>
      </c>
      <c r="AR33" s="59" t="str">
        <f t="shared" si="3"/>
        <v/>
      </c>
      <c r="AS33" s="59" t="str">
        <f t="shared" si="4"/>
        <v/>
      </c>
      <c r="AT33" s="59" t="str">
        <f t="shared" si="1"/>
        <v/>
      </c>
    </row>
    <row r="34" spans="2:46">
      <c r="B34" s="133"/>
      <c r="C34" s="43">
        <f t="shared" si="2"/>
        <v>28</v>
      </c>
      <c r="D34" s="57" t="s">
        <v>68</v>
      </c>
      <c r="E34" s="57" t="s">
        <v>68</v>
      </c>
      <c r="F34" s="57" t="s">
        <v>68</v>
      </c>
      <c r="G34" s="57" t="s">
        <v>68</v>
      </c>
      <c r="H34" s="57" t="s">
        <v>68</v>
      </c>
      <c r="I34" s="57" t="s">
        <v>68</v>
      </c>
      <c r="J34" s="57" t="s">
        <v>68</v>
      </c>
      <c r="K34" s="57" t="s">
        <v>68</v>
      </c>
      <c r="L34" s="57" t="s">
        <v>68</v>
      </c>
      <c r="M34" s="57" t="s">
        <v>68</v>
      </c>
      <c r="N34" s="57" t="s">
        <v>68</v>
      </c>
      <c r="O34" s="57" t="s">
        <v>68</v>
      </c>
      <c r="P34" s="57" t="s">
        <v>68</v>
      </c>
      <c r="Q34" s="57" t="s">
        <v>68</v>
      </c>
      <c r="R34" s="57" t="s">
        <v>68</v>
      </c>
      <c r="S34" s="57" t="s">
        <v>68</v>
      </c>
      <c r="T34" s="57" t="s">
        <v>68</v>
      </c>
      <c r="U34" s="57" t="s">
        <v>68</v>
      </c>
      <c r="V34" s="57" t="s">
        <v>68</v>
      </c>
      <c r="W34" s="57" t="s">
        <v>68</v>
      </c>
      <c r="X34" s="57" t="s">
        <v>68</v>
      </c>
      <c r="Y34" s="57" t="s">
        <v>68</v>
      </c>
      <c r="Z34" s="57" t="s">
        <v>68</v>
      </c>
      <c r="AA34" s="57" t="s">
        <v>68</v>
      </c>
      <c r="AB34" s="57" t="s">
        <v>68</v>
      </c>
      <c r="AC34" s="57" t="s">
        <v>68</v>
      </c>
      <c r="AD34" s="57" t="s">
        <v>68</v>
      </c>
      <c r="AE34" s="129" t="s">
        <v>68</v>
      </c>
      <c r="AF34" s="129" t="s">
        <v>68</v>
      </c>
      <c r="AG34" s="129" t="s">
        <v>68</v>
      </c>
      <c r="AH34" s="129" t="s">
        <v>68</v>
      </c>
      <c r="AI34" s="129" t="s">
        <v>68</v>
      </c>
      <c r="AJ34" s="23"/>
      <c r="AL34" t="str">
        <f t="shared" ca="1" si="0"/>
        <v xml:space="preserve">    (U1)ALERT_REQ_S_ISA_TT_</v>
      </c>
      <c r="AR34" s="59" t="str">
        <f t="shared" si="3"/>
        <v/>
      </c>
      <c r="AS34" s="59" t="str">
        <f t="shared" si="4"/>
        <v/>
      </c>
      <c r="AT34" s="59" t="str">
        <f t="shared" si="1"/>
        <v/>
      </c>
    </row>
    <row r="35" spans="2:46">
      <c r="B35" s="133"/>
      <c r="C35" s="43">
        <f t="shared" si="2"/>
        <v>29</v>
      </c>
      <c r="D35" s="57" t="s">
        <v>68</v>
      </c>
      <c r="E35" s="57" t="s">
        <v>68</v>
      </c>
      <c r="F35" s="57" t="s">
        <v>68</v>
      </c>
      <c r="G35" s="57" t="s">
        <v>68</v>
      </c>
      <c r="H35" s="57" t="s">
        <v>68</v>
      </c>
      <c r="I35" s="57" t="s">
        <v>68</v>
      </c>
      <c r="J35" s="57" t="s">
        <v>68</v>
      </c>
      <c r="K35" s="57" t="s">
        <v>68</v>
      </c>
      <c r="L35" s="57" t="s">
        <v>68</v>
      </c>
      <c r="M35" s="57" t="s">
        <v>68</v>
      </c>
      <c r="N35" s="57" t="s">
        <v>68</v>
      </c>
      <c r="O35" s="57" t="s">
        <v>68</v>
      </c>
      <c r="P35" s="57" t="s">
        <v>68</v>
      </c>
      <c r="Q35" s="57" t="s">
        <v>68</v>
      </c>
      <c r="R35" s="57" t="s">
        <v>68</v>
      </c>
      <c r="S35" s="57" t="s">
        <v>68</v>
      </c>
      <c r="T35" s="57" t="s">
        <v>68</v>
      </c>
      <c r="U35" s="57" t="s">
        <v>68</v>
      </c>
      <c r="V35" s="57" t="s">
        <v>68</v>
      </c>
      <c r="W35" s="57" t="s">
        <v>68</v>
      </c>
      <c r="X35" s="57" t="s">
        <v>68</v>
      </c>
      <c r="Y35" s="57" t="s">
        <v>68</v>
      </c>
      <c r="Z35" s="57" t="s">
        <v>68</v>
      </c>
      <c r="AA35" s="57" t="s">
        <v>68</v>
      </c>
      <c r="AB35" s="57" t="s">
        <v>68</v>
      </c>
      <c r="AC35" s="57" t="s">
        <v>68</v>
      </c>
      <c r="AD35" s="57" t="s">
        <v>68</v>
      </c>
      <c r="AE35" s="129" t="s">
        <v>68</v>
      </c>
      <c r="AF35" s="129" t="s">
        <v>68</v>
      </c>
      <c r="AG35" s="129" t="s">
        <v>68</v>
      </c>
      <c r="AH35" s="129" t="s">
        <v>68</v>
      </c>
      <c r="AI35" s="129" t="s">
        <v>68</v>
      </c>
      <c r="AJ35" s="23"/>
      <c r="AL35" t="str">
        <f t="shared" ca="1" si="0"/>
        <v xml:space="preserve">    (U1)ALERT_REQ_S_ISA_TT_</v>
      </c>
      <c r="AR35" s="59" t="str">
        <f t="shared" si="3"/>
        <v/>
      </c>
      <c r="AS35" s="59" t="str">
        <f t="shared" si="4"/>
        <v/>
      </c>
      <c r="AT35" s="59" t="str">
        <f t="shared" si="1"/>
        <v/>
      </c>
    </row>
    <row r="36" spans="2:46">
      <c r="B36" s="133"/>
      <c r="C36" s="43">
        <f t="shared" si="2"/>
        <v>30</v>
      </c>
      <c r="D36" s="57" t="s">
        <v>68</v>
      </c>
      <c r="E36" s="57" t="s">
        <v>68</v>
      </c>
      <c r="F36" s="57" t="s">
        <v>68</v>
      </c>
      <c r="G36" s="57" t="s">
        <v>68</v>
      </c>
      <c r="H36" s="57" t="s">
        <v>68</v>
      </c>
      <c r="I36" s="57" t="s">
        <v>68</v>
      </c>
      <c r="J36" s="57" t="s">
        <v>68</v>
      </c>
      <c r="K36" s="57" t="s">
        <v>68</v>
      </c>
      <c r="L36" s="57" t="s">
        <v>68</v>
      </c>
      <c r="M36" s="57" t="s">
        <v>68</v>
      </c>
      <c r="N36" s="57" t="s">
        <v>68</v>
      </c>
      <c r="O36" s="57" t="s">
        <v>68</v>
      </c>
      <c r="P36" s="57" t="s">
        <v>68</v>
      </c>
      <c r="Q36" s="57" t="s">
        <v>68</v>
      </c>
      <c r="R36" s="57" t="s">
        <v>68</v>
      </c>
      <c r="S36" s="57" t="s">
        <v>68</v>
      </c>
      <c r="T36" s="57" t="s">
        <v>68</v>
      </c>
      <c r="U36" s="57" t="s">
        <v>68</v>
      </c>
      <c r="V36" s="57" t="s">
        <v>68</v>
      </c>
      <c r="W36" s="57" t="s">
        <v>68</v>
      </c>
      <c r="X36" s="57" t="s">
        <v>68</v>
      </c>
      <c r="Y36" s="57" t="s">
        <v>68</v>
      </c>
      <c r="Z36" s="57" t="s">
        <v>68</v>
      </c>
      <c r="AA36" s="57" t="s">
        <v>68</v>
      </c>
      <c r="AB36" s="57" t="s">
        <v>68</v>
      </c>
      <c r="AC36" s="57" t="s">
        <v>68</v>
      </c>
      <c r="AD36" s="57" t="s">
        <v>68</v>
      </c>
      <c r="AE36" s="129" t="s">
        <v>68</v>
      </c>
      <c r="AF36" s="129" t="s">
        <v>68</v>
      </c>
      <c r="AG36" s="129" t="s">
        <v>68</v>
      </c>
      <c r="AH36" s="129" t="s">
        <v>68</v>
      </c>
      <c r="AI36" s="129" t="s">
        <v>68</v>
      </c>
      <c r="AJ36" s="23"/>
      <c r="AL36" t="str">
        <f t="shared" ca="1" si="0"/>
        <v xml:space="preserve">    (U1)ALERT_REQ_S_ISA_TT_</v>
      </c>
      <c r="AR36" s="59" t="str">
        <f t="shared" si="3"/>
        <v/>
      </c>
      <c r="AS36" s="59" t="str">
        <f t="shared" si="4"/>
        <v/>
      </c>
      <c r="AT36" s="59" t="str">
        <f t="shared" si="1"/>
        <v/>
      </c>
    </row>
    <row r="37" spans="2:46">
      <c r="B37" s="133"/>
      <c r="C37" s="43">
        <f t="shared" si="2"/>
        <v>31</v>
      </c>
      <c r="D37" s="57" t="s">
        <v>68</v>
      </c>
      <c r="E37" s="57" t="s">
        <v>68</v>
      </c>
      <c r="F37" s="57" t="s">
        <v>68</v>
      </c>
      <c r="G37" s="57" t="s">
        <v>68</v>
      </c>
      <c r="H37" s="57" t="s">
        <v>68</v>
      </c>
      <c r="I37" s="57" t="s">
        <v>68</v>
      </c>
      <c r="J37" s="57" t="s">
        <v>68</v>
      </c>
      <c r="K37" s="57" t="s">
        <v>68</v>
      </c>
      <c r="L37" s="57" t="s">
        <v>68</v>
      </c>
      <c r="M37" s="57" t="s">
        <v>68</v>
      </c>
      <c r="N37" s="57" t="s">
        <v>68</v>
      </c>
      <c r="O37" s="57" t="s">
        <v>68</v>
      </c>
      <c r="P37" s="57" t="s">
        <v>68</v>
      </c>
      <c r="Q37" s="57" t="s">
        <v>68</v>
      </c>
      <c r="R37" s="57" t="s">
        <v>68</v>
      </c>
      <c r="S37" s="57" t="s">
        <v>68</v>
      </c>
      <c r="T37" s="57" t="s">
        <v>68</v>
      </c>
      <c r="U37" s="57" t="s">
        <v>68</v>
      </c>
      <c r="V37" s="57" t="s">
        <v>68</v>
      </c>
      <c r="W37" s="57" t="s">
        <v>68</v>
      </c>
      <c r="X37" s="57" t="s">
        <v>68</v>
      </c>
      <c r="Y37" s="57" t="s">
        <v>68</v>
      </c>
      <c r="Z37" s="57" t="s">
        <v>68</v>
      </c>
      <c r="AA37" s="57" t="s">
        <v>68</v>
      </c>
      <c r="AB37" s="57" t="s">
        <v>68</v>
      </c>
      <c r="AC37" s="57" t="s">
        <v>68</v>
      </c>
      <c r="AD37" s="57" t="s">
        <v>68</v>
      </c>
      <c r="AE37" s="129" t="s">
        <v>68</v>
      </c>
      <c r="AF37" s="129" t="s">
        <v>68</v>
      </c>
      <c r="AG37" s="129" t="s">
        <v>68</v>
      </c>
      <c r="AH37" s="129" t="s">
        <v>68</v>
      </c>
      <c r="AI37" s="129" t="s">
        <v>68</v>
      </c>
      <c r="AJ37" s="23"/>
      <c r="AL37" t="str">
        <f t="shared" ca="1" si="0"/>
        <v xml:space="preserve">    (U1)ALERT_REQ_S_ISA_TT_</v>
      </c>
      <c r="AR37" s="59" t="str">
        <f t="shared" si="3"/>
        <v/>
      </c>
      <c r="AS37" s="59" t="str">
        <f t="shared" si="4"/>
        <v/>
      </c>
      <c r="AT37" s="59" t="str">
        <f t="shared" si="1"/>
        <v/>
      </c>
    </row>
    <row r="38" spans="2:46">
      <c r="B38" s="133"/>
      <c r="C38" s="43">
        <f t="shared" si="2"/>
        <v>32</v>
      </c>
      <c r="D38" s="57" t="s">
        <v>68</v>
      </c>
      <c r="E38" s="57" t="s">
        <v>68</v>
      </c>
      <c r="F38" s="57" t="s">
        <v>68</v>
      </c>
      <c r="G38" s="57" t="s">
        <v>68</v>
      </c>
      <c r="H38" s="57" t="s">
        <v>68</v>
      </c>
      <c r="I38" s="57" t="s">
        <v>68</v>
      </c>
      <c r="J38" s="57" t="s">
        <v>68</v>
      </c>
      <c r="K38" s="57" t="s">
        <v>68</v>
      </c>
      <c r="L38" s="57" t="s">
        <v>68</v>
      </c>
      <c r="M38" s="57" t="s">
        <v>68</v>
      </c>
      <c r="N38" s="57" t="s">
        <v>68</v>
      </c>
      <c r="O38" s="57" t="s">
        <v>68</v>
      </c>
      <c r="P38" s="57" t="s">
        <v>68</v>
      </c>
      <c r="Q38" s="57" t="s">
        <v>68</v>
      </c>
      <c r="R38" s="57" t="s">
        <v>68</v>
      </c>
      <c r="S38" s="57" t="s">
        <v>68</v>
      </c>
      <c r="T38" s="57" t="s">
        <v>68</v>
      </c>
      <c r="U38" s="57" t="s">
        <v>68</v>
      </c>
      <c r="V38" s="57" t="s">
        <v>68</v>
      </c>
      <c r="W38" s="57" t="s">
        <v>68</v>
      </c>
      <c r="X38" s="57" t="s">
        <v>68</v>
      </c>
      <c r="Y38" s="57" t="s">
        <v>68</v>
      </c>
      <c r="Z38" s="57" t="s">
        <v>68</v>
      </c>
      <c r="AA38" s="57" t="s">
        <v>68</v>
      </c>
      <c r="AB38" s="57" t="s">
        <v>68</v>
      </c>
      <c r="AC38" s="57" t="s">
        <v>68</v>
      </c>
      <c r="AD38" s="57" t="s">
        <v>68</v>
      </c>
      <c r="AE38" s="57" t="s">
        <v>68</v>
      </c>
      <c r="AF38" s="57" t="s">
        <v>68</v>
      </c>
      <c r="AG38" s="57" t="s">
        <v>68</v>
      </c>
      <c r="AH38" s="57" t="s">
        <v>68</v>
      </c>
      <c r="AI38" s="57" t="s">
        <v>68</v>
      </c>
      <c r="AJ38" s="23"/>
      <c r="AL38" t="str">
        <f t="shared" ca="1" si="0"/>
        <v xml:space="preserve">    (U1)ALERT_REQ_S_ISA_TT_</v>
      </c>
      <c r="AR38" s="59" t="str">
        <f t="shared" si="3"/>
        <v/>
      </c>
      <c r="AS38" s="59" t="str">
        <f t="shared" si="4"/>
        <v/>
      </c>
      <c r="AT38" s="59" t="str">
        <f t="shared" si="1"/>
        <v/>
      </c>
    </row>
    <row r="39" spans="2:46">
      <c r="B39" s="133"/>
      <c r="C39" s="43">
        <f t="shared" si="2"/>
        <v>33</v>
      </c>
      <c r="D39" s="57" t="s">
        <v>68</v>
      </c>
      <c r="E39" s="57" t="s">
        <v>68</v>
      </c>
      <c r="F39" s="57" t="s">
        <v>68</v>
      </c>
      <c r="G39" s="57" t="s">
        <v>68</v>
      </c>
      <c r="H39" s="57" t="s">
        <v>68</v>
      </c>
      <c r="I39" s="57" t="s">
        <v>68</v>
      </c>
      <c r="J39" s="57" t="s">
        <v>68</v>
      </c>
      <c r="K39" s="57" t="s">
        <v>68</v>
      </c>
      <c r="L39" s="57" t="s">
        <v>68</v>
      </c>
      <c r="M39" s="57" t="s">
        <v>68</v>
      </c>
      <c r="N39" s="57" t="s">
        <v>68</v>
      </c>
      <c r="O39" s="57" t="s">
        <v>68</v>
      </c>
      <c r="P39" s="57" t="s">
        <v>68</v>
      </c>
      <c r="Q39" s="57" t="s">
        <v>68</v>
      </c>
      <c r="R39" s="57" t="s">
        <v>68</v>
      </c>
      <c r="S39" s="57" t="s">
        <v>68</v>
      </c>
      <c r="T39" s="57" t="s">
        <v>68</v>
      </c>
      <c r="U39" s="57" t="s">
        <v>68</v>
      </c>
      <c r="V39" s="57" t="s">
        <v>68</v>
      </c>
      <c r="W39" s="57" t="s">
        <v>68</v>
      </c>
      <c r="X39" s="57" t="s">
        <v>68</v>
      </c>
      <c r="Y39" s="57" t="s">
        <v>68</v>
      </c>
      <c r="Z39" s="57" t="s">
        <v>68</v>
      </c>
      <c r="AA39" s="57" t="s">
        <v>68</v>
      </c>
      <c r="AB39" s="57" t="s">
        <v>68</v>
      </c>
      <c r="AC39" s="57" t="s">
        <v>68</v>
      </c>
      <c r="AD39" s="57" t="s">
        <v>68</v>
      </c>
      <c r="AE39" s="57" t="s">
        <v>68</v>
      </c>
      <c r="AF39" s="57" t="s">
        <v>68</v>
      </c>
      <c r="AG39" s="57" t="s">
        <v>68</v>
      </c>
      <c r="AH39" s="57" t="s">
        <v>68</v>
      </c>
      <c r="AI39" s="57" t="s">
        <v>68</v>
      </c>
      <c r="AJ39" s="23"/>
      <c r="AL39" t="str">
        <f t="shared" ca="1" si="0"/>
        <v xml:space="preserve">    (U1)ALERT_REQ_S_ISA_TT_</v>
      </c>
      <c r="AR39" s="59" t="str">
        <f t="shared" si="3"/>
        <v/>
      </c>
      <c r="AS39" s="59" t="str">
        <f t="shared" si="4"/>
        <v/>
      </c>
      <c r="AT39" s="59" t="str">
        <f t="shared" si="1"/>
        <v/>
      </c>
    </row>
    <row r="40" spans="2:46">
      <c r="B40" s="133"/>
      <c r="C40" s="43">
        <f t="shared" si="2"/>
        <v>34</v>
      </c>
      <c r="D40" s="57" t="s">
        <v>68</v>
      </c>
      <c r="E40" s="57" t="s">
        <v>68</v>
      </c>
      <c r="F40" s="57" t="s">
        <v>68</v>
      </c>
      <c r="G40" s="57" t="s">
        <v>68</v>
      </c>
      <c r="H40" s="57" t="s">
        <v>68</v>
      </c>
      <c r="I40" s="57" t="s">
        <v>68</v>
      </c>
      <c r="J40" s="57" t="s">
        <v>68</v>
      </c>
      <c r="K40" s="57" t="s">
        <v>68</v>
      </c>
      <c r="L40" s="57" t="s">
        <v>68</v>
      </c>
      <c r="M40" s="57" t="s">
        <v>68</v>
      </c>
      <c r="N40" s="57" t="s">
        <v>68</v>
      </c>
      <c r="O40" s="57" t="s">
        <v>68</v>
      </c>
      <c r="P40" s="57" t="s">
        <v>68</v>
      </c>
      <c r="Q40" s="57" t="s">
        <v>68</v>
      </c>
      <c r="R40" s="57" t="s">
        <v>68</v>
      </c>
      <c r="S40" s="57" t="s">
        <v>68</v>
      </c>
      <c r="T40" s="57" t="s">
        <v>68</v>
      </c>
      <c r="U40" s="57" t="s">
        <v>68</v>
      </c>
      <c r="V40" s="57" t="s">
        <v>68</v>
      </c>
      <c r="W40" s="57" t="s">
        <v>68</v>
      </c>
      <c r="X40" s="57" t="s">
        <v>68</v>
      </c>
      <c r="Y40" s="57" t="s">
        <v>68</v>
      </c>
      <c r="Z40" s="57" t="s">
        <v>68</v>
      </c>
      <c r="AA40" s="57" t="s">
        <v>68</v>
      </c>
      <c r="AB40" s="57" t="s">
        <v>68</v>
      </c>
      <c r="AC40" s="57" t="s">
        <v>68</v>
      </c>
      <c r="AD40" s="57" t="s">
        <v>68</v>
      </c>
      <c r="AE40" s="57" t="s">
        <v>68</v>
      </c>
      <c r="AF40" s="57" t="s">
        <v>68</v>
      </c>
      <c r="AG40" s="57" t="s">
        <v>68</v>
      </c>
      <c r="AH40" s="57" t="s">
        <v>68</v>
      </c>
      <c r="AI40" s="57" t="s">
        <v>68</v>
      </c>
      <c r="AJ40" s="23"/>
      <c r="AL40" t="str">
        <f t="shared" ca="1" si="0"/>
        <v xml:space="preserve">    (U1)ALERT_REQ_S_ISA_TT_</v>
      </c>
      <c r="AR40" s="59" t="str">
        <f t="shared" si="3"/>
        <v/>
      </c>
      <c r="AS40" s="59" t="str">
        <f t="shared" si="4"/>
        <v/>
      </c>
      <c r="AT40" s="59" t="str">
        <f t="shared" si="1"/>
        <v/>
      </c>
    </row>
    <row r="41" spans="2:46">
      <c r="B41" s="133"/>
      <c r="C41" s="43">
        <f t="shared" si="2"/>
        <v>35</v>
      </c>
      <c r="D41" s="57" t="s">
        <v>68</v>
      </c>
      <c r="E41" s="57" t="s">
        <v>68</v>
      </c>
      <c r="F41" s="57" t="s">
        <v>68</v>
      </c>
      <c r="G41" s="57" t="s">
        <v>68</v>
      </c>
      <c r="H41" s="57" t="s">
        <v>68</v>
      </c>
      <c r="I41" s="57" t="s">
        <v>68</v>
      </c>
      <c r="J41" s="57" t="s">
        <v>68</v>
      </c>
      <c r="K41" s="57" t="s">
        <v>68</v>
      </c>
      <c r="L41" s="57" t="s">
        <v>68</v>
      </c>
      <c r="M41" s="57" t="s">
        <v>68</v>
      </c>
      <c r="N41" s="57" t="s">
        <v>68</v>
      </c>
      <c r="O41" s="57" t="s">
        <v>68</v>
      </c>
      <c r="P41" s="57" t="s">
        <v>68</v>
      </c>
      <c r="Q41" s="57" t="s">
        <v>68</v>
      </c>
      <c r="R41" s="57" t="s">
        <v>68</v>
      </c>
      <c r="S41" s="57" t="s">
        <v>68</v>
      </c>
      <c r="T41" s="57" t="s">
        <v>68</v>
      </c>
      <c r="U41" s="57" t="s">
        <v>68</v>
      </c>
      <c r="V41" s="57" t="s">
        <v>68</v>
      </c>
      <c r="W41" s="57" t="s">
        <v>68</v>
      </c>
      <c r="X41" s="57" t="s">
        <v>68</v>
      </c>
      <c r="Y41" s="57" t="s">
        <v>68</v>
      </c>
      <c r="Z41" s="57" t="s">
        <v>68</v>
      </c>
      <c r="AA41" s="57" t="s">
        <v>68</v>
      </c>
      <c r="AB41" s="57" t="s">
        <v>68</v>
      </c>
      <c r="AC41" s="57" t="s">
        <v>68</v>
      </c>
      <c r="AD41" s="57" t="s">
        <v>68</v>
      </c>
      <c r="AE41" s="57" t="s">
        <v>68</v>
      </c>
      <c r="AF41" s="57" t="s">
        <v>68</v>
      </c>
      <c r="AG41" s="57" t="s">
        <v>68</v>
      </c>
      <c r="AH41" s="57" t="s">
        <v>68</v>
      </c>
      <c r="AI41" s="57" t="s">
        <v>68</v>
      </c>
      <c r="AJ41" s="23"/>
      <c r="AL41" t="str">
        <f t="shared" ca="1" si="0"/>
        <v xml:space="preserve">    (U1)ALERT_REQ_S_ISA_TT_</v>
      </c>
      <c r="AR41" s="59" t="str">
        <f t="shared" si="3"/>
        <v/>
      </c>
      <c r="AS41" s="59" t="str">
        <f t="shared" si="4"/>
        <v/>
      </c>
      <c r="AT41" s="59" t="str">
        <f t="shared" si="1"/>
        <v/>
      </c>
    </row>
    <row r="42" spans="2:46">
      <c r="B42" s="133"/>
      <c r="C42" s="43">
        <f t="shared" si="2"/>
        <v>36</v>
      </c>
      <c r="D42" s="57" t="s">
        <v>68</v>
      </c>
      <c r="E42" s="57" t="s">
        <v>68</v>
      </c>
      <c r="F42" s="57" t="s">
        <v>68</v>
      </c>
      <c r="G42" s="57" t="s">
        <v>68</v>
      </c>
      <c r="H42" s="57" t="s">
        <v>68</v>
      </c>
      <c r="I42" s="57" t="s">
        <v>68</v>
      </c>
      <c r="J42" s="57" t="s">
        <v>68</v>
      </c>
      <c r="K42" s="57" t="s">
        <v>68</v>
      </c>
      <c r="L42" s="57" t="s">
        <v>68</v>
      </c>
      <c r="M42" s="57" t="s">
        <v>68</v>
      </c>
      <c r="N42" s="57" t="s">
        <v>68</v>
      </c>
      <c r="O42" s="57" t="s">
        <v>68</v>
      </c>
      <c r="P42" s="57" t="s">
        <v>68</v>
      </c>
      <c r="Q42" s="57" t="s">
        <v>68</v>
      </c>
      <c r="R42" s="57" t="s">
        <v>68</v>
      </c>
      <c r="S42" s="57" t="s">
        <v>68</v>
      </c>
      <c r="T42" s="57" t="s">
        <v>68</v>
      </c>
      <c r="U42" s="57" t="s">
        <v>68</v>
      </c>
      <c r="V42" s="57" t="s">
        <v>68</v>
      </c>
      <c r="W42" s="57" t="s">
        <v>68</v>
      </c>
      <c r="X42" s="57" t="s">
        <v>68</v>
      </c>
      <c r="Y42" s="57" t="s">
        <v>68</v>
      </c>
      <c r="Z42" s="57" t="s">
        <v>68</v>
      </c>
      <c r="AA42" s="57" t="s">
        <v>68</v>
      </c>
      <c r="AB42" s="57" t="s">
        <v>68</v>
      </c>
      <c r="AC42" s="57" t="s">
        <v>68</v>
      </c>
      <c r="AD42" s="57" t="s">
        <v>68</v>
      </c>
      <c r="AE42" s="57" t="s">
        <v>68</v>
      </c>
      <c r="AF42" s="57" t="s">
        <v>68</v>
      </c>
      <c r="AG42" s="57" t="s">
        <v>68</v>
      </c>
      <c r="AH42" s="57" t="s">
        <v>68</v>
      </c>
      <c r="AI42" s="57" t="s">
        <v>68</v>
      </c>
      <c r="AJ42" s="23"/>
      <c r="AL42" t="str">
        <f t="shared" ca="1" si="0"/>
        <v xml:space="preserve">    (U1)ALERT_REQ_S_ISA_TT_</v>
      </c>
      <c r="AR42" s="59" t="str">
        <f t="shared" si="3"/>
        <v/>
      </c>
      <c r="AS42" s="59" t="str">
        <f t="shared" si="4"/>
        <v/>
      </c>
      <c r="AT42" s="59" t="str">
        <f t="shared" si="1"/>
        <v/>
      </c>
    </row>
    <row r="43" spans="2:46">
      <c r="B43" s="133"/>
      <c r="C43" s="43">
        <f t="shared" si="2"/>
        <v>37</v>
      </c>
      <c r="D43" s="57" t="s">
        <v>68</v>
      </c>
      <c r="E43" s="57" t="s">
        <v>68</v>
      </c>
      <c r="F43" s="57" t="s">
        <v>68</v>
      </c>
      <c r="G43" s="57" t="s">
        <v>68</v>
      </c>
      <c r="H43" s="57" t="s">
        <v>68</v>
      </c>
      <c r="I43" s="57" t="s">
        <v>68</v>
      </c>
      <c r="J43" s="57" t="s">
        <v>68</v>
      </c>
      <c r="K43" s="57" t="s">
        <v>68</v>
      </c>
      <c r="L43" s="57" t="s">
        <v>68</v>
      </c>
      <c r="M43" s="57" t="s">
        <v>68</v>
      </c>
      <c r="N43" s="57" t="s">
        <v>68</v>
      </c>
      <c r="O43" s="57" t="s">
        <v>68</v>
      </c>
      <c r="P43" s="57" t="s">
        <v>68</v>
      </c>
      <c r="Q43" s="57" t="s">
        <v>68</v>
      </c>
      <c r="R43" s="57" t="s">
        <v>68</v>
      </c>
      <c r="S43" s="57" t="s">
        <v>68</v>
      </c>
      <c r="T43" s="57" t="s">
        <v>68</v>
      </c>
      <c r="U43" s="57" t="s">
        <v>68</v>
      </c>
      <c r="V43" s="57" t="s">
        <v>68</v>
      </c>
      <c r="W43" s="57" t="s">
        <v>68</v>
      </c>
      <c r="X43" s="57" t="s">
        <v>68</v>
      </c>
      <c r="Y43" s="57" t="s">
        <v>68</v>
      </c>
      <c r="Z43" s="57" t="s">
        <v>68</v>
      </c>
      <c r="AA43" s="57" t="s">
        <v>68</v>
      </c>
      <c r="AB43" s="57" t="s">
        <v>68</v>
      </c>
      <c r="AC43" s="57" t="s">
        <v>68</v>
      </c>
      <c r="AD43" s="57" t="s">
        <v>68</v>
      </c>
      <c r="AE43" s="57" t="s">
        <v>68</v>
      </c>
      <c r="AF43" s="57" t="s">
        <v>68</v>
      </c>
      <c r="AG43" s="57" t="s">
        <v>68</v>
      </c>
      <c r="AH43" s="57" t="s">
        <v>68</v>
      </c>
      <c r="AI43" s="57" t="s">
        <v>68</v>
      </c>
      <c r="AJ43" s="23"/>
      <c r="AL43" t="str">
        <f t="shared" ca="1" si="0"/>
        <v xml:space="preserve">    (U1)ALERT_REQ_S_ISA_TT_</v>
      </c>
      <c r="AR43" s="59" t="str">
        <f t="shared" si="3"/>
        <v/>
      </c>
      <c r="AS43" s="59" t="str">
        <f t="shared" si="4"/>
        <v/>
      </c>
      <c r="AT43" s="59" t="str">
        <f t="shared" si="1"/>
        <v/>
      </c>
    </row>
    <row r="44" spans="2:46">
      <c r="B44" s="133"/>
      <c r="C44" s="43">
        <f t="shared" si="2"/>
        <v>38</v>
      </c>
      <c r="D44" s="57" t="s">
        <v>68</v>
      </c>
      <c r="E44" s="57" t="s">
        <v>68</v>
      </c>
      <c r="F44" s="57" t="s">
        <v>68</v>
      </c>
      <c r="G44" s="57" t="s">
        <v>68</v>
      </c>
      <c r="H44" s="57" t="s">
        <v>68</v>
      </c>
      <c r="I44" s="57" t="s">
        <v>68</v>
      </c>
      <c r="J44" s="57" t="s">
        <v>68</v>
      </c>
      <c r="K44" s="57" t="s">
        <v>68</v>
      </c>
      <c r="L44" s="57" t="s">
        <v>68</v>
      </c>
      <c r="M44" s="57" t="s">
        <v>68</v>
      </c>
      <c r="N44" s="57" t="s">
        <v>68</v>
      </c>
      <c r="O44" s="57" t="s">
        <v>68</v>
      </c>
      <c r="P44" s="57" t="s">
        <v>68</v>
      </c>
      <c r="Q44" s="57" t="s">
        <v>68</v>
      </c>
      <c r="R44" s="57" t="s">
        <v>68</v>
      </c>
      <c r="S44" s="57" t="s">
        <v>68</v>
      </c>
      <c r="T44" s="57" t="s">
        <v>68</v>
      </c>
      <c r="U44" s="57" t="s">
        <v>68</v>
      </c>
      <c r="V44" s="57" t="s">
        <v>68</v>
      </c>
      <c r="W44" s="57" t="s">
        <v>68</v>
      </c>
      <c r="X44" s="57" t="s">
        <v>68</v>
      </c>
      <c r="Y44" s="57" t="s">
        <v>68</v>
      </c>
      <c r="Z44" s="57" t="s">
        <v>68</v>
      </c>
      <c r="AA44" s="57" t="s">
        <v>68</v>
      </c>
      <c r="AB44" s="57" t="s">
        <v>68</v>
      </c>
      <c r="AC44" s="57" t="s">
        <v>68</v>
      </c>
      <c r="AD44" s="57" t="s">
        <v>68</v>
      </c>
      <c r="AE44" s="57" t="s">
        <v>68</v>
      </c>
      <c r="AF44" s="57" t="s">
        <v>68</v>
      </c>
      <c r="AG44" s="57" t="s">
        <v>68</v>
      </c>
      <c r="AH44" s="57" t="s">
        <v>68</v>
      </c>
      <c r="AI44" s="57" t="s">
        <v>68</v>
      </c>
      <c r="AJ44" s="23"/>
      <c r="AL44" t="str">
        <f t="shared" ca="1" si="0"/>
        <v xml:space="preserve">    (U1)ALERT_REQ_S_ISA_TT_</v>
      </c>
      <c r="AR44" s="59" t="str">
        <f t="shared" si="3"/>
        <v/>
      </c>
      <c r="AS44" s="59" t="str">
        <f t="shared" si="4"/>
        <v/>
      </c>
      <c r="AT44" s="59" t="str">
        <f t="shared" si="1"/>
        <v/>
      </c>
    </row>
    <row r="45" spans="2:46">
      <c r="B45" s="133"/>
      <c r="C45" s="43">
        <f t="shared" si="2"/>
        <v>39</v>
      </c>
      <c r="D45" s="57" t="s">
        <v>68</v>
      </c>
      <c r="E45" s="57" t="s">
        <v>68</v>
      </c>
      <c r="F45" s="57" t="s">
        <v>68</v>
      </c>
      <c r="G45" s="57" t="s">
        <v>68</v>
      </c>
      <c r="H45" s="57" t="s">
        <v>68</v>
      </c>
      <c r="I45" s="57" t="s">
        <v>68</v>
      </c>
      <c r="J45" s="57" t="s">
        <v>68</v>
      </c>
      <c r="K45" s="57" t="s">
        <v>68</v>
      </c>
      <c r="L45" s="57" t="s">
        <v>68</v>
      </c>
      <c r="M45" s="57" t="s">
        <v>68</v>
      </c>
      <c r="N45" s="57" t="s">
        <v>68</v>
      </c>
      <c r="O45" s="57" t="s">
        <v>68</v>
      </c>
      <c r="P45" s="57" t="s">
        <v>68</v>
      </c>
      <c r="Q45" s="57" t="s">
        <v>68</v>
      </c>
      <c r="R45" s="57" t="s">
        <v>68</v>
      </c>
      <c r="S45" s="57" t="s">
        <v>68</v>
      </c>
      <c r="T45" s="57" t="s">
        <v>68</v>
      </c>
      <c r="U45" s="57" t="s">
        <v>68</v>
      </c>
      <c r="V45" s="57" t="s">
        <v>68</v>
      </c>
      <c r="W45" s="57" t="s">
        <v>68</v>
      </c>
      <c r="X45" s="57" t="s">
        <v>68</v>
      </c>
      <c r="Y45" s="57" t="s">
        <v>68</v>
      </c>
      <c r="Z45" s="57" t="s">
        <v>68</v>
      </c>
      <c r="AA45" s="57" t="s">
        <v>68</v>
      </c>
      <c r="AB45" s="57" t="s">
        <v>68</v>
      </c>
      <c r="AC45" s="57" t="s">
        <v>68</v>
      </c>
      <c r="AD45" s="57" t="s">
        <v>68</v>
      </c>
      <c r="AE45" s="57" t="s">
        <v>68</v>
      </c>
      <c r="AF45" s="57" t="s">
        <v>68</v>
      </c>
      <c r="AG45" s="57" t="s">
        <v>68</v>
      </c>
      <c r="AH45" s="57" t="s">
        <v>68</v>
      </c>
      <c r="AI45" s="57" t="s">
        <v>68</v>
      </c>
      <c r="AJ45" s="23"/>
      <c r="AL45" t="str">
        <f t="shared" ca="1" si="0"/>
        <v xml:space="preserve">    (U1)ALERT_REQ_S_ISA_TT_</v>
      </c>
      <c r="AR45" s="59" t="str">
        <f t="shared" si="3"/>
        <v/>
      </c>
      <c r="AS45" s="59" t="str">
        <f t="shared" si="4"/>
        <v/>
      </c>
      <c r="AT45" s="59" t="str">
        <f t="shared" si="1"/>
        <v/>
      </c>
    </row>
    <row r="46" spans="2:46">
      <c r="B46" s="133"/>
      <c r="C46" s="43">
        <f t="shared" si="2"/>
        <v>40</v>
      </c>
      <c r="D46" s="57" t="s">
        <v>68</v>
      </c>
      <c r="E46" s="57" t="s">
        <v>68</v>
      </c>
      <c r="F46" s="57" t="s">
        <v>68</v>
      </c>
      <c r="G46" s="57" t="s">
        <v>68</v>
      </c>
      <c r="H46" s="57" t="s">
        <v>68</v>
      </c>
      <c r="I46" s="57" t="s">
        <v>68</v>
      </c>
      <c r="J46" s="57" t="s">
        <v>68</v>
      </c>
      <c r="K46" s="57" t="s">
        <v>68</v>
      </c>
      <c r="L46" s="57" t="s">
        <v>68</v>
      </c>
      <c r="M46" s="57" t="s">
        <v>68</v>
      </c>
      <c r="N46" s="57" t="s">
        <v>68</v>
      </c>
      <c r="O46" s="57" t="s">
        <v>68</v>
      </c>
      <c r="P46" s="57" t="s">
        <v>68</v>
      </c>
      <c r="Q46" s="57" t="s">
        <v>68</v>
      </c>
      <c r="R46" s="57" t="s">
        <v>68</v>
      </c>
      <c r="S46" s="57" t="s">
        <v>68</v>
      </c>
      <c r="T46" s="57" t="s">
        <v>68</v>
      </c>
      <c r="U46" s="57" t="s">
        <v>68</v>
      </c>
      <c r="V46" s="57" t="s">
        <v>68</v>
      </c>
      <c r="W46" s="57" t="s">
        <v>68</v>
      </c>
      <c r="X46" s="57" t="s">
        <v>68</v>
      </c>
      <c r="Y46" s="57" t="s">
        <v>68</v>
      </c>
      <c r="Z46" s="57" t="s">
        <v>68</v>
      </c>
      <c r="AA46" s="57" t="s">
        <v>68</v>
      </c>
      <c r="AB46" s="57" t="s">
        <v>68</v>
      </c>
      <c r="AC46" s="57" t="s">
        <v>68</v>
      </c>
      <c r="AD46" s="57" t="s">
        <v>68</v>
      </c>
      <c r="AE46" s="57" t="s">
        <v>68</v>
      </c>
      <c r="AF46" s="57" t="s">
        <v>68</v>
      </c>
      <c r="AG46" s="57" t="s">
        <v>68</v>
      </c>
      <c r="AH46" s="57" t="s">
        <v>68</v>
      </c>
      <c r="AI46" s="57" t="s">
        <v>68</v>
      </c>
      <c r="AJ46" s="23"/>
      <c r="AL46" t="str">
        <f t="shared" ca="1" si="0"/>
        <v xml:space="preserve">    (U1)ALERT_REQ_S_ISA_TT_</v>
      </c>
      <c r="AR46" s="59" t="str">
        <f t="shared" si="3"/>
        <v/>
      </c>
      <c r="AS46" s="59" t="str">
        <f t="shared" si="4"/>
        <v/>
      </c>
      <c r="AT46" s="59" t="str">
        <f t="shared" si="1"/>
        <v/>
      </c>
    </row>
    <row r="47" spans="2:46">
      <c r="B47" s="133"/>
      <c r="C47" s="43">
        <f t="shared" si="2"/>
        <v>41</v>
      </c>
      <c r="D47" s="57" t="s">
        <v>68</v>
      </c>
      <c r="E47" s="57" t="s">
        <v>68</v>
      </c>
      <c r="F47" s="57" t="s">
        <v>68</v>
      </c>
      <c r="G47" s="57" t="s">
        <v>68</v>
      </c>
      <c r="H47" s="57" t="s">
        <v>68</v>
      </c>
      <c r="I47" s="57" t="s">
        <v>68</v>
      </c>
      <c r="J47" s="57" t="s">
        <v>68</v>
      </c>
      <c r="K47" s="57" t="s">
        <v>68</v>
      </c>
      <c r="L47" s="57" t="s">
        <v>68</v>
      </c>
      <c r="M47" s="57" t="s">
        <v>68</v>
      </c>
      <c r="N47" s="57" t="s">
        <v>68</v>
      </c>
      <c r="O47" s="57" t="s">
        <v>68</v>
      </c>
      <c r="P47" s="57" t="s">
        <v>68</v>
      </c>
      <c r="Q47" s="57" t="s">
        <v>68</v>
      </c>
      <c r="R47" s="57" t="s">
        <v>68</v>
      </c>
      <c r="S47" s="57" t="s">
        <v>68</v>
      </c>
      <c r="T47" s="57" t="s">
        <v>68</v>
      </c>
      <c r="U47" s="57" t="s">
        <v>68</v>
      </c>
      <c r="V47" s="57" t="s">
        <v>68</v>
      </c>
      <c r="W47" s="57" t="s">
        <v>68</v>
      </c>
      <c r="X47" s="57" t="s">
        <v>68</v>
      </c>
      <c r="Y47" s="57" t="s">
        <v>68</v>
      </c>
      <c r="Z47" s="57" t="s">
        <v>68</v>
      </c>
      <c r="AA47" s="57" t="s">
        <v>68</v>
      </c>
      <c r="AB47" s="57" t="s">
        <v>68</v>
      </c>
      <c r="AC47" s="57" t="s">
        <v>68</v>
      </c>
      <c r="AD47" s="57" t="s">
        <v>68</v>
      </c>
      <c r="AE47" s="57" t="s">
        <v>68</v>
      </c>
      <c r="AF47" s="57" t="s">
        <v>68</v>
      </c>
      <c r="AG47" s="57" t="s">
        <v>68</v>
      </c>
      <c r="AH47" s="57" t="s">
        <v>68</v>
      </c>
      <c r="AI47" s="57" t="s">
        <v>68</v>
      </c>
      <c r="AJ47" s="23"/>
      <c r="AL47" t="str">
        <f t="shared" ca="1" si="0"/>
        <v xml:space="preserve">    (U1)ALERT_REQ_S_ISA_TT_</v>
      </c>
      <c r="AR47" s="59" t="str">
        <f t="shared" si="3"/>
        <v/>
      </c>
      <c r="AS47" s="59" t="str">
        <f t="shared" si="4"/>
        <v/>
      </c>
      <c r="AT47" s="59" t="str">
        <f t="shared" si="1"/>
        <v/>
      </c>
    </row>
    <row r="48" spans="2:46">
      <c r="B48" s="133"/>
      <c r="C48" s="43">
        <f t="shared" si="2"/>
        <v>42</v>
      </c>
      <c r="D48" s="57" t="s">
        <v>68</v>
      </c>
      <c r="E48" s="57" t="s">
        <v>68</v>
      </c>
      <c r="F48" s="57" t="s">
        <v>68</v>
      </c>
      <c r="G48" s="57" t="s">
        <v>68</v>
      </c>
      <c r="H48" s="57" t="s">
        <v>68</v>
      </c>
      <c r="I48" s="57" t="s">
        <v>68</v>
      </c>
      <c r="J48" s="57" t="s">
        <v>68</v>
      </c>
      <c r="K48" s="57" t="s">
        <v>68</v>
      </c>
      <c r="L48" s="57" t="s">
        <v>68</v>
      </c>
      <c r="M48" s="57" t="s">
        <v>68</v>
      </c>
      <c r="N48" s="57" t="s">
        <v>68</v>
      </c>
      <c r="O48" s="57" t="s">
        <v>68</v>
      </c>
      <c r="P48" s="57" t="s">
        <v>68</v>
      </c>
      <c r="Q48" s="57" t="s">
        <v>68</v>
      </c>
      <c r="R48" s="57" t="s">
        <v>68</v>
      </c>
      <c r="S48" s="57" t="s">
        <v>68</v>
      </c>
      <c r="T48" s="57" t="s">
        <v>68</v>
      </c>
      <c r="U48" s="57" t="s">
        <v>68</v>
      </c>
      <c r="V48" s="57" t="s">
        <v>68</v>
      </c>
      <c r="W48" s="57" t="s">
        <v>68</v>
      </c>
      <c r="X48" s="57" t="s">
        <v>68</v>
      </c>
      <c r="Y48" s="57" t="s">
        <v>68</v>
      </c>
      <c r="Z48" s="57" t="s">
        <v>68</v>
      </c>
      <c r="AA48" s="57" t="s">
        <v>68</v>
      </c>
      <c r="AB48" s="57" t="s">
        <v>68</v>
      </c>
      <c r="AC48" s="57" t="s">
        <v>68</v>
      </c>
      <c r="AD48" s="57" t="s">
        <v>68</v>
      </c>
      <c r="AE48" s="57" t="s">
        <v>68</v>
      </c>
      <c r="AF48" s="57" t="s">
        <v>68</v>
      </c>
      <c r="AG48" s="57" t="s">
        <v>68</v>
      </c>
      <c r="AH48" s="57" t="s">
        <v>68</v>
      </c>
      <c r="AI48" s="57" t="s">
        <v>68</v>
      </c>
      <c r="AJ48" s="23"/>
      <c r="AL48" t="str">
        <f t="shared" ca="1" si="0"/>
        <v xml:space="preserve">    (U1)ALERT_REQ_S_ISA_TT_</v>
      </c>
      <c r="AR48" s="59" t="str">
        <f t="shared" si="3"/>
        <v/>
      </c>
      <c r="AS48" s="59" t="str">
        <f t="shared" si="4"/>
        <v/>
      </c>
      <c r="AT48" s="59" t="str">
        <f t="shared" si="1"/>
        <v/>
      </c>
    </row>
    <row r="49" spans="2:46">
      <c r="B49" s="133"/>
      <c r="C49" s="43">
        <f t="shared" si="2"/>
        <v>43</v>
      </c>
      <c r="D49" s="57" t="s">
        <v>68</v>
      </c>
      <c r="E49" s="57" t="s">
        <v>68</v>
      </c>
      <c r="F49" s="57" t="s">
        <v>68</v>
      </c>
      <c r="G49" s="57" t="s">
        <v>68</v>
      </c>
      <c r="H49" s="57" t="s">
        <v>68</v>
      </c>
      <c r="I49" s="57" t="s">
        <v>68</v>
      </c>
      <c r="J49" s="57" t="s">
        <v>68</v>
      </c>
      <c r="K49" s="57" t="s">
        <v>68</v>
      </c>
      <c r="L49" s="57" t="s">
        <v>68</v>
      </c>
      <c r="M49" s="57" t="s">
        <v>68</v>
      </c>
      <c r="N49" s="57" t="s">
        <v>68</v>
      </c>
      <c r="O49" s="57" t="s">
        <v>68</v>
      </c>
      <c r="P49" s="57" t="s">
        <v>68</v>
      </c>
      <c r="Q49" s="57" t="s">
        <v>68</v>
      </c>
      <c r="R49" s="57" t="s">
        <v>68</v>
      </c>
      <c r="S49" s="57" t="s">
        <v>68</v>
      </c>
      <c r="T49" s="57" t="s">
        <v>68</v>
      </c>
      <c r="U49" s="57" t="s">
        <v>68</v>
      </c>
      <c r="V49" s="57" t="s">
        <v>68</v>
      </c>
      <c r="W49" s="57" t="s">
        <v>68</v>
      </c>
      <c r="X49" s="57" t="s">
        <v>68</v>
      </c>
      <c r="Y49" s="57" t="s">
        <v>68</v>
      </c>
      <c r="Z49" s="57" t="s">
        <v>68</v>
      </c>
      <c r="AA49" s="57" t="s">
        <v>68</v>
      </c>
      <c r="AB49" s="57" t="s">
        <v>68</v>
      </c>
      <c r="AC49" s="57" t="s">
        <v>68</v>
      </c>
      <c r="AD49" s="57" t="s">
        <v>68</v>
      </c>
      <c r="AE49" s="57" t="s">
        <v>68</v>
      </c>
      <c r="AF49" s="57" t="s">
        <v>68</v>
      </c>
      <c r="AG49" s="57" t="s">
        <v>68</v>
      </c>
      <c r="AH49" s="57" t="s">
        <v>68</v>
      </c>
      <c r="AI49" s="57" t="s">
        <v>68</v>
      </c>
      <c r="AJ49" s="23"/>
      <c r="AL49" t="str">
        <f t="shared" ca="1" si="0"/>
        <v xml:space="preserve">    (U1)ALERT_REQ_S_ISA_TT_</v>
      </c>
      <c r="AR49" s="59" t="str">
        <f t="shared" si="3"/>
        <v/>
      </c>
      <c r="AS49" s="59" t="str">
        <f t="shared" si="4"/>
        <v/>
      </c>
      <c r="AT49" s="59" t="str">
        <f t="shared" si="1"/>
        <v/>
      </c>
    </row>
    <row r="50" spans="2:46">
      <c r="B50" s="133"/>
      <c r="C50" s="43">
        <f t="shared" si="2"/>
        <v>44</v>
      </c>
      <c r="D50" s="57" t="s">
        <v>68</v>
      </c>
      <c r="E50" s="57" t="s">
        <v>68</v>
      </c>
      <c r="F50" s="57" t="s">
        <v>68</v>
      </c>
      <c r="G50" s="57" t="s">
        <v>68</v>
      </c>
      <c r="H50" s="57" t="s">
        <v>68</v>
      </c>
      <c r="I50" s="57" t="s">
        <v>68</v>
      </c>
      <c r="J50" s="57" t="s">
        <v>68</v>
      </c>
      <c r="K50" s="57" t="s">
        <v>68</v>
      </c>
      <c r="L50" s="57" t="s">
        <v>68</v>
      </c>
      <c r="M50" s="57" t="s">
        <v>68</v>
      </c>
      <c r="N50" s="57" t="s">
        <v>68</v>
      </c>
      <c r="O50" s="57" t="s">
        <v>68</v>
      </c>
      <c r="P50" s="57" t="s">
        <v>68</v>
      </c>
      <c r="Q50" s="57" t="s">
        <v>68</v>
      </c>
      <c r="R50" s="57" t="s">
        <v>68</v>
      </c>
      <c r="S50" s="57" t="s">
        <v>68</v>
      </c>
      <c r="T50" s="57" t="s">
        <v>68</v>
      </c>
      <c r="U50" s="57" t="s">
        <v>68</v>
      </c>
      <c r="V50" s="57" t="s">
        <v>68</v>
      </c>
      <c r="W50" s="57" t="s">
        <v>68</v>
      </c>
      <c r="X50" s="57" t="s">
        <v>68</v>
      </c>
      <c r="Y50" s="57" t="s">
        <v>68</v>
      </c>
      <c r="Z50" s="57" t="s">
        <v>68</v>
      </c>
      <c r="AA50" s="57" t="s">
        <v>68</v>
      </c>
      <c r="AB50" s="57" t="s">
        <v>68</v>
      </c>
      <c r="AC50" s="57" t="s">
        <v>68</v>
      </c>
      <c r="AD50" s="57" t="s">
        <v>68</v>
      </c>
      <c r="AE50" s="57" t="s">
        <v>68</v>
      </c>
      <c r="AF50" s="57" t="s">
        <v>68</v>
      </c>
      <c r="AG50" s="57" t="s">
        <v>68</v>
      </c>
      <c r="AH50" s="57" t="s">
        <v>68</v>
      </c>
      <c r="AI50" s="57" t="s">
        <v>68</v>
      </c>
      <c r="AJ50" s="23"/>
      <c r="AL50" t="str">
        <f t="shared" ca="1" si="0"/>
        <v xml:space="preserve">    (U1)ALERT_REQ_S_ISA_TT_</v>
      </c>
      <c r="AR50" s="59" t="str">
        <f t="shared" si="3"/>
        <v/>
      </c>
      <c r="AS50" s="59" t="str">
        <f t="shared" si="4"/>
        <v/>
      </c>
      <c r="AT50" s="59" t="str">
        <f t="shared" si="1"/>
        <v/>
      </c>
    </row>
    <row r="51" spans="2:46">
      <c r="B51" s="133"/>
      <c r="C51" s="43">
        <f t="shared" si="2"/>
        <v>45</v>
      </c>
      <c r="D51" s="57" t="s">
        <v>68</v>
      </c>
      <c r="E51" s="57" t="s">
        <v>68</v>
      </c>
      <c r="F51" s="57" t="s">
        <v>68</v>
      </c>
      <c r="G51" s="57" t="s">
        <v>68</v>
      </c>
      <c r="H51" s="57" t="s">
        <v>68</v>
      </c>
      <c r="I51" s="57" t="s">
        <v>68</v>
      </c>
      <c r="J51" s="57" t="s">
        <v>68</v>
      </c>
      <c r="K51" s="57" t="s">
        <v>68</v>
      </c>
      <c r="L51" s="57" t="s">
        <v>68</v>
      </c>
      <c r="M51" s="57" t="s">
        <v>68</v>
      </c>
      <c r="N51" s="57" t="s">
        <v>68</v>
      </c>
      <c r="O51" s="57" t="s">
        <v>68</v>
      </c>
      <c r="P51" s="57" t="s">
        <v>68</v>
      </c>
      <c r="Q51" s="57" t="s">
        <v>68</v>
      </c>
      <c r="R51" s="57" t="s">
        <v>68</v>
      </c>
      <c r="S51" s="57" t="s">
        <v>68</v>
      </c>
      <c r="T51" s="57" t="s">
        <v>68</v>
      </c>
      <c r="U51" s="57" t="s">
        <v>68</v>
      </c>
      <c r="V51" s="57" t="s">
        <v>68</v>
      </c>
      <c r="W51" s="57" t="s">
        <v>68</v>
      </c>
      <c r="X51" s="57" t="s">
        <v>68</v>
      </c>
      <c r="Y51" s="57" t="s">
        <v>68</v>
      </c>
      <c r="Z51" s="57" t="s">
        <v>68</v>
      </c>
      <c r="AA51" s="57" t="s">
        <v>68</v>
      </c>
      <c r="AB51" s="57" t="s">
        <v>68</v>
      </c>
      <c r="AC51" s="57" t="s">
        <v>68</v>
      </c>
      <c r="AD51" s="57" t="s">
        <v>68</v>
      </c>
      <c r="AE51" s="57" t="s">
        <v>68</v>
      </c>
      <c r="AF51" s="57" t="s">
        <v>68</v>
      </c>
      <c r="AG51" s="57" t="s">
        <v>68</v>
      </c>
      <c r="AH51" s="57" t="s">
        <v>68</v>
      </c>
      <c r="AI51" s="57" t="s">
        <v>68</v>
      </c>
      <c r="AJ51" s="23"/>
      <c r="AL51" t="str">
        <f t="shared" ca="1" si="0"/>
        <v xml:space="preserve">    (U1)ALERT_REQ_S_ISA_TT_</v>
      </c>
      <c r="AR51" s="59" t="str">
        <f t="shared" si="3"/>
        <v/>
      </c>
      <c r="AS51" s="59" t="str">
        <f t="shared" si="4"/>
        <v/>
      </c>
      <c r="AT51" s="59" t="str">
        <f t="shared" si="1"/>
        <v/>
      </c>
    </row>
    <row r="52" spans="2:46">
      <c r="B52" s="133"/>
      <c r="C52" s="43">
        <f t="shared" si="2"/>
        <v>46</v>
      </c>
      <c r="D52" s="57" t="s">
        <v>68</v>
      </c>
      <c r="E52" s="57" t="s">
        <v>68</v>
      </c>
      <c r="F52" s="57" t="s">
        <v>68</v>
      </c>
      <c r="G52" s="57" t="s">
        <v>68</v>
      </c>
      <c r="H52" s="57" t="s">
        <v>68</v>
      </c>
      <c r="I52" s="57" t="s">
        <v>68</v>
      </c>
      <c r="J52" s="57" t="s">
        <v>68</v>
      </c>
      <c r="K52" s="57" t="s">
        <v>68</v>
      </c>
      <c r="L52" s="57" t="s">
        <v>68</v>
      </c>
      <c r="M52" s="57" t="s">
        <v>68</v>
      </c>
      <c r="N52" s="57" t="s">
        <v>68</v>
      </c>
      <c r="O52" s="57" t="s">
        <v>68</v>
      </c>
      <c r="P52" s="57" t="s">
        <v>68</v>
      </c>
      <c r="Q52" s="57" t="s">
        <v>68</v>
      </c>
      <c r="R52" s="57" t="s">
        <v>68</v>
      </c>
      <c r="S52" s="57" t="s">
        <v>68</v>
      </c>
      <c r="T52" s="57" t="s">
        <v>68</v>
      </c>
      <c r="U52" s="57" t="s">
        <v>68</v>
      </c>
      <c r="V52" s="57" t="s">
        <v>68</v>
      </c>
      <c r="W52" s="57" t="s">
        <v>68</v>
      </c>
      <c r="X52" s="57" t="s">
        <v>68</v>
      </c>
      <c r="Y52" s="57" t="s">
        <v>68</v>
      </c>
      <c r="Z52" s="57" t="s">
        <v>68</v>
      </c>
      <c r="AA52" s="57" t="s">
        <v>68</v>
      </c>
      <c r="AB52" s="57" t="s">
        <v>68</v>
      </c>
      <c r="AC52" s="57" t="s">
        <v>68</v>
      </c>
      <c r="AD52" s="57" t="s">
        <v>68</v>
      </c>
      <c r="AE52" s="57" t="s">
        <v>68</v>
      </c>
      <c r="AF52" s="57" t="s">
        <v>68</v>
      </c>
      <c r="AG52" s="57" t="s">
        <v>68</v>
      </c>
      <c r="AH52" s="57" t="s">
        <v>68</v>
      </c>
      <c r="AI52" s="57" t="s">
        <v>68</v>
      </c>
      <c r="AJ52" s="23"/>
      <c r="AL52" t="str">
        <f t="shared" ca="1" si="0"/>
        <v xml:space="preserve">    (U1)ALERT_REQ_S_ISA_TT_</v>
      </c>
      <c r="AR52" s="59" t="str">
        <f t="shared" si="3"/>
        <v/>
      </c>
      <c r="AS52" s="59" t="str">
        <f t="shared" si="4"/>
        <v/>
      </c>
      <c r="AT52" s="59" t="str">
        <f t="shared" si="1"/>
        <v/>
      </c>
    </row>
    <row r="53" spans="2:46">
      <c r="B53" s="133"/>
      <c r="C53" s="43">
        <f t="shared" si="2"/>
        <v>47</v>
      </c>
      <c r="D53" s="57" t="s">
        <v>68</v>
      </c>
      <c r="E53" s="57" t="s">
        <v>68</v>
      </c>
      <c r="F53" s="57" t="s">
        <v>68</v>
      </c>
      <c r="G53" s="57" t="s">
        <v>68</v>
      </c>
      <c r="H53" s="57" t="s">
        <v>68</v>
      </c>
      <c r="I53" s="57" t="s">
        <v>68</v>
      </c>
      <c r="J53" s="57" t="s">
        <v>68</v>
      </c>
      <c r="K53" s="57" t="s">
        <v>68</v>
      </c>
      <c r="L53" s="57" t="s">
        <v>68</v>
      </c>
      <c r="M53" s="57" t="s">
        <v>68</v>
      </c>
      <c r="N53" s="57" t="s">
        <v>68</v>
      </c>
      <c r="O53" s="57" t="s">
        <v>68</v>
      </c>
      <c r="P53" s="57" t="s">
        <v>68</v>
      </c>
      <c r="Q53" s="57" t="s">
        <v>68</v>
      </c>
      <c r="R53" s="57" t="s">
        <v>68</v>
      </c>
      <c r="S53" s="57" t="s">
        <v>68</v>
      </c>
      <c r="T53" s="57" t="s">
        <v>68</v>
      </c>
      <c r="U53" s="57" t="s">
        <v>68</v>
      </c>
      <c r="V53" s="57" t="s">
        <v>68</v>
      </c>
      <c r="W53" s="57" t="s">
        <v>68</v>
      </c>
      <c r="X53" s="57" t="s">
        <v>68</v>
      </c>
      <c r="Y53" s="57" t="s">
        <v>68</v>
      </c>
      <c r="Z53" s="57" t="s">
        <v>68</v>
      </c>
      <c r="AA53" s="57" t="s">
        <v>68</v>
      </c>
      <c r="AB53" s="57" t="s">
        <v>68</v>
      </c>
      <c r="AC53" s="57" t="s">
        <v>68</v>
      </c>
      <c r="AD53" s="57" t="s">
        <v>68</v>
      </c>
      <c r="AE53" s="57" t="s">
        <v>68</v>
      </c>
      <c r="AF53" s="57" t="s">
        <v>68</v>
      </c>
      <c r="AG53" s="57" t="s">
        <v>68</v>
      </c>
      <c r="AH53" s="57" t="s">
        <v>68</v>
      </c>
      <c r="AI53" s="57" t="s">
        <v>68</v>
      </c>
      <c r="AJ53" s="23"/>
      <c r="AL53" t="str">
        <f t="shared" ca="1" si="0"/>
        <v xml:space="preserve">    (U1)ALERT_REQ_S_ISA_TT_</v>
      </c>
      <c r="AR53" s="59" t="str">
        <f t="shared" si="3"/>
        <v/>
      </c>
      <c r="AS53" s="59" t="str">
        <f t="shared" si="4"/>
        <v/>
      </c>
      <c r="AT53" s="59" t="str">
        <f t="shared" si="1"/>
        <v/>
      </c>
    </row>
    <row r="54" spans="2:46">
      <c r="B54" s="133"/>
      <c r="C54" s="43">
        <f t="shared" si="2"/>
        <v>48</v>
      </c>
      <c r="D54" s="57" t="s">
        <v>68</v>
      </c>
      <c r="E54" s="57" t="s">
        <v>68</v>
      </c>
      <c r="F54" s="57" t="s">
        <v>68</v>
      </c>
      <c r="G54" s="57" t="s">
        <v>68</v>
      </c>
      <c r="H54" s="57" t="s">
        <v>68</v>
      </c>
      <c r="I54" s="57" t="s">
        <v>68</v>
      </c>
      <c r="J54" s="57" t="s">
        <v>68</v>
      </c>
      <c r="K54" s="57" t="s">
        <v>68</v>
      </c>
      <c r="L54" s="57" t="s">
        <v>68</v>
      </c>
      <c r="M54" s="57" t="s">
        <v>68</v>
      </c>
      <c r="N54" s="57" t="s">
        <v>68</v>
      </c>
      <c r="O54" s="57" t="s">
        <v>68</v>
      </c>
      <c r="P54" s="57" t="s">
        <v>68</v>
      </c>
      <c r="Q54" s="57" t="s">
        <v>68</v>
      </c>
      <c r="R54" s="57" t="s">
        <v>68</v>
      </c>
      <c r="S54" s="57" t="s">
        <v>68</v>
      </c>
      <c r="T54" s="57" t="s">
        <v>68</v>
      </c>
      <c r="U54" s="57" t="s">
        <v>68</v>
      </c>
      <c r="V54" s="57" t="s">
        <v>68</v>
      </c>
      <c r="W54" s="57" t="s">
        <v>68</v>
      </c>
      <c r="X54" s="57" t="s">
        <v>68</v>
      </c>
      <c r="Y54" s="57" t="s">
        <v>68</v>
      </c>
      <c r="Z54" s="57" t="s">
        <v>68</v>
      </c>
      <c r="AA54" s="57" t="s">
        <v>68</v>
      </c>
      <c r="AB54" s="57" t="s">
        <v>68</v>
      </c>
      <c r="AC54" s="57" t="s">
        <v>68</v>
      </c>
      <c r="AD54" s="57" t="s">
        <v>68</v>
      </c>
      <c r="AE54" s="57" t="s">
        <v>68</v>
      </c>
      <c r="AF54" s="57" t="s">
        <v>68</v>
      </c>
      <c r="AG54" s="57" t="s">
        <v>68</v>
      </c>
      <c r="AH54" s="57" t="s">
        <v>68</v>
      </c>
      <c r="AI54" s="57" t="s">
        <v>68</v>
      </c>
      <c r="AJ54" s="23"/>
      <c r="AL54" t="str">
        <f t="shared" ca="1" si="0"/>
        <v xml:space="preserve">    (U1)ALERT_REQ_S_ISA_TT_</v>
      </c>
      <c r="AR54" s="59" t="str">
        <f t="shared" si="3"/>
        <v/>
      </c>
      <c r="AS54" s="59" t="str">
        <f t="shared" si="4"/>
        <v/>
      </c>
      <c r="AT54" s="59" t="str">
        <f t="shared" si="1"/>
        <v/>
      </c>
    </row>
    <row r="55" spans="2:46">
      <c r="B55" s="133"/>
      <c r="C55" s="43">
        <f t="shared" si="2"/>
        <v>49</v>
      </c>
      <c r="D55" s="57" t="s">
        <v>68</v>
      </c>
      <c r="E55" s="57" t="s">
        <v>68</v>
      </c>
      <c r="F55" s="57" t="s">
        <v>68</v>
      </c>
      <c r="G55" s="57" t="s">
        <v>68</v>
      </c>
      <c r="H55" s="57" t="s">
        <v>68</v>
      </c>
      <c r="I55" s="57" t="s">
        <v>68</v>
      </c>
      <c r="J55" s="57" t="s">
        <v>68</v>
      </c>
      <c r="K55" s="57" t="s">
        <v>68</v>
      </c>
      <c r="L55" s="57" t="s">
        <v>68</v>
      </c>
      <c r="M55" s="57" t="s">
        <v>68</v>
      </c>
      <c r="N55" s="57" t="s">
        <v>68</v>
      </c>
      <c r="O55" s="57" t="s">
        <v>68</v>
      </c>
      <c r="P55" s="57" t="s">
        <v>68</v>
      </c>
      <c r="Q55" s="57" t="s">
        <v>68</v>
      </c>
      <c r="R55" s="57" t="s">
        <v>68</v>
      </c>
      <c r="S55" s="57" t="s">
        <v>68</v>
      </c>
      <c r="T55" s="57" t="s">
        <v>68</v>
      </c>
      <c r="U55" s="57" t="s">
        <v>68</v>
      </c>
      <c r="V55" s="57" t="s">
        <v>68</v>
      </c>
      <c r="W55" s="57" t="s">
        <v>68</v>
      </c>
      <c r="X55" s="57" t="s">
        <v>68</v>
      </c>
      <c r="Y55" s="57" t="s">
        <v>68</v>
      </c>
      <c r="Z55" s="57" t="s">
        <v>68</v>
      </c>
      <c r="AA55" s="57" t="s">
        <v>68</v>
      </c>
      <c r="AB55" s="57" t="s">
        <v>68</v>
      </c>
      <c r="AC55" s="57" t="s">
        <v>68</v>
      </c>
      <c r="AD55" s="57" t="s">
        <v>68</v>
      </c>
      <c r="AE55" s="57" t="s">
        <v>68</v>
      </c>
      <c r="AF55" s="57" t="s">
        <v>68</v>
      </c>
      <c r="AG55" s="57" t="s">
        <v>68</v>
      </c>
      <c r="AH55" s="57" t="s">
        <v>68</v>
      </c>
      <c r="AI55" s="57" t="s">
        <v>68</v>
      </c>
      <c r="AJ55" s="23"/>
      <c r="AL55" t="str">
        <f t="shared" ca="1" si="0"/>
        <v xml:space="preserve">    (U1)ALERT_REQ_S_ISA_TT_</v>
      </c>
      <c r="AR55" s="59" t="str">
        <f t="shared" si="3"/>
        <v/>
      </c>
      <c r="AS55" s="59" t="str">
        <f t="shared" si="4"/>
        <v/>
      </c>
      <c r="AT55" s="59" t="str">
        <f t="shared" si="1"/>
        <v/>
      </c>
    </row>
    <row r="56" spans="2:46">
      <c r="B56" s="133"/>
      <c r="C56" s="43">
        <f t="shared" si="2"/>
        <v>50</v>
      </c>
      <c r="D56" s="57" t="s">
        <v>68</v>
      </c>
      <c r="E56" s="57" t="s">
        <v>68</v>
      </c>
      <c r="F56" s="57" t="s">
        <v>68</v>
      </c>
      <c r="G56" s="57" t="s">
        <v>68</v>
      </c>
      <c r="H56" s="57" t="s">
        <v>68</v>
      </c>
      <c r="I56" s="57" t="s">
        <v>68</v>
      </c>
      <c r="J56" s="57" t="s">
        <v>68</v>
      </c>
      <c r="K56" s="57" t="s">
        <v>68</v>
      </c>
      <c r="L56" s="57" t="s">
        <v>68</v>
      </c>
      <c r="M56" s="57" t="s">
        <v>68</v>
      </c>
      <c r="N56" s="57" t="s">
        <v>68</v>
      </c>
      <c r="O56" s="57" t="s">
        <v>68</v>
      </c>
      <c r="P56" s="57" t="s">
        <v>68</v>
      </c>
      <c r="Q56" s="57" t="s">
        <v>68</v>
      </c>
      <c r="R56" s="57" t="s">
        <v>68</v>
      </c>
      <c r="S56" s="57" t="s">
        <v>68</v>
      </c>
      <c r="T56" s="57" t="s">
        <v>68</v>
      </c>
      <c r="U56" s="57" t="s">
        <v>68</v>
      </c>
      <c r="V56" s="57" t="s">
        <v>68</v>
      </c>
      <c r="W56" s="57" t="s">
        <v>68</v>
      </c>
      <c r="X56" s="57" t="s">
        <v>68</v>
      </c>
      <c r="Y56" s="57" t="s">
        <v>68</v>
      </c>
      <c r="Z56" s="57" t="s">
        <v>68</v>
      </c>
      <c r="AA56" s="57" t="s">
        <v>68</v>
      </c>
      <c r="AB56" s="57" t="s">
        <v>68</v>
      </c>
      <c r="AC56" s="57" t="s">
        <v>68</v>
      </c>
      <c r="AD56" s="57" t="s">
        <v>68</v>
      </c>
      <c r="AE56" s="57" t="s">
        <v>68</v>
      </c>
      <c r="AF56" s="57" t="s">
        <v>68</v>
      </c>
      <c r="AG56" s="57" t="s">
        <v>68</v>
      </c>
      <c r="AH56" s="57" t="s">
        <v>68</v>
      </c>
      <c r="AI56" s="57" t="s">
        <v>68</v>
      </c>
      <c r="AJ56" s="23"/>
      <c r="AL56" t="str">
        <f t="shared" ca="1" si="0"/>
        <v xml:space="preserve">    (U1)ALERT_REQ_S_ISA_TT_</v>
      </c>
      <c r="AR56" s="59" t="str">
        <f t="shared" si="3"/>
        <v/>
      </c>
      <c r="AS56" s="59" t="str">
        <f t="shared" si="4"/>
        <v/>
      </c>
      <c r="AT56" s="59" t="str">
        <f t="shared" si="1"/>
        <v/>
      </c>
    </row>
    <row r="57" spans="2:46">
      <c r="B57" s="133"/>
      <c r="C57" s="43">
        <f t="shared" si="2"/>
        <v>51</v>
      </c>
      <c r="D57" s="57" t="s">
        <v>68</v>
      </c>
      <c r="E57" s="57" t="s">
        <v>68</v>
      </c>
      <c r="F57" s="57" t="s">
        <v>68</v>
      </c>
      <c r="G57" s="57" t="s">
        <v>68</v>
      </c>
      <c r="H57" s="57" t="s">
        <v>68</v>
      </c>
      <c r="I57" s="57" t="s">
        <v>68</v>
      </c>
      <c r="J57" s="57" t="s">
        <v>68</v>
      </c>
      <c r="K57" s="57" t="s">
        <v>68</v>
      </c>
      <c r="L57" s="57" t="s">
        <v>68</v>
      </c>
      <c r="M57" s="57" t="s">
        <v>68</v>
      </c>
      <c r="N57" s="57" t="s">
        <v>68</v>
      </c>
      <c r="O57" s="57" t="s">
        <v>68</v>
      </c>
      <c r="P57" s="57" t="s">
        <v>68</v>
      </c>
      <c r="Q57" s="57" t="s">
        <v>68</v>
      </c>
      <c r="R57" s="57" t="s">
        <v>68</v>
      </c>
      <c r="S57" s="57" t="s">
        <v>68</v>
      </c>
      <c r="T57" s="57" t="s">
        <v>68</v>
      </c>
      <c r="U57" s="57" t="s">
        <v>68</v>
      </c>
      <c r="V57" s="57" t="s">
        <v>68</v>
      </c>
      <c r="W57" s="57" t="s">
        <v>68</v>
      </c>
      <c r="X57" s="57" t="s">
        <v>68</v>
      </c>
      <c r="Y57" s="57" t="s">
        <v>68</v>
      </c>
      <c r="Z57" s="57" t="s">
        <v>68</v>
      </c>
      <c r="AA57" s="57" t="s">
        <v>68</v>
      </c>
      <c r="AB57" s="57" t="s">
        <v>68</v>
      </c>
      <c r="AC57" s="57" t="s">
        <v>68</v>
      </c>
      <c r="AD57" s="57" t="s">
        <v>68</v>
      </c>
      <c r="AE57" s="57" t="s">
        <v>68</v>
      </c>
      <c r="AF57" s="57" t="s">
        <v>68</v>
      </c>
      <c r="AG57" s="57" t="s">
        <v>68</v>
      </c>
      <c r="AH57" s="57" t="s">
        <v>68</v>
      </c>
      <c r="AI57" s="57" t="s">
        <v>68</v>
      </c>
      <c r="AJ57" s="23"/>
      <c r="AL57" t="str">
        <f t="shared" ca="1" si="0"/>
        <v xml:space="preserve">    (U1)ALERT_REQ_S_ISA_TT_</v>
      </c>
      <c r="AR57" s="59" t="str">
        <f t="shared" si="3"/>
        <v/>
      </c>
      <c r="AS57" s="59" t="str">
        <f t="shared" si="4"/>
        <v/>
      </c>
      <c r="AT57" s="59" t="str">
        <f t="shared" si="1"/>
        <v/>
      </c>
    </row>
    <row r="58" spans="2:46">
      <c r="B58" s="133"/>
      <c r="C58" s="43">
        <f t="shared" si="2"/>
        <v>52</v>
      </c>
      <c r="D58" s="57" t="s">
        <v>68</v>
      </c>
      <c r="E58" s="57" t="s">
        <v>68</v>
      </c>
      <c r="F58" s="57" t="s">
        <v>68</v>
      </c>
      <c r="G58" s="57" t="s">
        <v>68</v>
      </c>
      <c r="H58" s="57" t="s">
        <v>68</v>
      </c>
      <c r="I58" s="57" t="s">
        <v>68</v>
      </c>
      <c r="J58" s="57" t="s">
        <v>68</v>
      </c>
      <c r="K58" s="57" t="s">
        <v>68</v>
      </c>
      <c r="L58" s="57" t="s">
        <v>68</v>
      </c>
      <c r="M58" s="57" t="s">
        <v>68</v>
      </c>
      <c r="N58" s="57" t="s">
        <v>68</v>
      </c>
      <c r="O58" s="57" t="s">
        <v>68</v>
      </c>
      <c r="P58" s="57" t="s">
        <v>68</v>
      </c>
      <c r="Q58" s="57" t="s">
        <v>68</v>
      </c>
      <c r="R58" s="57" t="s">
        <v>68</v>
      </c>
      <c r="S58" s="57" t="s">
        <v>68</v>
      </c>
      <c r="T58" s="57" t="s">
        <v>68</v>
      </c>
      <c r="U58" s="57" t="s">
        <v>68</v>
      </c>
      <c r="V58" s="57" t="s">
        <v>68</v>
      </c>
      <c r="W58" s="57" t="s">
        <v>68</v>
      </c>
      <c r="X58" s="57" t="s">
        <v>68</v>
      </c>
      <c r="Y58" s="57" t="s">
        <v>68</v>
      </c>
      <c r="Z58" s="57" t="s">
        <v>68</v>
      </c>
      <c r="AA58" s="57" t="s">
        <v>68</v>
      </c>
      <c r="AB58" s="57" t="s">
        <v>68</v>
      </c>
      <c r="AC58" s="57" t="s">
        <v>68</v>
      </c>
      <c r="AD58" s="57" t="s">
        <v>68</v>
      </c>
      <c r="AE58" s="57" t="s">
        <v>68</v>
      </c>
      <c r="AF58" s="57" t="s">
        <v>68</v>
      </c>
      <c r="AG58" s="57" t="s">
        <v>68</v>
      </c>
      <c r="AH58" s="57" t="s">
        <v>68</v>
      </c>
      <c r="AI58" s="57" t="s">
        <v>68</v>
      </c>
      <c r="AJ58" s="23"/>
      <c r="AL58" t="str">
        <f t="shared" ca="1" si="0"/>
        <v xml:space="preserve">    (U1)ALERT_REQ_S_ISA_TT_</v>
      </c>
      <c r="AR58" s="59" t="str">
        <f t="shared" si="3"/>
        <v/>
      </c>
      <c r="AS58" s="59" t="str">
        <f t="shared" si="4"/>
        <v/>
      </c>
      <c r="AT58" s="59" t="str">
        <f t="shared" si="1"/>
        <v/>
      </c>
    </row>
    <row r="59" spans="2:46">
      <c r="B59" s="133"/>
      <c r="C59" s="43">
        <f t="shared" si="2"/>
        <v>53</v>
      </c>
      <c r="D59" s="57" t="s">
        <v>68</v>
      </c>
      <c r="E59" s="57" t="s">
        <v>68</v>
      </c>
      <c r="F59" s="57" t="s">
        <v>68</v>
      </c>
      <c r="G59" s="57" t="s">
        <v>68</v>
      </c>
      <c r="H59" s="57" t="s">
        <v>68</v>
      </c>
      <c r="I59" s="57" t="s">
        <v>68</v>
      </c>
      <c r="J59" s="57" t="s">
        <v>68</v>
      </c>
      <c r="K59" s="57" t="s">
        <v>68</v>
      </c>
      <c r="L59" s="57" t="s">
        <v>68</v>
      </c>
      <c r="M59" s="57" t="s">
        <v>68</v>
      </c>
      <c r="N59" s="57" t="s">
        <v>68</v>
      </c>
      <c r="O59" s="57" t="s">
        <v>68</v>
      </c>
      <c r="P59" s="57" t="s">
        <v>68</v>
      </c>
      <c r="Q59" s="57" t="s">
        <v>68</v>
      </c>
      <c r="R59" s="57" t="s">
        <v>68</v>
      </c>
      <c r="S59" s="57" t="s">
        <v>68</v>
      </c>
      <c r="T59" s="57" t="s">
        <v>68</v>
      </c>
      <c r="U59" s="57" t="s">
        <v>68</v>
      </c>
      <c r="V59" s="57" t="s">
        <v>68</v>
      </c>
      <c r="W59" s="57" t="s">
        <v>68</v>
      </c>
      <c r="X59" s="57" t="s">
        <v>68</v>
      </c>
      <c r="Y59" s="57" t="s">
        <v>68</v>
      </c>
      <c r="Z59" s="57" t="s">
        <v>68</v>
      </c>
      <c r="AA59" s="57" t="s">
        <v>68</v>
      </c>
      <c r="AB59" s="57" t="s">
        <v>68</v>
      </c>
      <c r="AC59" s="57" t="s">
        <v>68</v>
      </c>
      <c r="AD59" s="57" t="s">
        <v>68</v>
      </c>
      <c r="AE59" s="57" t="s">
        <v>68</v>
      </c>
      <c r="AF59" s="57" t="s">
        <v>68</v>
      </c>
      <c r="AG59" s="57" t="s">
        <v>68</v>
      </c>
      <c r="AH59" s="57" t="s">
        <v>68</v>
      </c>
      <c r="AI59" s="57" t="s">
        <v>68</v>
      </c>
      <c r="AJ59" s="23"/>
      <c r="AL59" t="str">
        <f t="shared" ca="1" si="0"/>
        <v xml:space="preserve">    (U1)ALERT_REQ_S_ISA_TT_</v>
      </c>
      <c r="AR59" s="59" t="str">
        <f t="shared" si="3"/>
        <v/>
      </c>
      <c r="AS59" s="59" t="str">
        <f t="shared" si="4"/>
        <v/>
      </c>
      <c r="AT59" s="59" t="str">
        <f t="shared" si="1"/>
        <v/>
      </c>
    </row>
    <row r="60" spans="2:46">
      <c r="B60" s="133"/>
      <c r="C60" s="43">
        <f t="shared" si="2"/>
        <v>54</v>
      </c>
      <c r="D60" s="57" t="s">
        <v>68</v>
      </c>
      <c r="E60" s="57" t="s">
        <v>68</v>
      </c>
      <c r="F60" s="57" t="s">
        <v>68</v>
      </c>
      <c r="G60" s="57" t="s">
        <v>68</v>
      </c>
      <c r="H60" s="57" t="s">
        <v>68</v>
      </c>
      <c r="I60" s="57" t="s">
        <v>68</v>
      </c>
      <c r="J60" s="57" t="s">
        <v>68</v>
      </c>
      <c r="K60" s="57" t="s">
        <v>68</v>
      </c>
      <c r="L60" s="57" t="s">
        <v>68</v>
      </c>
      <c r="M60" s="57" t="s">
        <v>68</v>
      </c>
      <c r="N60" s="57" t="s">
        <v>68</v>
      </c>
      <c r="O60" s="57" t="s">
        <v>68</v>
      </c>
      <c r="P60" s="57" t="s">
        <v>68</v>
      </c>
      <c r="Q60" s="57" t="s">
        <v>68</v>
      </c>
      <c r="R60" s="57" t="s">
        <v>68</v>
      </c>
      <c r="S60" s="57" t="s">
        <v>68</v>
      </c>
      <c r="T60" s="57" t="s">
        <v>68</v>
      </c>
      <c r="U60" s="57" t="s">
        <v>68</v>
      </c>
      <c r="V60" s="57" t="s">
        <v>68</v>
      </c>
      <c r="W60" s="57" t="s">
        <v>68</v>
      </c>
      <c r="X60" s="57" t="s">
        <v>68</v>
      </c>
      <c r="Y60" s="57" t="s">
        <v>68</v>
      </c>
      <c r="Z60" s="57" t="s">
        <v>68</v>
      </c>
      <c r="AA60" s="57" t="s">
        <v>68</v>
      </c>
      <c r="AB60" s="57" t="s">
        <v>68</v>
      </c>
      <c r="AC60" s="57" t="s">
        <v>68</v>
      </c>
      <c r="AD60" s="57" t="s">
        <v>68</v>
      </c>
      <c r="AE60" s="57" t="s">
        <v>68</v>
      </c>
      <c r="AF60" s="57" t="s">
        <v>68</v>
      </c>
      <c r="AG60" s="57" t="s">
        <v>68</v>
      </c>
      <c r="AH60" s="57" t="s">
        <v>68</v>
      </c>
      <c r="AI60" s="57" t="s">
        <v>68</v>
      </c>
      <c r="AJ60" s="23"/>
      <c r="AL60" t="str">
        <f t="shared" ca="1" si="0"/>
        <v xml:space="preserve">    (U1)ALERT_REQ_S_ISA_TT_</v>
      </c>
      <c r="AR60" s="59" t="str">
        <f t="shared" si="3"/>
        <v/>
      </c>
      <c r="AS60" s="59" t="str">
        <f t="shared" si="4"/>
        <v/>
      </c>
      <c r="AT60" s="59" t="str">
        <f t="shared" si="1"/>
        <v/>
      </c>
    </row>
    <row r="61" spans="2:46">
      <c r="B61" s="133"/>
      <c r="C61" s="43">
        <f t="shared" si="2"/>
        <v>55</v>
      </c>
      <c r="D61" s="57" t="s">
        <v>68</v>
      </c>
      <c r="E61" s="57" t="s">
        <v>68</v>
      </c>
      <c r="F61" s="57" t="s">
        <v>68</v>
      </c>
      <c r="G61" s="57" t="s">
        <v>68</v>
      </c>
      <c r="H61" s="57" t="s">
        <v>68</v>
      </c>
      <c r="I61" s="57" t="s">
        <v>68</v>
      </c>
      <c r="J61" s="57" t="s">
        <v>68</v>
      </c>
      <c r="K61" s="57" t="s">
        <v>68</v>
      </c>
      <c r="L61" s="57" t="s">
        <v>68</v>
      </c>
      <c r="M61" s="57" t="s">
        <v>68</v>
      </c>
      <c r="N61" s="57" t="s">
        <v>68</v>
      </c>
      <c r="O61" s="57" t="s">
        <v>68</v>
      </c>
      <c r="P61" s="57" t="s">
        <v>68</v>
      </c>
      <c r="Q61" s="57" t="s">
        <v>68</v>
      </c>
      <c r="R61" s="57" t="s">
        <v>68</v>
      </c>
      <c r="S61" s="57" t="s">
        <v>68</v>
      </c>
      <c r="T61" s="57" t="s">
        <v>68</v>
      </c>
      <c r="U61" s="57" t="s">
        <v>68</v>
      </c>
      <c r="V61" s="57" t="s">
        <v>68</v>
      </c>
      <c r="W61" s="57" t="s">
        <v>68</v>
      </c>
      <c r="X61" s="57" t="s">
        <v>68</v>
      </c>
      <c r="Y61" s="57" t="s">
        <v>68</v>
      </c>
      <c r="Z61" s="57" t="s">
        <v>68</v>
      </c>
      <c r="AA61" s="57" t="s">
        <v>68</v>
      </c>
      <c r="AB61" s="57" t="s">
        <v>68</v>
      </c>
      <c r="AC61" s="57" t="s">
        <v>68</v>
      </c>
      <c r="AD61" s="57" t="s">
        <v>68</v>
      </c>
      <c r="AE61" s="57" t="s">
        <v>68</v>
      </c>
      <c r="AF61" s="57" t="s">
        <v>68</v>
      </c>
      <c r="AG61" s="57" t="s">
        <v>68</v>
      </c>
      <c r="AH61" s="57" t="s">
        <v>68</v>
      </c>
      <c r="AI61" s="57" t="s">
        <v>68</v>
      </c>
      <c r="AJ61" s="23"/>
      <c r="AL61" t="str">
        <f t="shared" ca="1" si="0"/>
        <v xml:space="preserve">    (U1)ALERT_REQ_S_ISA_TT_</v>
      </c>
      <c r="AR61" s="59" t="str">
        <f t="shared" si="3"/>
        <v/>
      </c>
      <c r="AS61" s="59" t="str">
        <f t="shared" si="4"/>
        <v/>
      </c>
      <c r="AT61" s="59" t="str">
        <f t="shared" si="1"/>
        <v/>
      </c>
    </row>
    <row r="62" spans="2:46">
      <c r="B62" s="133"/>
      <c r="C62" s="43">
        <f t="shared" si="2"/>
        <v>56</v>
      </c>
      <c r="D62" s="57" t="s">
        <v>68</v>
      </c>
      <c r="E62" s="57" t="s">
        <v>68</v>
      </c>
      <c r="F62" s="57" t="s">
        <v>68</v>
      </c>
      <c r="G62" s="57" t="s">
        <v>68</v>
      </c>
      <c r="H62" s="57" t="s">
        <v>68</v>
      </c>
      <c r="I62" s="57" t="s">
        <v>68</v>
      </c>
      <c r="J62" s="57" t="s">
        <v>68</v>
      </c>
      <c r="K62" s="57" t="s">
        <v>68</v>
      </c>
      <c r="L62" s="57" t="s">
        <v>68</v>
      </c>
      <c r="M62" s="57" t="s">
        <v>68</v>
      </c>
      <c r="N62" s="57" t="s">
        <v>68</v>
      </c>
      <c r="O62" s="57" t="s">
        <v>68</v>
      </c>
      <c r="P62" s="57" t="s">
        <v>68</v>
      </c>
      <c r="Q62" s="57" t="s">
        <v>68</v>
      </c>
      <c r="R62" s="57" t="s">
        <v>68</v>
      </c>
      <c r="S62" s="57" t="s">
        <v>68</v>
      </c>
      <c r="T62" s="57" t="s">
        <v>68</v>
      </c>
      <c r="U62" s="57" t="s">
        <v>68</v>
      </c>
      <c r="V62" s="57" t="s">
        <v>68</v>
      </c>
      <c r="W62" s="57" t="s">
        <v>68</v>
      </c>
      <c r="X62" s="57" t="s">
        <v>68</v>
      </c>
      <c r="Y62" s="57" t="s">
        <v>68</v>
      </c>
      <c r="Z62" s="57" t="s">
        <v>68</v>
      </c>
      <c r="AA62" s="57" t="s">
        <v>68</v>
      </c>
      <c r="AB62" s="57" t="s">
        <v>68</v>
      </c>
      <c r="AC62" s="57" t="s">
        <v>68</v>
      </c>
      <c r="AD62" s="57" t="s">
        <v>68</v>
      </c>
      <c r="AE62" s="57" t="s">
        <v>68</v>
      </c>
      <c r="AF62" s="57" t="s">
        <v>68</v>
      </c>
      <c r="AG62" s="57" t="s">
        <v>68</v>
      </c>
      <c r="AH62" s="57" t="s">
        <v>68</v>
      </c>
      <c r="AI62" s="57" t="s">
        <v>68</v>
      </c>
      <c r="AJ62" s="23"/>
      <c r="AL62" t="str">
        <f t="shared" ca="1" si="0"/>
        <v xml:space="preserve">    (U1)ALERT_REQ_S_ISA_TT_</v>
      </c>
      <c r="AR62" s="59" t="str">
        <f t="shared" si="3"/>
        <v/>
      </c>
      <c r="AS62" s="59" t="str">
        <f t="shared" si="4"/>
        <v/>
      </c>
      <c r="AT62" s="59" t="str">
        <f t="shared" si="1"/>
        <v/>
      </c>
    </row>
    <row r="63" spans="2:46">
      <c r="B63" s="133"/>
      <c r="C63" s="43">
        <f t="shared" si="2"/>
        <v>57</v>
      </c>
      <c r="D63" s="57" t="s">
        <v>68</v>
      </c>
      <c r="E63" s="57" t="s">
        <v>68</v>
      </c>
      <c r="F63" s="57" t="s">
        <v>68</v>
      </c>
      <c r="G63" s="57" t="s">
        <v>68</v>
      </c>
      <c r="H63" s="57" t="s">
        <v>68</v>
      </c>
      <c r="I63" s="57" t="s">
        <v>68</v>
      </c>
      <c r="J63" s="57" t="s">
        <v>68</v>
      </c>
      <c r="K63" s="57" t="s">
        <v>68</v>
      </c>
      <c r="L63" s="57" t="s">
        <v>68</v>
      </c>
      <c r="M63" s="57" t="s">
        <v>68</v>
      </c>
      <c r="N63" s="57" t="s">
        <v>68</v>
      </c>
      <c r="O63" s="57" t="s">
        <v>68</v>
      </c>
      <c r="P63" s="57" t="s">
        <v>68</v>
      </c>
      <c r="Q63" s="57" t="s">
        <v>68</v>
      </c>
      <c r="R63" s="57" t="s">
        <v>68</v>
      </c>
      <c r="S63" s="57" t="s">
        <v>68</v>
      </c>
      <c r="T63" s="57" t="s">
        <v>68</v>
      </c>
      <c r="U63" s="57" t="s">
        <v>68</v>
      </c>
      <c r="V63" s="57" t="s">
        <v>68</v>
      </c>
      <c r="W63" s="57" t="s">
        <v>68</v>
      </c>
      <c r="X63" s="57" t="s">
        <v>68</v>
      </c>
      <c r="Y63" s="57" t="s">
        <v>68</v>
      </c>
      <c r="Z63" s="57" t="s">
        <v>68</v>
      </c>
      <c r="AA63" s="57" t="s">
        <v>68</v>
      </c>
      <c r="AB63" s="57" t="s">
        <v>68</v>
      </c>
      <c r="AC63" s="57" t="s">
        <v>68</v>
      </c>
      <c r="AD63" s="57" t="s">
        <v>68</v>
      </c>
      <c r="AE63" s="57" t="s">
        <v>68</v>
      </c>
      <c r="AF63" s="57" t="s">
        <v>68</v>
      </c>
      <c r="AG63" s="57" t="s">
        <v>68</v>
      </c>
      <c r="AH63" s="57" t="s">
        <v>68</v>
      </c>
      <c r="AI63" s="57" t="s">
        <v>68</v>
      </c>
      <c r="AJ63" s="23"/>
      <c r="AL63" t="str">
        <f t="shared" ca="1" si="0"/>
        <v xml:space="preserve">    (U1)ALERT_REQ_S_ISA_TT_</v>
      </c>
      <c r="AR63" s="59" t="str">
        <f t="shared" si="3"/>
        <v/>
      </c>
      <c r="AS63" s="59" t="str">
        <f t="shared" si="4"/>
        <v/>
      </c>
      <c r="AT63" s="59" t="str">
        <f t="shared" si="1"/>
        <v/>
      </c>
    </row>
    <row r="64" spans="2:46">
      <c r="B64" s="133"/>
      <c r="C64" s="43">
        <f t="shared" si="2"/>
        <v>58</v>
      </c>
      <c r="D64" s="57" t="s">
        <v>68</v>
      </c>
      <c r="E64" s="57" t="s">
        <v>68</v>
      </c>
      <c r="F64" s="57" t="s">
        <v>68</v>
      </c>
      <c r="G64" s="57" t="s">
        <v>68</v>
      </c>
      <c r="H64" s="57" t="s">
        <v>68</v>
      </c>
      <c r="I64" s="57" t="s">
        <v>68</v>
      </c>
      <c r="J64" s="57" t="s">
        <v>68</v>
      </c>
      <c r="K64" s="57" t="s">
        <v>68</v>
      </c>
      <c r="L64" s="57" t="s">
        <v>68</v>
      </c>
      <c r="M64" s="57" t="s">
        <v>68</v>
      </c>
      <c r="N64" s="57" t="s">
        <v>68</v>
      </c>
      <c r="O64" s="57" t="s">
        <v>68</v>
      </c>
      <c r="P64" s="57" t="s">
        <v>68</v>
      </c>
      <c r="Q64" s="57" t="s">
        <v>68</v>
      </c>
      <c r="R64" s="57" t="s">
        <v>68</v>
      </c>
      <c r="S64" s="57" t="s">
        <v>68</v>
      </c>
      <c r="T64" s="57" t="s">
        <v>68</v>
      </c>
      <c r="U64" s="57" t="s">
        <v>68</v>
      </c>
      <c r="V64" s="57" t="s">
        <v>68</v>
      </c>
      <c r="W64" s="57" t="s">
        <v>68</v>
      </c>
      <c r="X64" s="57" t="s">
        <v>68</v>
      </c>
      <c r="Y64" s="57" t="s">
        <v>68</v>
      </c>
      <c r="Z64" s="57" t="s">
        <v>68</v>
      </c>
      <c r="AA64" s="57" t="s">
        <v>68</v>
      </c>
      <c r="AB64" s="57" t="s">
        <v>68</v>
      </c>
      <c r="AC64" s="57" t="s">
        <v>68</v>
      </c>
      <c r="AD64" s="57" t="s">
        <v>68</v>
      </c>
      <c r="AE64" s="57" t="s">
        <v>68</v>
      </c>
      <c r="AF64" s="57" t="s">
        <v>68</v>
      </c>
      <c r="AG64" s="57" t="s">
        <v>68</v>
      </c>
      <c r="AH64" s="57" t="s">
        <v>68</v>
      </c>
      <c r="AI64" s="57" t="s">
        <v>68</v>
      </c>
      <c r="AJ64" s="23"/>
      <c r="AL64" t="str">
        <f t="shared" ca="1" si="0"/>
        <v xml:space="preserve">    (U1)ALERT_REQ_S_ISA_TT_</v>
      </c>
      <c r="AR64" s="59" t="str">
        <f t="shared" si="3"/>
        <v/>
      </c>
      <c r="AS64" s="59" t="str">
        <f t="shared" si="4"/>
        <v/>
      </c>
      <c r="AT64" s="59" t="str">
        <f t="shared" si="1"/>
        <v/>
      </c>
    </row>
    <row r="65" spans="1:46">
      <c r="B65" s="133"/>
      <c r="C65" s="43">
        <f t="shared" si="2"/>
        <v>59</v>
      </c>
      <c r="D65" s="57" t="s">
        <v>68</v>
      </c>
      <c r="E65" s="57" t="s">
        <v>68</v>
      </c>
      <c r="F65" s="57" t="s">
        <v>68</v>
      </c>
      <c r="G65" s="57" t="s">
        <v>68</v>
      </c>
      <c r="H65" s="57" t="s">
        <v>68</v>
      </c>
      <c r="I65" s="57" t="s">
        <v>68</v>
      </c>
      <c r="J65" s="57" t="s">
        <v>68</v>
      </c>
      <c r="K65" s="57" t="s">
        <v>68</v>
      </c>
      <c r="L65" s="57" t="s">
        <v>68</v>
      </c>
      <c r="M65" s="57" t="s">
        <v>68</v>
      </c>
      <c r="N65" s="57" t="s">
        <v>68</v>
      </c>
      <c r="O65" s="57" t="s">
        <v>68</v>
      </c>
      <c r="P65" s="57" t="s">
        <v>68</v>
      </c>
      <c r="Q65" s="57" t="s">
        <v>68</v>
      </c>
      <c r="R65" s="57" t="s">
        <v>68</v>
      </c>
      <c r="S65" s="57" t="s">
        <v>68</v>
      </c>
      <c r="T65" s="57" t="s">
        <v>68</v>
      </c>
      <c r="U65" s="57" t="s">
        <v>68</v>
      </c>
      <c r="V65" s="57" t="s">
        <v>68</v>
      </c>
      <c r="W65" s="57" t="s">
        <v>68</v>
      </c>
      <c r="X65" s="57" t="s">
        <v>68</v>
      </c>
      <c r="Y65" s="57" t="s">
        <v>68</v>
      </c>
      <c r="Z65" s="57" t="s">
        <v>68</v>
      </c>
      <c r="AA65" s="57" t="s">
        <v>68</v>
      </c>
      <c r="AB65" s="57" t="s">
        <v>68</v>
      </c>
      <c r="AC65" s="57" t="s">
        <v>68</v>
      </c>
      <c r="AD65" s="57" t="s">
        <v>68</v>
      </c>
      <c r="AE65" s="57" t="s">
        <v>68</v>
      </c>
      <c r="AF65" s="57" t="s">
        <v>68</v>
      </c>
      <c r="AG65" s="57" t="s">
        <v>68</v>
      </c>
      <c r="AH65" s="57" t="s">
        <v>68</v>
      </c>
      <c r="AI65" s="57" t="s">
        <v>68</v>
      </c>
      <c r="AJ65" s="23"/>
      <c r="AL65" t="str">
        <f t="shared" ca="1" si="0"/>
        <v xml:space="preserve">    (U1)ALERT_REQ_S_ISA_TT_</v>
      </c>
      <c r="AR65" s="59" t="str">
        <f t="shared" si="3"/>
        <v/>
      </c>
      <c r="AS65" s="59" t="str">
        <f t="shared" si="4"/>
        <v/>
      </c>
      <c r="AT65" s="59" t="str">
        <f t="shared" si="1"/>
        <v/>
      </c>
    </row>
    <row r="66" spans="1:46">
      <c r="B66" s="133"/>
      <c r="C66" s="43">
        <f t="shared" si="2"/>
        <v>60</v>
      </c>
      <c r="D66" s="57" t="s">
        <v>68</v>
      </c>
      <c r="E66" s="57" t="s">
        <v>68</v>
      </c>
      <c r="F66" s="57" t="s">
        <v>68</v>
      </c>
      <c r="G66" s="57" t="s">
        <v>68</v>
      </c>
      <c r="H66" s="57" t="s">
        <v>68</v>
      </c>
      <c r="I66" s="57" t="s">
        <v>68</v>
      </c>
      <c r="J66" s="57" t="s">
        <v>68</v>
      </c>
      <c r="K66" s="57" t="s">
        <v>68</v>
      </c>
      <c r="L66" s="57" t="s">
        <v>68</v>
      </c>
      <c r="M66" s="57" t="s">
        <v>68</v>
      </c>
      <c r="N66" s="57" t="s">
        <v>68</v>
      </c>
      <c r="O66" s="57" t="s">
        <v>68</v>
      </c>
      <c r="P66" s="57" t="s">
        <v>68</v>
      </c>
      <c r="Q66" s="57" t="s">
        <v>68</v>
      </c>
      <c r="R66" s="57" t="s">
        <v>68</v>
      </c>
      <c r="S66" s="57" t="s">
        <v>68</v>
      </c>
      <c r="T66" s="57" t="s">
        <v>68</v>
      </c>
      <c r="U66" s="57" t="s">
        <v>68</v>
      </c>
      <c r="V66" s="57" t="s">
        <v>68</v>
      </c>
      <c r="W66" s="57" t="s">
        <v>68</v>
      </c>
      <c r="X66" s="57" t="s">
        <v>68</v>
      </c>
      <c r="Y66" s="57" t="s">
        <v>68</v>
      </c>
      <c r="Z66" s="57" t="s">
        <v>68</v>
      </c>
      <c r="AA66" s="57" t="s">
        <v>68</v>
      </c>
      <c r="AB66" s="57" t="s">
        <v>68</v>
      </c>
      <c r="AC66" s="57" t="s">
        <v>68</v>
      </c>
      <c r="AD66" s="57" t="s">
        <v>68</v>
      </c>
      <c r="AE66" s="57" t="s">
        <v>68</v>
      </c>
      <c r="AF66" s="57" t="s">
        <v>68</v>
      </c>
      <c r="AG66" s="57" t="s">
        <v>68</v>
      </c>
      <c r="AH66" s="57" t="s">
        <v>68</v>
      </c>
      <c r="AI66" s="57" t="s">
        <v>68</v>
      </c>
      <c r="AJ66" s="23"/>
      <c r="AL66" t="str">
        <f t="shared" ca="1" si="0"/>
        <v xml:space="preserve">    (U1)ALERT_REQ_S_ISA_TT_</v>
      </c>
      <c r="AR66" s="59" t="str">
        <f t="shared" si="3"/>
        <v/>
      </c>
      <c r="AS66" s="59" t="str">
        <f t="shared" si="4"/>
        <v/>
      </c>
      <c r="AT66" s="59" t="str">
        <f t="shared" si="1"/>
        <v/>
      </c>
    </row>
    <row r="67" spans="1:46">
      <c r="B67" s="133"/>
      <c r="C67" s="43">
        <f t="shared" si="2"/>
        <v>61</v>
      </c>
      <c r="D67" s="57" t="s">
        <v>68</v>
      </c>
      <c r="E67" s="57" t="s">
        <v>68</v>
      </c>
      <c r="F67" s="57" t="s">
        <v>68</v>
      </c>
      <c r="G67" s="57" t="s">
        <v>68</v>
      </c>
      <c r="H67" s="57" t="s">
        <v>68</v>
      </c>
      <c r="I67" s="57" t="s">
        <v>68</v>
      </c>
      <c r="J67" s="57" t="s">
        <v>68</v>
      </c>
      <c r="K67" s="57" t="s">
        <v>68</v>
      </c>
      <c r="L67" s="57" t="s">
        <v>68</v>
      </c>
      <c r="M67" s="57" t="s">
        <v>68</v>
      </c>
      <c r="N67" s="57" t="s">
        <v>68</v>
      </c>
      <c r="O67" s="57" t="s">
        <v>68</v>
      </c>
      <c r="P67" s="57" t="s">
        <v>68</v>
      </c>
      <c r="Q67" s="57" t="s">
        <v>68</v>
      </c>
      <c r="R67" s="57" t="s">
        <v>68</v>
      </c>
      <c r="S67" s="57" t="s">
        <v>68</v>
      </c>
      <c r="T67" s="57" t="s">
        <v>68</v>
      </c>
      <c r="U67" s="57" t="s">
        <v>68</v>
      </c>
      <c r="V67" s="57" t="s">
        <v>68</v>
      </c>
      <c r="W67" s="57" t="s">
        <v>68</v>
      </c>
      <c r="X67" s="57" t="s">
        <v>68</v>
      </c>
      <c r="Y67" s="57" t="s">
        <v>68</v>
      </c>
      <c r="Z67" s="57" t="s">
        <v>68</v>
      </c>
      <c r="AA67" s="57" t="s">
        <v>68</v>
      </c>
      <c r="AB67" s="57" t="s">
        <v>68</v>
      </c>
      <c r="AC67" s="57" t="s">
        <v>68</v>
      </c>
      <c r="AD67" s="57" t="s">
        <v>68</v>
      </c>
      <c r="AE67" s="57" t="s">
        <v>68</v>
      </c>
      <c r="AF67" s="57" t="s">
        <v>68</v>
      </c>
      <c r="AG67" s="57" t="s">
        <v>68</v>
      </c>
      <c r="AH67" s="57" t="s">
        <v>68</v>
      </c>
      <c r="AI67" s="57" t="s">
        <v>68</v>
      </c>
      <c r="AJ67" s="23"/>
      <c r="AL67" t="str">
        <f t="shared" ca="1" si="0"/>
        <v xml:space="preserve">    (U1)ALERT_REQ_S_ISA_TT_</v>
      </c>
      <c r="AR67" s="59" t="str">
        <f t="shared" si="3"/>
        <v/>
      </c>
      <c r="AS67" s="59" t="str">
        <f t="shared" si="4"/>
        <v/>
      </c>
      <c r="AT67" s="59" t="str">
        <f t="shared" si="1"/>
        <v/>
      </c>
    </row>
    <row r="68" spans="1:46">
      <c r="B68" s="133"/>
      <c r="C68" s="43">
        <f t="shared" si="2"/>
        <v>62</v>
      </c>
      <c r="D68" s="57" t="s">
        <v>68</v>
      </c>
      <c r="E68" s="57" t="s">
        <v>68</v>
      </c>
      <c r="F68" s="57" t="s">
        <v>68</v>
      </c>
      <c r="G68" s="57" t="s">
        <v>68</v>
      </c>
      <c r="H68" s="57" t="s">
        <v>68</v>
      </c>
      <c r="I68" s="57" t="s">
        <v>68</v>
      </c>
      <c r="J68" s="57" t="s">
        <v>68</v>
      </c>
      <c r="K68" s="57" t="s">
        <v>68</v>
      </c>
      <c r="L68" s="57" t="s">
        <v>68</v>
      </c>
      <c r="M68" s="57" t="s">
        <v>68</v>
      </c>
      <c r="N68" s="57" t="s">
        <v>68</v>
      </c>
      <c r="O68" s="57" t="s">
        <v>68</v>
      </c>
      <c r="P68" s="57" t="s">
        <v>68</v>
      </c>
      <c r="Q68" s="57" t="s">
        <v>68</v>
      </c>
      <c r="R68" s="57" t="s">
        <v>68</v>
      </c>
      <c r="S68" s="57" t="s">
        <v>68</v>
      </c>
      <c r="T68" s="57" t="s">
        <v>68</v>
      </c>
      <c r="U68" s="57" t="s">
        <v>68</v>
      </c>
      <c r="V68" s="57" t="s">
        <v>68</v>
      </c>
      <c r="W68" s="57" t="s">
        <v>68</v>
      </c>
      <c r="X68" s="57" t="s">
        <v>68</v>
      </c>
      <c r="Y68" s="57" t="s">
        <v>68</v>
      </c>
      <c r="Z68" s="57" t="s">
        <v>68</v>
      </c>
      <c r="AA68" s="57" t="s">
        <v>68</v>
      </c>
      <c r="AB68" s="57" t="s">
        <v>68</v>
      </c>
      <c r="AC68" s="57" t="s">
        <v>68</v>
      </c>
      <c r="AD68" s="57" t="s">
        <v>68</v>
      </c>
      <c r="AE68" s="57" t="s">
        <v>68</v>
      </c>
      <c r="AF68" s="57" t="s">
        <v>68</v>
      </c>
      <c r="AG68" s="57" t="s">
        <v>68</v>
      </c>
      <c r="AH68" s="57" t="s">
        <v>68</v>
      </c>
      <c r="AI68" s="57" t="s">
        <v>68</v>
      </c>
      <c r="AJ68" s="23"/>
      <c r="AL68" t="str">
        <f t="shared" ca="1" si="0"/>
        <v xml:space="preserve">    (U1)ALERT_REQ_S_ISA_TT_</v>
      </c>
      <c r="AR68" s="59" t="str">
        <f t="shared" si="3"/>
        <v/>
      </c>
      <c r="AS68" s="59" t="str">
        <f t="shared" si="4"/>
        <v/>
      </c>
      <c r="AT68" s="59" t="str">
        <f t="shared" si="1"/>
        <v/>
      </c>
    </row>
    <row r="69" spans="1:46">
      <c r="B69" s="134"/>
      <c r="C69" s="43">
        <f t="shared" si="2"/>
        <v>63</v>
      </c>
      <c r="D69" s="57" t="s">
        <v>68</v>
      </c>
      <c r="E69" s="57" t="s">
        <v>68</v>
      </c>
      <c r="F69" s="57" t="s">
        <v>68</v>
      </c>
      <c r="G69" s="57" t="s">
        <v>68</v>
      </c>
      <c r="H69" s="57" t="s">
        <v>68</v>
      </c>
      <c r="I69" s="57" t="s">
        <v>68</v>
      </c>
      <c r="J69" s="57" t="s">
        <v>68</v>
      </c>
      <c r="K69" s="57" t="s">
        <v>68</v>
      </c>
      <c r="L69" s="57" t="s">
        <v>68</v>
      </c>
      <c r="M69" s="57" t="s">
        <v>68</v>
      </c>
      <c r="N69" s="57" t="s">
        <v>68</v>
      </c>
      <c r="O69" s="57" t="s">
        <v>68</v>
      </c>
      <c r="P69" s="57" t="s">
        <v>68</v>
      </c>
      <c r="Q69" s="57" t="s">
        <v>68</v>
      </c>
      <c r="R69" s="57" t="s">
        <v>68</v>
      </c>
      <c r="S69" s="57" t="s">
        <v>68</v>
      </c>
      <c r="T69" s="57" t="s">
        <v>68</v>
      </c>
      <c r="U69" s="57" t="s">
        <v>68</v>
      </c>
      <c r="V69" s="57" t="s">
        <v>68</v>
      </c>
      <c r="W69" s="57" t="s">
        <v>68</v>
      </c>
      <c r="X69" s="57" t="s">
        <v>68</v>
      </c>
      <c r="Y69" s="57" t="s">
        <v>68</v>
      </c>
      <c r="Z69" s="57" t="s">
        <v>68</v>
      </c>
      <c r="AA69" s="57" t="s">
        <v>68</v>
      </c>
      <c r="AB69" s="57" t="s">
        <v>68</v>
      </c>
      <c r="AC69" s="57" t="s">
        <v>68</v>
      </c>
      <c r="AD69" s="57" t="s">
        <v>68</v>
      </c>
      <c r="AE69" s="57" t="s">
        <v>68</v>
      </c>
      <c r="AF69" s="57" t="s">
        <v>68</v>
      </c>
      <c r="AG69" s="57" t="s">
        <v>68</v>
      </c>
      <c r="AH69" s="57" t="s">
        <v>68</v>
      </c>
      <c r="AI69" s="57" t="s">
        <v>68</v>
      </c>
      <c r="AJ69" s="23"/>
      <c r="AL69" t="str">
        <f t="shared" ca="1" si="0"/>
        <v xml:space="preserve">    (U1)ALERT_REQ_S_ISA_TT_</v>
      </c>
      <c r="AR69" s="59" t="str">
        <f t="shared" si="3"/>
        <v/>
      </c>
      <c r="AS69" s="59" t="str">
        <f t="shared" si="4"/>
        <v/>
      </c>
      <c r="AT69" s="59" t="str">
        <f t="shared" si="1"/>
        <v/>
      </c>
    </row>
    <row r="70" spans="1:46" ht="14.25" thickBot="1">
      <c r="A70" s="52" t="s">
        <v>65</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5" t="str">
        <f ca="1">IF(B6&lt;&gt;"",B6,"")</f>
        <v>Table TT</v>
      </c>
      <c r="C71" s="43">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43">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3" t="str">
        <f t="shared" si="7"/>
        <v>ON_W</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ON_W                                            */</v>
      </c>
    </row>
    <row r="73" spans="1:46">
      <c r="B73" s="133"/>
      <c r="C73" s="43">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3" t="str">
        <f t="shared" si="7"/>
        <v>ON_G</v>
      </c>
      <c r="AK73" s="56"/>
      <c r="AL73" s="56" t="str">
        <f t="shared" si="10"/>
        <v>02</v>
      </c>
      <c r="AM73" s="58" t="str">
        <f t="shared" si="11"/>
        <v>00</v>
      </c>
      <c r="AN73" s="58" t="str">
        <f t="shared" si="12"/>
        <v>00</v>
      </c>
      <c r="AO73" s="58" t="str">
        <f t="shared" si="13"/>
        <v>00</v>
      </c>
      <c r="AQ73" t="str">
        <f t="shared" si="8"/>
        <v xml:space="preserve">    (U4)0x00000002U,                                                           /* 02 ON_G                                            */</v>
      </c>
    </row>
    <row r="74" spans="1:46">
      <c r="B74" s="133"/>
      <c r="C74" s="43">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3" t="str">
        <f t="shared" si="7"/>
        <v>ON_A</v>
      </c>
      <c r="AK74" s="56"/>
      <c r="AL74" s="56" t="str">
        <f t="shared" si="10"/>
        <v>03</v>
      </c>
      <c r="AM74" s="58" t="str">
        <f t="shared" si="11"/>
        <v>00</v>
      </c>
      <c r="AN74" s="58" t="str">
        <f t="shared" si="12"/>
        <v>00</v>
      </c>
      <c r="AO74" s="58" t="str">
        <f t="shared" si="13"/>
        <v>00</v>
      </c>
      <c r="AQ74" t="str">
        <f t="shared" si="8"/>
        <v xml:space="preserve">    (U4)0x00000003U,                                                           /* 03 ON_A                                            */</v>
      </c>
    </row>
    <row r="75" spans="1:46">
      <c r="B75" s="133"/>
      <c r="C75" s="43">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33"/>
      <c r="C76" s="43">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33"/>
      <c r="C77" s="43">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33"/>
      <c r="C78" s="43">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33"/>
      <c r="C79" s="43">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3" t="str">
        <f t="shared" si="7"/>
        <v>UNKNOWN</v>
      </c>
      <c r="AK79" s="56"/>
      <c r="AL79" s="56" t="str">
        <f t="shared" si="10"/>
        <v>08</v>
      </c>
      <c r="AM79" s="58" t="str">
        <f t="shared" si="11"/>
        <v>00</v>
      </c>
      <c r="AN79" s="58" t="str">
        <f t="shared" si="12"/>
        <v>00</v>
      </c>
      <c r="AO79" s="58" t="str">
        <f t="shared" si="13"/>
        <v>00</v>
      </c>
      <c r="AQ79" t="str">
        <f t="shared" si="8"/>
        <v xml:space="preserve">    (U4)0x00000008U,                                                           /* 08 UNKNOWN                                         */</v>
      </c>
    </row>
    <row r="80" spans="1:46">
      <c r="B80" s="133"/>
      <c r="C80" s="43">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3" t="str">
        <f t="shared" si="7"/>
        <v>UNKNOWN</v>
      </c>
      <c r="AK80" s="56"/>
      <c r="AL80" s="56" t="str">
        <f t="shared" si="10"/>
        <v>09</v>
      </c>
      <c r="AM80" s="58" t="str">
        <f t="shared" si="11"/>
        <v>00</v>
      </c>
      <c r="AN80" s="58" t="str">
        <f t="shared" si="12"/>
        <v>00</v>
      </c>
      <c r="AO80" s="58" t="str">
        <f t="shared" si="13"/>
        <v>00</v>
      </c>
      <c r="AQ80" t="str">
        <f t="shared" si="8"/>
        <v xml:space="preserve">    (U4)0x00000009U,                                                           /* 09 UNKNOWN                                         */</v>
      </c>
    </row>
    <row r="81" spans="2:43">
      <c r="B81" s="133"/>
      <c r="C81" s="43">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3" t="str">
        <f t="shared" si="7"/>
        <v>UNKNOWN</v>
      </c>
      <c r="AK81" s="56"/>
      <c r="AL81" s="56" t="str">
        <f t="shared" si="10"/>
        <v>0A</v>
      </c>
      <c r="AM81" s="58" t="str">
        <f t="shared" si="11"/>
        <v>00</v>
      </c>
      <c r="AN81" s="58" t="str">
        <f t="shared" si="12"/>
        <v>00</v>
      </c>
      <c r="AO81" s="58" t="str">
        <f t="shared" si="13"/>
        <v>00</v>
      </c>
      <c r="AQ81" t="str">
        <f t="shared" si="8"/>
        <v xml:space="preserve">    (U4)0x0000000AU,                                                           /* 10 UNKNOWN                                         */</v>
      </c>
    </row>
    <row r="82" spans="2:43">
      <c r="B82" s="133"/>
      <c r="C82" s="43">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3" t="str">
        <f t="shared" si="7"/>
        <v>UNKNOWN</v>
      </c>
      <c r="AK82" s="56"/>
      <c r="AL82" s="56" t="str">
        <f t="shared" si="10"/>
        <v>0B</v>
      </c>
      <c r="AM82" s="58" t="str">
        <f t="shared" si="11"/>
        <v>00</v>
      </c>
      <c r="AN82" s="58" t="str">
        <f t="shared" si="12"/>
        <v>00</v>
      </c>
      <c r="AO82" s="58" t="str">
        <f t="shared" si="13"/>
        <v>00</v>
      </c>
      <c r="AQ82" t="str">
        <f t="shared" si="8"/>
        <v xml:space="preserve">    (U4)0x0000000BU,                                                           /* 11 UNKNOWN                                         */</v>
      </c>
    </row>
    <row r="83" spans="2:43">
      <c r="B83" s="133"/>
      <c r="C83" s="43">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3" t="str">
        <f t="shared" si="7"/>
        <v>UNKNOWN</v>
      </c>
      <c r="AK83" s="56"/>
      <c r="AL83" s="56" t="str">
        <f t="shared" si="10"/>
        <v>0C</v>
      </c>
      <c r="AM83" s="58" t="str">
        <f t="shared" si="11"/>
        <v>00</v>
      </c>
      <c r="AN83" s="58" t="str">
        <f t="shared" si="12"/>
        <v>00</v>
      </c>
      <c r="AO83" s="58" t="str">
        <f t="shared" si="13"/>
        <v>00</v>
      </c>
      <c r="AQ83" t="str">
        <f t="shared" si="8"/>
        <v xml:space="preserve">    (U4)0x0000000CU,                                                           /* 12 UNKNOWN                                         */</v>
      </c>
    </row>
    <row r="84" spans="2:43">
      <c r="B84" s="133"/>
      <c r="C84" s="43">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3" t="str">
        <f t="shared" si="7"/>
        <v>UNKNOWN</v>
      </c>
      <c r="AK84" s="56"/>
      <c r="AL84" s="56" t="str">
        <f t="shared" si="10"/>
        <v>0D</v>
      </c>
      <c r="AM84" s="58" t="str">
        <f t="shared" si="11"/>
        <v>00</v>
      </c>
      <c r="AN84" s="58" t="str">
        <f t="shared" si="12"/>
        <v>00</v>
      </c>
      <c r="AO84" s="58" t="str">
        <f t="shared" si="13"/>
        <v>00</v>
      </c>
      <c r="AQ84" t="str">
        <f t="shared" si="8"/>
        <v xml:space="preserve">    (U4)0x0000000DU,                                                           /* 13 UNKNOWN                                         */</v>
      </c>
    </row>
    <row r="85" spans="2:43">
      <c r="B85" s="133"/>
      <c r="C85" s="43">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3" t="str">
        <f t="shared" si="7"/>
        <v>UNKNOWN</v>
      </c>
      <c r="AK85" s="56"/>
      <c r="AL85" s="56" t="str">
        <f t="shared" si="10"/>
        <v>0E</v>
      </c>
      <c r="AM85" s="58" t="str">
        <f t="shared" si="11"/>
        <v>00</v>
      </c>
      <c r="AN85" s="58" t="str">
        <f t="shared" si="12"/>
        <v>00</v>
      </c>
      <c r="AO85" s="58" t="str">
        <f t="shared" si="13"/>
        <v>00</v>
      </c>
      <c r="AQ85" t="str">
        <f t="shared" si="8"/>
        <v xml:space="preserve">    (U4)0x0000000EU,                                                           /* 14 UNKNOWN                                         */</v>
      </c>
    </row>
    <row r="86" spans="2:43">
      <c r="B86" s="133"/>
      <c r="C86" s="43">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3" t="str">
        <f t="shared" si="7"/>
        <v>UNKNOWN</v>
      </c>
      <c r="AK86" s="56"/>
      <c r="AL86" s="56" t="str">
        <f t="shared" si="10"/>
        <v>0F</v>
      </c>
      <c r="AM86" s="58" t="str">
        <f t="shared" si="11"/>
        <v>00</v>
      </c>
      <c r="AN86" s="58" t="str">
        <f t="shared" si="12"/>
        <v>00</v>
      </c>
      <c r="AO86" s="58" t="str">
        <f t="shared" si="13"/>
        <v>00</v>
      </c>
      <c r="AQ86" t="str">
        <f t="shared" si="8"/>
        <v xml:space="preserve">    (U4)0x0000000FU                                                            /* 15 UNKNOWN                                         */</v>
      </c>
    </row>
    <row r="87" spans="2:43">
      <c r="B87" s="133"/>
      <c r="C87" s="43">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33"/>
      <c r="C88" s="43">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33"/>
      <c r="C89" s="43">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33"/>
      <c r="C90" s="43">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33"/>
      <c r="C91" s="43">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33"/>
      <c r="C92" s="43">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33"/>
      <c r="C93" s="43">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33"/>
      <c r="C94" s="43">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33"/>
      <c r="C95" s="43">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33"/>
      <c r="C96" s="43">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33"/>
      <c r="C97" s="43">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33"/>
      <c r="C98" s="43">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33"/>
      <c r="C99" s="43">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33"/>
      <c r="C100" s="43">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33"/>
      <c r="C101" s="43">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33"/>
      <c r="C102" s="43">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33"/>
      <c r="C103" s="43">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33"/>
      <c r="C104" s="43">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33"/>
      <c r="C105" s="43">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33"/>
      <c r="C106" s="43">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33"/>
      <c r="C107" s="43">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33"/>
      <c r="C108" s="43">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33"/>
      <c r="C109" s="43">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33"/>
      <c r="C110" s="43">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33"/>
      <c r="C111" s="43">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33"/>
      <c r="C112" s="43">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33"/>
      <c r="C113" s="43">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33"/>
      <c r="C114" s="43">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33"/>
      <c r="C115" s="43">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33"/>
      <c r="C116" s="43">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33"/>
      <c r="C117" s="43">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33"/>
      <c r="C118" s="43">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33"/>
      <c r="C119" s="43">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33"/>
      <c r="C120" s="43">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33"/>
      <c r="C121" s="43">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33"/>
      <c r="C122" s="43">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33"/>
      <c r="C123" s="43">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33"/>
      <c r="C124" s="43">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33"/>
      <c r="C125" s="43">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33"/>
      <c r="C126" s="43">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33"/>
      <c r="C127" s="43">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33"/>
      <c r="C128" s="43">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33"/>
      <c r="C129" s="43">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33"/>
      <c r="C130" s="43">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33"/>
      <c r="C131" s="43">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33"/>
      <c r="C132" s="43">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33"/>
      <c r="C133" s="43">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4"/>
      <c r="C134" s="43">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66</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5" t="str">
        <f ca="1">IF(B6&lt;&gt;"",B6,"")</f>
        <v>Table TT</v>
      </c>
      <c r="C136" s="43">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0</v>
      </c>
      <c r="AF136" s="126">
        <f t="shared" si="29"/>
        <v>1</v>
      </c>
      <c r="AG136" s="126">
        <f t="shared" si="29"/>
        <v>1</v>
      </c>
      <c r="AH136" s="126">
        <f t="shared" si="29"/>
        <v>1</v>
      </c>
      <c r="AI136" s="126">
        <f t="shared" si="29"/>
        <v>1</v>
      </c>
      <c r="AJ136" s="43" t="str">
        <f t="shared" ref="AJ136:AJ199" si="30">IF(AJ6&lt;&gt;"",AJ6,"")</f>
        <v>UNKNOWN</v>
      </c>
      <c r="AK136" s="56"/>
      <c r="AL136" s="56" t="str">
        <f>BIN2HEX(AB136&amp;AC136&amp;AD136&amp;AE136&amp;AF136&amp;AG136&amp;AH136&amp;AI136,2)</f>
        <v>0F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3"/>
      <c r="C137" s="43">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0</v>
      </c>
      <c r="AF137" s="126">
        <f t="shared" si="29"/>
        <v>1</v>
      </c>
      <c r="AG137" s="126">
        <f t="shared" si="29"/>
        <v>1</v>
      </c>
      <c r="AH137" s="126">
        <f t="shared" si="29"/>
        <v>1</v>
      </c>
      <c r="AI137" s="126">
        <f t="shared" si="29"/>
        <v>1</v>
      </c>
      <c r="AJ137" s="43" t="str">
        <f t="shared" si="30"/>
        <v>ON_W</v>
      </c>
      <c r="AK137" s="56"/>
      <c r="AL137" s="56" t="str">
        <f t="shared" ref="AL137:AL199" si="33">BIN2HEX(AB137&amp;AC137&amp;AD137&amp;AE137&amp;AF137&amp;AG137&amp;AH137&amp;AI137,2)</f>
        <v>0F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(U4)0x0000000FU,                                                           /* 01 ON_W                                            */</v>
      </c>
    </row>
    <row r="138" spans="1:43">
      <c r="B138" s="133"/>
      <c r="C138" s="43">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0</v>
      </c>
      <c r="AF138" s="126">
        <f t="shared" si="29"/>
        <v>1</v>
      </c>
      <c r="AG138" s="126">
        <f t="shared" si="29"/>
        <v>1</v>
      </c>
      <c r="AH138" s="126">
        <f t="shared" si="29"/>
        <v>1</v>
      </c>
      <c r="AI138" s="126">
        <f t="shared" si="29"/>
        <v>1</v>
      </c>
      <c r="AJ138" s="43" t="str">
        <f t="shared" si="30"/>
        <v>ON_G</v>
      </c>
      <c r="AK138" s="56"/>
      <c r="AL138" s="56" t="str">
        <f t="shared" si="33"/>
        <v>0F</v>
      </c>
      <c r="AM138" s="58" t="str">
        <f t="shared" si="34"/>
        <v>00</v>
      </c>
      <c r="AN138" s="58" t="str">
        <f t="shared" si="35"/>
        <v>00</v>
      </c>
      <c r="AO138" s="58" t="str">
        <f t="shared" si="36"/>
        <v>00</v>
      </c>
      <c r="AQ138" t="str">
        <f t="shared" si="31"/>
        <v xml:space="preserve">    (U4)0x0000000FU,                                                           /* 02 ON_G                                            */</v>
      </c>
    </row>
    <row r="139" spans="1:43">
      <c r="B139" s="133"/>
      <c r="C139" s="43">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0</v>
      </c>
      <c r="AF139" s="126">
        <f t="shared" si="29"/>
        <v>1</v>
      </c>
      <c r="AG139" s="126">
        <f t="shared" si="29"/>
        <v>1</v>
      </c>
      <c r="AH139" s="126">
        <f t="shared" si="29"/>
        <v>1</v>
      </c>
      <c r="AI139" s="126">
        <f t="shared" si="29"/>
        <v>1</v>
      </c>
      <c r="AJ139" s="43" t="str">
        <f t="shared" si="30"/>
        <v>ON_A</v>
      </c>
      <c r="AK139" s="56"/>
      <c r="AL139" s="56" t="str">
        <f t="shared" si="33"/>
        <v>0F</v>
      </c>
      <c r="AM139" s="58" t="str">
        <f t="shared" si="34"/>
        <v>00</v>
      </c>
      <c r="AN139" s="58" t="str">
        <f t="shared" si="35"/>
        <v>00</v>
      </c>
      <c r="AO139" s="58" t="str">
        <f t="shared" si="36"/>
        <v>00</v>
      </c>
      <c r="AQ139" t="str">
        <f t="shared" si="31"/>
        <v xml:space="preserve">    (U4)0x0000000FU,                                                           /* 03 ON_A                                            */</v>
      </c>
    </row>
    <row r="140" spans="1:43">
      <c r="B140" s="133"/>
      <c r="C140" s="43">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1</v>
      </c>
      <c r="AG140" s="126">
        <f t="shared" si="29"/>
        <v>1</v>
      </c>
      <c r="AH140" s="126">
        <f t="shared" si="29"/>
        <v>1</v>
      </c>
      <c r="AI140" s="126">
        <f t="shared" si="29"/>
        <v>1</v>
      </c>
      <c r="AJ140" s="43" t="str">
        <f t="shared" si="30"/>
        <v>UNKNOWN</v>
      </c>
      <c r="AK140" s="56"/>
      <c r="AL140" s="56" t="str">
        <f t="shared" si="33"/>
        <v>0F</v>
      </c>
      <c r="AM140" s="58" t="str">
        <f t="shared" si="34"/>
        <v>00</v>
      </c>
      <c r="AN140" s="58" t="str">
        <f t="shared" si="35"/>
        <v>00</v>
      </c>
      <c r="AO140" s="58" t="str">
        <f t="shared" si="36"/>
        <v>00</v>
      </c>
      <c r="AQ140" t="str">
        <f t="shared" si="31"/>
        <v xml:space="preserve">    (U4)0x0000000FU,                                                           /* 04 UNKNOWN                                         */</v>
      </c>
    </row>
    <row r="141" spans="1:43">
      <c r="B141" s="133"/>
      <c r="C141" s="43">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1</v>
      </c>
      <c r="AG141" s="126">
        <f t="shared" si="29"/>
        <v>1</v>
      </c>
      <c r="AH141" s="126">
        <f t="shared" si="29"/>
        <v>1</v>
      </c>
      <c r="AI141" s="126">
        <f t="shared" si="29"/>
        <v>1</v>
      </c>
      <c r="AJ141" s="43" t="str">
        <f t="shared" si="30"/>
        <v>UNKNOWN</v>
      </c>
      <c r="AK141" s="56"/>
      <c r="AL141" s="56" t="str">
        <f t="shared" si="33"/>
        <v>0F</v>
      </c>
      <c r="AM141" s="58" t="str">
        <f t="shared" si="34"/>
        <v>00</v>
      </c>
      <c r="AN141" s="58" t="str">
        <f t="shared" si="35"/>
        <v>00</v>
      </c>
      <c r="AO141" s="58" t="str">
        <f t="shared" si="36"/>
        <v>00</v>
      </c>
      <c r="AQ141" t="str">
        <f t="shared" si="31"/>
        <v xml:space="preserve">    (U4)0x0000000FU,                                                           /* 05 UNKNOWN                                         */</v>
      </c>
    </row>
    <row r="142" spans="1:43">
      <c r="B142" s="133"/>
      <c r="C142" s="43">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1</v>
      </c>
      <c r="AG142" s="126">
        <f t="shared" si="29"/>
        <v>1</v>
      </c>
      <c r="AH142" s="126">
        <f t="shared" si="29"/>
        <v>1</v>
      </c>
      <c r="AI142" s="126">
        <f t="shared" si="29"/>
        <v>1</v>
      </c>
      <c r="AJ142" s="43" t="str">
        <f t="shared" si="30"/>
        <v>UNKNOWN</v>
      </c>
      <c r="AK142" s="56"/>
      <c r="AL142" s="56" t="str">
        <f t="shared" si="33"/>
        <v>0F</v>
      </c>
      <c r="AM142" s="58" t="str">
        <f t="shared" si="34"/>
        <v>00</v>
      </c>
      <c r="AN142" s="58" t="str">
        <f t="shared" si="35"/>
        <v>00</v>
      </c>
      <c r="AO142" s="58" t="str">
        <f t="shared" si="36"/>
        <v>00</v>
      </c>
      <c r="AQ142" t="str">
        <f t="shared" si="31"/>
        <v xml:space="preserve">    (U4)0x0000000FU,                                                           /* 06 UNKNOWN                                         */</v>
      </c>
    </row>
    <row r="143" spans="1:43">
      <c r="B143" s="133"/>
      <c r="C143" s="43">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1</v>
      </c>
      <c r="AG143" s="126">
        <f t="shared" si="29"/>
        <v>1</v>
      </c>
      <c r="AH143" s="126">
        <f t="shared" si="29"/>
        <v>1</v>
      </c>
      <c r="AI143" s="126">
        <f t="shared" ref="AI143" si="37">IF(OR(AI13=0,AI13=1),1,0)</f>
        <v>1</v>
      </c>
      <c r="AJ143" s="43" t="str">
        <f t="shared" si="30"/>
        <v>UNKNOWN</v>
      </c>
      <c r="AK143" s="56"/>
      <c r="AL143" s="56" t="str">
        <f t="shared" si="33"/>
        <v>0F</v>
      </c>
      <c r="AM143" s="58" t="str">
        <f t="shared" si="34"/>
        <v>00</v>
      </c>
      <c r="AN143" s="58" t="str">
        <f t="shared" si="35"/>
        <v>00</v>
      </c>
      <c r="AO143" s="58" t="str">
        <f t="shared" si="36"/>
        <v>00</v>
      </c>
      <c r="AQ143" t="str">
        <f t="shared" si="31"/>
        <v xml:space="preserve">    (U4)0x0000000FU,                                                           /* 07 UNKNOWN                                         */</v>
      </c>
    </row>
    <row r="144" spans="1:43">
      <c r="B144" s="133"/>
      <c r="C144" s="43">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1</v>
      </c>
      <c r="AG144" s="126">
        <f t="shared" si="38"/>
        <v>1</v>
      </c>
      <c r="AH144" s="126">
        <f t="shared" si="38"/>
        <v>1</v>
      </c>
      <c r="AI144" s="126">
        <f t="shared" si="38"/>
        <v>1</v>
      </c>
      <c r="AJ144" s="43" t="str">
        <f t="shared" si="30"/>
        <v>UNKNOWN</v>
      </c>
      <c r="AK144" s="56"/>
      <c r="AL144" s="56" t="str">
        <f t="shared" si="33"/>
        <v>0F</v>
      </c>
      <c r="AM144" s="58" t="str">
        <f t="shared" si="34"/>
        <v>00</v>
      </c>
      <c r="AN144" s="58" t="str">
        <f t="shared" si="35"/>
        <v>00</v>
      </c>
      <c r="AO144" s="58" t="str">
        <f t="shared" si="36"/>
        <v>00</v>
      </c>
      <c r="AQ144" t="str">
        <f t="shared" si="31"/>
        <v xml:space="preserve">    (U4)0x0000000FU,                                                           /* 08 UNKNOWN                                         */</v>
      </c>
    </row>
    <row r="145" spans="2:43">
      <c r="B145" s="133"/>
      <c r="C145" s="43">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1</v>
      </c>
      <c r="AG145" s="126">
        <f t="shared" si="38"/>
        <v>1</v>
      </c>
      <c r="AH145" s="126">
        <f t="shared" si="38"/>
        <v>1</v>
      </c>
      <c r="AI145" s="126">
        <f t="shared" si="38"/>
        <v>1</v>
      </c>
      <c r="AJ145" s="43" t="str">
        <f t="shared" si="30"/>
        <v>UNKNOWN</v>
      </c>
      <c r="AK145" s="56"/>
      <c r="AL145" s="56" t="str">
        <f t="shared" si="33"/>
        <v>0F</v>
      </c>
      <c r="AM145" s="58" t="str">
        <f t="shared" si="34"/>
        <v>00</v>
      </c>
      <c r="AN145" s="58" t="str">
        <f t="shared" si="35"/>
        <v>00</v>
      </c>
      <c r="AO145" s="58" t="str">
        <f t="shared" si="36"/>
        <v>00</v>
      </c>
      <c r="AQ145" t="str">
        <f t="shared" si="31"/>
        <v xml:space="preserve">    (U4)0x0000000FU,                                                           /* 09 UNKNOWN                                         */</v>
      </c>
    </row>
    <row r="146" spans="2:43">
      <c r="B146" s="133"/>
      <c r="C146" s="43">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1</v>
      </c>
      <c r="AG146" s="126">
        <f t="shared" si="38"/>
        <v>1</v>
      </c>
      <c r="AH146" s="126">
        <f t="shared" si="38"/>
        <v>1</v>
      </c>
      <c r="AI146" s="126">
        <f t="shared" si="38"/>
        <v>1</v>
      </c>
      <c r="AJ146" s="43" t="str">
        <f t="shared" si="30"/>
        <v>UNKNOWN</v>
      </c>
      <c r="AK146" s="56"/>
      <c r="AL146" s="56" t="str">
        <f t="shared" si="33"/>
        <v>0F</v>
      </c>
      <c r="AM146" s="58" t="str">
        <f t="shared" si="34"/>
        <v>00</v>
      </c>
      <c r="AN146" s="58" t="str">
        <f t="shared" si="35"/>
        <v>00</v>
      </c>
      <c r="AO146" s="58" t="str">
        <f t="shared" si="36"/>
        <v>00</v>
      </c>
      <c r="AQ146" t="str">
        <f t="shared" si="31"/>
        <v xml:space="preserve">    (U4)0x0000000FU,                                                           /* 10 UNKNOWN                                         */</v>
      </c>
    </row>
    <row r="147" spans="2:43">
      <c r="B147" s="133"/>
      <c r="C147" s="43">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1</v>
      </c>
      <c r="AG147" s="126">
        <f t="shared" si="38"/>
        <v>1</v>
      </c>
      <c r="AH147" s="126">
        <f t="shared" si="38"/>
        <v>1</v>
      </c>
      <c r="AI147" s="126">
        <f t="shared" si="38"/>
        <v>1</v>
      </c>
      <c r="AJ147" s="43" t="str">
        <f t="shared" si="30"/>
        <v>UNKNOWN</v>
      </c>
      <c r="AK147" s="56"/>
      <c r="AL147" s="56" t="str">
        <f t="shared" si="33"/>
        <v>0F</v>
      </c>
      <c r="AM147" s="58" t="str">
        <f t="shared" si="34"/>
        <v>00</v>
      </c>
      <c r="AN147" s="58" t="str">
        <f t="shared" si="35"/>
        <v>00</v>
      </c>
      <c r="AO147" s="58" t="str">
        <f t="shared" si="36"/>
        <v>00</v>
      </c>
      <c r="AQ147" t="str">
        <f t="shared" si="31"/>
        <v xml:space="preserve">    (U4)0x0000000FU,                                                           /* 11 UNKNOWN                                         */</v>
      </c>
    </row>
    <row r="148" spans="2:43">
      <c r="B148" s="133"/>
      <c r="C148" s="43">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1</v>
      </c>
      <c r="AG148" s="126">
        <f t="shared" si="38"/>
        <v>1</v>
      </c>
      <c r="AH148" s="126">
        <f t="shared" si="38"/>
        <v>1</v>
      </c>
      <c r="AI148" s="126">
        <f t="shared" si="38"/>
        <v>1</v>
      </c>
      <c r="AJ148" s="43" t="str">
        <f t="shared" si="30"/>
        <v>UNKNOWN</v>
      </c>
      <c r="AK148" s="56"/>
      <c r="AL148" s="56" t="str">
        <f t="shared" si="33"/>
        <v>0F</v>
      </c>
      <c r="AM148" s="58" t="str">
        <f t="shared" si="34"/>
        <v>00</v>
      </c>
      <c r="AN148" s="58" t="str">
        <f t="shared" si="35"/>
        <v>00</v>
      </c>
      <c r="AO148" s="58" t="str">
        <f t="shared" si="36"/>
        <v>00</v>
      </c>
      <c r="AQ148" t="str">
        <f t="shared" si="31"/>
        <v xml:space="preserve">    (U4)0x0000000FU,                                                           /* 12 UNKNOWN                                         */</v>
      </c>
    </row>
    <row r="149" spans="2:43">
      <c r="B149" s="133"/>
      <c r="C149" s="43">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1</v>
      </c>
      <c r="AG149" s="126">
        <f t="shared" si="38"/>
        <v>1</v>
      </c>
      <c r="AH149" s="126">
        <f t="shared" si="38"/>
        <v>1</v>
      </c>
      <c r="AI149" s="126">
        <f t="shared" si="38"/>
        <v>1</v>
      </c>
      <c r="AJ149" s="43" t="str">
        <f t="shared" si="30"/>
        <v>UNKNOWN</v>
      </c>
      <c r="AK149" s="56"/>
      <c r="AL149" s="56" t="str">
        <f t="shared" si="33"/>
        <v>0F</v>
      </c>
      <c r="AM149" s="58" t="str">
        <f t="shared" si="34"/>
        <v>00</v>
      </c>
      <c r="AN149" s="58" t="str">
        <f t="shared" si="35"/>
        <v>00</v>
      </c>
      <c r="AO149" s="58" t="str">
        <f t="shared" si="36"/>
        <v>00</v>
      </c>
      <c r="AQ149" t="str">
        <f t="shared" si="31"/>
        <v xml:space="preserve">    (U4)0x0000000FU,                                                           /* 13 UNKNOWN                                         */</v>
      </c>
    </row>
    <row r="150" spans="2:43">
      <c r="B150" s="133"/>
      <c r="C150" s="43">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1</v>
      </c>
      <c r="AG150" s="126">
        <f t="shared" si="38"/>
        <v>1</v>
      </c>
      <c r="AH150" s="126">
        <f t="shared" si="38"/>
        <v>1</v>
      </c>
      <c r="AI150" s="126">
        <f t="shared" si="38"/>
        <v>1</v>
      </c>
      <c r="AJ150" s="43" t="str">
        <f t="shared" si="30"/>
        <v>UNKNOWN</v>
      </c>
      <c r="AK150" s="56"/>
      <c r="AL150" s="56" t="str">
        <f t="shared" si="33"/>
        <v>0F</v>
      </c>
      <c r="AM150" s="58" t="str">
        <f t="shared" si="34"/>
        <v>00</v>
      </c>
      <c r="AN150" s="58" t="str">
        <f t="shared" si="35"/>
        <v>00</v>
      </c>
      <c r="AO150" s="58" t="str">
        <f t="shared" si="36"/>
        <v>00</v>
      </c>
      <c r="AQ150" t="str">
        <f t="shared" si="31"/>
        <v xml:space="preserve">    (U4)0x0000000FU,                                                           /* 14 UNKNOWN                                         */</v>
      </c>
    </row>
    <row r="151" spans="2:43">
      <c r="B151" s="133"/>
      <c r="C151" s="43">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1</v>
      </c>
      <c r="AG151" s="126">
        <f t="shared" si="38"/>
        <v>1</v>
      </c>
      <c r="AH151" s="126">
        <f t="shared" si="38"/>
        <v>1</v>
      </c>
      <c r="AI151" s="126">
        <f t="shared" ref="AI151" si="39">IF(OR(AI21=0,AI21=1),1,0)</f>
        <v>1</v>
      </c>
      <c r="AJ151" s="43" t="str">
        <f t="shared" si="30"/>
        <v>UNKNOWN</v>
      </c>
      <c r="AK151" s="56"/>
      <c r="AL151" s="56" t="str">
        <f t="shared" si="33"/>
        <v>0F</v>
      </c>
      <c r="AM151" s="58" t="str">
        <f t="shared" si="34"/>
        <v>00</v>
      </c>
      <c r="AN151" s="58" t="str">
        <f t="shared" si="35"/>
        <v>00</v>
      </c>
      <c r="AO151" s="58" t="str">
        <f t="shared" si="36"/>
        <v>00</v>
      </c>
      <c r="AQ151" t="str">
        <f t="shared" si="31"/>
        <v xml:space="preserve">    (U4)0x0000000FU                                                            /* 15 UNKNOWN                                         */</v>
      </c>
    </row>
    <row r="152" spans="2:43">
      <c r="B152" s="133"/>
      <c r="C152" s="43">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33"/>
      <c r="C153" s="43">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33"/>
      <c r="C154" s="43">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33"/>
      <c r="C155" s="43">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33"/>
      <c r="C156" s="43">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33"/>
      <c r="C157" s="43">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33"/>
      <c r="C158" s="43">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33"/>
      <c r="C159" s="43">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33"/>
      <c r="C160" s="43">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33"/>
      <c r="C161" s="43">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33"/>
      <c r="C162" s="43">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33"/>
      <c r="C163" s="43">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33"/>
      <c r="C164" s="43">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33"/>
      <c r="C165" s="43">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33"/>
      <c r="C166" s="43">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33"/>
      <c r="C167" s="43">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33"/>
      <c r="C168" s="43">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33"/>
      <c r="C169" s="43">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33"/>
      <c r="C170" s="43">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33"/>
      <c r="C171" s="43">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33"/>
      <c r="C172" s="43">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33"/>
      <c r="C173" s="43">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33"/>
      <c r="C174" s="43">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33"/>
      <c r="C175" s="43">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33"/>
      <c r="C176" s="43">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33"/>
      <c r="C177" s="43">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33"/>
      <c r="C178" s="43">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33"/>
      <c r="C179" s="43">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33"/>
      <c r="C180" s="43">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33"/>
      <c r="C181" s="43">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33"/>
      <c r="C182" s="43">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33"/>
      <c r="C183" s="43">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33"/>
      <c r="C184" s="43">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33"/>
      <c r="C185" s="43">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33"/>
      <c r="C186" s="43">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33"/>
      <c r="C187" s="43">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33"/>
      <c r="C188" s="43">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33"/>
      <c r="C189" s="43">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33"/>
      <c r="C190" s="43">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33"/>
      <c r="C191" s="43">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33"/>
      <c r="C192" s="43">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33"/>
      <c r="C193" s="43">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33"/>
      <c r="C194" s="43">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33"/>
      <c r="C195" s="43">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33"/>
      <c r="C196" s="43">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33"/>
      <c r="C197" s="43">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33"/>
      <c r="C198" s="43">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4"/>
      <c r="C199" s="43">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D38:AJ69 L3:AE3 D22:AI37 AF14:AF17 AJ6:AJ37 D6:AE21" name="Table作成編集範囲"/>
    <protectedRange sqref="AF3:AI3" name="Table作成編集範囲_2"/>
    <protectedRange sqref="AF6:AI13 AG14:AI17 AF18:AI21" name="Table作成編集範囲_3"/>
    <protectedRange sqref="B3" name="Table作成編集範囲_1"/>
  </protectedRanges>
  <mergeCells count="5">
    <mergeCell ref="AH3:AI3"/>
    <mergeCell ref="C2:C3"/>
    <mergeCell ref="AJ2:AJ3"/>
    <mergeCell ref="A4:B5"/>
    <mergeCell ref="AF3:AG3"/>
  </mergeCells>
  <phoneticPr fontId="2"/>
  <conditionalFormatting sqref="D38:AI69 D6:AD37">
    <cfRule type="cellIs" dxfId="29" priority="24" operator="equal">
      <formula>1</formula>
    </cfRule>
    <cfRule type="cellIs" dxfId="28" priority="25" operator="equal">
      <formula>"×"</formula>
    </cfRule>
  </conditionalFormatting>
  <conditionalFormatting sqref="AR5:AS70">
    <cfRule type="expression" dxfId="27" priority="23">
      <formula>$B$3="Index Table"</formula>
    </cfRule>
  </conditionalFormatting>
  <conditionalFormatting sqref="AE6:AF17 AE22:AF37 D9:AE21">
    <cfRule type="cellIs" dxfId="26" priority="17" operator="equal">
      <formula>1</formula>
    </cfRule>
    <cfRule type="cellIs" dxfId="25" priority="18" operator="equal">
      <formula>"×"</formula>
    </cfRule>
  </conditionalFormatting>
  <conditionalFormatting sqref="AG6:AI13 AF6:AG9">
    <cfRule type="cellIs" dxfId="24" priority="15" operator="equal">
      <formula>1</formula>
    </cfRule>
    <cfRule type="cellIs" dxfId="23" priority="16" operator="equal">
      <formula>"×"</formula>
    </cfRule>
  </conditionalFormatting>
  <conditionalFormatting sqref="AG22:AI37">
    <cfRule type="cellIs" dxfId="22" priority="13" operator="equal">
      <formula>1</formula>
    </cfRule>
    <cfRule type="cellIs" dxfId="21" priority="14" operator="equal">
      <formula>"×"</formula>
    </cfRule>
  </conditionalFormatting>
  <conditionalFormatting sqref="AF10:AF13">
    <cfRule type="cellIs" dxfId="20" priority="11" operator="equal">
      <formula>1</formula>
    </cfRule>
    <cfRule type="cellIs" dxfId="19" priority="12" operator="equal">
      <formula>"×"</formula>
    </cfRule>
  </conditionalFormatting>
  <conditionalFormatting sqref="AG14:AG17">
    <cfRule type="cellIs" dxfId="18" priority="9" operator="equal">
      <formula>1</formula>
    </cfRule>
    <cfRule type="cellIs" dxfId="17" priority="10" operator="equal">
      <formula>"×"</formula>
    </cfRule>
  </conditionalFormatting>
  <conditionalFormatting sqref="AG14:AG17">
    <cfRule type="cellIs" dxfId="16" priority="7" operator="equal">
      <formula>1</formula>
    </cfRule>
    <cfRule type="cellIs" dxfId="15" priority="8" operator="equal">
      <formula>"×"</formula>
    </cfRule>
  </conditionalFormatting>
  <conditionalFormatting sqref="AH14:AI17">
    <cfRule type="cellIs" dxfId="14" priority="5" operator="equal">
      <formula>1</formula>
    </cfRule>
    <cfRule type="cellIs" dxfId="13" priority="6" operator="equal">
      <formula>"×"</formula>
    </cfRule>
  </conditionalFormatting>
  <conditionalFormatting sqref="AH18:AI21">
    <cfRule type="cellIs" dxfId="12" priority="3" operator="equal">
      <formula>1</formula>
    </cfRule>
    <cfRule type="cellIs" dxfId="11" priority="4" operator="equal">
      <formula>"×"</formula>
    </cfRule>
  </conditionalFormatting>
  <conditionalFormatting sqref="AF18:AG21">
    <cfRule type="cellIs" dxfId="10" priority="1" operator="equal">
      <formula>1</formula>
    </cfRule>
    <cfRule type="cellIs" dxfId="9"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5" t="s">
        <v>124</v>
      </c>
      <c r="C2" s="323" t="s">
        <v>85</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25" t="s">
        <v>152</v>
      </c>
    </row>
    <row r="3" spans="1:49" ht="213" customHeight="1" thickBot="1">
      <c r="B3" s="240" t="str">
        <f>IF(OR(IF(COUNTIF(D6:AC69,"0")&lt;&gt;0,TRUE,FALSE),IF(COUNTIF(D6:AC69,"1")&lt;&gt;0,TRUE,FALSE)),"Search Table","Index Table")</f>
        <v>Search Table</v>
      </c>
      <c r="C3" s="324"/>
      <c r="D3" s="127" t="s">
        <v>62</v>
      </c>
      <c r="E3" s="127" t="s">
        <v>67</v>
      </c>
      <c r="F3" s="127" t="s">
        <v>50</v>
      </c>
      <c r="G3" s="127" t="s">
        <v>330</v>
      </c>
      <c r="H3" s="127" t="s">
        <v>122</v>
      </c>
      <c r="I3" s="127" t="s">
        <v>121</v>
      </c>
      <c r="J3" s="127" t="s">
        <v>126</v>
      </c>
      <c r="K3" s="127" t="s">
        <v>125</v>
      </c>
      <c r="L3" s="128" t="s">
        <v>67</v>
      </c>
      <c r="M3" s="128" t="s">
        <v>63</v>
      </c>
      <c r="N3" s="128" t="s">
        <v>63</v>
      </c>
      <c r="O3" s="128" t="s">
        <v>63</v>
      </c>
      <c r="P3" s="128" t="s">
        <v>63</v>
      </c>
      <c r="Q3" s="128" t="s">
        <v>63</v>
      </c>
      <c r="R3" s="128" t="s">
        <v>63</v>
      </c>
      <c r="S3" s="128" t="s">
        <v>63</v>
      </c>
      <c r="T3" s="128" t="s">
        <v>63</v>
      </c>
      <c r="U3" s="128" t="s">
        <v>63</v>
      </c>
      <c r="V3" s="128" t="s">
        <v>63</v>
      </c>
      <c r="W3" s="128" t="s">
        <v>63</v>
      </c>
      <c r="X3" s="128" t="s">
        <v>63</v>
      </c>
      <c r="Y3" s="128" t="s">
        <v>63</v>
      </c>
      <c r="Z3" s="128" t="s">
        <v>63</v>
      </c>
      <c r="AA3" s="128" t="s">
        <v>63</v>
      </c>
      <c r="AB3" s="128" t="s">
        <v>63</v>
      </c>
      <c r="AC3" s="333" t="s">
        <v>331</v>
      </c>
      <c r="AD3" s="332"/>
      <c r="AE3" s="331" t="s">
        <v>349</v>
      </c>
      <c r="AF3" s="331"/>
      <c r="AG3" s="331"/>
      <c r="AH3" s="331"/>
      <c r="AI3" s="332"/>
      <c r="AJ3" s="326"/>
      <c r="AR3" s="89" t="s">
        <v>97</v>
      </c>
    </row>
    <row r="4" spans="1:49" ht="14.25" thickBot="1">
      <c r="A4" s="327" t="s">
        <v>64</v>
      </c>
      <c r="B4" s="328"/>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30"/>
      <c r="AR4" s="77" t="s">
        <v>83</v>
      </c>
      <c r="AS4" s="78"/>
      <c r="AT4" s="78"/>
      <c r="AU4" s="78"/>
      <c r="AV4" s="78"/>
      <c r="AW4" s="79"/>
    </row>
    <row r="5" spans="1:49" ht="14.25" thickBot="1">
      <c r="A5" s="329"/>
      <c r="B5" s="330"/>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31"/>
      <c r="AR5" s="80" t="str">
        <f ca="1">"static const U4  "&amp;AW8&amp;"["&amp;AW10&amp;"]"&amp;" = {"</f>
        <v>static const U4  u4_sp_ALERT_S_ISA_PD_CRIT[ALERT_S_ISA_PD_NUM_DST] = {</v>
      </c>
      <c r="AS5" s="80" t="str">
        <f ca="1">"static const U4  "&amp;$AW$9&amp;"["&amp;$AW$10&amp;"] = {"</f>
        <v>static const U4  u4_sp_ALERT_S_ISA_PD_MASK[ALERT_S_ISA_PD_NUM_DST] = {</v>
      </c>
      <c r="AT5" s="80" t="str">
        <f ca="1">"static const U1  "&amp;$AW$11&amp;"["&amp;$AW$10&amp;"] = {"</f>
        <v>static const U1  u1_sp_ALERT_S_ISA_PD_DST[ALERT_S_ISA_PD_NUM_DST] = {</v>
      </c>
      <c r="AU5" s="80" t="str">
        <f ca="1">"const ST_ALERT_MTRX "&amp;$AW$12&amp;" = {"</f>
        <v>const ST_ALERT_MTRX st_gp_ALERT_S_ISA_MTRX[2] = {</v>
      </c>
      <c r="AV5" s="61" t="str">
        <f ca="1">"#define "&amp;AW10&amp;REPT(" ",41-LEN(AW10))&amp;"("&amp;AW13&amp;"U)"</f>
        <v>#define ALERT_S_ISA_PD_NUM_DST                   (4U)</v>
      </c>
      <c r="AW5" s="62"/>
    </row>
    <row r="6" spans="1:49">
      <c r="B6" s="133" t="str">
        <f ca="1">"Table "&amp;$AW$6</f>
        <v>Table PD</v>
      </c>
      <c r="C6" s="48">
        <f>ROW()-ROW($C$6)</f>
        <v>0</v>
      </c>
      <c r="D6" s="129" t="s">
        <v>68</v>
      </c>
      <c r="E6" s="129" t="s">
        <v>68</v>
      </c>
      <c r="F6" s="129" t="s">
        <v>68</v>
      </c>
      <c r="G6" s="129" t="s">
        <v>68</v>
      </c>
      <c r="H6" s="129" t="s">
        <v>68</v>
      </c>
      <c r="I6" s="129" t="s">
        <v>68</v>
      </c>
      <c r="J6" s="129" t="s">
        <v>68</v>
      </c>
      <c r="K6" s="57" t="s">
        <v>68</v>
      </c>
      <c r="L6" s="129" t="s">
        <v>68</v>
      </c>
      <c r="M6" s="129" t="s">
        <v>68</v>
      </c>
      <c r="N6" s="129" t="s">
        <v>68</v>
      </c>
      <c r="O6" s="129" t="s">
        <v>68</v>
      </c>
      <c r="P6" s="129" t="s">
        <v>68</v>
      </c>
      <c r="Q6" s="129" t="s">
        <v>68</v>
      </c>
      <c r="R6" s="129" t="s">
        <v>68</v>
      </c>
      <c r="S6" s="129" t="s">
        <v>68</v>
      </c>
      <c r="T6" s="129" t="s">
        <v>68</v>
      </c>
      <c r="U6" s="129" t="s">
        <v>68</v>
      </c>
      <c r="V6" s="129" t="s">
        <v>68</v>
      </c>
      <c r="W6" s="129" t="s">
        <v>68</v>
      </c>
      <c r="X6" s="129" t="s">
        <v>68</v>
      </c>
      <c r="Y6" s="129" t="s">
        <v>68</v>
      </c>
      <c r="Z6" s="129" t="s">
        <v>68</v>
      </c>
      <c r="AA6" s="129" t="s">
        <v>68</v>
      </c>
      <c r="AB6" s="129" t="s">
        <v>68</v>
      </c>
      <c r="AC6" s="129">
        <v>0</v>
      </c>
      <c r="AD6" s="129">
        <v>0</v>
      </c>
      <c r="AE6" s="129">
        <v>0</v>
      </c>
      <c r="AF6" s="195">
        <v>0</v>
      </c>
      <c r="AG6" s="195">
        <v>0</v>
      </c>
      <c r="AH6" s="195">
        <v>1</v>
      </c>
      <c r="AI6" s="195">
        <v>1</v>
      </c>
      <c r="AJ6" s="47" t="s">
        <v>367</v>
      </c>
      <c r="AL6" t="str">
        <f t="shared" ref="AL6:AL69" ca="1" si="0">IF($AJ6="UNKNOWN","    (U1)ALERT_REQ_UNKNOWN","    (U1)"&amp;"ALERT_REQ_"&amp;$AW$17&amp;"_"&amp;IF($AW$6&lt;&gt;$AW$17,$AW$6&amp;"_","")&amp;AJ6)</f>
        <v xml:space="preserve">    (U1)ALERT_REQ_S_ISA_PD_RW</v>
      </c>
      <c r="AR6" s="59" t="str">
        <f>IF(AQ71&lt;&gt;"",AQ71,IF(AQ70&lt;&gt;"","};",""))</f>
        <v xml:space="preserve">    (U4)0x00000003U,                                                           /* 00 RW                                              */</v>
      </c>
      <c r="AS6" s="59" t="str">
        <f>IF(AQ136&lt;&gt;"",AQ136,IF(AQ135&lt;&gt;"","};",""))</f>
        <v xml:space="preserve">    (U4)0x0000007FU,                                                           /* 00 RW                                              */</v>
      </c>
      <c r="AT6" s="59" t="str">
        <f t="shared" ref="AT6:AT69" ca="1" si="1">IF(AJ6&lt;&gt;"",AL6&amp;IF(AJ7&lt;&gt;"",","," ")&amp;REPT(" ",78-LEN(AL6))&amp;"/* "&amp;IF(C6&lt;10,"0"&amp;C6,C6)&amp;" "&amp;AJ6&amp;REPT(" ",48-LEN(AJ6))&amp;"*/",IF(AJ5&lt;&gt;"","};",""))</f>
        <v xml:space="preserve">    (U1)ALERT_REQ_S_ISA_PD_RW,                                                 /* 00 RW                                              */</v>
      </c>
      <c r="AU6" s="59" t="s">
        <v>69</v>
      </c>
      <c r="AV6" s="44" t="s">
        <v>71</v>
      </c>
      <c r="AW6" s="63" t="str">
        <f ca="1">UPPER(RIGHT(CELL("filename",A1),LEN(CELL("filename",A1))-FIND("]",CELL("filename",A1))))</f>
        <v>PD</v>
      </c>
    </row>
    <row r="7" spans="1:49">
      <c r="B7" s="133"/>
      <c r="C7" s="43">
        <f t="shared" ref="C7:C69" si="2">ROW()-ROW($C$6)</f>
        <v>1</v>
      </c>
      <c r="D7" s="57" t="s">
        <v>68</v>
      </c>
      <c r="E7" s="57" t="s">
        <v>68</v>
      </c>
      <c r="F7" s="57" t="s">
        <v>68</v>
      </c>
      <c r="G7" s="129" t="s">
        <v>68</v>
      </c>
      <c r="H7" s="57" t="s">
        <v>68</v>
      </c>
      <c r="I7" s="57" t="s">
        <v>68</v>
      </c>
      <c r="J7" s="57" t="s">
        <v>68</v>
      </c>
      <c r="K7" s="57" t="s">
        <v>68</v>
      </c>
      <c r="L7" s="57" t="s">
        <v>68</v>
      </c>
      <c r="M7" s="57" t="s">
        <v>68</v>
      </c>
      <c r="N7" s="57" t="s">
        <v>68</v>
      </c>
      <c r="O7" s="57" t="s">
        <v>68</v>
      </c>
      <c r="P7" s="57" t="s">
        <v>68</v>
      </c>
      <c r="Q7" s="57" t="s">
        <v>68</v>
      </c>
      <c r="R7" s="57" t="s">
        <v>68</v>
      </c>
      <c r="S7" s="57" t="s">
        <v>68</v>
      </c>
      <c r="T7" s="57" t="s">
        <v>68</v>
      </c>
      <c r="U7" s="57" t="s">
        <v>68</v>
      </c>
      <c r="V7" s="57" t="s">
        <v>68</v>
      </c>
      <c r="W7" s="57" t="s">
        <v>68</v>
      </c>
      <c r="X7" s="57" t="s">
        <v>68</v>
      </c>
      <c r="Y7" s="57" t="s">
        <v>68</v>
      </c>
      <c r="Z7" s="57" t="s">
        <v>68</v>
      </c>
      <c r="AA7" s="57" t="s">
        <v>68</v>
      </c>
      <c r="AB7" s="57" t="s">
        <v>68</v>
      </c>
      <c r="AC7" s="57">
        <v>0</v>
      </c>
      <c r="AD7" s="57">
        <v>0</v>
      </c>
      <c r="AE7" s="57">
        <v>0</v>
      </c>
      <c r="AF7" s="195">
        <v>0</v>
      </c>
      <c r="AG7" s="195">
        <v>1</v>
      </c>
      <c r="AH7" s="195">
        <v>1</v>
      </c>
      <c r="AI7" s="195">
        <v>0</v>
      </c>
      <c r="AJ7" s="23" t="s">
        <v>367</v>
      </c>
      <c r="AL7" t="str">
        <f t="shared" ca="1" si="0"/>
        <v xml:space="preserve">    (U1)ALERT_REQ_S_ISA_PD_RW</v>
      </c>
      <c r="AR7" s="59" t="str">
        <f t="shared" ref="AR7:AR70" si="3">IF(AQ72&lt;&gt;"",AQ72,IF(AQ71&lt;&gt;"","};",""))</f>
        <v xml:space="preserve">    (U4)0x00000006U,                                                           /* 01 RW                                              */</v>
      </c>
      <c r="AS7" s="59" t="str">
        <f t="shared" ref="AS7:AS70" si="4">IF(AQ137&lt;&gt;"",AQ137,IF(AQ136&lt;&gt;"","};",""))</f>
        <v xml:space="preserve">    (U4)0x0000007FU,                                                           /* 01 RW                                              */</v>
      </c>
      <c r="AT7" s="59" t="str">
        <f t="shared" ca="1" si="1"/>
        <v xml:space="preserve">    (U1)ALERT_REQ_S_ISA_PD_RW,                                                 /* 01 RW                                              */</v>
      </c>
      <c r="AU7" s="59" t="str">
        <f ca="1">"        &amp;"&amp;$AW$14&amp;","&amp;REPT(" ",69-LEN($AW$14))&amp;"/* fp_u4_SRC_CHK                                      */"</f>
        <v xml:space="preserve">        &amp;u4_s_AlertS_isaPdSrcchk,                                              /* fp_u4_SRC_CHK                                      */</v>
      </c>
      <c r="AV7" s="45" t="s">
        <v>72</v>
      </c>
      <c r="AW7" s="132">
        <f>IF(B3="Search Table",1,0)</f>
        <v>1</v>
      </c>
    </row>
    <row r="8" spans="1:49">
      <c r="B8" s="133"/>
      <c r="C8" s="43">
        <f t="shared" si="2"/>
        <v>2</v>
      </c>
      <c r="D8" s="57" t="s">
        <v>68</v>
      </c>
      <c r="E8" s="57" t="s">
        <v>68</v>
      </c>
      <c r="F8" s="57" t="s">
        <v>68</v>
      </c>
      <c r="G8" s="129" t="s">
        <v>68</v>
      </c>
      <c r="H8" s="57" t="s">
        <v>68</v>
      </c>
      <c r="I8" s="57" t="s">
        <v>68</v>
      </c>
      <c r="J8" s="57" t="s">
        <v>68</v>
      </c>
      <c r="K8" s="57" t="s">
        <v>68</v>
      </c>
      <c r="L8" s="57" t="s">
        <v>68</v>
      </c>
      <c r="M8" s="57" t="s">
        <v>68</v>
      </c>
      <c r="N8" s="57" t="s">
        <v>68</v>
      </c>
      <c r="O8" s="57" t="s">
        <v>68</v>
      </c>
      <c r="P8" s="57" t="s">
        <v>68</v>
      </c>
      <c r="Q8" s="57" t="s">
        <v>68</v>
      </c>
      <c r="R8" s="57" t="s">
        <v>68</v>
      </c>
      <c r="S8" s="57" t="s">
        <v>68</v>
      </c>
      <c r="T8" s="57" t="s">
        <v>68</v>
      </c>
      <c r="U8" s="57" t="s">
        <v>68</v>
      </c>
      <c r="V8" s="57" t="s">
        <v>68</v>
      </c>
      <c r="W8" s="57" t="s">
        <v>68</v>
      </c>
      <c r="X8" s="57" t="s">
        <v>68</v>
      </c>
      <c r="Y8" s="57" t="s">
        <v>68</v>
      </c>
      <c r="Z8" s="57" t="s">
        <v>68</v>
      </c>
      <c r="AA8" s="57" t="s">
        <v>68</v>
      </c>
      <c r="AB8" s="57" t="s">
        <v>68</v>
      </c>
      <c r="AC8" s="129">
        <v>0</v>
      </c>
      <c r="AD8" s="129">
        <v>0</v>
      </c>
      <c r="AE8" s="129">
        <v>1</v>
      </c>
      <c r="AF8" s="195">
        <v>1</v>
      </c>
      <c r="AG8" s="195">
        <v>0</v>
      </c>
      <c r="AH8" s="195">
        <v>0</v>
      </c>
      <c r="AI8" s="195">
        <v>1</v>
      </c>
      <c r="AJ8" s="47" t="s">
        <v>222</v>
      </c>
      <c r="AL8" t="str">
        <f t="shared" ca="1" si="0"/>
        <v xml:space="preserve">    (U1)ALERT_REQ_S_ISA_PD_MALFUNC</v>
      </c>
      <c r="AR8" s="59" t="str">
        <f t="shared" si="3"/>
        <v xml:space="preserve">    (U4)0x00000019U,                                                           /* 02 MALFUNC                                         */</v>
      </c>
      <c r="AS8" s="59" t="str">
        <f t="shared" si="4"/>
        <v xml:space="preserve">    (U4)0x0000007FU,                                                           /* 02 MALFUNC                                         */</v>
      </c>
      <c r="AT8" s="59" t="str">
        <f ca="1">IF(AJ8&lt;&gt;"",AL8&amp;IF(AJ9&lt;&gt;"",","," ")&amp;REPT(" ",78-LEN(AL8))&amp;"/* "&amp;IF(C8&lt;10,"0"&amp;C8,C8)&amp;" "&amp;AJ8&amp;REPT(" ",48-LEN(AJ8))&amp;"*/",IF(AJ7&lt;&gt;"","};",""))</f>
        <v xml:space="preserve">    (U1)ALERT_REQ_S_ISA_PD_MALFUNC,                                            /* 02 MALFUNC                                         */</v>
      </c>
      <c r="AU8" s="59" t="str">
        <f ca="1">IF($AW$15&lt;&gt;"NULL","        &amp;"&amp;$AW$15&amp;","&amp;REPT(" ",69-LEN($AW$15))&amp;"/* fp_vd_XDST                                         */","        (void *)NULL,                                                          /* fp_vd_XDST                                         */")</f>
        <v xml:space="preserve">        &amp;vd_s_AlertS_isaPdRwTx,                                                /* fp_vd_XDST                                         */</v>
      </c>
      <c r="AV8" s="45" t="s">
        <v>73</v>
      </c>
      <c r="AW8" s="64" t="str">
        <f ca="1">"u4_sp_ALERT_"&amp;IF(AW6&lt;&gt;AW17,$AW$17&amp;"_"&amp;$AW$6,AW17)&amp;"_CRIT"</f>
        <v>u4_sp_ALERT_S_ISA_PD_CRIT</v>
      </c>
    </row>
    <row r="9" spans="1:49">
      <c r="B9" s="133"/>
      <c r="C9" s="43">
        <f t="shared" si="2"/>
        <v>3</v>
      </c>
      <c r="D9" s="57" t="s">
        <v>68</v>
      </c>
      <c r="E9" s="57" t="s">
        <v>68</v>
      </c>
      <c r="F9" s="57" t="s">
        <v>68</v>
      </c>
      <c r="G9" s="129" t="s">
        <v>68</v>
      </c>
      <c r="H9" s="57" t="s">
        <v>68</v>
      </c>
      <c r="I9" s="57" t="s">
        <v>68</v>
      </c>
      <c r="J9" s="57" t="s">
        <v>68</v>
      </c>
      <c r="K9" s="57" t="s">
        <v>68</v>
      </c>
      <c r="L9" s="57" t="s">
        <v>68</v>
      </c>
      <c r="M9" s="57" t="s">
        <v>68</v>
      </c>
      <c r="N9" s="57" t="s">
        <v>68</v>
      </c>
      <c r="O9" s="57" t="s">
        <v>68</v>
      </c>
      <c r="P9" s="57" t="s">
        <v>68</v>
      </c>
      <c r="Q9" s="57" t="s">
        <v>68</v>
      </c>
      <c r="R9" s="57" t="s">
        <v>68</v>
      </c>
      <c r="S9" s="57" t="s">
        <v>68</v>
      </c>
      <c r="T9" s="57" t="s">
        <v>68</v>
      </c>
      <c r="U9" s="57" t="s">
        <v>68</v>
      </c>
      <c r="V9" s="57" t="s">
        <v>68</v>
      </c>
      <c r="W9" s="57" t="s">
        <v>68</v>
      </c>
      <c r="X9" s="57" t="s">
        <v>68</v>
      </c>
      <c r="Y9" s="57" t="s">
        <v>68</v>
      </c>
      <c r="Z9" s="57" t="s">
        <v>68</v>
      </c>
      <c r="AA9" s="57" t="s">
        <v>68</v>
      </c>
      <c r="AB9" s="57" t="s">
        <v>68</v>
      </c>
      <c r="AC9" s="57">
        <v>0</v>
      </c>
      <c r="AD9" s="57">
        <v>0</v>
      </c>
      <c r="AE9" s="57">
        <v>1</v>
      </c>
      <c r="AF9" s="195">
        <v>1</v>
      </c>
      <c r="AG9" s="195">
        <v>0</v>
      </c>
      <c r="AH9" s="195">
        <v>1</v>
      </c>
      <c r="AI9" s="195">
        <v>0</v>
      </c>
      <c r="AJ9" s="23" t="s">
        <v>302</v>
      </c>
      <c r="AL9" t="str">
        <f t="shared" ca="1" si="0"/>
        <v xml:space="preserve">    (U1)ALERT_REQ_S_ISA_PD_UNAVLBL</v>
      </c>
      <c r="AR9" s="59" t="str">
        <f t="shared" si="3"/>
        <v xml:space="preserve">    (U4)0x0000001AU                                                            /* 03 UNAVLBL                                         */</v>
      </c>
      <c r="AS9" s="59" t="str">
        <f t="shared" si="4"/>
        <v xml:space="preserve">    (U4)0x0000007FU                                                            /* 03 UNAVLBL                                         */</v>
      </c>
      <c r="AT9" s="59" t="str">
        <f t="shared" ca="1" si="1"/>
        <v xml:space="preserve">    (U1)ALERT_REQ_S_ISA_PD_UNAVLBL                                             /* 03 UNAVLBL                                         */</v>
      </c>
      <c r="AU9" s="59"/>
      <c r="AV9" s="45" t="s">
        <v>74</v>
      </c>
      <c r="AW9" s="64" t="str">
        <f ca="1">"u4_sp_ALERT_"&amp;IF(AW6&lt;&gt;AW17,$AW$17&amp;"_"&amp;$AW$6,AW17)&amp;"_MASK"</f>
        <v>u4_sp_ALERT_S_ISA_PD_MASK</v>
      </c>
    </row>
    <row r="10" spans="1:49">
      <c r="B10" s="133"/>
      <c r="C10" s="43">
        <f t="shared" si="2"/>
        <v>4</v>
      </c>
      <c r="D10" s="57" t="s">
        <v>68</v>
      </c>
      <c r="E10" s="57" t="s">
        <v>68</v>
      </c>
      <c r="F10" s="57" t="s">
        <v>68</v>
      </c>
      <c r="G10" s="57" t="s">
        <v>68</v>
      </c>
      <c r="H10" s="57" t="s">
        <v>68</v>
      </c>
      <c r="I10" s="57" t="s">
        <v>68</v>
      </c>
      <c r="J10" s="57" t="s">
        <v>68</v>
      </c>
      <c r="K10" s="57" t="s">
        <v>68</v>
      </c>
      <c r="L10" s="57" t="s">
        <v>68</v>
      </c>
      <c r="M10" s="57" t="s">
        <v>68</v>
      </c>
      <c r="N10" s="57" t="s">
        <v>68</v>
      </c>
      <c r="O10" s="57" t="s">
        <v>68</v>
      </c>
      <c r="P10" s="57" t="s">
        <v>68</v>
      </c>
      <c r="Q10" s="57" t="s">
        <v>68</v>
      </c>
      <c r="R10" s="57" t="s">
        <v>68</v>
      </c>
      <c r="S10" s="57" t="s">
        <v>68</v>
      </c>
      <c r="T10" s="57" t="s">
        <v>68</v>
      </c>
      <c r="U10" s="57" t="s">
        <v>68</v>
      </c>
      <c r="V10" s="57" t="s">
        <v>68</v>
      </c>
      <c r="W10" s="57" t="s">
        <v>68</v>
      </c>
      <c r="X10" s="57" t="s">
        <v>68</v>
      </c>
      <c r="Y10" s="57" t="s">
        <v>68</v>
      </c>
      <c r="Z10" s="57" t="s">
        <v>68</v>
      </c>
      <c r="AA10" s="57" t="s">
        <v>68</v>
      </c>
      <c r="AB10" s="57" t="s">
        <v>68</v>
      </c>
      <c r="AC10" s="57" t="s">
        <v>68</v>
      </c>
      <c r="AD10" s="57" t="s">
        <v>68</v>
      </c>
      <c r="AE10" s="57" t="s">
        <v>68</v>
      </c>
      <c r="AF10" s="57" t="s">
        <v>68</v>
      </c>
      <c r="AG10" s="57" t="s">
        <v>68</v>
      </c>
      <c r="AH10" s="57" t="s">
        <v>68</v>
      </c>
      <c r="AI10" s="57" t="s">
        <v>68</v>
      </c>
      <c r="AJ10" s="23"/>
      <c r="AL10" t="str">
        <f t="shared" ca="1" si="0"/>
        <v xml:space="preserve">    (U1)ALERT_REQ_S_ISA_PD_</v>
      </c>
      <c r="AR10" s="59" t="str">
        <f t="shared" si="3"/>
        <v>};</v>
      </c>
      <c r="AS10" s="59" t="str">
        <f t="shared" si="4"/>
        <v>};</v>
      </c>
      <c r="AT10" s="59" t="str">
        <f t="shared" si="1"/>
        <v>};</v>
      </c>
      <c r="AU10" s="59" t="str">
        <f ca="1">IF($AW$7=1,"        &amp;"&amp;$AW$9&amp;"[0],"&amp;REPT(" ",66-LEN($AW$9))&amp;"/* u4p_MASK                                           */","        (const U4 *)NULL,                                                      /* u4p_MASK                                           */")</f>
        <v xml:space="preserve">        &amp;u4_sp_ALERT_S_ISA_PD_MASK[0],                                         /* u4p_MASK                                           */</v>
      </c>
      <c r="AV10" s="45" t="s">
        <v>75</v>
      </c>
      <c r="AW10" s="64" t="str">
        <f ca="1">"ALERT_"&amp;IF(AW6&lt;&gt;AW17,$AW$17&amp;"_"&amp;$AW$6,AW17)&amp;"_NUM_DST"</f>
        <v>ALERT_S_ISA_PD_NUM_DST</v>
      </c>
    </row>
    <row r="11" spans="1:49">
      <c r="B11" s="133"/>
      <c r="C11" s="43">
        <f t="shared" si="2"/>
        <v>5</v>
      </c>
      <c r="D11" s="57" t="s">
        <v>68</v>
      </c>
      <c r="E11" s="57" t="s">
        <v>68</v>
      </c>
      <c r="F11" s="57" t="s">
        <v>68</v>
      </c>
      <c r="G11" s="57" t="s">
        <v>68</v>
      </c>
      <c r="H11" s="57" t="s">
        <v>68</v>
      </c>
      <c r="I11" s="57" t="s">
        <v>68</v>
      </c>
      <c r="J11" s="57" t="s">
        <v>68</v>
      </c>
      <c r="K11" s="57" t="s">
        <v>68</v>
      </c>
      <c r="L11" s="57" t="s">
        <v>68</v>
      </c>
      <c r="M11" s="57" t="s">
        <v>68</v>
      </c>
      <c r="N11" s="57" t="s">
        <v>68</v>
      </c>
      <c r="O11" s="57" t="s">
        <v>68</v>
      </c>
      <c r="P11" s="57" t="s">
        <v>68</v>
      </c>
      <c r="Q11" s="57" t="s">
        <v>68</v>
      </c>
      <c r="R11" s="57" t="s">
        <v>68</v>
      </c>
      <c r="S11" s="57" t="s">
        <v>68</v>
      </c>
      <c r="T11" s="57" t="s">
        <v>68</v>
      </c>
      <c r="U11" s="57" t="s">
        <v>68</v>
      </c>
      <c r="V11" s="57" t="s">
        <v>68</v>
      </c>
      <c r="W11" s="57" t="s">
        <v>68</v>
      </c>
      <c r="X11" s="57" t="s">
        <v>68</v>
      </c>
      <c r="Y11" s="57" t="s">
        <v>68</v>
      </c>
      <c r="Z11" s="57" t="s">
        <v>68</v>
      </c>
      <c r="AA11" s="57" t="s">
        <v>68</v>
      </c>
      <c r="AB11" s="57" t="s">
        <v>68</v>
      </c>
      <c r="AC11" s="57" t="s">
        <v>68</v>
      </c>
      <c r="AD11" s="57" t="s">
        <v>68</v>
      </c>
      <c r="AE11" s="57" t="s">
        <v>68</v>
      </c>
      <c r="AF11" s="57" t="s">
        <v>68</v>
      </c>
      <c r="AG11" s="57" t="s">
        <v>68</v>
      </c>
      <c r="AH11" s="57" t="s">
        <v>68</v>
      </c>
      <c r="AI11" s="57" t="s">
        <v>68</v>
      </c>
      <c r="AJ11" s="23"/>
      <c r="AL11" t="str">
        <f t="shared" ca="1" si="0"/>
        <v xml:space="preserve">    (U1)ALERT_REQ_S_ISA_PD_</v>
      </c>
      <c r="AR11" s="59" t="str">
        <f t="shared" si="3"/>
        <v/>
      </c>
      <c r="AS11" s="59" t="str">
        <f t="shared" si="4"/>
        <v/>
      </c>
      <c r="AT11" s="59" t="str">
        <f t="shared" si="1"/>
        <v/>
      </c>
      <c r="AU11" s="59" t="str">
        <f ca="1">IF($AW$7=1,"        &amp;"&amp;$AW$8&amp;"[0],"&amp;REPT(" ",66-LEN($AW$8))&amp;"/* u4p_CRIT                                           */","        (const U4 *)NULL,                                                      /* u4p_CRIT                                           */")</f>
        <v xml:space="preserve">        &amp;u4_sp_ALERT_S_ISA_PD_CRIT[0],                                         /* u4p_CRIT                                           */</v>
      </c>
      <c r="AV11" s="45" t="s">
        <v>76</v>
      </c>
      <c r="AW11" s="64" t="str">
        <f ca="1">"u1_sp_ALERT_"&amp;IF(AW6&lt;&gt;AW17,$AW$17&amp;"_"&amp;$AW$6,AW17)&amp;"_DST"</f>
        <v>u1_sp_ALERT_S_ISA_PD_DST</v>
      </c>
    </row>
    <row r="12" spans="1:49">
      <c r="B12" s="133"/>
      <c r="C12" s="43">
        <f t="shared" si="2"/>
        <v>6</v>
      </c>
      <c r="D12" s="57" t="s">
        <v>68</v>
      </c>
      <c r="E12" s="57" t="s">
        <v>68</v>
      </c>
      <c r="F12" s="57" t="s">
        <v>68</v>
      </c>
      <c r="G12" s="57" t="s">
        <v>68</v>
      </c>
      <c r="H12" s="57" t="s">
        <v>68</v>
      </c>
      <c r="I12" s="57" t="s">
        <v>68</v>
      </c>
      <c r="J12" s="57" t="s">
        <v>68</v>
      </c>
      <c r="K12" s="57" t="s">
        <v>68</v>
      </c>
      <c r="L12" s="57" t="s">
        <v>68</v>
      </c>
      <c r="M12" s="57" t="s">
        <v>68</v>
      </c>
      <c r="N12" s="57" t="s">
        <v>68</v>
      </c>
      <c r="O12" s="57" t="s">
        <v>68</v>
      </c>
      <c r="P12" s="57" t="s">
        <v>68</v>
      </c>
      <c r="Q12" s="57" t="s">
        <v>68</v>
      </c>
      <c r="R12" s="57" t="s">
        <v>68</v>
      </c>
      <c r="S12" s="57" t="s">
        <v>68</v>
      </c>
      <c r="T12" s="57" t="s">
        <v>68</v>
      </c>
      <c r="U12" s="57" t="s">
        <v>68</v>
      </c>
      <c r="V12" s="57" t="s">
        <v>68</v>
      </c>
      <c r="W12" s="57" t="s">
        <v>68</v>
      </c>
      <c r="X12" s="57" t="s">
        <v>68</v>
      </c>
      <c r="Y12" s="57" t="s">
        <v>68</v>
      </c>
      <c r="Z12" s="57" t="s">
        <v>68</v>
      </c>
      <c r="AA12" s="57" t="s">
        <v>68</v>
      </c>
      <c r="AB12" s="57" t="s">
        <v>68</v>
      </c>
      <c r="AC12" s="57" t="s">
        <v>68</v>
      </c>
      <c r="AD12" s="57" t="s">
        <v>68</v>
      </c>
      <c r="AE12" s="57" t="s">
        <v>68</v>
      </c>
      <c r="AF12" s="57" t="s">
        <v>68</v>
      </c>
      <c r="AG12" s="57" t="s">
        <v>68</v>
      </c>
      <c r="AH12" s="57" t="s">
        <v>68</v>
      </c>
      <c r="AI12" s="57" t="s">
        <v>68</v>
      </c>
      <c r="AJ12" s="23"/>
      <c r="AL12" t="str">
        <f t="shared" ca="1" si="0"/>
        <v xml:space="preserve">    (U1)ALERT_REQ_S_ISA_PD_</v>
      </c>
      <c r="AR12" s="59" t="str">
        <f t="shared" si="3"/>
        <v/>
      </c>
      <c r="AS12" s="59" t="str">
        <f t="shared" si="4"/>
        <v/>
      </c>
      <c r="AT12" s="59" t="str">
        <f t="shared" si="1"/>
        <v/>
      </c>
      <c r="AU12" s="59"/>
      <c r="AV12" s="45" t="s">
        <v>89</v>
      </c>
      <c r="AW12" s="64" t="str">
        <f ca="1">Matrix!D8&amp;"["&amp;Matrix!D7&amp;"]"</f>
        <v>st_gp_ALERT_S_ISA_MTRX[2]</v>
      </c>
    </row>
    <row r="13" spans="1:49">
      <c r="B13" s="133"/>
      <c r="C13" s="43">
        <f t="shared" si="2"/>
        <v>7</v>
      </c>
      <c r="D13" s="57" t="s">
        <v>68</v>
      </c>
      <c r="E13" s="57" t="s">
        <v>68</v>
      </c>
      <c r="F13" s="57" t="s">
        <v>68</v>
      </c>
      <c r="G13" s="57" t="s">
        <v>68</v>
      </c>
      <c r="H13" s="57" t="s">
        <v>68</v>
      </c>
      <c r="I13" s="57" t="s">
        <v>68</v>
      </c>
      <c r="J13" s="57" t="s">
        <v>68</v>
      </c>
      <c r="K13" s="57" t="s">
        <v>68</v>
      </c>
      <c r="L13" s="57" t="s">
        <v>68</v>
      </c>
      <c r="M13" s="57" t="s">
        <v>68</v>
      </c>
      <c r="N13" s="57" t="s">
        <v>68</v>
      </c>
      <c r="O13" s="57" t="s">
        <v>68</v>
      </c>
      <c r="P13" s="57" t="s">
        <v>68</v>
      </c>
      <c r="Q13" s="57" t="s">
        <v>68</v>
      </c>
      <c r="R13" s="57" t="s">
        <v>68</v>
      </c>
      <c r="S13" s="57" t="s">
        <v>68</v>
      </c>
      <c r="T13" s="57" t="s">
        <v>68</v>
      </c>
      <c r="U13" s="57" t="s">
        <v>68</v>
      </c>
      <c r="V13" s="57" t="s">
        <v>68</v>
      </c>
      <c r="W13" s="57" t="s">
        <v>68</v>
      </c>
      <c r="X13" s="57" t="s">
        <v>68</v>
      </c>
      <c r="Y13" s="57" t="s">
        <v>68</v>
      </c>
      <c r="Z13" s="57" t="s">
        <v>68</v>
      </c>
      <c r="AA13" s="57" t="s">
        <v>68</v>
      </c>
      <c r="AB13" s="57" t="s">
        <v>68</v>
      </c>
      <c r="AC13" s="57" t="s">
        <v>68</v>
      </c>
      <c r="AD13" s="57" t="s">
        <v>68</v>
      </c>
      <c r="AE13" s="57" t="s">
        <v>68</v>
      </c>
      <c r="AF13" s="57" t="s">
        <v>68</v>
      </c>
      <c r="AG13" s="57" t="s">
        <v>68</v>
      </c>
      <c r="AH13" s="57" t="s">
        <v>68</v>
      </c>
      <c r="AI13" s="57" t="s">
        <v>68</v>
      </c>
      <c r="AJ13" s="23"/>
      <c r="AL13" t="str">
        <f t="shared" ca="1" si="0"/>
        <v xml:space="preserve">    (U1)ALERT_REQ_S_ISA_PD_</v>
      </c>
      <c r="AR13" s="59" t="str">
        <f t="shared" si="3"/>
        <v/>
      </c>
      <c r="AS13" s="59" t="str">
        <f t="shared" si="4"/>
        <v/>
      </c>
      <c r="AT13" s="59" t="str">
        <f t="shared" si="1"/>
        <v/>
      </c>
      <c r="AU13" s="59" t="str">
        <f ca="1">"        &amp;"&amp;$AW$11&amp;"[0],"&amp;REPT(" ",66-LEN($AW$11))&amp;"/* u1p_DST                                            */"</f>
        <v xml:space="preserve">        &amp;u1_sp_ALERT_S_ISA_PD_DST[0],                                          /* u1p_DST                                            */</v>
      </c>
      <c r="AV13" s="45" t="s">
        <v>77</v>
      </c>
      <c r="AW13" s="132">
        <f>COUNTA($AJ$6:$AJ$69)</f>
        <v>4</v>
      </c>
    </row>
    <row r="14" spans="1:49">
      <c r="B14" s="133"/>
      <c r="C14" s="43">
        <f t="shared" si="2"/>
        <v>8</v>
      </c>
      <c r="D14" s="57" t="s">
        <v>68</v>
      </c>
      <c r="E14" s="57" t="s">
        <v>68</v>
      </c>
      <c r="F14" s="57" t="s">
        <v>68</v>
      </c>
      <c r="G14" s="57" t="s">
        <v>68</v>
      </c>
      <c r="H14" s="57" t="s">
        <v>68</v>
      </c>
      <c r="I14" s="57" t="s">
        <v>68</v>
      </c>
      <c r="J14" s="57" t="s">
        <v>68</v>
      </c>
      <c r="K14" s="57" t="s">
        <v>68</v>
      </c>
      <c r="L14" s="57" t="s">
        <v>68</v>
      </c>
      <c r="M14" s="57" t="s">
        <v>68</v>
      </c>
      <c r="N14" s="57" t="s">
        <v>68</v>
      </c>
      <c r="O14" s="57" t="s">
        <v>68</v>
      </c>
      <c r="P14" s="57" t="s">
        <v>68</v>
      </c>
      <c r="Q14" s="57" t="s">
        <v>68</v>
      </c>
      <c r="R14" s="57" t="s">
        <v>68</v>
      </c>
      <c r="S14" s="57" t="s">
        <v>68</v>
      </c>
      <c r="T14" s="57" t="s">
        <v>68</v>
      </c>
      <c r="U14" s="57" t="s">
        <v>68</v>
      </c>
      <c r="V14" s="57" t="s">
        <v>68</v>
      </c>
      <c r="W14" s="57" t="s">
        <v>68</v>
      </c>
      <c r="X14" s="57" t="s">
        <v>68</v>
      </c>
      <c r="Y14" s="57" t="s">
        <v>68</v>
      </c>
      <c r="Z14" s="57" t="s">
        <v>68</v>
      </c>
      <c r="AA14" s="57" t="s">
        <v>68</v>
      </c>
      <c r="AB14" s="57" t="s">
        <v>68</v>
      </c>
      <c r="AC14" s="57" t="s">
        <v>68</v>
      </c>
      <c r="AD14" s="57" t="s">
        <v>68</v>
      </c>
      <c r="AE14" s="57" t="s">
        <v>68</v>
      </c>
      <c r="AF14" s="57" t="s">
        <v>68</v>
      </c>
      <c r="AG14" s="57" t="s">
        <v>68</v>
      </c>
      <c r="AH14" s="57" t="s">
        <v>68</v>
      </c>
      <c r="AI14" s="57" t="s">
        <v>68</v>
      </c>
      <c r="AJ14" s="23"/>
      <c r="AL14" t="str">
        <f t="shared" ca="1" si="0"/>
        <v xml:space="preserve">    (U1)ALERT_REQ_S_ISA_PD_</v>
      </c>
      <c r="AR14" s="59" t="str">
        <f t="shared" si="3"/>
        <v/>
      </c>
      <c r="AS14" s="59" t="str">
        <f t="shared" si="4"/>
        <v/>
      </c>
      <c r="AT14" s="59" t="str">
        <f t="shared" si="1"/>
        <v/>
      </c>
      <c r="AU14" s="59" t="str">
        <f ca="1">"        (U2)"&amp;$AW$10&amp;","&amp;REPT(" ",66-LEN($AW$10))&amp;"/* u2_num_srch                                        */"</f>
        <v xml:space="preserve">        (U2)ALERT_S_ISA_PD_NUM_DST,                                            /* u2_num_srch                                        */</v>
      </c>
      <c r="AV14" s="45" t="s">
        <v>78</v>
      </c>
      <c r="AW14" s="64" t="str">
        <f ca="1">IF(AW6&lt;&gt;AW17,VLOOKUP(AW6,Matrix!$C$13:$G$37,4,FALSE),Matrix!F13)</f>
        <v>u4_s_AlertS_isaPdSrcchk</v>
      </c>
    </row>
    <row r="15" spans="1:49">
      <c r="B15" s="133"/>
      <c r="C15" s="43">
        <f t="shared" si="2"/>
        <v>9</v>
      </c>
      <c r="D15" s="57" t="s">
        <v>68</v>
      </c>
      <c r="E15" s="57" t="s">
        <v>68</v>
      </c>
      <c r="F15" s="57" t="s">
        <v>68</v>
      </c>
      <c r="G15" s="57" t="s">
        <v>68</v>
      </c>
      <c r="H15" s="57" t="s">
        <v>68</v>
      </c>
      <c r="I15" s="57" t="s">
        <v>68</v>
      </c>
      <c r="J15" s="57" t="s">
        <v>68</v>
      </c>
      <c r="K15" s="57" t="s">
        <v>68</v>
      </c>
      <c r="L15" s="57" t="s">
        <v>68</v>
      </c>
      <c r="M15" s="57" t="s">
        <v>68</v>
      </c>
      <c r="N15" s="57" t="s">
        <v>68</v>
      </c>
      <c r="O15" s="57" t="s">
        <v>68</v>
      </c>
      <c r="P15" s="57" t="s">
        <v>68</v>
      </c>
      <c r="Q15" s="57" t="s">
        <v>68</v>
      </c>
      <c r="R15" s="57" t="s">
        <v>68</v>
      </c>
      <c r="S15" s="57" t="s">
        <v>68</v>
      </c>
      <c r="T15" s="57" t="s">
        <v>68</v>
      </c>
      <c r="U15" s="57" t="s">
        <v>68</v>
      </c>
      <c r="V15" s="57" t="s">
        <v>68</v>
      </c>
      <c r="W15" s="57" t="s">
        <v>68</v>
      </c>
      <c r="X15" s="57" t="s">
        <v>68</v>
      </c>
      <c r="Y15" s="57" t="s">
        <v>68</v>
      </c>
      <c r="Z15" s="57" t="s">
        <v>68</v>
      </c>
      <c r="AA15" s="57" t="s">
        <v>68</v>
      </c>
      <c r="AB15" s="57" t="s">
        <v>68</v>
      </c>
      <c r="AC15" s="57" t="s">
        <v>68</v>
      </c>
      <c r="AD15" s="57" t="s">
        <v>68</v>
      </c>
      <c r="AE15" s="57" t="s">
        <v>68</v>
      </c>
      <c r="AF15" s="57" t="s">
        <v>68</v>
      </c>
      <c r="AG15" s="57" t="s">
        <v>68</v>
      </c>
      <c r="AH15" s="57" t="s">
        <v>68</v>
      </c>
      <c r="AI15" s="57" t="s">
        <v>68</v>
      </c>
      <c r="AJ15" s="23"/>
      <c r="AL15" t="str">
        <f t="shared" ca="1" si="0"/>
        <v xml:space="preserve">    (U1)ALERT_REQ_S_ISA_PD_</v>
      </c>
      <c r="AR15" s="59" t="str">
        <f t="shared" si="3"/>
        <v/>
      </c>
      <c r="AS15" s="59" t="str">
        <f t="shared" si="4"/>
        <v/>
      </c>
      <c r="AT15" s="59" t="str">
        <f t="shared" si="1"/>
        <v/>
      </c>
      <c r="AU15" s="59" t="str">
        <f ca="1">"        (U1)"&amp;$AW$16&amp;REPT(" ",67-LEN($AW$16))&amp;"/* u1_vom_act                                         */"</f>
        <v xml:space="preserve">        (U1)ALERT_VOM_IGN_ON                                                   /* u1_vom_act                                         */</v>
      </c>
      <c r="AV15" s="45" t="s">
        <v>81</v>
      </c>
      <c r="AW15" s="64" t="str">
        <f ca="1">IF(AW6&lt;&gt;AW17,VLOOKUP(AW6,Matrix!$C$13:$G$37,5,FALSE),Matrix!G13)</f>
        <v>vd_s_AlertS_isaPdRwTx</v>
      </c>
    </row>
    <row r="16" spans="1:49">
      <c r="B16" s="133"/>
      <c r="C16" s="43">
        <f t="shared" si="2"/>
        <v>10</v>
      </c>
      <c r="D16" s="57" t="s">
        <v>68</v>
      </c>
      <c r="E16" s="57" t="s">
        <v>68</v>
      </c>
      <c r="F16" s="57" t="s">
        <v>68</v>
      </c>
      <c r="G16" s="57" t="s">
        <v>68</v>
      </c>
      <c r="H16" s="57" t="s">
        <v>68</v>
      </c>
      <c r="I16" s="57" t="s">
        <v>68</v>
      </c>
      <c r="J16" s="57" t="s">
        <v>68</v>
      </c>
      <c r="K16" s="57" t="s">
        <v>68</v>
      </c>
      <c r="L16" s="57" t="s">
        <v>68</v>
      </c>
      <c r="M16" s="57" t="s">
        <v>68</v>
      </c>
      <c r="N16" s="57" t="s">
        <v>68</v>
      </c>
      <c r="O16" s="57" t="s">
        <v>68</v>
      </c>
      <c r="P16" s="57" t="s">
        <v>68</v>
      </c>
      <c r="Q16" s="57" t="s">
        <v>68</v>
      </c>
      <c r="R16" s="57" t="s">
        <v>68</v>
      </c>
      <c r="S16" s="57" t="s">
        <v>68</v>
      </c>
      <c r="T16" s="57" t="s">
        <v>68</v>
      </c>
      <c r="U16" s="57" t="s">
        <v>68</v>
      </c>
      <c r="V16" s="57" t="s">
        <v>68</v>
      </c>
      <c r="W16" s="57" t="s">
        <v>68</v>
      </c>
      <c r="X16" s="57" t="s">
        <v>68</v>
      </c>
      <c r="Y16" s="57" t="s">
        <v>68</v>
      </c>
      <c r="Z16" s="57" t="s">
        <v>68</v>
      </c>
      <c r="AA16" s="57" t="s">
        <v>68</v>
      </c>
      <c r="AB16" s="57" t="s">
        <v>68</v>
      </c>
      <c r="AC16" s="57" t="s">
        <v>68</v>
      </c>
      <c r="AD16" s="57" t="s">
        <v>68</v>
      </c>
      <c r="AE16" s="57" t="s">
        <v>68</v>
      </c>
      <c r="AF16" s="57" t="s">
        <v>68</v>
      </c>
      <c r="AG16" s="57" t="s">
        <v>68</v>
      </c>
      <c r="AH16" s="57" t="s">
        <v>68</v>
      </c>
      <c r="AI16" s="57" t="s">
        <v>68</v>
      </c>
      <c r="AJ16" s="23"/>
      <c r="AL16" t="str">
        <f t="shared" ca="1" si="0"/>
        <v xml:space="preserve">    (U1)ALERT_REQ_S_ISA_PD_</v>
      </c>
      <c r="AR16" s="59" t="str">
        <f t="shared" si="3"/>
        <v/>
      </c>
      <c r="AS16" s="59" t="str">
        <f t="shared" si="4"/>
        <v/>
      </c>
      <c r="AT16" s="59" t="str">
        <f t="shared" si="1"/>
        <v/>
      </c>
      <c r="AU16" s="59" t="s">
        <v>70</v>
      </c>
      <c r="AV16" s="45" t="s">
        <v>79</v>
      </c>
      <c r="AW16" s="64" t="str">
        <f ca="1">IF(AW6&lt;&gt;AW17,VLOOKUP(AW6,Matrix!$C$13:$G$37,2,FALSE),Matrix!D13)</f>
        <v>ALERT_VOM_IGN_ON</v>
      </c>
    </row>
    <row r="17" spans="2:49" ht="14.25" thickBot="1">
      <c r="B17" s="133"/>
      <c r="C17" s="43">
        <f t="shared" si="2"/>
        <v>11</v>
      </c>
      <c r="D17" s="57" t="s">
        <v>68</v>
      </c>
      <c r="E17" s="57" t="s">
        <v>68</v>
      </c>
      <c r="F17" s="57" t="s">
        <v>68</v>
      </c>
      <c r="G17" s="57" t="s">
        <v>68</v>
      </c>
      <c r="H17" s="57" t="s">
        <v>68</v>
      </c>
      <c r="I17" s="57" t="s">
        <v>68</v>
      </c>
      <c r="J17" s="57" t="s">
        <v>68</v>
      </c>
      <c r="K17" s="57" t="s">
        <v>68</v>
      </c>
      <c r="L17" s="57" t="s">
        <v>68</v>
      </c>
      <c r="M17" s="57" t="s">
        <v>68</v>
      </c>
      <c r="N17" s="57" t="s">
        <v>68</v>
      </c>
      <c r="O17" s="57" t="s">
        <v>68</v>
      </c>
      <c r="P17" s="57" t="s">
        <v>68</v>
      </c>
      <c r="Q17" s="57" t="s">
        <v>68</v>
      </c>
      <c r="R17" s="57" t="s">
        <v>68</v>
      </c>
      <c r="S17" s="57" t="s">
        <v>68</v>
      </c>
      <c r="T17" s="57" t="s">
        <v>68</v>
      </c>
      <c r="U17" s="57" t="s">
        <v>68</v>
      </c>
      <c r="V17" s="57" t="s">
        <v>68</v>
      </c>
      <c r="W17" s="57" t="s">
        <v>68</v>
      </c>
      <c r="X17" s="57" t="s">
        <v>68</v>
      </c>
      <c r="Y17" s="57" t="s">
        <v>68</v>
      </c>
      <c r="Z17" s="57" t="s">
        <v>68</v>
      </c>
      <c r="AA17" s="57" t="s">
        <v>68</v>
      </c>
      <c r="AB17" s="57" t="s">
        <v>68</v>
      </c>
      <c r="AC17" s="57" t="s">
        <v>68</v>
      </c>
      <c r="AD17" s="57" t="s">
        <v>68</v>
      </c>
      <c r="AE17" s="57" t="s">
        <v>68</v>
      </c>
      <c r="AF17" s="57" t="s">
        <v>68</v>
      </c>
      <c r="AG17" s="57" t="s">
        <v>68</v>
      </c>
      <c r="AH17" s="57" t="s">
        <v>68</v>
      </c>
      <c r="AI17" s="57" t="s">
        <v>68</v>
      </c>
      <c r="AJ17" s="23"/>
      <c r="AL17" t="str">
        <f t="shared" ca="1" si="0"/>
        <v xml:space="preserve">    (U1)ALERT_REQ_S_ISA_PD_</v>
      </c>
      <c r="AR17" s="59" t="str">
        <f t="shared" si="3"/>
        <v/>
      </c>
      <c r="AS17" s="59" t="str">
        <f t="shared" si="4"/>
        <v/>
      </c>
      <c r="AT17" s="59" t="str">
        <f t="shared" si="1"/>
        <v/>
      </c>
      <c r="AU17" s="60" t="s">
        <v>82</v>
      </c>
      <c r="AV17" s="46" t="s">
        <v>80</v>
      </c>
      <c r="AW17" s="65" t="str">
        <f ca="1">UPPER(Matrix!$D$6)</f>
        <v>S_ISA</v>
      </c>
    </row>
    <row r="18" spans="2:49">
      <c r="B18" s="133"/>
      <c r="C18" s="43">
        <f t="shared" si="2"/>
        <v>12</v>
      </c>
      <c r="D18" s="57" t="s">
        <v>68</v>
      </c>
      <c r="E18" s="57" t="s">
        <v>68</v>
      </c>
      <c r="F18" s="57" t="s">
        <v>68</v>
      </c>
      <c r="G18" s="57" t="s">
        <v>68</v>
      </c>
      <c r="H18" s="57" t="s">
        <v>68</v>
      </c>
      <c r="I18" s="57" t="s">
        <v>68</v>
      </c>
      <c r="J18" s="57" t="s">
        <v>68</v>
      </c>
      <c r="K18" s="57" t="s">
        <v>68</v>
      </c>
      <c r="L18" s="57" t="s">
        <v>68</v>
      </c>
      <c r="M18" s="57" t="s">
        <v>68</v>
      </c>
      <c r="N18" s="57" t="s">
        <v>68</v>
      </c>
      <c r="O18" s="57" t="s">
        <v>68</v>
      </c>
      <c r="P18" s="57" t="s">
        <v>68</v>
      </c>
      <c r="Q18" s="57" t="s">
        <v>68</v>
      </c>
      <c r="R18" s="57" t="s">
        <v>68</v>
      </c>
      <c r="S18" s="57" t="s">
        <v>68</v>
      </c>
      <c r="T18" s="57" t="s">
        <v>68</v>
      </c>
      <c r="U18" s="57" t="s">
        <v>68</v>
      </c>
      <c r="V18" s="57" t="s">
        <v>68</v>
      </c>
      <c r="W18" s="57" t="s">
        <v>68</v>
      </c>
      <c r="X18" s="57" t="s">
        <v>68</v>
      </c>
      <c r="Y18" s="57" t="s">
        <v>68</v>
      </c>
      <c r="Z18" s="57" t="s">
        <v>68</v>
      </c>
      <c r="AA18" s="57" t="s">
        <v>68</v>
      </c>
      <c r="AB18" s="57" t="s">
        <v>68</v>
      </c>
      <c r="AC18" s="57" t="s">
        <v>68</v>
      </c>
      <c r="AD18" s="57" t="s">
        <v>68</v>
      </c>
      <c r="AE18" s="57" t="s">
        <v>68</v>
      </c>
      <c r="AF18" s="57" t="s">
        <v>68</v>
      </c>
      <c r="AG18" s="57" t="s">
        <v>68</v>
      </c>
      <c r="AH18" s="57" t="s">
        <v>68</v>
      </c>
      <c r="AI18" s="57" t="s">
        <v>68</v>
      </c>
      <c r="AJ18" s="23"/>
      <c r="AL18" t="str">
        <f t="shared" ca="1" si="0"/>
        <v xml:space="preserve">    (U1)ALERT_REQ_S_ISA_PD_</v>
      </c>
      <c r="AR18" s="59" t="str">
        <f t="shared" si="3"/>
        <v/>
      </c>
      <c r="AS18" s="59" t="str">
        <f t="shared" si="4"/>
        <v/>
      </c>
      <c r="AT18" s="59" t="str">
        <f t="shared" si="1"/>
        <v/>
      </c>
    </row>
    <row r="19" spans="2:49">
      <c r="B19" s="133"/>
      <c r="C19" s="43">
        <f t="shared" si="2"/>
        <v>13</v>
      </c>
      <c r="D19" s="57" t="s">
        <v>68</v>
      </c>
      <c r="E19" s="57" t="s">
        <v>68</v>
      </c>
      <c r="F19" s="57" t="s">
        <v>68</v>
      </c>
      <c r="G19" s="57" t="s">
        <v>68</v>
      </c>
      <c r="H19" s="57" t="s">
        <v>68</v>
      </c>
      <c r="I19" s="57" t="s">
        <v>68</v>
      </c>
      <c r="J19" s="57" t="s">
        <v>68</v>
      </c>
      <c r="K19" s="57" t="s">
        <v>68</v>
      </c>
      <c r="L19" s="57" t="s">
        <v>68</v>
      </c>
      <c r="M19" s="57" t="s">
        <v>68</v>
      </c>
      <c r="N19" s="57" t="s">
        <v>68</v>
      </c>
      <c r="O19" s="57" t="s">
        <v>68</v>
      </c>
      <c r="P19" s="57" t="s">
        <v>68</v>
      </c>
      <c r="Q19" s="57" t="s">
        <v>68</v>
      </c>
      <c r="R19" s="57" t="s">
        <v>68</v>
      </c>
      <c r="S19" s="57" t="s">
        <v>68</v>
      </c>
      <c r="T19" s="57" t="s">
        <v>68</v>
      </c>
      <c r="U19" s="57" t="s">
        <v>68</v>
      </c>
      <c r="V19" s="57" t="s">
        <v>68</v>
      </c>
      <c r="W19" s="57" t="s">
        <v>68</v>
      </c>
      <c r="X19" s="57" t="s">
        <v>68</v>
      </c>
      <c r="Y19" s="57" t="s">
        <v>68</v>
      </c>
      <c r="Z19" s="57" t="s">
        <v>68</v>
      </c>
      <c r="AA19" s="57" t="s">
        <v>68</v>
      </c>
      <c r="AB19" s="57" t="s">
        <v>68</v>
      </c>
      <c r="AC19" s="57" t="s">
        <v>68</v>
      </c>
      <c r="AD19" s="57" t="s">
        <v>68</v>
      </c>
      <c r="AE19" s="57" t="s">
        <v>68</v>
      </c>
      <c r="AF19" s="57" t="s">
        <v>68</v>
      </c>
      <c r="AG19" s="57" t="s">
        <v>68</v>
      </c>
      <c r="AH19" s="57" t="s">
        <v>68</v>
      </c>
      <c r="AI19" s="57" t="s">
        <v>68</v>
      </c>
      <c r="AJ19" s="23"/>
      <c r="AL19" t="str">
        <f t="shared" ca="1" si="0"/>
        <v xml:space="preserve">    (U1)ALERT_REQ_S_ISA_PD_</v>
      </c>
      <c r="AR19" s="59" t="str">
        <f t="shared" si="3"/>
        <v/>
      </c>
      <c r="AS19" s="59" t="str">
        <f t="shared" si="4"/>
        <v/>
      </c>
      <c r="AT19" s="59" t="str">
        <f t="shared" si="1"/>
        <v/>
      </c>
    </row>
    <row r="20" spans="2:49">
      <c r="B20" s="133"/>
      <c r="C20" s="43">
        <f t="shared" si="2"/>
        <v>14</v>
      </c>
      <c r="D20" s="57" t="s">
        <v>68</v>
      </c>
      <c r="E20" s="57" t="s">
        <v>68</v>
      </c>
      <c r="F20" s="57" t="s">
        <v>68</v>
      </c>
      <c r="G20" s="57" t="s">
        <v>68</v>
      </c>
      <c r="H20" s="57" t="s">
        <v>68</v>
      </c>
      <c r="I20" s="57" t="s">
        <v>68</v>
      </c>
      <c r="J20" s="57" t="s">
        <v>68</v>
      </c>
      <c r="K20" s="57" t="s">
        <v>68</v>
      </c>
      <c r="L20" s="57" t="s">
        <v>68</v>
      </c>
      <c r="M20" s="57" t="s">
        <v>68</v>
      </c>
      <c r="N20" s="57" t="s">
        <v>68</v>
      </c>
      <c r="O20" s="57" t="s">
        <v>68</v>
      </c>
      <c r="P20" s="57" t="s">
        <v>68</v>
      </c>
      <c r="Q20" s="57" t="s">
        <v>68</v>
      </c>
      <c r="R20" s="57" t="s">
        <v>68</v>
      </c>
      <c r="S20" s="57" t="s">
        <v>68</v>
      </c>
      <c r="T20" s="57" t="s">
        <v>68</v>
      </c>
      <c r="U20" s="57" t="s">
        <v>68</v>
      </c>
      <c r="V20" s="57" t="s">
        <v>68</v>
      </c>
      <c r="W20" s="57" t="s">
        <v>68</v>
      </c>
      <c r="X20" s="57" t="s">
        <v>68</v>
      </c>
      <c r="Y20" s="57" t="s">
        <v>68</v>
      </c>
      <c r="Z20" s="57" t="s">
        <v>68</v>
      </c>
      <c r="AA20" s="57" t="s">
        <v>68</v>
      </c>
      <c r="AB20" s="57" t="s">
        <v>68</v>
      </c>
      <c r="AC20" s="57" t="s">
        <v>68</v>
      </c>
      <c r="AD20" s="57" t="s">
        <v>68</v>
      </c>
      <c r="AE20" s="57" t="s">
        <v>68</v>
      </c>
      <c r="AF20" s="57" t="s">
        <v>68</v>
      </c>
      <c r="AG20" s="57" t="s">
        <v>68</v>
      </c>
      <c r="AH20" s="57" t="s">
        <v>68</v>
      </c>
      <c r="AI20" s="57" t="s">
        <v>68</v>
      </c>
      <c r="AJ20" s="23"/>
      <c r="AL20" t="str">
        <f t="shared" ca="1" si="0"/>
        <v xml:space="preserve">    (U1)ALERT_REQ_S_ISA_PD_</v>
      </c>
      <c r="AR20" s="59" t="str">
        <f t="shared" si="3"/>
        <v/>
      </c>
      <c r="AS20" s="59" t="str">
        <f t="shared" si="4"/>
        <v/>
      </c>
      <c r="AT20" s="59" t="str">
        <f t="shared" si="1"/>
        <v/>
      </c>
    </row>
    <row r="21" spans="2:49">
      <c r="B21" s="133"/>
      <c r="C21" s="43">
        <f t="shared" si="2"/>
        <v>15</v>
      </c>
      <c r="D21" s="57" t="s">
        <v>68</v>
      </c>
      <c r="E21" s="57" t="s">
        <v>68</v>
      </c>
      <c r="F21" s="57" t="s">
        <v>68</v>
      </c>
      <c r="G21" s="57" t="s">
        <v>68</v>
      </c>
      <c r="H21" s="57" t="s">
        <v>68</v>
      </c>
      <c r="I21" s="57" t="s">
        <v>68</v>
      </c>
      <c r="J21" s="57" t="s">
        <v>68</v>
      </c>
      <c r="K21" s="57" t="s">
        <v>68</v>
      </c>
      <c r="L21" s="57" t="s">
        <v>68</v>
      </c>
      <c r="M21" s="57" t="s">
        <v>68</v>
      </c>
      <c r="N21" s="57" t="s">
        <v>68</v>
      </c>
      <c r="O21" s="57" t="s">
        <v>68</v>
      </c>
      <c r="P21" s="57" t="s">
        <v>68</v>
      </c>
      <c r="Q21" s="57" t="s">
        <v>68</v>
      </c>
      <c r="R21" s="57" t="s">
        <v>68</v>
      </c>
      <c r="S21" s="57" t="s">
        <v>68</v>
      </c>
      <c r="T21" s="57" t="s">
        <v>68</v>
      </c>
      <c r="U21" s="57" t="s">
        <v>68</v>
      </c>
      <c r="V21" s="57" t="s">
        <v>68</v>
      </c>
      <c r="W21" s="57" t="s">
        <v>68</v>
      </c>
      <c r="X21" s="57" t="s">
        <v>68</v>
      </c>
      <c r="Y21" s="57" t="s">
        <v>68</v>
      </c>
      <c r="Z21" s="57" t="s">
        <v>68</v>
      </c>
      <c r="AA21" s="57" t="s">
        <v>68</v>
      </c>
      <c r="AB21" s="57" t="s">
        <v>68</v>
      </c>
      <c r="AC21" s="57" t="s">
        <v>68</v>
      </c>
      <c r="AD21" s="57" t="s">
        <v>68</v>
      </c>
      <c r="AE21" s="57" t="s">
        <v>68</v>
      </c>
      <c r="AF21" s="57" t="s">
        <v>68</v>
      </c>
      <c r="AG21" s="57" t="s">
        <v>68</v>
      </c>
      <c r="AH21" s="57" t="s">
        <v>68</v>
      </c>
      <c r="AI21" s="57" t="s">
        <v>68</v>
      </c>
      <c r="AJ21" s="23"/>
      <c r="AL21" t="str">
        <f t="shared" ca="1" si="0"/>
        <v xml:space="preserve">    (U1)ALERT_REQ_S_ISA_PD_</v>
      </c>
      <c r="AR21" s="59" t="str">
        <f t="shared" si="3"/>
        <v/>
      </c>
      <c r="AS21" s="59" t="str">
        <f t="shared" si="4"/>
        <v/>
      </c>
      <c r="AT21" s="59" t="str">
        <f t="shared" si="1"/>
        <v/>
      </c>
    </row>
    <row r="22" spans="2:49">
      <c r="B22" s="133"/>
      <c r="C22" s="43">
        <f t="shared" si="2"/>
        <v>16</v>
      </c>
      <c r="D22" s="57" t="s">
        <v>68</v>
      </c>
      <c r="E22" s="57" t="s">
        <v>68</v>
      </c>
      <c r="F22" s="57" t="s">
        <v>68</v>
      </c>
      <c r="G22" s="57" t="s">
        <v>68</v>
      </c>
      <c r="H22" s="57" t="s">
        <v>68</v>
      </c>
      <c r="I22" s="57" t="s">
        <v>68</v>
      </c>
      <c r="J22" s="57" t="s">
        <v>68</v>
      </c>
      <c r="K22" s="57" t="s">
        <v>68</v>
      </c>
      <c r="L22" s="57" t="s">
        <v>68</v>
      </c>
      <c r="M22" s="57" t="s">
        <v>68</v>
      </c>
      <c r="N22" s="57" t="s">
        <v>68</v>
      </c>
      <c r="O22" s="57" t="s">
        <v>68</v>
      </c>
      <c r="P22" s="57" t="s">
        <v>68</v>
      </c>
      <c r="Q22" s="57" t="s">
        <v>68</v>
      </c>
      <c r="R22" s="57" t="s">
        <v>68</v>
      </c>
      <c r="S22" s="57" t="s">
        <v>68</v>
      </c>
      <c r="T22" s="57" t="s">
        <v>68</v>
      </c>
      <c r="U22" s="57" t="s">
        <v>68</v>
      </c>
      <c r="V22" s="57" t="s">
        <v>68</v>
      </c>
      <c r="W22" s="57" t="s">
        <v>68</v>
      </c>
      <c r="X22" s="57" t="s">
        <v>68</v>
      </c>
      <c r="Y22" s="57" t="s">
        <v>68</v>
      </c>
      <c r="Z22" s="57" t="s">
        <v>68</v>
      </c>
      <c r="AA22" s="57" t="s">
        <v>68</v>
      </c>
      <c r="AB22" s="57" t="s">
        <v>68</v>
      </c>
      <c r="AC22" s="57" t="s">
        <v>68</v>
      </c>
      <c r="AD22" s="57" t="s">
        <v>68</v>
      </c>
      <c r="AE22" s="57" t="s">
        <v>68</v>
      </c>
      <c r="AF22" s="57" t="s">
        <v>68</v>
      </c>
      <c r="AG22" s="57" t="s">
        <v>68</v>
      </c>
      <c r="AH22" s="57" t="s">
        <v>68</v>
      </c>
      <c r="AI22" s="57" t="s">
        <v>68</v>
      </c>
      <c r="AJ22" s="23"/>
      <c r="AL22" t="str">
        <f t="shared" ca="1" si="0"/>
        <v xml:space="preserve">    (U1)ALERT_REQ_S_ISA_PD_</v>
      </c>
      <c r="AR22" s="59" t="str">
        <f t="shared" si="3"/>
        <v/>
      </c>
      <c r="AS22" s="59" t="str">
        <f t="shared" si="4"/>
        <v/>
      </c>
      <c r="AT22" s="59" t="str">
        <f t="shared" si="1"/>
        <v/>
      </c>
    </row>
    <row r="23" spans="2:49">
      <c r="B23" s="133"/>
      <c r="C23" s="43">
        <f t="shared" si="2"/>
        <v>17</v>
      </c>
      <c r="D23" s="57" t="s">
        <v>68</v>
      </c>
      <c r="E23" s="57" t="s">
        <v>68</v>
      </c>
      <c r="F23" s="57" t="s">
        <v>68</v>
      </c>
      <c r="G23" s="57" t="s">
        <v>68</v>
      </c>
      <c r="H23" s="57" t="s">
        <v>68</v>
      </c>
      <c r="I23" s="57" t="s">
        <v>68</v>
      </c>
      <c r="J23" s="57" t="s">
        <v>68</v>
      </c>
      <c r="K23" s="57" t="s">
        <v>68</v>
      </c>
      <c r="L23" s="57" t="s">
        <v>68</v>
      </c>
      <c r="M23" s="57" t="s">
        <v>68</v>
      </c>
      <c r="N23" s="57" t="s">
        <v>68</v>
      </c>
      <c r="O23" s="57" t="s">
        <v>68</v>
      </c>
      <c r="P23" s="57" t="s">
        <v>68</v>
      </c>
      <c r="Q23" s="57" t="s">
        <v>68</v>
      </c>
      <c r="R23" s="57" t="s">
        <v>68</v>
      </c>
      <c r="S23" s="57" t="s">
        <v>68</v>
      </c>
      <c r="T23" s="57" t="s">
        <v>68</v>
      </c>
      <c r="U23" s="57" t="s">
        <v>68</v>
      </c>
      <c r="V23" s="57" t="s">
        <v>68</v>
      </c>
      <c r="W23" s="57" t="s">
        <v>68</v>
      </c>
      <c r="X23" s="57" t="s">
        <v>68</v>
      </c>
      <c r="Y23" s="57" t="s">
        <v>68</v>
      </c>
      <c r="Z23" s="57" t="s">
        <v>68</v>
      </c>
      <c r="AA23" s="57" t="s">
        <v>68</v>
      </c>
      <c r="AB23" s="57" t="s">
        <v>68</v>
      </c>
      <c r="AC23" s="57" t="s">
        <v>68</v>
      </c>
      <c r="AD23" s="57" t="s">
        <v>68</v>
      </c>
      <c r="AE23" s="57" t="s">
        <v>68</v>
      </c>
      <c r="AF23" s="57" t="s">
        <v>68</v>
      </c>
      <c r="AG23" s="57" t="s">
        <v>68</v>
      </c>
      <c r="AH23" s="57" t="s">
        <v>68</v>
      </c>
      <c r="AI23" s="57" t="s">
        <v>68</v>
      </c>
      <c r="AJ23" s="23"/>
      <c r="AL23" t="str">
        <f t="shared" ca="1" si="0"/>
        <v xml:space="preserve">    (U1)ALERT_REQ_S_ISA_PD_</v>
      </c>
      <c r="AR23" s="59" t="str">
        <f t="shared" si="3"/>
        <v/>
      </c>
      <c r="AS23" s="59" t="str">
        <f t="shared" si="4"/>
        <v/>
      </c>
      <c r="AT23" s="59" t="str">
        <f t="shared" si="1"/>
        <v/>
      </c>
    </row>
    <row r="24" spans="2:49">
      <c r="B24" s="133"/>
      <c r="C24" s="43">
        <f t="shared" si="2"/>
        <v>18</v>
      </c>
      <c r="D24" s="57" t="s">
        <v>68</v>
      </c>
      <c r="E24" s="57" t="s">
        <v>68</v>
      </c>
      <c r="F24" s="57" t="s">
        <v>68</v>
      </c>
      <c r="G24" s="57" t="s">
        <v>68</v>
      </c>
      <c r="H24" s="57" t="s">
        <v>68</v>
      </c>
      <c r="I24" s="57" t="s">
        <v>68</v>
      </c>
      <c r="J24" s="57" t="s">
        <v>68</v>
      </c>
      <c r="K24" s="57" t="s">
        <v>68</v>
      </c>
      <c r="L24" s="57" t="s">
        <v>68</v>
      </c>
      <c r="M24" s="57" t="s">
        <v>68</v>
      </c>
      <c r="N24" s="57" t="s">
        <v>68</v>
      </c>
      <c r="O24" s="57" t="s">
        <v>68</v>
      </c>
      <c r="P24" s="57" t="s">
        <v>68</v>
      </c>
      <c r="Q24" s="57" t="s">
        <v>68</v>
      </c>
      <c r="R24" s="57" t="s">
        <v>68</v>
      </c>
      <c r="S24" s="57" t="s">
        <v>68</v>
      </c>
      <c r="T24" s="57" t="s">
        <v>68</v>
      </c>
      <c r="U24" s="57" t="s">
        <v>68</v>
      </c>
      <c r="V24" s="57" t="s">
        <v>68</v>
      </c>
      <c r="W24" s="57" t="s">
        <v>68</v>
      </c>
      <c r="X24" s="57" t="s">
        <v>68</v>
      </c>
      <c r="Y24" s="57" t="s">
        <v>68</v>
      </c>
      <c r="Z24" s="57" t="s">
        <v>68</v>
      </c>
      <c r="AA24" s="57" t="s">
        <v>68</v>
      </c>
      <c r="AB24" s="57" t="s">
        <v>68</v>
      </c>
      <c r="AC24" s="57" t="s">
        <v>68</v>
      </c>
      <c r="AD24" s="57" t="s">
        <v>68</v>
      </c>
      <c r="AE24" s="57" t="s">
        <v>68</v>
      </c>
      <c r="AF24" s="57" t="s">
        <v>68</v>
      </c>
      <c r="AG24" s="57" t="s">
        <v>68</v>
      </c>
      <c r="AH24" s="57" t="s">
        <v>68</v>
      </c>
      <c r="AI24" s="57" t="s">
        <v>68</v>
      </c>
      <c r="AJ24" s="23"/>
      <c r="AL24" t="str">
        <f t="shared" ca="1" si="0"/>
        <v xml:space="preserve">    (U1)ALERT_REQ_S_ISA_PD_</v>
      </c>
      <c r="AR24" s="59" t="str">
        <f t="shared" si="3"/>
        <v/>
      </c>
      <c r="AS24" s="59" t="str">
        <f t="shared" si="4"/>
        <v/>
      </c>
      <c r="AT24" s="59" t="str">
        <f t="shared" si="1"/>
        <v/>
      </c>
    </row>
    <row r="25" spans="2:49">
      <c r="B25" s="133"/>
      <c r="C25" s="43">
        <f t="shared" si="2"/>
        <v>19</v>
      </c>
      <c r="D25" s="57" t="s">
        <v>68</v>
      </c>
      <c r="E25" s="57" t="s">
        <v>68</v>
      </c>
      <c r="F25" s="57" t="s">
        <v>68</v>
      </c>
      <c r="G25" s="57" t="s">
        <v>68</v>
      </c>
      <c r="H25" s="57" t="s">
        <v>68</v>
      </c>
      <c r="I25" s="57" t="s">
        <v>68</v>
      </c>
      <c r="J25" s="57" t="s">
        <v>68</v>
      </c>
      <c r="K25" s="57" t="s">
        <v>68</v>
      </c>
      <c r="L25" s="57" t="s">
        <v>68</v>
      </c>
      <c r="M25" s="57" t="s">
        <v>68</v>
      </c>
      <c r="N25" s="57" t="s">
        <v>68</v>
      </c>
      <c r="O25" s="57" t="s">
        <v>68</v>
      </c>
      <c r="P25" s="57" t="s">
        <v>68</v>
      </c>
      <c r="Q25" s="57" t="s">
        <v>68</v>
      </c>
      <c r="R25" s="57" t="s">
        <v>68</v>
      </c>
      <c r="S25" s="57" t="s">
        <v>68</v>
      </c>
      <c r="T25" s="57" t="s">
        <v>68</v>
      </c>
      <c r="U25" s="57" t="s">
        <v>68</v>
      </c>
      <c r="V25" s="57" t="s">
        <v>68</v>
      </c>
      <c r="W25" s="57" t="s">
        <v>68</v>
      </c>
      <c r="X25" s="57" t="s">
        <v>68</v>
      </c>
      <c r="Y25" s="57" t="s">
        <v>68</v>
      </c>
      <c r="Z25" s="57" t="s">
        <v>68</v>
      </c>
      <c r="AA25" s="57" t="s">
        <v>68</v>
      </c>
      <c r="AB25" s="57" t="s">
        <v>68</v>
      </c>
      <c r="AC25" s="57" t="s">
        <v>68</v>
      </c>
      <c r="AD25" s="57" t="s">
        <v>68</v>
      </c>
      <c r="AE25" s="57" t="s">
        <v>68</v>
      </c>
      <c r="AF25" s="57" t="s">
        <v>68</v>
      </c>
      <c r="AG25" s="57" t="s">
        <v>68</v>
      </c>
      <c r="AH25" s="57" t="s">
        <v>68</v>
      </c>
      <c r="AI25" s="57" t="s">
        <v>68</v>
      </c>
      <c r="AJ25" s="23"/>
      <c r="AL25" t="str">
        <f t="shared" ca="1" si="0"/>
        <v xml:space="preserve">    (U1)ALERT_REQ_S_ISA_PD_</v>
      </c>
      <c r="AR25" s="59" t="str">
        <f t="shared" si="3"/>
        <v/>
      </c>
      <c r="AS25" s="59" t="str">
        <f t="shared" si="4"/>
        <v/>
      </c>
      <c r="AT25" s="59" t="str">
        <f t="shared" si="1"/>
        <v/>
      </c>
    </row>
    <row r="26" spans="2:49">
      <c r="B26" s="133"/>
      <c r="C26" s="43">
        <f t="shared" si="2"/>
        <v>20</v>
      </c>
      <c r="D26" s="57" t="s">
        <v>68</v>
      </c>
      <c r="E26" s="57" t="s">
        <v>68</v>
      </c>
      <c r="F26" s="57" t="s">
        <v>68</v>
      </c>
      <c r="G26" s="57" t="s">
        <v>68</v>
      </c>
      <c r="H26" s="57" t="s">
        <v>68</v>
      </c>
      <c r="I26" s="57" t="s">
        <v>68</v>
      </c>
      <c r="J26" s="57" t="s">
        <v>68</v>
      </c>
      <c r="K26" s="57" t="s">
        <v>68</v>
      </c>
      <c r="L26" s="57" t="s">
        <v>68</v>
      </c>
      <c r="M26" s="57" t="s">
        <v>68</v>
      </c>
      <c r="N26" s="57" t="s">
        <v>68</v>
      </c>
      <c r="O26" s="57" t="s">
        <v>68</v>
      </c>
      <c r="P26" s="57" t="s">
        <v>68</v>
      </c>
      <c r="Q26" s="57" t="s">
        <v>68</v>
      </c>
      <c r="R26" s="57" t="s">
        <v>68</v>
      </c>
      <c r="S26" s="57" t="s">
        <v>68</v>
      </c>
      <c r="T26" s="57" t="s">
        <v>68</v>
      </c>
      <c r="U26" s="57" t="s">
        <v>68</v>
      </c>
      <c r="V26" s="57" t="s">
        <v>68</v>
      </c>
      <c r="W26" s="57" t="s">
        <v>68</v>
      </c>
      <c r="X26" s="57" t="s">
        <v>68</v>
      </c>
      <c r="Y26" s="57" t="s">
        <v>68</v>
      </c>
      <c r="Z26" s="57" t="s">
        <v>68</v>
      </c>
      <c r="AA26" s="57" t="s">
        <v>68</v>
      </c>
      <c r="AB26" s="57" t="s">
        <v>68</v>
      </c>
      <c r="AC26" s="57" t="s">
        <v>68</v>
      </c>
      <c r="AD26" s="57" t="s">
        <v>68</v>
      </c>
      <c r="AE26" s="57" t="s">
        <v>68</v>
      </c>
      <c r="AF26" s="57" t="s">
        <v>68</v>
      </c>
      <c r="AG26" s="57" t="s">
        <v>68</v>
      </c>
      <c r="AH26" s="57" t="s">
        <v>68</v>
      </c>
      <c r="AI26" s="57" t="s">
        <v>68</v>
      </c>
      <c r="AJ26" s="23"/>
      <c r="AL26" t="str">
        <f t="shared" ca="1" si="0"/>
        <v xml:space="preserve">    (U1)ALERT_REQ_S_ISA_PD_</v>
      </c>
      <c r="AR26" s="59" t="str">
        <f t="shared" si="3"/>
        <v/>
      </c>
      <c r="AS26" s="59" t="str">
        <f t="shared" si="4"/>
        <v/>
      </c>
      <c r="AT26" s="59" t="str">
        <f t="shared" si="1"/>
        <v/>
      </c>
    </row>
    <row r="27" spans="2:49">
      <c r="B27" s="133"/>
      <c r="C27" s="43">
        <f t="shared" si="2"/>
        <v>21</v>
      </c>
      <c r="D27" s="57" t="s">
        <v>68</v>
      </c>
      <c r="E27" s="57" t="s">
        <v>68</v>
      </c>
      <c r="F27" s="57" t="s">
        <v>68</v>
      </c>
      <c r="G27" s="57" t="s">
        <v>68</v>
      </c>
      <c r="H27" s="57" t="s">
        <v>68</v>
      </c>
      <c r="I27" s="57" t="s">
        <v>68</v>
      </c>
      <c r="J27" s="57" t="s">
        <v>68</v>
      </c>
      <c r="K27" s="57" t="s">
        <v>68</v>
      </c>
      <c r="L27" s="57" t="s">
        <v>68</v>
      </c>
      <c r="M27" s="57" t="s">
        <v>68</v>
      </c>
      <c r="N27" s="57" t="s">
        <v>68</v>
      </c>
      <c r="O27" s="57" t="s">
        <v>68</v>
      </c>
      <c r="P27" s="57" t="s">
        <v>68</v>
      </c>
      <c r="Q27" s="57" t="s">
        <v>68</v>
      </c>
      <c r="R27" s="57" t="s">
        <v>68</v>
      </c>
      <c r="S27" s="57" t="s">
        <v>68</v>
      </c>
      <c r="T27" s="57" t="s">
        <v>68</v>
      </c>
      <c r="U27" s="57" t="s">
        <v>68</v>
      </c>
      <c r="V27" s="57" t="s">
        <v>68</v>
      </c>
      <c r="W27" s="57" t="s">
        <v>68</v>
      </c>
      <c r="X27" s="57" t="s">
        <v>68</v>
      </c>
      <c r="Y27" s="57" t="s">
        <v>68</v>
      </c>
      <c r="Z27" s="57" t="s">
        <v>68</v>
      </c>
      <c r="AA27" s="57" t="s">
        <v>68</v>
      </c>
      <c r="AB27" s="57" t="s">
        <v>68</v>
      </c>
      <c r="AC27" s="57" t="s">
        <v>68</v>
      </c>
      <c r="AD27" s="57" t="s">
        <v>68</v>
      </c>
      <c r="AE27" s="57" t="s">
        <v>68</v>
      </c>
      <c r="AF27" s="57" t="s">
        <v>68</v>
      </c>
      <c r="AG27" s="57" t="s">
        <v>68</v>
      </c>
      <c r="AH27" s="57" t="s">
        <v>68</v>
      </c>
      <c r="AI27" s="57" t="s">
        <v>68</v>
      </c>
      <c r="AJ27" s="23"/>
      <c r="AL27" t="str">
        <f t="shared" ca="1" si="0"/>
        <v xml:space="preserve">    (U1)ALERT_REQ_S_ISA_PD_</v>
      </c>
      <c r="AR27" s="59" t="str">
        <f t="shared" si="3"/>
        <v/>
      </c>
      <c r="AS27" s="59" t="str">
        <f t="shared" si="4"/>
        <v/>
      </c>
      <c r="AT27" s="59" t="str">
        <f t="shared" si="1"/>
        <v/>
      </c>
    </row>
    <row r="28" spans="2:49">
      <c r="B28" s="133"/>
      <c r="C28" s="43">
        <f t="shared" si="2"/>
        <v>22</v>
      </c>
      <c r="D28" s="57" t="s">
        <v>68</v>
      </c>
      <c r="E28" s="57" t="s">
        <v>68</v>
      </c>
      <c r="F28" s="57" t="s">
        <v>68</v>
      </c>
      <c r="G28" s="57" t="s">
        <v>68</v>
      </c>
      <c r="H28" s="57" t="s">
        <v>68</v>
      </c>
      <c r="I28" s="57" t="s">
        <v>68</v>
      </c>
      <c r="J28" s="57" t="s">
        <v>68</v>
      </c>
      <c r="K28" s="57" t="s">
        <v>68</v>
      </c>
      <c r="L28" s="57" t="s">
        <v>68</v>
      </c>
      <c r="M28" s="57" t="s">
        <v>68</v>
      </c>
      <c r="N28" s="57" t="s">
        <v>68</v>
      </c>
      <c r="O28" s="57" t="s">
        <v>68</v>
      </c>
      <c r="P28" s="57" t="s">
        <v>68</v>
      </c>
      <c r="Q28" s="57" t="s">
        <v>68</v>
      </c>
      <c r="R28" s="57" t="s">
        <v>68</v>
      </c>
      <c r="S28" s="57" t="s">
        <v>68</v>
      </c>
      <c r="T28" s="57" t="s">
        <v>68</v>
      </c>
      <c r="U28" s="57" t="s">
        <v>68</v>
      </c>
      <c r="V28" s="57" t="s">
        <v>68</v>
      </c>
      <c r="W28" s="57" t="s">
        <v>68</v>
      </c>
      <c r="X28" s="57" t="s">
        <v>68</v>
      </c>
      <c r="Y28" s="57" t="s">
        <v>68</v>
      </c>
      <c r="Z28" s="57" t="s">
        <v>68</v>
      </c>
      <c r="AA28" s="57" t="s">
        <v>68</v>
      </c>
      <c r="AB28" s="57" t="s">
        <v>68</v>
      </c>
      <c r="AC28" s="57" t="s">
        <v>68</v>
      </c>
      <c r="AD28" s="57" t="s">
        <v>68</v>
      </c>
      <c r="AE28" s="57" t="s">
        <v>68</v>
      </c>
      <c r="AF28" s="57" t="s">
        <v>68</v>
      </c>
      <c r="AG28" s="57" t="s">
        <v>68</v>
      </c>
      <c r="AH28" s="57" t="s">
        <v>68</v>
      </c>
      <c r="AI28" s="57" t="s">
        <v>68</v>
      </c>
      <c r="AJ28" s="23"/>
      <c r="AL28" t="str">
        <f t="shared" ca="1" si="0"/>
        <v xml:space="preserve">    (U1)ALERT_REQ_S_ISA_PD_</v>
      </c>
      <c r="AR28" s="59" t="str">
        <f t="shared" si="3"/>
        <v/>
      </c>
      <c r="AS28" s="59" t="str">
        <f t="shared" si="4"/>
        <v/>
      </c>
      <c r="AT28" s="59" t="str">
        <f t="shared" si="1"/>
        <v/>
      </c>
    </row>
    <row r="29" spans="2:49">
      <c r="B29" s="133"/>
      <c r="C29" s="43">
        <f t="shared" si="2"/>
        <v>23</v>
      </c>
      <c r="D29" s="57" t="s">
        <v>68</v>
      </c>
      <c r="E29" s="57" t="s">
        <v>68</v>
      </c>
      <c r="F29" s="57" t="s">
        <v>68</v>
      </c>
      <c r="G29" s="57" t="s">
        <v>68</v>
      </c>
      <c r="H29" s="57" t="s">
        <v>68</v>
      </c>
      <c r="I29" s="57" t="s">
        <v>68</v>
      </c>
      <c r="J29" s="57" t="s">
        <v>68</v>
      </c>
      <c r="K29" s="57" t="s">
        <v>68</v>
      </c>
      <c r="L29" s="57" t="s">
        <v>68</v>
      </c>
      <c r="M29" s="57" t="s">
        <v>68</v>
      </c>
      <c r="N29" s="57" t="s">
        <v>68</v>
      </c>
      <c r="O29" s="57" t="s">
        <v>68</v>
      </c>
      <c r="P29" s="57" t="s">
        <v>68</v>
      </c>
      <c r="Q29" s="57" t="s">
        <v>68</v>
      </c>
      <c r="R29" s="57" t="s">
        <v>68</v>
      </c>
      <c r="S29" s="57" t="s">
        <v>68</v>
      </c>
      <c r="T29" s="57" t="s">
        <v>68</v>
      </c>
      <c r="U29" s="57" t="s">
        <v>68</v>
      </c>
      <c r="V29" s="57" t="s">
        <v>68</v>
      </c>
      <c r="W29" s="57" t="s">
        <v>68</v>
      </c>
      <c r="X29" s="57" t="s">
        <v>68</v>
      </c>
      <c r="Y29" s="57" t="s">
        <v>68</v>
      </c>
      <c r="Z29" s="57" t="s">
        <v>68</v>
      </c>
      <c r="AA29" s="57" t="s">
        <v>68</v>
      </c>
      <c r="AB29" s="57" t="s">
        <v>68</v>
      </c>
      <c r="AC29" s="57" t="s">
        <v>68</v>
      </c>
      <c r="AD29" s="57" t="s">
        <v>68</v>
      </c>
      <c r="AE29" s="57" t="s">
        <v>68</v>
      </c>
      <c r="AF29" s="57" t="s">
        <v>68</v>
      </c>
      <c r="AG29" s="57" t="s">
        <v>68</v>
      </c>
      <c r="AH29" s="57" t="s">
        <v>68</v>
      </c>
      <c r="AI29" s="57" t="s">
        <v>68</v>
      </c>
      <c r="AJ29" s="23"/>
      <c r="AL29" t="str">
        <f t="shared" ca="1" si="0"/>
        <v xml:space="preserve">    (U1)ALERT_REQ_S_ISA_PD_</v>
      </c>
      <c r="AR29" s="59" t="str">
        <f t="shared" si="3"/>
        <v/>
      </c>
      <c r="AS29" s="59" t="str">
        <f t="shared" si="4"/>
        <v/>
      </c>
      <c r="AT29" s="59" t="str">
        <f t="shared" si="1"/>
        <v/>
      </c>
    </row>
    <row r="30" spans="2:49">
      <c r="B30" s="133"/>
      <c r="C30" s="43">
        <f t="shared" si="2"/>
        <v>24</v>
      </c>
      <c r="D30" s="57" t="s">
        <v>68</v>
      </c>
      <c r="E30" s="57" t="s">
        <v>68</v>
      </c>
      <c r="F30" s="57" t="s">
        <v>68</v>
      </c>
      <c r="G30" s="57" t="s">
        <v>68</v>
      </c>
      <c r="H30" s="57" t="s">
        <v>68</v>
      </c>
      <c r="I30" s="57" t="s">
        <v>68</v>
      </c>
      <c r="J30" s="57" t="s">
        <v>68</v>
      </c>
      <c r="K30" s="57" t="s">
        <v>68</v>
      </c>
      <c r="L30" s="57" t="s">
        <v>68</v>
      </c>
      <c r="M30" s="57" t="s">
        <v>68</v>
      </c>
      <c r="N30" s="57" t="s">
        <v>68</v>
      </c>
      <c r="O30" s="57" t="s">
        <v>68</v>
      </c>
      <c r="P30" s="57" t="s">
        <v>68</v>
      </c>
      <c r="Q30" s="57" t="s">
        <v>68</v>
      </c>
      <c r="R30" s="57" t="s">
        <v>68</v>
      </c>
      <c r="S30" s="57" t="s">
        <v>68</v>
      </c>
      <c r="T30" s="57" t="s">
        <v>68</v>
      </c>
      <c r="U30" s="57" t="s">
        <v>68</v>
      </c>
      <c r="V30" s="57" t="s">
        <v>68</v>
      </c>
      <c r="W30" s="57" t="s">
        <v>68</v>
      </c>
      <c r="X30" s="57" t="s">
        <v>68</v>
      </c>
      <c r="Y30" s="57" t="s">
        <v>68</v>
      </c>
      <c r="Z30" s="57" t="s">
        <v>68</v>
      </c>
      <c r="AA30" s="57" t="s">
        <v>68</v>
      </c>
      <c r="AB30" s="57" t="s">
        <v>68</v>
      </c>
      <c r="AC30" s="57" t="s">
        <v>68</v>
      </c>
      <c r="AD30" s="57" t="s">
        <v>68</v>
      </c>
      <c r="AE30" s="57" t="s">
        <v>68</v>
      </c>
      <c r="AF30" s="57" t="s">
        <v>68</v>
      </c>
      <c r="AG30" s="57" t="s">
        <v>68</v>
      </c>
      <c r="AH30" s="57" t="s">
        <v>68</v>
      </c>
      <c r="AI30" s="57" t="s">
        <v>68</v>
      </c>
      <c r="AJ30" s="23"/>
      <c r="AL30" t="str">
        <f t="shared" ca="1" si="0"/>
        <v xml:space="preserve">    (U1)ALERT_REQ_S_ISA_PD_</v>
      </c>
      <c r="AR30" s="59" t="str">
        <f t="shared" si="3"/>
        <v/>
      </c>
      <c r="AS30" s="59" t="str">
        <f t="shared" si="4"/>
        <v/>
      </c>
      <c r="AT30" s="59" t="str">
        <f t="shared" si="1"/>
        <v/>
      </c>
    </row>
    <row r="31" spans="2:49">
      <c r="B31" s="133"/>
      <c r="C31" s="43">
        <f t="shared" si="2"/>
        <v>25</v>
      </c>
      <c r="D31" s="57" t="s">
        <v>68</v>
      </c>
      <c r="E31" s="57" t="s">
        <v>68</v>
      </c>
      <c r="F31" s="57" t="s">
        <v>68</v>
      </c>
      <c r="G31" s="57" t="s">
        <v>68</v>
      </c>
      <c r="H31" s="57" t="s">
        <v>68</v>
      </c>
      <c r="I31" s="57" t="s">
        <v>68</v>
      </c>
      <c r="J31" s="57" t="s">
        <v>68</v>
      </c>
      <c r="K31" s="57" t="s">
        <v>68</v>
      </c>
      <c r="L31" s="57" t="s">
        <v>68</v>
      </c>
      <c r="M31" s="57" t="s">
        <v>68</v>
      </c>
      <c r="N31" s="57" t="s">
        <v>68</v>
      </c>
      <c r="O31" s="57" t="s">
        <v>68</v>
      </c>
      <c r="P31" s="57" t="s">
        <v>68</v>
      </c>
      <c r="Q31" s="57" t="s">
        <v>68</v>
      </c>
      <c r="R31" s="57" t="s">
        <v>68</v>
      </c>
      <c r="S31" s="57" t="s">
        <v>68</v>
      </c>
      <c r="T31" s="57" t="s">
        <v>68</v>
      </c>
      <c r="U31" s="57" t="s">
        <v>68</v>
      </c>
      <c r="V31" s="57" t="s">
        <v>68</v>
      </c>
      <c r="W31" s="57" t="s">
        <v>68</v>
      </c>
      <c r="X31" s="57" t="s">
        <v>68</v>
      </c>
      <c r="Y31" s="57" t="s">
        <v>68</v>
      </c>
      <c r="Z31" s="57" t="s">
        <v>68</v>
      </c>
      <c r="AA31" s="57" t="s">
        <v>68</v>
      </c>
      <c r="AB31" s="57" t="s">
        <v>68</v>
      </c>
      <c r="AC31" s="57" t="s">
        <v>68</v>
      </c>
      <c r="AD31" s="57" t="s">
        <v>68</v>
      </c>
      <c r="AE31" s="57" t="s">
        <v>68</v>
      </c>
      <c r="AF31" s="57" t="s">
        <v>68</v>
      </c>
      <c r="AG31" s="57" t="s">
        <v>68</v>
      </c>
      <c r="AH31" s="57" t="s">
        <v>68</v>
      </c>
      <c r="AI31" s="57" t="s">
        <v>68</v>
      </c>
      <c r="AJ31" s="23"/>
      <c r="AL31" t="str">
        <f t="shared" ca="1" si="0"/>
        <v xml:space="preserve">    (U1)ALERT_REQ_S_ISA_PD_</v>
      </c>
      <c r="AR31" s="59" t="str">
        <f t="shared" si="3"/>
        <v/>
      </c>
      <c r="AS31" s="59" t="str">
        <f t="shared" si="4"/>
        <v/>
      </c>
      <c r="AT31" s="59" t="str">
        <f t="shared" si="1"/>
        <v/>
      </c>
    </row>
    <row r="32" spans="2:49">
      <c r="B32" s="133"/>
      <c r="C32" s="43">
        <f t="shared" si="2"/>
        <v>26</v>
      </c>
      <c r="D32" s="57" t="s">
        <v>68</v>
      </c>
      <c r="E32" s="57" t="s">
        <v>68</v>
      </c>
      <c r="F32" s="57" t="s">
        <v>68</v>
      </c>
      <c r="G32" s="57" t="s">
        <v>68</v>
      </c>
      <c r="H32" s="57" t="s">
        <v>68</v>
      </c>
      <c r="I32" s="57" t="s">
        <v>68</v>
      </c>
      <c r="J32" s="57" t="s">
        <v>68</v>
      </c>
      <c r="K32" s="57" t="s">
        <v>68</v>
      </c>
      <c r="L32" s="57" t="s">
        <v>68</v>
      </c>
      <c r="M32" s="57" t="s">
        <v>68</v>
      </c>
      <c r="N32" s="57" t="s">
        <v>68</v>
      </c>
      <c r="O32" s="57" t="s">
        <v>68</v>
      </c>
      <c r="P32" s="57" t="s">
        <v>68</v>
      </c>
      <c r="Q32" s="57" t="s">
        <v>68</v>
      </c>
      <c r="R32" s="57" t="s">
        <v>68</v>
      </c>
      <c r="S32" s="57" t="s">
        <v>68</v>
      </c>
      <c r="T32" s="57" t="s">
        <v>68</v>
      </c>
      <c r="U32" s="57" t="s">
        <v>68</v>
      </c>
      <c r="V32" s="57" t="s">
        <v>68</v>
      </c>
      <c r="W32" s="57" t="s">
        <v>68</v>
      </c>
      <c r="X32" s="57" t="s">
        <v>68</v>
      </c>
      <c r="Y32" s="57" t="s">
        <v>68</v>
      </c>
      <c r="Z32" s="57" t="s">
        <v>68</v>
      </c>
      <c r="AA32" s="57" t="s">
        <v>68</v>
      </c>
      <c r="AB32" s="57" t="s">
        <v>68</v>
      </c>
      <c r="AC32" s="57" t="s">
        <v>68</v>
      </c>
      <c r="AD32" s="57" t="s">
        <v>68</v>
      </c>
      <c r="AE32" s="57" t="s">
        <v>68</v>
      </c>
      <c r="AF32" s="57" t="s">
        <v>68</v>
      </c>
      <c r="AG32" s="57" t="s">
        <v>68</v>
      </c>
      <c r="AH32" s="57" t="s">
        <v>68</v>
      </c>
      <c r="AI32" s="57" t="s">
        <v>68</v>
      </c>
      <c r="AJ32" s="23"/>
      <c r="AL32" t="str">
        <f t="shared" ca="1" si="0"/>
        <v xml:space="preserve">    (U1)ALERT_REQ_S_ISA_PD_</v>
      </c>
      <c r="AR32" s="59" t="str">
        <f t="shared" si="3"/>
        <v/>
      </c>
      <c r="AS32" s="59" t="str">
        <f t="shared" si="4"/>
        <v/>
      </c>
      <c r="AT32" s="59" t="str">
        <f t="shared" si="1"/>
        <v/>
      </c>
    </row>
    <row r="33" spans="2:46">
      <c r="B33" s="133"/>
      <c r="C33" s="43">
        <f t="shared" si="2"/>
        <v>27</v>
      </c>
      <c r="D33" s="57" t="s">
        <v>68</v>
      </c>
      <c r="E33" s="57" t="s">
        <v>68</v>
      </c>
      <c r="F33" s="57" t="s">
        <v>68</v>
      </c>
      <c r="G33" s="57" t="s">
        <v>68</v>
      </c>
      <c r="H33" s="57" t="s">
        <v>68</v>
      </c>
      <c r="I33" s="57" t="s">
        <v>68</v>
      </c>
      <c r="J33" s="57" t="s">
        <v>68</v>
      </c>
      <c r="K33" s="57" t="s">
        <v>68</v>
      </c>
      <c r="L33" s="57" t="s">
        <v>68</v>
      </c>
      <c r="M33" s="57" t="s">
        <v>68</v>
      </c>
      <c r="N33" s="57" t="s">
        <v>68</v>
      </c>
      <c r="O33" s="57" t="s">
        <v>68</v>
      </c>
      <c r="P33" s="57" t="s">
        <v>68</v>
      </c>
      <c r="Q33" s="57" t="s">
        <v>68</v>
      </c>
      <c r="R33" s="57" t="s">
        <v>68</v>
      </c>
      <c r="S33" s="57" t="s">
        <v>68</v>
      </c>
      <c r="T33" s="57" t="s">
        <v>68</v>
      </c>
      <c r="U33" s="57" t="s">
        <v>68</v>
      </c>
      <c r="V33" s="57" t="s">
        <v>68</v>
      </c>
      <c r="W33" s="57" t="s">
        <v>68</v>
      </c>
      <c r="X33" s="57" t="s">
        <v>68</v>
      </c>
      <c r="Y33" s="57" t="s">
        <v>68</v>
      </c>
      <c r="Z33" s="57" t="s">
        <v>68</v>
      </c>
      <c r="AA33" s="57" t="s">
        <v>68</v>
      </c>
      <c r="AB33" s="57" t="s">
        <v>68</v>
      </c>
      <c r="AC33" s="57" t="s">
        <v>68</v>
      </c>
      <c r="AD33" s="57" t="s">
        <v>68</v>
      </c>
      <c r="AE33" s="57" t="s">
        <v>68</v>
      </c>
      <c r="AF33" s="57" t="s">
        <v>68</v>
      </c>
      <c r="AG33" s="57" t="s">
        <v>68</v>
      </c>
      <c r="AH33" s="57" t="s">
        <v>68</v>
      </c>
      <c r="AI33" s="57" t="s">
        <v>68</v>
      </c>
      <c r="AJ33" s="23"/>
      <c r="AL33" t="str">
        <f t="shared" ca="1" si="0"/>
        <v xml:space="preserve">    (U1)ALERT_REQ_S_ISA_PD_</v>
      </c>
      <c r="AR33" s="59" t="str">
        <f t="shared" si="3"/>
        <v/>
      </c>
      <c r="AS33" s="59" t="str">
        <f t="shared" si="4"/>
        <v/>
      </c>
      <c r="AT33" s="59" t="str">
        <f t="shared" si="1"/>
        <v/>
      </c>
    </row>
    <row r="34" spans="2:46">
      <c r="B34" s="133"/>
      <c r="C34" s="43">
        <f t="shared" si="2"/>
        <v>28</v>
      </c>
      <c r="D34" s="57" t="s">
        <v>68</v>
      </c>
      <c r="E34" s="57" t="s">
        <v>68</v>
      </c>
      <c r="F34" s="57" t="s">
        <v>68</v>
      </c>
      <c r="G34" s="57" t="s">
        <v>68</v>
      </c>
      <c r="H34" s="57" t="s">
        <v>68</v>
      </c>
      <c r="I34" s="57" t="s">
        <v>68</v>
      </c>
      <c r="J34" s="57" t="s">
        <v>68</v>
      </c>
      <c r="K34" s="57" t="s">
        <v>68</v>
      </c>
      <c r="L34" s="57" t="s">
        <v>68</v>
      </c>
      <c r="M34" s="57" t="s">
        <v>68</v>
      </c>
      <c r="N34" s="57" t="s">
        <v>68</v>
      </c>
      <c r="O34" s="57" t="s">
        <v>68</v>
      </c>
      <c r="P34" s="57" t="s">
        <v>68</v>
      </c>
      <c r="Q34" s="57" t="s">
        <v>68</v>
      </c>
      <c r="R34" s="57" t="s">
        <v>68</v>
      </c>
      <c r="S34" s="57" t="s">
        <v>68</v>
      </c>
      <c r="T34" s="57" t="s">
        <v>68</v>
      </c>
      <c r="U34" s="57" t="s">
        <v>68</v>
      </c>
      <c r="V34" s="57" t="s">
        <v>68</v>
      </c>
      <c r="W34" s="57" t="s">
        <v>68</v>
      </c>
      <c r="X34" s="57" t="s">
        <v>68</v>
      </c>
      <c r="Y34" s="57" t="s">
        <v>68</v>
      </c>
      <c r="Z34" s="57" t="s">
        <v>68</v>
      </c>
      <c r="AA34" s="57" t="s">
        <v>68</v>
      </c>
      <c r="AB34" s="57" t="s">
        <v>68</v>
      </c>
      <c r="AC34" s="57" t="s">
        <v>68</v>
      </c>
      <c r="AD34" s="57" t="s">
        <v>68</v>
      </c>
      <c r="AE34" s="57" t="s">
        <v>68</v>
      </c>
      <c r="AF34" s="57" t="s">
        <v>68</v>
      </c>
      <c r="AG34" s="57" t="s">
        <v>68</v>
      </c>
      <c r="AH34" s="57" t="s">
        <v>68</v>
      </c>
      <c r="AI34" s="57" t="s">
        <v>68</v>
      </c>
      <c r="AJ34" s="23"/>
      <c r="AL34" t="str">
        <f t="shared" ca="1" si="0"/>
        <v xml:space="preserve">    (U1)ALERT_REQ_S_ISA_PD_</v>
      </c>
      <c r="AR34" s="59" t="str">
        <f t="shared" si="3"/>
        <v/>
      </c>
      <c r="AS34" s="59" t="str">
        <f t="shared" si="4"/>
        <v/>
      </c>
      <c r="AT34" s="59" t="str">
        <f t="shared" si="1"/>
        <v/>
      </c>
    </row>
    <row r="35" spans="2:46">
      <c r="B35" s="133"/>
      <c r="C35" s="43">
        <f t="shared" si="2"/>
        <v>29</v>
      </c>
      <c r="D35" s="57" t="s">
        <v>68</v>
      </c>
      <c r="E35" s="57" t="s">
        <v>68</v>
      </c>
      <c r="F35" s="57" t="s">
        <v>68</v>
      </c>
      <c r="G35" s="57" t="s">
        <v>68</v>
      </c>
      <c r="H35" s="57" t="s">
        <v>68</v>
      </c>
      <c r="I35" s="57" t="s">
        <v>68</v>
      </c>
      <c r="J35" s="57" t="s">
        <v>68</v>
      </c>
      <c r="K35" s="57" t="s">
        <v>68</v>
      </c>
      <c r="L35" s="57" t="s">
        <v>68</v>
      </c>
      <c r="M35" s="57" t="s">
        <v>68</v>
      </c>
      <c r="N35" s="57" t="s">
        <v>68</v>
      </c>
      <c r="O35" s="57" t="s">
        <v>68</v>
      </c>
      <c r="P35" s="57" t="s">
        <v>68</v>
      </c>
      <c r="Q35" s="57" t="s">
        <v>68</v>
      </c>
      <c r="R35" s="57" t="s">
        <v>68</v>
      </c>
      <c r="S35" s="57" t="s">
        <v>68</v>
      </c>
      <c r="T35" s="57" t="s">
        <v>68</v>
      </c>
      <c r="U35" s="57" t="s">
        <v>68</v>
      </c>
      <c r="V35" s="57" t="s">
        <v>68</v>
      </c>
      <c r="W35" s="57" t="s">
        <v>68</v>
      </c>
      <c r="X35" s="57" t="s">
        <v>68</v>
      </c>
      <c r="Y35" s="57" t="s">
        <v>68</v>
      </c>
      <c r="Z35" s="57" t="s">
        <v>68</v>
      </c>
      <c r="AA35" s="57" t="s">
        <v>68</v>
      </c>
      <c r="AB35" s="57" t="s">
        <v>68</v>
      </c>
      <c r="AC35" s="57" t="s">
        <v>68</v>
      </c>
      <c r="AD35" s="57" t="s">
        <v>68</v>
      </c>
      <c r="AE35" s="57" t="s">
        <v>68</v>
      </c>
      <c r="AF35" s="57" t="s">
        <v>68</v>
      </c>
      <c r="AG35" s="57" t="s">
        <v>68</v>
      </c>
      <c r="AH35" s="57" t="s">
        <v>68</v>
      </c>
      <c r="AI35" s="57" t="s">
        <v>68</v>
      </c>
      <c r="AJ35" s="23"/>
      <c r="AL35" t="str">
        <f t="shared" ca="1" si="0"/>
        <v xml:space="preserve">    (U1)ALERT_REQ_S_ISA_PD_</v>
      </c>
      <c r="AR35" s="59" t="str">
        <f t="shared" si="3"/>
        <v/>
      </c>
      <c r="AS35" s="59" t="str">
        <f t="shared" si="4"/>
        <v/>
      </c>
      <c r="AT35" s="59" t="str">
        <f t="shared" si="1"/>
        <v/>
      </c>
    </row>
    <row r="36" spans="2:46">
      <c r="B36" s="133"/>
      <c r="C36" s="43">
        <f t="shared" si="2"/>
        <v>30</v>
      </c>
      <c r="D36" s="57" t="s">
        <v>68</v>
      </c>
      <c r="E36" s="57" t="s">
        <v>68</v>
      </c>
      <c r="F36" s="57" t="s">
        <v>68</v>
      </c>
      <c r="G36" s="57" t="s">
        <v>68</v>
      </c>
      <c r="H36" s="57" t="s">
        <v>68</v>
      </c>
      <c r="I36" s="57" t="s">
        <v>68</v>
      </c>
      <c r="J36" s="57" t="s">
        <v>68</v>
      </c>
      <c r="K36" s="57" t="s">
        <v>68</v>
      </c>
      <c r="L36" s="57" t="s">
        <v>68</v>
      </c>
      <c r="M36" s="57" t="s">
        <v>68</v>
      </c>
      <c r="N36" s="57" t="s">
        <v>68</v>
      </c>
      <c r="O36" s="57" t="s">
        <v>68</v>
      </c>
      <c r="P36" s="57" t="s">
        <v>68</v>
      </c>
      <c r="Q36" s="57" t="s">
        <v>68</v>
      </c>
      <c r="R36" s="57" t="s">
        <v>68</v>
      </c>
      <c r="S36" s="57" t="s">
        <v>68</v>
      </c>
      <c r="T36" s="57" t="s">
        <v>68</v>
      </c>
      <c r="U36" s="57" t="s">
        <v>68</v>
      </c>
      <c r="V36" s="57" t="s">
        <v>68</v>
      </c>
      <c r="W36" s="57" t="s">
        <v>68</v>
      </c>
      <c r="X36" s="57" t="s">
        <v>68</v>
      </c>
      <c r="Y36" s="57" t="s">
        <v>68</v>
      </c>
      <c r="Z36" s="57" t="s">
        <v>68</v>
      </c>
      <c r="AA36" s="57" t="s">
        <v>68</v>
      </c>
      <c r="AB36" s="57" t="s">
        <v>68</v>
      </c>
      <c r="AC36" s="57" t="s">
        <v>68</v>
      </c>
      <c r="AD36" s="57" t="s">
        <v>68</v>
      </c>
      <c r="AE36" s="57" t="s">
        <v>68</v>
      </c>
      <c r="AF36" s="57" t="s">
        <v>68</v>
      </c>
      <c r="AG36" s="57" t="s">
        <v>68</v>
      </c>
      <c r="AH36" s="57" t="s">
        <v>68</v>
      </c>
      <c r="AI36" s="57" t="s">
        <v>68</v>
      </c>
      <c r="AJ36" s="23"/>
      <c r="AL36" t="str">
        <f t="shared" ca="1" si="0"/>
        <v xml:space="preserve">    (U1)ALERT_REQ_S_ISA_PD_</v>
      </c>
      <c r="AR36" s="59" t="str">
        <f t="shared" si="3"/>
        <v/>
      </c>
      <c r="AS36" s="59" t="str">
        <f t="shared" si="4"/>
        <v/>
      </c>
      <c r="AT36" s="59" t="str">
        <f t="shared" si="1"/>
        <v/>
      </c>
    </row>
    <row r="37" spans="2:46">
      <c r="B37" s="133"/>
      <c r="C37" s="43">
        <f t="shared" si="2"/>
        <v>31</v>
      </c>
      <c r="D37" s="57" t="s">
        <v>68</v>
      </c>
      <c r="E37" s="57" t="s">
        <v>68</v>
      </c>
      <c r="F37" s="57" t="s">
        <v>68</v>
      </c>
      <c r="G37" s="57" t="s">
        <v>68</v>
      </c>
      <c r="H37" s="57" t="s">
        <v>68</v>
      </c>
      <c r="I37" s="57" t="s">
        <v>68</v>
      </c>
      <c r="J37" s="57" t="s">
        <v>68</v>
      </c>
      <c r="K37" s="57" t="s">
        <v>68</v>
      </c>
      <c r="L37" s="57" t="s">
        <v>68</v>
      </c>
      <c r="M37" s="57" t="s">
        <v>68</v>
      </c>
      <c r="N37" s="57" t="s">
        <v>68</v>
      </c>
      <c r="O37" s="57" t="s">
        <v>68</v>
      </c>
      <c r="P37" s="57" t="s">
        <v>68</v>
      </c>
      <c r="Q37" s="57" t="s">
        <v>68</v>
      </c>
      <c r="R37" s="57" t="s">
        <v>68</v>
      </c>
      <c r="S37" s="57" t="s">
        <v>68</v>
      </c>
      <c r="T37" s="57" t="s">
        <v>68</v>
      </c>
      <c r="U37" s="57" t="s">
        <v>68</v>
      </c>
      <c r="V37" s="57" t="s">
        <v>68</v>
      </c>
      <c r="W37" s="57" t="s">
        <v>68</v>
      </c>
      <c r="X37" s="57" t="s">
        <v>68</v>
      </c>
      <c r="Y37" s="57" t="s">
        <v>68</v>
      </c>
      <c r="Z37" s="57" t="s">
        <v>68</v>
      </c>
      <c r="AA37" s="57" t="s">
        <v>68</v>
      </c>
      <c r="AB37" s="57" t="s">
        <v>68</v>
      </c>
      <c r="AC37" s="57" t="s">
        <v>68</v>
      </c>
      <c r="AD37" s="57" t="s">
        <v>68</v>
      </c>
      <c r="AE37" s="57" t="s">
        <v>68</v>
      </c>
      <c r="AF37" s="57" t="s">
        <v>68</v>
      </c>
      <c r="AG37" s="57" t="s">
        <v>68</v>
      </c>
      <c r="AH37" s="57" t="s">
        <v>68</v>
      </c>
      <c r="AI37" s="57" t="s">
        <v>68</v>
      </c>
      <c r="AJ37" s="23"/>
      <c r="AL37" t="str">
        <f t="shared" ca="1" si="0"/>
        <v xml:space="preserve">    (U1)ALERT_REQ_S_ISA_PD_</v>
      </c>
      <c r="AR37" s="59" t="str">
        <f t="shared" si="3"/>
        <v/>
      </c>
      <c r="AS37" s="59" t="str">
        <f t="shared" si="4"/>
        <v/>
      </c>
      <c r="AT37" s="59" t="str">
        <f t="shared" si="1"/>
        <v/>
      </c>
    </row>
    <row r="38" spans="2:46">
      <c r="B38" s="133"/>
      <c r="C38" s="43">
        <f t="shared" si="2"/>
        <v>32</v>
      </c>
      <c r="D38" s="57" t="s">
        <v>68</v>
      </c>
      <c r="E38" s="57" t="s">
        <v>68</v>
      </c>
      <c r="F38" s="57" t="s">
        <v>68</v>
      </c>
      <c r="G38" s="57" t="s">
        <v>68</v>
      </c>
      <c r="H38" s="57" t="s">
        <v>68</v>
      </c>
      <c r="I38" s="57" t="s">
        <v>68</v>
      </c>
      <c r="J38" s="57" t="s">
        <v>68</v>
      </c>
      <c r="K38" s="57" t="s">
        <v>68</v>
      </c>
      <c r="L38" s="57" t="s">
        <v>68</v>
      </c>
      <c r="M38" s="57" t="s">
        <v>68</v>
      </c>
      <c r="N38" s="57" t="s">
        <v>68</v>
      </c>
      <c r="O38" s="57" t="s">
        <v>68</v>
      </c>
      <c r="P38" s="57" t="s">
        <v>68</v>
      </c>
      <c r="Q38" s="57" t="s">
        <v>68</v>
      </c>
      <c r="R38" s="57" t="s">
        <v>68</v>
      </c>
      <c r="S38" s="57" t="s">
        <v>68</v>
      </c>
      <c r="T38" s="57" t="s">
        <v>68</v>
      </c>
      <c r="U38" s="57" t="s">
        <v>68</v>
      </c>
      <c r="V38" s="57" t="s">
        <v>68</v>
      </c>
      <c r="W38" s="57" t="s">
        <v>68</v>
      </c>
      <c r="X38" s="57" t="s">
        <v>68</v>
      </c>
      <c r="Y38" s="57" t="s">
        <v>68</v>
      </c>
      <c r="Z38" s="57" t="s">
        <v>68</v>
      </c>
      <c r="AA38" s="57" t="s">
        <v>68</v>
      </c>
      <c r="AB38" s="57" t="s">
        <v>68</v>
      </c>
      <c r="AC38" s="57" t="s">
        <v>68</v>
      </c>
      <c r="AD38" s="57" t="s">
        <v>68</v>
      </c>
      <c r="AE38" s="57" t="s">
        <v>68</v>
      </c>
      <c r="AF38" s="57" t="s">
        <v>68</v>
      </c>
      <c r="AG38" s="57" t="s">
        <v>68</v>
      </c>
      <c r="AH38" s="57" t="s">
        <v>68</v>
      </c>
      <c r="AI38" s="57" t="s">
        <v>68</v>
      </c>
      <c r="AJ38" s="23"/>
      <c r="AL38" t="str">
        <f t="shared" ca="1" si="0"/>
        <v xml:space="preserve">    (U1)ALERT_REQ_S_ISA_PD_</v>
      </c>
      <c r="AR38" s="59" t="str">
        <f t="shared" si="3"/>
        <v/>
      </c>
      <c r="AS38" s="59" t="str">
        <f t="shared" si="4"/>
        <v/>
      </c>
      <c r="AT38" s="59" t="str">
        <f t="shared" si="1"/>
        <v/>
      </c>
    </row>
    <row r="39" spans="2:46">
      <c r="B39" s="133"/>
      <c r="C39" s="43">
        <f t="shared" si="2"/>
        <v>33</v>
      </c>
      <c r="D39" s="57" t="s">
        <v>68</v>
      </c>
      <c r="E39" s="57" t="s">
        <v>68</v>
      </c>
      <c r="F39" s="57" t="s">
        <v>68</v>
      </c>
      <c r="G39" s="57" t="s">
        <v>68</v>
      </c>
      <c r="H39" s="57" t="s">
        <v>68</v>
      </c>
      <c r="I39" s="57" t="s">
        <v>68</v>
      </c>
      <c r="J39" s="57" t="s">
        <v>68</v>
      </c>
      <c r="K39" s="57" t="s">
        <v>68</v>
      </c>
      <c r="L39" s="57" t="s">
        <v>68</v>
      </c>
      <c r="M39" s="57" t="s">
        <v>68</v>
      </c>
      <c r="N39" s="57" t="s">
        <v>68</v>
      </c>
      <c r="O39" s="57" t="s">
        <v>68</v>
      </c>
      <c r="P39" s="57" t="s">
        <v>68</v>
      </c>
      <c r="Q39" s="57" t="s">
        <v>68</v>
      </c>
      <c r="R39" s="57" t="s">
        <v>68</v>
      </c>
      <c r="S39" s="57" t="s">
        <v>68</v>
      </c>
      <c r="T39" s="57" t="s">
        <v>68</v>
      </c>
      <c r="U39" s="57" t="s">
        <v>68</v>
      </c>
      <c r="V39" s="57" t="s">
        <v>68</v>
      </c>
      <c r="W39" s="57" t="s">
        <v>68</v>
      </c>
      <c r="X39" s="57" t="s">
        <v>68</v>
      </c>
      <c r="Y39" s="57" t="s">
        <v>68</v>
      </c>
      <c r="Z39" s="57" t="s">
        <v>68</v>
      </c>
      <c r="AA39" s="57" t="s">
        <v>68</v>
      </c>
      <c r="AB39" s="57" t="s">
        <v>68</v>
      </c>
      <c r="AC39" s="57" t="s">
        <v>68</v>
      </c>
      <c r="AD39" s="57" t="s">
        <v>68</v>
      </c>
      <c r="AE39" s="57" t="s">
        <v>68</v>
      </c>
      <c r="AF39" s="57" t="s">
        <v>68</v>
      </c>
      <c r="AG39" s="57" t="s">
        <v>68</v>
      </c>
      <c r="AH39" s="57" t="s">
        <v>68</v>
      </c>
      <c r="AI39" s="57" t="s">
        <v>68</v>
      </c>
      <c r="AJ39" s="23"/>
      <c r="AL39" t="str">
        <f t="shared" ca="1" si="0"/>
        <v xml:space="preserve">    (U1)ALERT_REQ_S_ISA_PD_</v>
      </c>
      <c r="AR39" s="59" t="str">
        <f t="shared" si="3"/>
        <v/>
      </c>
      <c r="AS39" s="59" t="str">
        <f t="shared" si="4"/>
        <v/>
      </c>
      <c r="AT39" s="59" t="str">
        <f t="shared" si="1"/>
        <v/>
      </c>
    </row>
    <row r="40" spans="2:46">
      <c r="B40" s="133"/>
      <c r="C40" s="43">
        <f t="shared" si="2"/>
        <v>34</v>
      </c>
      <c r="D40" s="57" t="s">
        <v>68</v>
      </c>
      <c r="E40" s="57" t="s">
        <v>68</v>
      </c>
      <c r="F40" s="57" t="s">
        <v>68</v>
      </c>
      <c r="G40" s="57" t="s">
        <v>68</v>
      </c>
      <c r="H40" s="57" t="s">
        <v>68</v>
      </c>
      <c r="I40" s="57" t="s">
        <v>68</v>
      </c>
      <c r="J40" s="57" t="s">
        <v>68</v>
      </c>
      <c r="K40" s="57" t="s">
        <v>68</v>
      </c>
      <c r="L40" s="57" t="s">
        <v>68</v>
      </c>
      <c r="M40" s="57" t="s">
        <v>68</v>
      </c>
      <c r="N40" s="57" t="s">
        <v>68</v>
      </c>
      <c r="O40" s="57" t="s">
        <v>68</v>
      </c>
      <c r="P40" s="57" t="s">
        <v>68</v>
      </c>
      <c r="Q40" s="57" t="s">
        <v>68</v>
      </c>
      <c r="R40" s="57" t="s">
        <v>68</v>
      </c>
      <c r="S40" s="57" t="s">
        <v>68</v>
      </c>
      <c r="T40" s="57" t="s">
        <v>68</v>
      </c>
      <c r="U40" s="57" t="s">
        <v>68</v>
      </c>
      <c r="V40" s="57" t="s">
        <v>68</v>
      </c>
      <c r="W40" s="57" t="s">
        <v>68</v>
      </c>
      <c r="X40" s="57" t="s">
        <v>68</v>
      </c>
      <c r="Y40" s="57" t="s">
        <v>68</v>
      </c>
      <c r="Z40" s="57" t="s">
        <v>68</v>
      </c>
      <c r="AA40" s="57" t="s">
        <v>68</v>
      </c>
      <c r="AB40" s="57" t="s">
        <v>68</v>
      </c>
      <c r="AC40" s="57" t="s">
        <v>68</v>
      </c>
      <c r="AD40" s="57" t="s">
        <v>68</v>
      </c>
      <c r="AE40" s="57" t="s">
        <v>68</v>
      </c>
      <c r="AF40" s="57" t="s">
        <v>68</v>
      </c>
      <c r="AG40" s="57" t="s">
        <v>68</v>
      </c>
      <c r="AH40" s="57" t="s">
        <v>68</v>
      </c>
      <c r="AI40" s="57" t="s">
        <v>68</v>
      </c>
      <c r="AJ40" s="23"/>
      <c r="AL40" t="str">
        <f t="shared" ca="1" si="0"/>
        <v xml:space="preserve">    (U1)ALERT_REQ_S_ISA_PD_</v>
      </c>
      <c r="AR40" s="59" t="str">
        <f t="shared" si="3"/>
        <v/>
      </c>
      <c r="AS40" s="59" t="str">
        <f t="shared" si="4"/>
        <v/>
      </c>
      <c r="AT40" s="59" t="str">
        <f t="shared" si="1"/>
        <v/>
      </c>
    </row>
    <row r="41" spans="2:46">
      <c r="B41" s="133"/>
      <c r="C41" s="43">
        <f t="shared" si="2"/>
        <v>35</v>
      </c>
      <c r="D41" s="57" t="s">
        <v>68</v>
      </c>
      <c r="E41" s="57" t="s">
        <v>68</v>
      </c>
      <c r="F41" s="57" t="s">
        <v>68</v>
      </c>
      <c r="G41" s="57" t="s">
        <v>68</v>
      </c>
      <c r="H41" s="57" t="s">
        <v>68</v>
      </c>
      <c r="I41" s="57" t="s">
        <v>68</v>
      </c>
      <c r="J41" s="57" t="s">
        <v>68</v>
      </c>
      <c r="K41" s="57" t="s">
        <v>68</v>
      </c>
      <c r="L41" s="57" t="s">
        <v>68</v>
      </c>
      <c r="M41" s="57" t="s">
        <v>68</v>
      </c>
      <c r="N41" s="57" t="s">
        <v>68</v>
      </c>
      <c r="O41" s="57" t="s">
        <v>68</v>
      </c>
      <c r="P41" s="57" t="s">
        <v>68</v>
      </c>
      <c r="Q41" s="57" t="s">
        <v>68</v>
      </c>
      <c r="R41" s="57" t="s">
        <v>68</v>
      </c>
      <c r="S41" s="57" t="s">
        <v>68</v>
      </c>
      <c r="T41" s="57" t="s">
        <v>68</v>
      </c>
      <c r="U41" s="57" t="s">
        <v>68</v>
      </c>
      <c r="V41" s="57" t="s">
        <v>68</v>
      </c>
      <c r="W41" s="57" t="s">
        <v>68</v>
      </c>
      <c r="X41" s="57" t="s">
        <v>68</v>
      </c>
      <c r="Y41" s="57" t="s">
        <v>68</v>
      </c>
      <c r="Z41" s="57" t="s">
        <v>68</v>
      </c>
      <c r="AA41" s="57" t="s">
        <v>68</v>
      </c>
      <c r="AB41" s="57" t="s">
        <v>68</v>
      </c>
      <c r="AC41" s="57" t="s">
        <v>68</v>
      </c>
      <c r="AD41" s="57" t="s">
        <v>68</v>
      </c>
      <c r="AE41" s="57" t="s">
        <v>68</v>
      </c>
      <c r="AF41" s="57" t="s">
        <v>68</v>
      </c>
      <c r="AG41" s="57" t="s">
        <v>68</v>
      </c>
      <c r="AH41" s="57" t="s">
        <v>68</v>
      </c>
      <c r="AI41" s="57" t="s">
        <v>68</v>
      </c>
      <c r="AJ41" s="23"/>
      <c r="AL41" t="str">
        <f t="shared" ca="1" si="0"/>
        <v xml:space="preserve">    (U1)ALERT_REQ_S_ISA_PD_</v>
      </c>
      <c r="AR41" s="59" t="str">
        <f t="shared" si="3"/>
        <v/>
      </c>
      <c r="AS41" s="59" t="str">
        <f t="shared" si="4"/>
        <v/>
      </c>
      <c r="AT41" s="59" t="str">
        <f t="shared" si="1"/>
        <v/>
      </c>
    </row>
    <row r="42" spans="2:46">
      <c r="B42" s="133"/>
      <c r="C42" s="43">
        <f t="shared" si="2"/>
        <v>36</v>
      </c>
      <c r="D42" s="57" t="s">
        <v>68</v>
      </c>
      <c r="E42" s="57" t="s">
        <v>68</v>
      </c>
      <c r="F42" s="57" t="s">
        <v>68</v>
      </c>
      <c r="G42" s="57" t="s">
        <v>68</v>
      </c>
      <c r="H42" s="57" t="s">
        <v>68</v>
      </c>
      <c r="I42" s="57" t="s">
        <v>68</v>
      </c>
      <c r="J42" s="57" t="s">
        <v>68</v>
      </c>
      <c r="K42" s="57" t="s">
        <v>68</v>
      </c>
      <c r="L42" s="57" t="s">
        <v>68</v>
      </c>
      <c r="M42" s="57" t="s">
        <v>68</v>
      </c>
      <c r="N42" s="57" t="s">
        <v>68</v>
      </c>
      <c r="O42" s="57" t="s">
        <v>68</v>
      </c>
      <c r="P42" s="57" t="s">
        <v>68</v>
      </c>
      <c r="Q42" s="57" t="s">
        <v>68</v>
      </c>
      <c r="R42" s="57" t="s">
        <v>68</v>
      </c>
      <c r="S42" s="57" t="s">
        <v>68</v>
      </c>
      <c r="T42" s="57" t="s">
        <v>68</v>
      </c>
      <c r="U42" s="57" t="s">
        <v>68</v>
      </c>
      <c r="V42" s="57" t="s">
        <v>68</v>
      </c>
      <c r="W42" s="57" t="s">
        <v>68</v>
      </c>
      <c r="X42" s="57" t="s">
        <v>68</v>
      </c>
      <c r="Y42" s="57" t="s">
        <v>68</v>
      </c>
      <c r="Z42" s="57" t="s">
        <v>68</v>
      </c>
      <c r="AA42" s="57" t="s">
        <v>68</v>
      </c>
      <c r="AB42" s="57" t="s">
        <v>68</v>
      </c>
      <c r="AC42" s="57" t="s">
        <v>68</v>
      </c>
      <c r="AD42" s="57" t="s">
        <v>68</v>
      </c>
      <c r="AE42" s="57" t="s">
        <v>68</v>
      </c>
      <c r="AF42" s="57" t="s">
        <v>68</v>
      </c>
      <c r="AG42" s="57" t="s">
        <v>68</v>
      </c>
      <c r="AH42" s="57" t="s">
        <v>68</v>
      </c>
      <c r="AI42" s="57" t="s">
        <v>68</v>
      </c>
      <c r="AJ42" s="23"/>
      <c r="AL42" t="str">
        <f t="shared" ca="1" si="0"/>
        <v xml:space="preserve">    (U1)ALERT_REQ_S_ISA_PD_</v>
      </c>
      <c r="AR42" s="59" t="str">
        <f t="shared" si="3"/>
        <v/>
      </c>
      <c r="AS42" s="59" t="str">
        <f t="shared" si="4"/>
        <v/>
      </c>
      <c r="AT42" s="59" t="str">
        <f t="shared" si="1"/>
        <v/>
      </c>
    </row>
    <row r="43" spans="2:46">
      <c r="B43" s="133"/>
      <c r="C43" s="43">
        <f t="shared" si="2"/>
        <v>37</v>
      </c>
      <c r="D43" s="57" t="s">
        <v>68</v>
      </c>
      <c r="E43" s="57" t="s">
        <v>68</v>
      </c>
      <c r="F43" s="57" t="s">
        <v>68</v>
      </c>
      <c r="G43" s="57" t="s">
        <v>68</v>
      </c>
      <c r="H43" s="57" t="s">
        <v>68</v>
      </c>
      <c r="I43" s="57" t="s">
        <v>68</v>
      </c>
      <c r="J43" s="57" t="s">
        <v>68</v>
      </c>
      <c r="K43" s="57" t="s">
        <v>68</v>
      </c>
      <c r="L43" s="57" t="s">
        <v>68</v>
      </c>
      <c r="M43" s="57" t="s">
        <v>68</v>
      </c>
      <c r="N43" s="57" t="s">
        <v>68</v>
      </c>
      <c r="O43" s="57" t="s">
        <v>68</v>
      </c>
      <c r="P43" s="57" t="s">
        <v>68</v>
      </c>
      <c r="Q43" s="57" t="s">
        <v>68</v>
      </c>
      <c r="R43" s="57" t="s">
        <v>68</v>
      </c>
      <c r="S43" s="57" t="s">
        <v>68</v>
      </c>
      <c r="T43" s="57" t="s">
        <v>68</v>
      </c>
      <c r="U43" s="57" t="s">
        <v>68</v>
      </c>
      <c r="V43" s="57" t="s">
        <v>68</v>
      </c>
      <c r="W43" s="57" t="s">
        <v>68</v>
      </c>
      <c r="X43" s="57" t="s">
        <v>68</v>
      </c>
      <c r="Y43" s="57" t="s">
        <v>68</v>
      </c>
      <c r="Z43" s="57" t="s">
        <v>68</v>
      </c>
      <c r="AA43" s="57" t="s">
        <v>68</v>
      </c>
      <c r="AB43" s="57" t="s">
        <v>68</v>
      </c>
      <c r="AC43" s="57" t="s">
        <v>68</v>
      </c>
      <c r="AD43" s="57" t="s">
        <v>68</v>
      </c>
      <c r="AE43" s="57" t="s">
        <v>68</v>
      </c>
      <c r="AF43" s="57" t="s">
        <v>68</v>
      </c>
      <c r="AG43" s="57" t="s">
        <v>68</v>
      </c>
      <c r="AH43" s="57" t="s">
        <v>68</v>
      </c>
      <c r="AI43" s="57" t="s">
        <v>68</v>
      </c>
      <c r="AJ43" s="23"/>
      <c r="AL43" t="str">
        <f t="shared" ca="1" si="0"/>
        <v xml:space="preserve">    (U1)ALERT_REQ_S_ISA_PD_</v>
      </c>
      <c r="AR43" s="59" t="str">
        <f t="shared" si="3"/>
        <v/>
      </c>
      <c r="AS43" s="59" t="str">
        <f t="shared" si="4"/>
        <v/>
      </c>
      <c r="AT43" s="59" t="str">
        <f t="shared" si="1"/>
        <v/>
      </c>
    </row>
    <row r="44" spans="2:46">
      <c r="B44" s="133"/>
      <c r="C44" s="43">
        <f t="shared" si="2"/>
        <v>38</v>
      </c>
      <c r="D44" s="57" t="s">
        <v>68</v>
      </c>
      <c r="E44" s="57" t="s">
        <v>68</v>
      </c>
      <c r="F44" s="57" t="s">
        <v>68</v>
      </c>
      <c r="G44" s="57" t="s">
        <v>68</v>
      </c>
      <c r="H44" s="57" t="s">
        <v>68</v>
      </c>
      <c r="I44" s="57" t="s">
        <v>68</v>
      </c>
      <c r="J44" s="57" t="s">
        <v>68</v>
      </c>
      <c r="K44" s="57" t="s">
        <v>68</v>
      </c>
      <c r="L44" s="57" t="s">
        <v>68</v>
      </c>
      <c r="M44" s="57" t="s">
        <v>68</v>
      </c>
      <c r="N44" s="57" t="s">
        <v>68</v>
      </c>
      <c r="O44" s="57" t="s">
        <v>68</v>
      </c>
      <c r="P44" s="57" t="s">
        <v>68</v>
      </c>
      <c r="Q44" s="57" t="s">
        <v>68</v>
      </c>
      <c r="R44" s="57" t="s">
        <v>68</v>
      </c>
      <c r="S44" s="57" t="s">
        <v>68</v>
      </c>
      <c r="T44" s="57" t="s">
        <v>68</v>
      </c>
      <c r="U44" s="57" t="s">
        <v>68</v>
      </c>
      <c r="V44" s="57" t="s">
        <v>68</v>
      </c>
      <c r="W44" s="57" t="s">
        <v>68</v>
      </c>
      <c r="X44" s="57" t="s">
        <v>68</v>
      </c>
      <c r="Y44" s="57" t="s">
        <v>68</v>
      </c>
      <c r="Z44" s="57" t="s">
        <v>68</v>
      </c>
      <c r="AA44" s="57" t="s">
        <v>68</v>
      </c>
      <c r="AB44" s="57" t="s">
        <v>68</v>
      </c>
      <c r="AC44" s="57" t="s">
        <v>68</v>
      </c>
      <c r="AD44" s="57" t="s">
        <v>68</v>
      </c>
      <c r="AE44" s="57" t="s">
        <v>68</v>
      </c>
      <c r="AF44" s="57" t="s">
        <v>68</v>
      </c>
      <c r="AG44" s="57" t="s">
        <v>68</v>
      </c>
      <c r="AH44" s="57" t="s">
        <v>68</v>
      </c>
      <c r="AI44" s="57" t="s">
        <v>68</v>
      </c>
      <c r="AJ44" s="23"/>
      <c r="AL44" t="str">
        <f t="shared" ca="1" si="0"/>
        <v xml:space="preserve">    (U1)ALERT_REQ_S_ISA_PD_</v>
      </c>
      <c r="AR44" s="59" t="str">
        <f t="shared" si="3"/>
        <v/>
      </c>
      <c r="AS44" s="59" t="str">
        <f t="shared" si="4"/>
        <v/>
      </c>
      <c r="AT44" s="59" t="str">
        <f t="shared" si="1"/>
        <v/>
      </c>
    </row>
    <row r="45" spans="2:46">
      <c r="B45" s="133"/>
      <c r="C45" s="43">
        <f t="shared" si="2"/>
        <v>39</v>
      </c>
      <c r="D45" s="57" t="s">
        <v>68</v>
      </c>
      <c r="E45" s="57" t="s">
        <v>68</v>
      </c>
      <c r="F45" s="57" t="s">
        <v>68</v>
      </c>
      <c r="G45" s="57" t="s">
        <v>68</v>
      </c>
      <c r="H45" s="57" t="s">
        <v>68</v>
      </c>
      <c r="I45" s="57" t="s">
        <v>68</v>
      </c>
      <c r="J45" s="57" t="s">
        <v>68</v>
      </c>
      <c r="K45" s="57" t="s">
        <v>68</v>
      </c>
      <c r="L45" s="57" t="s">
        <v>68</v>
      </c>
      <c r="M45" s="57" t="s">
        <v>68</v>
      </c>
      <c r="N45" s="57" t="s">
        <v>68</v>
      </c>
      <c r="O45" s="57" t="s">
        <v>68</v>
      </c>
      <c r="P45" s="57" t="s">
        <v>68</v>
      </c>
      <c r="Q45" s="57" t="s">
        <v>68</v>
      </c>
      <c r="R45" s="57" t="s">
        <v>68</v>
      </c>
      <c r="S45" s="57" t="s">
        <v>68</v>
      </c>
      <c r="T45" s="57" t="s">
        <v>68</v>
      </c>
      <c r="U45" s="57" t="s">
        <v>68</v>
      </c>
      <c r="V45" s="57" t="s">
        <v>68</v>
      </c>
      <c r="W45" s="57" t="s">
        <v>68</v>
      </c>
      <c r="X45" s="57" t="s">
        <v>68</v>
      </c>
      <c r="Y45" s="57" t="s">
        <v>68</v>
      </c>
      <c r="Z45" s="57" t="s">
        <v>68</v>
      </c>
      <c r="AA45" s="57" t="s">
        <v>68</v>
      </c>
      <c r="AB45" s="57" t="s">
        <v>68</v>
      </c>
      <c r="AC45" s="57" t="s">
        <v>68</v>
      </c>
      <c r="AD45" s="57" t="s">
        <v>68</v>
      </c>
      <c r="AE45" s="57" t="s">
        <v>68</v>
      </c>
      <c r="AF45" s="57" t="s">
        <v>68</v>
      </c>
      <c r="AG45" s="57" t="s">
        <v>68</v>
      </c>
      <c r="AH45" s="57" t="s">
        <v>68</v>
      </c>
      <c r="AI45" s="57" t="s">
        <v>68</v>
      </c>
      <c r="AJ45" s="23"/>
      <c r="AL45" t="str">
        <f t="shared" ca="1" si="0"/>
        <v xml:space="preserve">    (U1)ALERT_REQ_S_ISA_PD_</v>
      </c>
      <c r="AR45" s="59" t="str">
        <f t="shared" si="3"/>
        <v/>
      </c>
      <c r="AS45" s="59" t="str">
        <f t="shared" si="4"/>
        <v/>
      </c>
      <c r="AT45" s="59" t="str">
        <f t="shared" si="1"/>
        <v/>
      </c>
    </row>
    <row r="46" spans="2:46">
      <c r="B46" s="133"/>
      <c r="C46" s="43">
        <f t="shared" si="2"/>
        <v>40</v>
      </c>
      <c r="D46" s="57" t="s">
        <v>68</v>
      </c>
      <c r="E46" s="57" t="s">
        <v>68</v>
      </c>
      <c r="F46" s="57" t="s">
        <v>68</v>
      </c>
      <c r="G46" s="57" t="s">
        <v>68</v>
      </c>
      <c r="H46" s="57" t="s">
        <v>68</v>
      </c>
      <c r="I46" s="57" t="s">
        <v>68</v>
      </c>
      <c r="J46" s="57" t="s">
        <v>68</v>
      </c>
      <c r="K46" s="57" t="s">
        <v>68</v>
      </c>
      <c r="L46" s="57" t="s">
        <v>68</v>
      </c>
      <c r="M46" s="57" t="s">
        <v>68</v>
      </c>
      <c r="N46" s="57" t="s">
        <v>68</v>
      </c>
      <c r="O46" s="57" t="s">
        <v>68</v>
      </c>
      <c r="P46" s="57" t="s">
        <v>68</v>
      </c>
      <c r="Q46" s="57" t="s">
        <v>68</v>
      </c>
      <c r="R46" s="57" t="s">
        <v>68</v>
      </c>
      <c r="S46" s="57" t="s">
        <v>68</v>
      </c>
      <c r="T46" s="57" t="s">
        <v>68</v>
      </c>
      <c r="U46" s="57" t="s">
        <v>68</v>
      </c>
      <c r="V46" s="57" t="s">
        <v>68</v>
      </c>
      <c r="W46" s="57" t="s">
        <v>68</v>
      </c>
      <c r="X46" s="57" t="s">
        <v>68</v>
      </c>
      <c r="Y46" s="57" t="s">
        <v>68</v>
      </c>
      <c r="Z46" s="57" t="s">
        <v>68</v>
      </c>
      <c r="AA46" s="57" t="s">
        <v>68</v>
      </c>
      <c r="AB46" s="57" t="s">
        <v>68</v>
      </c>
      <c r="AC46" s="57" t="s">
        <v>68</v>
      </c>
      <c r="AD46" s="57" t="s">
        <v>68</v>
      </c>
      <c r="AE46" s="57" t="s">
        <v>68</v>
      </c>
      <c r="AF46" s="57" t="s">
        <v>68</v>
      </c>
      <c r="AG46" s="57" t="s">
        <v>68</v>
      </c>
      <c r="AH46" s="57" t="s">
        <v>68</v>
      </c>
      <c r="AI46" s="57" t="s">
        <v>68</v>
      </c>
      <c r="AJ46" s="23"/>
      <c r="AL46" t="str">
        <f t="shared" ca="1" si="0"/>
        <v xml:space="preserve">    (U1)ALERT_REQ_S_ISA_PD_</v>
      </c>
      <c r="AR46" s="59" t="str">
        <f t="shared" si="3"/>
        <v/>
      </c>
      <c r="AS46" s="59" t="str">
        <f t="shared" si="4"/>
        <v/>
      </c>
      <c r="AT46" s="59" t="str">
        <f t="shared" si="1"/>
        <v/>
      </c>
    </row>
    <row r="47" spans="2:46">
      <c r="B47" s="133"/>
      <c r="C47" s="43">
        <f t="shared" si="2"/>
        <v>41</v>
      </c>
      <c r="D47" s="57" t="s">
        <v>68</v>
      </c>
      <c r="E47" s="57" t="s">
        <v>68</v>
      </c>
      <c r="F47" s="57" t="s">
        <v>68</v>
      </c>
      <c r="G47" s="57" t="s">
        <v>68</v>
      </c>
      <c r="H47" s="57" t="s">
        <v>68</v>
      </c>
      <c r="I47" s="57" t="s">
        <v>68</v>
      </c>
      <c r="J47" s="57" t="s">
        <v>68</v>
      </c>
      <c r="K47" s="57" t="s">
        <v>68</v>
      </c>
      <c r="L47" s="57" t="s">
        <v>68</v>
      </c>
      <c r="M47" s="57" t="s">
        <v>68</v>
      </c>
      <c r="N47" s="57" t="s">
        <v>68</v>
      </c>
      <c r="O47" s="57" t="s">
        <v>68</v>
      </c>
      <c r="P47" s="57" t="s">
        <v>68</v>
      </c>
      <c r="Q47" s="57" t="s">
        <v>68</v>
      </c>
      <c r="R47" s="57" t="s">
        <v>68</v>
      </c>
      <c r="S47" s="57" t="s">
        <v>68</v>
      </c>
      <c r="T47" s="57" t="s">
        <v>68</v>
      </c>
      <c r="U47" s="57" t="s">
        <v>68</v>
      </c>
      <c r="V47" s="57" t="s">
        <v>68</v>
      </c>
      <c r="W47" s="57" t="s">
        <v>68</v>
      </c>
      <c r="X47" s="57" t="s">
        <v>68</v>
      </c>
      <c r="Y47" s="57" t="s">
        <v>68</v>
      </c>
      <c r="Z47" s="57" t="s">
        <v>68</v>
      </c>
      <c r="AA47" s="57" t="s">
        <v>68</v>
      </c>
      <c r="AB47" s="57" t="s">
        <v>68</v>
      </c>
      <c r="AC47" s="57" t="s">
        <v>68</v>
      </c>
      <c r="AD47" s="57" t="s">
        <v>68</v>
      </c>
      <c r="AE47" s="57" t="s">
        <v>68</v>
      </c>
      <c r="AF47" s="57" t="s">
        <v>68</v>
      </c>
      <c r="AG47" s="57" t="s">
        <v>68</v>
      </c>
      <c r="AH47" s="57" t="s">
        <v>68</v>
      </c>
      <c r="AI47" s="57" t="s">
        <v>68</v>
      </c>
      <c r="AJ47" s="23"/>
      <c r="AL47" t="str">
        <f t="shared" ca="1" si="0"/>
        <v xml:space="preserve">    (U1)ALERT_REQ_S_ISA_PD_</v>
      </c>
      <c r="AR47" s="59" t="str">
        <f t="shared" si="3"/>
        <v/>
      </c>
      <c r="AS47" s="59" t="str">
        <f t="shared" si="4"/>
        <v/>
      </c>
      <c r="AT47" s="59" t="str">
        <f t="shared" si="1"/>
        <v/>
      </c>
    </row>
    <row r="48" spans="2:46">
      <c r="B48" s="133"/>
      <c r="C48" s="43">
        <f t="shared" si="2"/>
        <v>42</v>
      </c>
      <c r="D48" s="57" t="s">
        <v>68</v>
      </c>
      <c r="E48" s="57" t="s">
        <v>68</v>
      </c>
      <c r="F48" s="57" t="s">
        <v>68</v>
      </c>
      <c r="G48" s="57" t="s">
        <v>68</v>
      </c>
      <c r="H48" s="57" t="s">
        <v>68</v>
      </c>
      <c r="I48" s="57" t="s">
        <v>68</v>
      </c>
      <c r="J48" s="57" t="s">
        <v>68</v>
      </c>
      <c r="K48" s="57" t="s">
        <v>68</v>
      </c>
      <c r="L48" s="57" t="s">
        <v>68</v>
      </c>
      <c r="M48" s="57" t="s">
        <v>68</v>
      </c>
      <c r="N48" s="57" t="s">
        <v>68</v>
      </c>
      <c r="O48" s="57" t="s">
        <v>68</v>
      </c>
      <c r="P48" s="57" t="s">
        <v>68</v>
      </c>
      <c r="Q48" s="57" t="s">
        <v>68</v>
      </c>
      <c r="R48" s="57" t="s">
        <v>68</v>
      </c>
      <c r="S48" s="57" t="s">
        <v>68</v>
      </c>
      <c r="T48" s="57" t="s">
        <v>68</v>
      </c>
      <c r="U48" s="57" t="s">
        <v>68</v>
      </c>
      <c r="V48" s="57" t="s">
        <v>68</v>
      </c>
      <c r="W48" s="57" t="s">
        <v>68</v>
      </c>
      <c r="X48" s="57" t="s">
        <v>68</v>
      </c>
      <c r="Y48" s="57" t="s">
        <v>68</v>
      </c>
      <c r="Z48" s="57" t="s">
        <v>68</v>
      </c>
      <c r="AA48" s="57" t="s">
        <v>68</v>
      </c>
      <c r="AB48" s="57" t="s">
        <v>68</v>
      </c>
      <c r="AC48" s="57" t="s">
        <v>68</v>
      </c>
      <c r="AD48" s="57" t="s">
        <v>68</v>
      </c>
      <c r="AE48" s="57" t="s">
        <v>68</v>
      </c>
      <c r="AF48" s="57" t="s">
        <v>68</v>
      </c>
      <c r="AG48" s="57" t="s">
        <v>68</v>
      </c>
      <c r="AH48" s="57" t="s">
        <v>68</v>
      </c>
      <c r="AI48" s="57" t="s">
        <v>68</v>
      </c>
      <c r="AJ48" s="23"/>
      <c r="AL48" t="str">
        <f t="shared" ca="1" si="0"/>
        <v xml:space="preserve">    (U1)ALERT_REQ_S_ISA_PD_</v>
      </c>
      <c r="AR48" s="59" t="str">
        <f t="shared" si="3"/>
        <v/>
      </c>
      <c r="AS48" s="59" t="str">
        <f t="shared" si="4"/>
        <v/>
      </c>
      <c r="AT48" s="59" t="str">
        <f t="shared" si="1"/>
        <v/>
      </c>
    </row>
    <row r="49" spans="2:46">
      <c r="B49" s="133"/>
      <c r="C49" s="43">
        <f t="shared" si="2"/>
        <v>43</v>
      </c>
      <c r="D49" s="57" t="s">
        <v>68</v>
      </c>
      <c r="E49" s="57" t="s">
        <v>68</v>
      </c>
      <c r="F49" s="57" t="s">
        <v>68</v>
      </c>
      <c r="G49" s="57" t="s">
        <v>68</v>
      </c>
      <c r="H49" s="57" t="s">
        <v>68</v>
      </c>
      <c r="I49" s="57" t="s">
        <v>68</v>
      </c>
      <c r="J49" s="57" t="s">
        <v>68</v>
      </c>
      <c r="K49" s="57" t="s">
        <v>68</v>
      </c>
      <c r="L49" s="57" t="s">
        <v>68</v>
      </c>
      <c r="M49" s="57" t="s">
        <v>68</v>
      </c>
      <c r="N49" s="57" t="s">
        <v>68</v>
      </c>
      <c r="O49" s="57" t="s">
        <v>68</v>
      </c>
      <c r="P49" s="57" t="s">
        <v>68</v>
      </c>
      <c r="Q49" s="57" t="s">
        <v>68</v>
      </c>
      <c r="R49" s="57" t="s">
        <v>68</v>
      </c>
      <c r="S49" s="57" t="s">
        <v>68</v>
      </c>
      <c r="T49" s="57" t="s">
        <v>68</v>
      </c>
      <c r="U49" s="57" t="s">
        <v>68</v>
      </c>
      <c r="V49" s="57" t="s">
        <v>68</v>
      </c>
      <c r="W49" s="57" t="s">
        <v>68</v>
      </c>
      <c r="X49" s="57" t="s">
        <v>68</v>
      </c>
      <c r="Y49" s="57" t="s">
        <v>68</v>
      </c>
      <c r="Z49" s="57" t="s">
        <v>68</v>
      </c>
      <c r="AA49" s="57" t="s">
        <v>68</v>
      </c>
      <c r="AB49" s="57" t="s">
        <v>68</v>
      </c>
      <c r="AC49" s="57" t="s">
        <v>68</v>
      </c>
      <c r="AD49" s="57" t="s">
        <v>68</v>
      </c>
      <c r="AE49" s="57" t="s">
        <v>68</v>
      </c>
      <c r="AF49" s="57" t="s">
        <v>68</v>
      </c>
      <c r="AG49" s="57" t="s">
        <v>68</v>
      </c>
      <c r="AH49" s="57" t="s">
        <v>68</v>
      </c>
      <c r="AI49" s="57" t="s">
        <v>68</v>
      </c>
      <c r="AJ49" s="23"/>
      <c r="AL49" t="str">
        <f t="shared" ca="1" si="0"/>
        <v xml:space="preserve">    (U1)ALERT_REQ_S_ISA_PD_</v>
      </c>
      <c r="AR49" s="59" t="str">
        <f t="shared" si="3"/>
        <v/>
      </c>
      <c r="AS49" s="59" t="str">
        <f t="shared" si="4"/>
        <v/>
      </c>
      <c r="AT49" s="59" t="str">
        <f t="shared" si="1"/>
        <v/>
      </c>
    </row>
    <row r="50" spans="2:46">
      <c r="B50" s="133"/>
      <c r="C50" s="43">
        <f t="shared" si="2"/>
        <v>44</v>
      </c>
      <c r="D50" s="57" t="s">
        <v>68</v>
      </c>
      <c r="E50" s="57" t="s">
        <v>68</v>
      </c>
      <c r="F50" s="57" t="s">
        <v>68</v>
      </c>
      <c r="G50" s="57" t="s">
        <v>68</v>
      </c>
      <c r="H50" s="57" t="s">
        <v>68</v>
      </c>
      <c r="I50" s="57" t="s">
        <v>68</v>
      </c>
      <c r="J50" s="57" t="s">
        <v>68</v>
      </c>
      <c r="K50" s="57" t="s">
        <v>68</v>
      </c>
      <c r="L50" s="57" t="s">
        <v>68</v>
      </c>
      <c r="M50" s="57" t="s">
        <v>68</v>
      </c>
      <c r="N50" s="57" t="s">
        <v>68</v>
      </c>
      <c r="O50" s="57" t="s">
        <v>68</v>
      </c>
      <c r="P50" s="57" t="s">
        <v>68</v>
      </c>
      <c r="Q50" s="57" t="s">
        <v>68</v>
      </c>
      <c r="R50" s="57" t="s">
        <v>68</v>
      </c>
      <c r="S50" s="57" t="s">
        <v>68</v>
      </c>
      <c r="T50" s="57" t="s">
        <v>68</v>
      </c>
      <c r="U50" s="57" t="s">
        <v>68</v>
      </c>
      <c r="V50" s="57" t="s">
        <v>68</v>
      </c>
      <c r="W50" s="57" t="s">
        <v>68</v>
      </c>
      <c r="X50" s="57" t="s">
        <v>68</v>
      </c>
      <c r="Y50" s="57" t="s">
        <v>68</v>
      </c>
      <c r="Z50" s="57" t="s">
        <v>68</v>
      </c>
      <c r="AA50" s="57" t="s">
        <v>68</v>
      </c>
      <c r="AB50" s="57" t="s">
        <v>68</v>
      </c>
      <c r="AC50" s="57" t="s">
        <v>68</v>
      </c>
      <c r="AD50" s="57" t="s">
        <v>68</v>
      </c>
      <c r="AE50" s="57" t="s">
        <v>68</v>
      </c>
      <c r="AF50" s="57" t="s">
        <v>68</v>
      </c>
      <c r="AG50" s="57" t="s">
        <v>68</v>
      </c>
      <c r="AH50" s="57" t="s">
        <v>68</v>
      </c>
      <c r="AI50" s="57" t="s">
        <v>68</v>
      </c>
      <c r="AJ50" s="23"/>
      <c r="AL50" t="str">
        <f t="shared" ca="1" si="0"/>
        <v xml:space="preserve">    (U1)ALERT_REQ_S_ISA_PD_</v>
      </c>
      <c r="AR50" s="59" t="str">
        <f t="shared" si="3"/>
        <v/>
      </c>
      <c r="AS50" s="59" t="str">
        <f t="shared" si="4"/>
        <v/>
      </c>
      <c r="AT50" s="59" t="str">
        <f t="shared" si="1"/>
        <v/>
      </c>
    </row>
    <row r="51" spans="2:46">
      <c r="B51" s="133"/>
      <c r="C51" s="43">
        <f t="shared" si="2"/>
        <v>45</v>
      </c>
      <c r="D51" s="57" t="s">
        <v>68</v>
      </c>
      <c r="E51" s="57" t="s">
        <v>68</v>
      </c>
      <c r="F51" s="57" t="s">
        <v>68</v>
      </c>
      <c r="G51" s="57" t="s">
        <v>68</v>
      </c>
      <c r="H51" s="57" t="s">
        <v>68</v>
      </c>
      <c r="I51" s="57" t="s">
        <v>68</v>
      </c>
      <c r="J51" s="57" t="s">
        <v>68</v>
      </c>
      <c r="K51" s="57" t="s">
        <v>68</v>
      </c>
      <c r="L51" s="57" t="s">
        <v>68</v>
      </c>
      <c r="M51" s="57" t="s">
        <v>68</v>
      </c>
      <c r="N51" s="57" t="s">
        <v>68</v>
      </c>
      <c r="O51" s="57" t="s">
        <v>68</v>
      </c>
      <c r="P51" s="57" t="s">
        <v>68</v>
      </c>
      <c r="Q51" s="57" t="s">
        <v>68</v>
      </c>
      <c r="R51" s="57" t="s">
        <v>68</v>
      </c>
      <c r="S51" s="57" t="s">
        <v>68</v>
      </c>
      <c r="T51" s="57" t="s">
        <v>68</v>
      </c>
      <c r="U51" s="57" t="s">
        <v>68</v>
      </c>
      <c r="V51" s="57" t="s">
        <v>68</v>
      </c>
      <c r="W51" s="57" t="s">
        <v>68</v>
      </c>
      <c r="X51" s="57" t="s">
        <v>68</v>
      </c>
      <c r="Y51" s="57" t="s">
        <v>68</v>
      </c>
      <c r="Z51" s="57" t="s">
        <v>68</v>
      </c>
      <c r="AA51" s="57" t="s">
        <v>68</v>
      </c>
      <c r="AB51" s="57" t="s">
        <v>68</v>
      </c>
      <c r="AC51" s="57" t="s">
        <v>68</v>
      </c>
      <c r="AD51" s="57" t="s">
        <v>68</v>
      </c>
      <c r="AE51" s="57" t="s">
        <v>68</v>
      </c>
      <c r="AF51" s="57" t="s">
        <v>68</v>
      </c>
      <c r="AG51" s="57" t="s">
        <v>68</v>
      </c>
      <c r="AH51" s="57" t="s">
        <v>68</v>
      </c>
      <c r="AI51" s="57" t="s">
        <v>68</v>
      </c>
      <c r="AJ51" s="23"/>
      <c r="AL51" t="str">
        <f t="shared" ca="1" si="0"/>
        <v xml:space="preserve">    (U1)ALERT_REQ_S_ISA_PD_</v>
      </c>
      <c r="AR51" s="59" t="str">
        <f t="shared" si="3"/>
        <v/>
      </c>
      <c r="AS51" s="59" t="str">
        <f t="shared" si="4"/>
        <v/>
      </c>
      <c r="AT51" s="59" t="str">
        <f t="shared" si="1"/>
        <v/>
      </c>
    </row>
    <row r="52" spans="2:46">
      <c r="B52" s="133"/>
      <c r="C52" s="43">
        <f t="shared" si="2"/>
        <v>46</v>
      </c>
      <c r="D52" s="57" t="s">
        <v>68</v>
      </c>
      <c r="E52" s="57" t="s">
        <v>68</v>
      </c>
      <c r="F52" s="57" t="s">
        <v>68</v>
      </c>
      <c r="G52" s="57" t="s">
        <v>68</v>
      </c>
      <c r="H52" s="57" t="s">
        <v>68</v>
      </c>
      <c r="I52" s="57" t="s">
        <v>68</v>
      </c>
      <c r="J52" s="57" t="s">
        <v>68</v>
      </c>
      <c r="K52" s="57" t="s">
        <v>68</v>
      </c>
      <c r="L52" s="57" t="s">
        <v>68</v>
      </c>
      <c r="M52" s="57" t="s">
        <v>68</v>
      </c>
      <c r="N52" s="57" t="s">
        <v>68</v>
      </c>
      <c r="O52" s="57" t="s">
        <v>68</v>
      </c>
      <c r="P52" s="57" t="s">
        <v>68</v>
      </c>
      <c r="Q52" s="57" t="s">
        <v>68</v>
      </c>
      <c r="R52" s="57" t="s">
        <v>68</v>
      </c>
      <c r="S52" s="57" t="s">
        <v>68</v>
      </c>
      <c r="T52" s="57" t="s">
        <v>68</v>
      </c>
      <c r="U52" s="57" t="s">
        <v>68</v>
      </c>
      <c r="V52" s="57" t="s">
        <v>68</v>
      </c>
      <c r="W52" s="57" t="s">
        <v>68</v>
      </c>
      <c r="X52" s="57" t="s">
        <v>68</v>
      </c>
      <c r="Y52" s="57" t="s">
        <v>68</v>
      </c>
      <c r="Z52" s="57" t="s">
        <v>68</v>
      </c>
      <c r="AA52" s="57" t="s">
        <v>68</v>
      </c>
      <c r="AB52" s="57" t="s">
        <v>68</v>
      </c>
      <c r="AC52" s="57" t="s">
        <v>68</v>
      </c>
      <c r="AD52" s="57" t="s">
        <v>68</v>
      </c>
      <c r="AE52" s="57" t="s">
        <v>68</v>
      </c>
      <c r="AF52" s="57" t="s">
        <v>68</v>
      </c>
      <c r="AG52" s="57" t="s">
        <v>68</v>
      </c>
      <c r="AH52" s="57" t="s">
        <v>68</v>
      </c>
      <c r="AI52" s="57" t="s">
        <v>68</v>
      </c>
      <c r="AJ52" s="23"/>
      <c r="AL52" t="str">
        <f t="shared" ca="1" si="0"/>
        <v xml:space="preserve">    (U1)ALERT_REQ_S_ISA_PD_</v>
      </c>
      <c r="AR52" s="59" t="str">
        <f t="shared" si="3"/>
        <v/>
      </c>
      <c r="AS52" s="59" t="str">
        <f t="shared" si="4"/>
        <v/>
      </c>
      <c r="AT52" s="59" t="str">
        <f t="shared" si="1"/>
        <v/>
      </c>
    </row>
    <row r="53" spans="2:46">
      <c r="B53" s="133"/>
      <c r="C53" s="43">
        <f t="shared" si="2"/>
        <v>47</v>
      </c>
      <c r="D53" s="57" t="s">
        <v>68</v>
      </c>
      <c r="E53" s="57" t="s">
        <v>68</v>
      </c>
      <c r="F53" s="57" t="s">
        <v>68</v>
      </c>
      <c r="G53" s="57" t="s">
        <v>68</v>
      </c>
      <c r="H53" s="57" t="s">
        <v>68</v>
      </c>
      <c r="I53" s="57" t="s">
        <v>68</v>
      </c>
      <c r="J53" s="57" t="s">
        <v>68</v>
      </c>
      <c r="K53" s="57" t="s">
        <v>68</v>
      </c>
      <c r="L53" s="57" t="s">
        <v>68</v>
      </c>
      <c r="M53" s="57" t="s">
        <v>68</v>
      </c>
      <c r="N53" s="57" t="s">
        <v>68</v>
      </c>
      <c r="O53" s="57" t="s">
        <v>68</v>
      </c>
      <c r="P53" s="57" t="s">
        <v>68</v>
      </c>
      <c r="Q53" s="57" t="s">
        <v>68</v>
      </c>
      <c r="R53" s="57" t="s">
        <v>68</v>
      </c>
      <c r="S53" s="57" t="s">
        <v>68</v>
      </c>
      <c r="T53" s="57" t="s">
        <v>68</v>
      </c>
      <c r="U53" s="57" t="s">
        <v>68</v>
      </c>
      <c r="V53" s="57" t="s">
        <v>68</v>
      </c>
      <c r="W53" s="57" t="s">
        <v>68</v>
      </c>
      <c r="X53" s="57" t="s">
        <v>68</v>
      </c>
      <c r="Y53" s="57" t="s">
        <v>68</v>
      </c>
      <c r="Z53" s="57" t="s">
        <v>68</v>
      </c>
      <c r="AA53" s="57" t="s">
        <v>68</v>
      </c>
      <c r="AB53" s="57" t="s">
        <v>68</v>
      </c>
      <c r="AC53" s="57" t="s">
        <v>68</v>
      </c>
      <c r="AD53" s="57" t="s">
        <v>68</v>
      </c>
      <c r="AE53" s="57" t="s">
        <v>68</v>
      </c>
      <c r="AF53" s="57" t="s">
        <v>68</v>
      </c>
      <c r="AG53" s="57" t="s">
        <v>68</v>
      </c>
      <c r="AH53" s="57" t="s">
        <v>68</v>
      </c>
      <c r="AI53" s="57" t="s">
        <v>68</v>
      </c>
      <c r="AJ53" s="23"/>
      <c r="AL53" t="str">
        <f t="shared" ca="1" si="0"/>
        <v xml:space="preserve">    (U1)ALERT_REQ_S_ISA_PD_</v>
      </c>
      <c r="AR53" s="59" t="str">
        <f t="shared" si="3"/>
        <v/>
      </c>
      <c r="AS53" s="59" t="str">
        <f t="shared" si="4"/>
        <v/>
      </c>
      <c r="AT53" s="59" t="str">
        <f t="shared" si="1"/>
        <v/>
      </c>
    </row>
    <row r="54" spans="2:46">
      <c r="B54" s="133"/>
      <c r="C54" s="43">
        <f t="shared" si="2"/>
        <v>48</v>
      </c>
      <c r="D54" s="57" t="s">
        <v>68</v>
      </c>
      <c r="E54" s="57" t="s">
        <v>68</v>
      </c>
      <c r="F54" s="57" t="s">
        <v>68</v>
      </c>
      <c r="G54" s="57" t="s">
        <v>68</v>
      </c>
      <c r="H54" s="57" t="s">
        <v>68</v>
      </c>
      <c r="I54" s="57" t="s">
        <v>68</v>
      </c>
      <c r="J54" s="57" t="s">
        <v>68</v>
      </c>
      <c r="K54" s="57" t="s">
        <v>68</v>
      </c>
      <c r="L54" s="57" t="s">
        <v>68</v>
      </c>
      <c r="M54" s="57" t="s">
        <v>68</v>
      </c>
      <c r="N54" s="57" t="s">
        <v>68</v>
      </c>
      <c r="O54" s="57" t="s">
        <v>68</v>
      </c>
      <c r="P54" s="57" t="s">
        <v>68</v>
      </c>
      <c r="Q54" s="57" t="s">
        <v>68</v>
      </c>
      <c r="R54" s="57" t="s">
        <v>68</v>
      </c>
      <c r="S54" s="57" t="s">
        <v>68</v>
      </c>
      <c r="T54" s="57" t="s">
        <v>68</v>
      </c>
      <c r="U54" s="57" t="s">
        <v>68</v>
      </c>
      <c r="V54" s="57" t="s">
        <v>68</v>
      </c>
      <c r="W54" s="57" t="s">
        <v>68</v>
      </c>
      <c r="X54" s="57" t="s">
        <v>68</v>
      </c>
      <c r="Y54" s="57" t="s">
        <v>68</v>
      </c>
      <c r="Z54" s="57" t="s">
        <v>68</v>
      </c>
      <c r="AA54" s="57" t="s">
        <v>68</v>
      </c>
      <c r="AB54" s="57" t="s">
        <v>68</v>
      </c>
      <c r="AC54" s="57" t="s">
        <v>68</v>
      </c>
      <c r="AD54" s="57" t="s">
        <v>68</v>
      </c>
      <c r="AE54" s="57" t="s">
        <v>68</v>
      </c>
      <c r="AF54" s="57" t="s">
        <v>68</v>
      </c>
      <c r="AG54" s="57" t="s">
        <v>68</v>
      </c>
      <c r="AH54" s="57" t="s">
        <v>68</v>
      </c>
      <c r="AI54" s="57" t="s">
        <v>68</v>
      </c>
      <c r="AJ54" s="23"/>
      <c r="AL54" t="str">
        <f t="shared" ca="1" si="0"/>
        <v xml:space="preserve">    (U1)ALERT_REQ_S_ISA_PD_</v>
      </c>
      <c r="AR54" s="59" t="str">
        <f t="shared" si="3"/>
        <v/>
      </c>
      <c r="AS54" s="59" t="str">
        <f t="shared" si="4"/>
        <v/>
      </c>
      <c r="AT54" s="59" t="str">
        <f t="shared" si="1"/>
        <v/>
      </c>
    </row>
    <row r="55" spans="2:46">
      <c r="B55" s="133"/>
      <c r="C55" s="43">
        <f t="shared" si="2"/>
        <v>49</v>
      </c>
      <c r="D55" s="57" t="s">
        <v>68</v>
      </c>
      <c r="E55" s="57" t="s">
        <v>68</v>
      </c>
      <c r="F55" s="57" t="s">
        <v>68</v>
      </c>
      <c r="G55" s="57" t="s">
        <v>68</v>
      </c>
      <c r="H55" s="57" t="s">
        <v>68</v>
      </c>
      <c r="I55" s="57" t="s">
        <v>68</v>
      </c>
      <c r="J55" s="57" t="s">
        <v>68</v>
      </c>
      <c r="K55" s="57" t="s">
        <v>68</v>
      </c>
      <c r="L55" s="57" t="s">
        <v>68</v>
      </c>
      <c r="M55" s="57" t="s">
        <v>68</v>
      </c>
      <c r="N55" s="57" t="s">
        <v>68</v>
      </c>
      <c r="O55" s="57" t="s">
        <v>68</v>
      </c>
      <c r="P55" s="57" t="s">
        <v>68</v>
      </c>
      <c r="Q55" s="57" t="s">
        <v>68</v>
      </c>
      <c r="R55" s="57" t="s">
        <v>68</v>
      </c>
      <c r="S55" s="57" t="s">
        <v>68</v>
      </c>
      <c r="T55" s="57" t="s">
        <v>68</v>
      </c>
      <c r="U55" s="57" t="s">
        <v>68</v>
      </c>
      <c r="V55" s="57" t="s">
        <v>68</v>
      </c>
      <c r="W55" s="57" t="s">
        <v>68</v>
      </c>
      <c r="X55" s="57" t="s">
        <v>68</v>
      </c>
      <c r="Y55" s="57" t="s">
        <v>68</v>
      </c>
      <c r="Z55" s="57" t="s">
        <v>68</v>
      </c>
      <c r="AA55" s="57" t="s">
        <v>68</v>
      </c>
      <c r="AB55" s="57" t="s">
        <v>68</v>
      </c>
      <c r="AC55" s="57" t="s">
        <v>68</v>
      </c>
      <c r="AD55" s="57" t="s">
        <v>68</v>
      </c>
      <c r="AE55" s="57" t="s">
        <v>68</v>
      </c>
      <c r="AF55" s="57" t="s">
        <v>68</v>
      </c>
      <c r="AG55" s="57" t="s">
        <v>68</v>
      </c>
      <c r="AH55" s="57" t="s">
        <v>68</v>
      </c>
      <c r="AI55" s="57" t="s">
        <v>68</v>
      </c>
      <c r="AJ55" s="23"/>
      <c r="AL55" t="str">
        <f t="shared" ca="1" si="0"/>
        <v xml:space="preserve">    (U1)ALERT_REQ_S_ISA_PD_</v>
      </c>
      <c r="AR55" s="59" t="str">
        <f t="shared" si="3"/>
        <v/>
      </c>
      <c r="AS55" s="59" t="str">
        <f t="shared" si="4"/>
        <v/>
      </c>
      <c r="AT55" s="59" t="str">
        <f t="shared" si="1"/>
        <v/>
      </c>
    </row>
    <row r="56" spans="2:46">
      <c r="B56" s="133"/>
      <c r="C56" s="43">
        <f t="shared" si="2"/>
        <v>50</v>
      </c>
      <c r="D56" s="57" t="s">
        <v>68</v>
      </c>
      <c r="E56" s="57" t="s">
        <v>68</v>
      </c>
      <c r="F56" s="57" t="s">
        <v>68</v>
      </c>
      <c r="G56" s="57" t="s">
        <v>68</v>
      </c>
      <c r="H56" s="57" t="s">
        <v>68</v>
      </c>
      <c r="I56" s="57" t="s">
        <v>68</v>
      </c>
      <c r="J56" s="57" t="s">
        <v>68</v>
      </c>
      <c r="K56" s="57" t="s">
        <v>68</v>
      </c>
      <c r="L56" s="57" t="s">
        <v>68</v>
      </c>
      <c r="M56" s="57" t="s">
        <v>68</v>
      </c>
      <c r="N56" s="57" t="s">
        <v>68</v>
      </c>
      <c r="O56" s="57" t="s">
        <v>68</v>
      </c>
      <c r="P56" s="57" t="s">
        <v>68</v>
      </c>
      <c r="Q56" s="57" t="s">
        <v>68</v>
      </c>
      <c r="R56" s="57" t="s">
        <v>68</v>
      </c>
      <c r="S56" s="57" t="s">
        <v>68</v>
      </c>
      <c r="T56" s="57" t="s">
        <v>68</v>
      </c>
      <c r="U56" s="57" t="s">
        <v>68</v>
      </c>
      <c r="V56" s="57" t="s">
        <v>68</v>
      </c>
      <c r="W56" s="57" t="s">
        <v>68</v>
      </c>
      <c r="X56" s="57" t="s">
        <v>68</v>
      </c>
      <c r="Y56" s="57" t="s">
        <v>68</v>
      </c>
      <c r="Z56" s="57" t="s">
        <v>68</v>
      </c>
      <c r="AA56" s="57" t="s">
        <v>68</v>
      </c>
      <c r="AB56" s="57" t="s">
        <v>68</v>
      </c>
      <c r="AC56" s="57" t="s">
        <v>68</v>
      </c>
      <c r="AD56" s="57" t="s">
        <v>68</v>
      </c>
      <c r="AE56" s="57" t="s">
        <v>68</v>
      </c>
      <c r="AF56" s="57" t="s">
        <v>68</v>
      </c>
      <c r="AG56" s="57" t="s">
        <v>68</v>
      </c>
      <c r="AH56" s="57" t="s">
        <v>68</v>
      </c>
      <c r="AI56" s="57" t="s">
        <v>68</v>
      </c>
      <c r="AJ56" s="23"/>
      <c r="AL56" t="str">
        <f t="shared" ca="1" si="0"/>
        <v xml:space="preserve">    (U1)ALERT_REQ_S_ISA_PD_</v>
      </c>
      <c r="AR56" s="59" t="str">
        <f t="shared" si="3"/>
        <v/>
      </c>
      <c r="AS56" s="59" t="str">
        <f t="shared" si="4"/>
        <v/>
      </c>
      <c r="AT56" s="59" t="str">
        <f t="shared" si="1"/>
        <v/>
      </c>
    </row>
    <row r="57" spans="2:46">
      <c r="B57" s="133"/>
      <c r="C57" s="43">
        <f t="shared" si="2"/>
        <v>51</v>
      </c>
      <c r="D57" s="57" t="s">
        <v>68</v>
      </c>
      <c r="E57" s="57" t="s">
        <v>68</v>
      </c>
      <c r="F57" s="57" t="s">
        <v>68</v>
      </c>
      <c r="G57" s="57" t="s">
        <v>68</v>
      </c>
      <c r="H57" s="57" t="s">
        <v>68</v>
      </c>
      <c r="I57" s="57" t="s">
        <v>68</v>
      </c>
      <c r="J57" s="57" t="s">
        <v>68</v>
      </c>
      <c r="K57" s="57" t="s">
        <v>68</v>
      </c>
      <c r="L57" s="57" t="s">
        <v>68</v>
      </c>
      <c r="M57" s="57" t="s">
        <v>68</v>
      </c>
      <c r="N57" s="57" t="s">
        <v>68</v>
      </c>
      <c r="O57" s="57" t="s">
        <v>68</v>
      </c>
      <c r="P57" s="57" t="s">
        <v>68</v>
      </c>
      <c r="Q57" s="57" t="s">
        <v>68</v>
      </c>
      <c r="R57" s="57" t="s">
        <v>68</v>
      </c>
      <c r="S57" s="57" t="s">
        <v>68</v>
      </c>
      <c r="T57" s="57" t="s">
        <v>68</v>
      </c>
      <c r="U57" s="57" t="s">
        <v>68</v>
      </c>
      <c r="V57" s="57" t="s">
        <v>68</v>
      </c>
      <c r="W57" s="57" t="s">
        <v>68</v>
      </c>
      <c r="X57" s="57" t="s">
        <v>68</v>
      </c>
      <c r="Y57" s="57" t="s">
        <v>68</v>
      </c>
      <c r="Z57" s="57" t="s">
        <v>68</v>
      </c>
      <c r="AA57" s="57" t="s">
        <v>68</v>
      </c>
      <c r="AB57" s="57" t="s">
        <v>68</v>
      </c>
      <c r="AC57" s="57" t="s">
        <v>68</v>
      </c>
      <c r="AD57" s="57" t="s">
        <v>68</v>
      </c>
      <c r="AE57" s="57" t="s">
        <v>68</v>
      </c>
      <c r="AF57" s="57" t="s">
        <v>68</v>
      </c>
      <c r="AG57" s="57" t="s">
        <v>68</v>
      </c>
      <c r="AH57" s="57" t="s">
        <v>68</v>
      </c>
      <c r="AI57" s="57" t="s">
        <v>68</v>
      </c>
      <c r="AJ57" s="23"/>
      <c r="AL57" t="str">
        <f t="shared" ca="1" si="0"/>
        <v xml:space="preserve">    (U1)ALERT_REQ_S_ISA_PD_</v>
      </c>
      <c r="AR57" s="59" t="str">
        <f t="shared" si="3"/>
        <v/>
      </c>
      <c r="AS57" s="59" t="str">
        <f t="shared" si="4"/>
        <v/>
      </c>
      <c r="AT57" s="59" t="str">
        <f t="shared" si="1"/>
        <v/>
      </c>
    </row>
    <row r="58" spans="2:46">
      <c r="B58" s="133"/>
      <c r="C58" s="43">
        <f t="shared" si="2"/>
        <v>52</v>
      </c>
      <c r="D58" s="57" t="s">
        <v>68</v>
      </c>
      <c r="E58" s="57" t="s">
        <v>68</v>
      </c>
      <c r="F58" s="57" t="s">
        <v>68</v>
      </c>
      <c r="G58" s="57" t="s">
        <v>68</v>
      </c>
      <c r="H58" s="57" t="s">
        <v>68</v>
      </c>
      <c r="I58" s="57" t="s">
        <v>68</v>
      </c>
      <c r="J58" s="57" t="s">
        <v>68</v>
      </c>
      <c r="K58" s="57" t="s">
        <v>68</v>
      </c>
      <c r="L58" s="57" t="s">
        <v>68</v>
      </c>
      <c r="M58" s="57" t="s">
        <v>68</v>
      </c>
      <c r="N58" s="57" t="s">
        <v>68</v>
      </c>
      <c r="O58" s="57" t="s">
        <v>68</v>
      </c>
      <c r="P58" s="57" t="s">
        <v>68</v>
      </c>
      <c r="Q58" s="57" t="s">
        <v>68</v>
      </c>
      <c r="R58" s="57" t="s">
        <v>68</v>
      </c>
      <c r="S58" s="57" t="s">
        <v>68</v>
      </c>
      <c r="T58" s="57" t="s">
        <v>68</v>
      </c>
      <c r="U58" s="57" t="s">
        <v>68</v>
      </c>
      <c r="V58" s="57" t="s">
        <v>68</v>
      </c>
      <c r="W58" s="57" t="s">
        <v>68</v>
      </c>
      <c r="X58" s="57" t="s">
        <v>68</v>
      </c>
      <c r="Y58" s="57" t="s">
        <v>68</v>
      </c>
      <c r="Z58" s="57" t="s">
        <v>68</v>
      </c>
      <c r="AA58" s="57" t="s">
        <v>68</v>
      </c>
      <c r="AB58" s="57" t="s">
        <v>68</v>
      </c>
      <c r="AC58" s="57" t="s">
        <v>68</v>
      </c>
      <c r="AD58" s="57" t="s">
        <v>68</v>
      </c>
      <c r="AE58" s="57" t="s">
        <v>68</v>
      </c>
      <c r="AF58" s="57" t="s">
        <v>68</v>
      </c>
      <c r="AG58" s="57" t="s">
        <v>68</v>
      </c>
      <c r="AH58" s="57" t="s">
        <v>68</v>
      </c>
      <c r="AI58" s="57" t="s">
        <v>68</v>
      </c>
      <c r="AJ58" s="23"/>
      <c r="AL58" t="str">
        <f t="shared" ca="1" si="0"/>
        <v xml:space="preserve">    (U1)ALERT_REQ_S_ISA_PD_</v>
      </c>
      <c r="AR58" s="59" t="str">
        <f t="shared" si="3"/>
        <v/>
      </c>
      <c r="AS58" s="59" t="str">
        <f t="shared" si="4"/>
        <v/>
      </c>
      <c r="AT58" s="59" t="str">
        <f t="shared" si="1"/>
        <v/>
      </c>
    </row>
    <row r="59" spans="2:46">
      <c r="B59" s="133"/>
      <c r="C59" s="43">
        <f t="shared" si="2"/>
        <v>53</v>
      </c>
      <c r="D59" s="57" t="s">
        <v>68</v>
      </c>
      <c r="E59" s="57" t="s">
        <v>68</v>
      </c>
      <c r="F59" s="57" t="s">
        <v>68</v>
      </c>
      <c r="G59" s="57" t="s">
        <v>68</v>
      </c>
      <c r="H59" s="57" t="s">
        <v>68</v>
      </c>
      <c r="I59" s="57" t="s">
        <v>68</v>
      </c>
      <c r="J59" s="57" t="s">
        <v>68</v>
      </c>
      <c r="K59" s="57" t="s">
        <v>68</v>
      </c>
      <c r="L59" s="57" t="s">
        <v>68</v>
      </c>
      <c r="M59" s="57" t="s">
        <v>68</v>
      </c>
      <c r="N59" s="57" t="s">
        <v>68</v>
      </c>
      <c r="O59" s="57" t="s">
        <v>68</v>
      </c>
      <c r="P59" s="57" t="s">
        <v>68</v>
      </c>
      <c r="Q59" s="57" t="s">
        <v>68</v>
      </c>
      <c r="R59" s="57" t="s">
        <v>68</v>
      </c>
      <c r="S59" s="57" t="s">
        <v>68</v>
      </c>
      <c r="T59" s="57" t="s">
        <v>68</v>
      </c>
      <c r="U59" s="57" t="s">
        <v>68</v>
      </c>
      <c r="V59" s="57" t="s">
        <v>68</v>
      </c>
      <c r="W59" s="57" t="s">
        <v>68</v>
      </c>
      <c r="X59" s="57" t="s">
        <v>68</v>
      </c>
      <c r="Y59" s="57" t="s">
        <v>68</v>
      </c>
      <c r="Z59" s="57" t="s">
        <v>68</v>
      </c>
      <c r="AA59" s="57" t="s">
        <v>68</v>
      </c>
      <c r="AB59" s="57" t="s">
        <v>68</v>
      </c>
      <c r="AC59" s="57" t="s">
        <v>68</v>
      </c>
      <c r="AD59" s="57" t="s">
        <v>68</v>
      </c>
      <c r="AE59" s="57" t="s">
        <v>68</v>
      </c>
      <c r="AF59" s="57" t="s">
        <v>68</v>
      </c>
      <c r="AG59" s="57" t="s">
        <v>68</v>
      </c>
      <c r="AH59" s="57" t="s">
        <v>68</v>
      </c>
      <c r="AI59" s="57" t="s">
        <v>68</v>
      </c>
      <c r="AJ59" s="23"/>
      <c r="AL59" t="str">
        <f t="shared" ca="1" si="0"/>
        <v xml:space="preserve">    (U1)ALERT_REQ_S_ISA_PD_</v>
      </c>
      <c r="AR59" s="59" t="str">
        <f t="shared" si="3"/>
        <v/>
      </c>
      <c r="AS59" s="59" t="str">
        <f t="shared" si="4"/>
        <v/>
      </c>
      <c r="AT59" s="59" t="str">
        <f t="shared" si="1"/>
        <v/>
      </c>
    </row>
    <row r="60" spans="2:46">
      <c r="B60" s="133"/>
      <c r="C60" s="43">
        <f t="shared" si="2"/>
        <v>54</v>
      </c>
      <c r="D60" s="57" t="s">
        <v>68</v>
      </c>
      <c r="E60" s="57" t="s">
        <v>68</v>
      </c>
      <c r="F60" s="57" t="s">
        <v>68</v>
      </c>
      <c r="G60" s="57" t="s">
        <v>68</v>
      </c>
      <c r="H60" s="57" t="s">
        <v>68</v>
      </c>
      <c r="I60" s="57" t="s">
        <v>68</v>
      </c>
      <c r="J60" s="57" t="s">
        <v>68</v>
      </c>
      <c r="K60" s="57" t="s">
        <v>68</v>
      </c>
      <c r="L60" s="57" t="s">
        <v>68</v>
      </c>
      <c r="M60" s="57" t="s">
        <v>68</v>
      </c>
      <c r="N60" s="57" t="s">
        <v>68</v>
      </c>
      <c r="O60" s="57" t="s">
        <v>68</v>
      </c>
      <c r="P60" s="57" t="s">
        <v>68</v>
      </c>
      <c r="Q60" s="57" t="s">
        <v>68</v>
      </c>
      <c r="R60" s="57" t="s">
        <v>68</v>
      </c>
      <c r="S60" s="57" t="s">
        <v>68</v>
      </c>
      <c r="T60" s="57" t="s">
        <v>68</v>
      </c>
      <c r="U60" s="57" t="s">
        <v>68</v>
      </c>
      <c r="V60" s="57" t="s">
        <v>68</v>
      </c>
      <c r="W60" s="57" t="s">
        <v>68</v>
      </c>
      <c r="X60" s="57" t="s">
        <v>68</v>
      </c>
      <c r="Y60" s="57" t="s">
        <v>68</v>
      </c>
      <c r="Z60" s="57" t="s">
        <v>68</v>
      </c>
      <c r="AA60" s="57" t="s">
        <v>68</v>
      </c>
      <c r="AB60" s="57" t="s">
        <v>68</v>
      </c>
      <c r="AC60" s="57" t="s">
        <v>68</v>
      </c>
      <c r="AD60" s="57" t="s">
        <v>68</v>
      </c>
      <c r="AE60" s="57" t="s">
        <v>68</v>
      </c>
      <c r="AF60" s="57" t="s">
        <v>68</v>
      </c>
      <c r="AG60" s="57" t="s">
        <v>68</v>
      </c>
      <c r="AH60" s="57" t="s">
        <v>68</v>
      </c>
      <c r="AI60" s="57" t="s">
        <v>68</v>
      </c>
      <c r="AJ60" s="23"/>
      <c r="AL60" t="str">
        <f t="shared" ca="1" si="0"/>
        <v xml:space="preserve">    (U1)ALERT_REQ_S_ISA_PD_</v>
      </c>
      <c r="AR60" s="59" t="str">
        <f t="shared" si="3"/>
        <v/>
      </c>
      <c r="AS60" s="59" t="str">
        <f t="shared" si="4"/>
        <v/>
      </c>
      <c r="AT60" s="59" t="str">
        <f t="shared" si="1"/>
        <v/>
      </c>
    </row>
    <row r="61" spans="2:46">
      <c r="B61" s="133"/>
      <c r="C61" s="43">
        <f t="shared" si="2"/>
        <v>55</v>
      </c>
      <c r="D61" s="57" t="s">
        <v>68</v>
      </c>
      <c r="E61" s="57" t="s">
        <v>68</v>
      </c>
      <c r="F61" s="57" t="s">
        <v>68</v>
      </c>
      <c r="G61" s="57" t="s">
        <v>68</v>
      </c>
      <c r="H61" s="57" t="s">
        <v>68</v>
      </c>
      <c r="I61" s="57" t="s">
        <v>68</v>
      </c>
      <c r="J61" s="57" t="s">
        <v>68</v>
      </c>
      <c r="K61" s="57" t="s">
        <v>68</v>
      </c>
      <c r="L61" s="57" t="s">
        <v>68</v>
      </c>
      <c r="M61" s="57" t="s">
        <v>68</v>
      </c>
      <c r="N61" s="57" t="s">
        <v>68</v>
      </c>
      <c r="O61" s="57" t="s">
        <v>68</v>
      </c>
      <c r="P61" s="57" t="s">
        <v>68</v>
      </c>
      <c r="Q61" s="57" t="s">
        <v>68</v>
      </c>
      <c r="R61" s="57" t="s">
        <v>68</v>
      </c>
      <c r="S61" s="57" t="s">
        <v>68</v>
      </c>
      <c r="T61" s="57" t="s">
        <v>68</v>
      </c>
      <c r="U61" s="57" t="s">
        <v>68</v>
      </c>
      <c r="V61" s="57" t="s">
        <v>68</v>
      </c>
      <c r="W61" s="57" t="s">
        <v>68</v>
      </c>
      <c r="X61" s="57" t="s">
        <v>68</v>
      </c>
      <c r="Y61" s="57" t="s">
        <v>68</v>
      </c>
      <c r="Z61" s="57" t="s">
        <v>68</v>
      </c>
      <c r="AA61" s="57" t="s">
        <v>68</v>
      </c>
      <c r="AB61" s="57" t="s">
        <v>68</v>
      </c>
      <c r="AC61" s="57" t="s">
        <v>68</v>
      </c>
      <c r="AD61" s="57" t="s">
        <v>68</v>
      </c>
      <c r="AE61" s="57" t="s">
        <v>68</v>
      </c>
      <c r="AF61" s="57" t="s">
        <v>68</v>
      </c>
      <c r="AG61" s="57" t="s">
        <v>68</v>
      </c>
      <c r="AH61" s="57" t="s">
        <v>68</v>
      </c>
      <c r="AI61" s="57" t="s">
        <v>68</v>
      </c>
      <c r="AJ61" s="23"/>
      <c r="AL61" t="str">
        <f t="shared" ca="1" si="0"/>
        <v xml:space="preserve">    (U1)ALERT_REQ_S_ISA_PD_</v>
      </c>
      <c r="AR61" s="59" t="str">
        <f t="shared" si="3"/>
        <v/>
      </c>
      <c r="AS61" s="59" t="str">
        <f t="shared" si="4"/>
        <v/>
      </c>
      <c r="AT61" s="59" t="str">
        <f t="shared" si="1"/>
        <v/>
      </c>
    </row>
    <row r="62" spans="2:46">
      <c r="B62" s="133"/>
      <c r="C62" s="43">
        <f t="shared" si="2"/>
        <v>56</v>
      </c>
      <c r="D62" s="57" t="s">
        <v>68</v>
      </c>
      <c r="E62" s="57" t="s">
        <v>68</v>
      </c>
      <c r="F62" s="57" t="s">
        <v>68</v>
      </c>
      <c r="G62" s="57" t="s">
        <v>68</v>
      </c>
      <c r="H62" s="57" t="s">
        <v>68</v>
      </c>
      <c r="I62" s="57" t="s">
        <v>68</v>
      </c>
      <c r="J62" s="57" t="s">
        <v>68</v>
      </c>
      <c r="K62" s="57" t="s">
        <v>68</v>
      </c>
      <c r="L62" s="57" t="s">
        <v>68</v>
      </c>
      <c r="M62" s="57" t="s">
        <v>68</v>
      </c>
      <c r="N62" s="57" t="s">
        <v>68</v>
      </c>
      <c r="O62" s="57" t="s">
        <v>68</v>
      </c>
      <c r="P62" s="57" t="s">
        <v>68</v>
      </c>
      <c r="Q62" s="57" t="s">
        <v>68</v>
      </c>
      <c r="R62" s="57" t="s">
        <v>68</v>
      </c>
      <c r="S62" s="57" t="s">
        <v>68</v>
      </c>
      <c r="T62" s="57" t="s">
        <v>68</v>
      </c>
      <c r="U62" s="57" t="s">
        <v>68</v>
      </c>
      <c r="V62" s="57" t="s">
        <v>68</v>
      </c>
      <c r="W62" s="57" t="s">
        <v>68</v>
      </c>
      <c r="X62" s="57" t="s">
        <v>68</v>
      </c>
      <c r="Y62" s="57" t="s">
        <v>68</v>
      </c>
      <c r="Z62" s="57" t="s">
        <v>68</v>
      </c>
      <c r="AA62" s="57" t="s">
        <v>68</v>
      </c>
      <c r="AB62" s="57" t="s">
        <v>68</v>
      </c>
      <c r="AC62" s="57" t="s">
        <v>68</v>
      </c>
      <c r="AD62" s="57" t="s">
        <v>68</v>
      </c>
      <c r="AE62" s="57" t="s">
        <v>68</v>
      </c>
      <c r="AF62" s="57" t="s">
        <v>68</v>
      </c>
      <c r="AG62" s="57" t="s">
        <v>68</v>
      </c>
      <c r="AH62" s="57" t="s">
        <v>68</v>
      </c>
      <c r="AI62" s="57" t="s">
        <v>68</v>
      </c>
      <c r="AJ62" s="23"/>
      <c r="AL62" t="str">
        <f t="shared" ca="1" si="0"/>
        <v xml:space="preserve">    (U1)ALERT_REQ_S_ISA_PD_</v>
      </c>
      <c r="AR62" s="59" t="str">
        <f t="shared" si="3"/>
        <v/>
      </c>
      <c r="AS62" s="59" t="str">
        <f t="shared" si="4"/>
        <v/>
      </c>
      <c r="AT62" s="59" t="str">
        <f t="shared" si="1"/>
        <v/>
      </c>
    </row>
    <row r="63" spans="2:46">
      <c r="B63" s="133"/>
      <c r="C63" s="43">
        <f t="shared" si="2"/>
        <v>57</v>
      </c>
      <c r="D63" s="57" t="s">
        <v>68</v>
      </c>
      <c r="E63" s="57" t="s">
        <v>68</v>
      </c>
      <c r="F63" s="57" t="s">
        <v>68</v>
      </c>
      <c r="G63" s="57" t="s">
        <v>68</v>
      </c>
      <c r="H63" s="57" t="s">
        <v>68</v>
      </c>
      <c r="I63" s="57" t="s">
        <v>68</v>
      </c>
      <c r="J63" s="57" t="s">
        <v>68</v>
      </c>
      <c r="K63" s="57" t="s">
        <v>68</v>
      </c>
      <c r="L63" s="57" t="s">
        <v>68</v>
      </c>
      <c r="M63" s="57" t="s">
        <v>68</v>
      </c>
      <c r="N63" s="57" t="s">
        <v>68</v>
      </c>
      <c r="O63" s="57" t="s">
        <v>68</v>
      </c>
      <c r="P63" s="57" t="s">
        <v>68</v>
      </c>
      <c r="Q63" s="57" t="s">
        <v>68</v>
      </c>
      <c r="R63" s="57" t="s">
        <v>68</v>
      </c>
      <c r="S63" s="57" t="s">
        <v>68</v>
      </c>
      <c r="T63" s="57" t="s">
        <v>68</v>
      </c>
      <c r="U63" s="57" t="s">
        <v>68</v>
      </c>
      <c r="V63" s="57" t="s">
        <v>68</v>
      </c>
      <c r="W63" s="57" t="s">
        <v>68</v>
      </c>
      <c r="X63" s="57" t="s">
        <v>68</v>
      </c>
      <c r="Y63" s="57" t="s">
        <v>68</v>
      </c>
      <c r="Z63" s="57" t="s">
        <v>68</v>
      </c>
      <c r="AA63" s="57" t="s">
        <v>68</v>
      </c>
      <c r="AB63" s="57" t="s">
        <v>68</v>
      </c>
      <c r="AC63" s="57" t="s">
        <v>68</v>
      </c>
      <c r="AD63" s="57" t="s">
        <v>68</v>
      </c>
      <c r="AE63" s="57" t="s">
        <v>68</v>
      </c>
      <c r="AF63" s="57" t="s">
        <v>68</v>
      </c>
      <c r="AG63" s="57" t="s">
        <v>68</v>
      </c>
      <c r="AH63" s="57" t="s">
        <v>68</v>
      </c>
      <c r="AI63" s="57" t="s">
        <v>68</v>
      </c>
      <c r="AJ63" s="23"/>
      <c r="AL63" t="str">
        <f t="shared" ca="1" si="0"/>
        <v xml:space="preserve">    (U1)ALERT_REQ_S_ISA_PD_</v>
      </c>
      <c r="AR63" s="59" t="str">
        <f t="shared" si="3"/>
        <v/>
      </c>
      <c r="AS63" s="59" t="str">
        <f t="shared" si="4"/>
        <v/>
      </c>
      <c r="AT63" s="59" t="str">
        <f t="shared" si="1"/>
        <v/>
      </c>
    </row>
    <row r="64" spans="2:46">
      <c r="B64" s="133"/>
      <c r="C64" s="43">
        <f t="shared" si="2"/>
        <v>58</v>
      </c>
      <c r="D64" s="57" t="s">
        <v>68</v>
      </c>
      <c r="E64" s="57" t="s">
        <v>68</v>
      </c>
      <c r="F64" s="57" t="s">
        <v>68</v>
      </c>
      <c r="G64" s="57" t="s">
        <v>68</v>
      </c>
      <c r="H64" s="57" t="s">
        <v>68</v>
      </c>
      <c r="I64" s="57" t="s">
        <v>68</v>
      </c>
      <c r="J64" s="57" t="s">
        <v>68</v>
      </c>
      <c r="K64" s="57" t="s">
        <v>68</v>
      </c>
      <c r="L64" s="57" t="s">
        <v>68</v>
      </c>
      <c r="M64" s="57" t="s">
        <v>68</v>
      </c>
      <c r="N64" s="57" t="s">
        <v>68</v>
      </c>
      <c r="O64" s="57" t="s">
        <v>68</v>
      </c>
      <c r="P64" s="57" t="s">
        <v>68</v>
      </c>
      <c r="Q64" s="57" t="s">
        <v>68</v>
      </c>
      <c r="R64" s="57" t="s">
        <v>68</v>
      </c>
      <c r="S64" s="57" t="s">
        <v>68</v>
      </c>
      <c r="T64" s="57" t="s">
        <v>68</v>
      </c>
      <c r="U64" s="57" t="s">
        <v>68</v>
      </c>
      <c r="V64" s="57" t="s">
        <v>68</v>
      </c>
      <c r="W64" s="57" t="s">
        <v>68</v>
      </c>
      <c r="X64" s="57" t="s">
        <v>68</v>
      </c>
      <c r="Y64" s="57" t="s">
        <v>68</v>
      </c>
      <c r="Z64" s="57" t="s">
        <v>68</v>
      </c>
      <c r="AA64" s="57" t="s">
        <v>68</v>
      </c>
      <c r="AB64" s="57" t="s">
        <v>68</v>
      </c>
      <c r="AC64" s="57" t="s">
        <v>68</v>
      </c>
      <c r="AD64" s="57" t="s">
        <v>68</v>
      </c>
      <c r="AE64" s="57" t="s">
        <v>68</v>
      </c>
      <c r="AF64" s="57" t="s">
        <v>68</v>
      </c>
      <c r="AG64" s="57" t="s">
        <v>68</v>
      </c>
      <c r="AH64" s="57" t="s">
        <v>68</v>
      </c>
      <c r="AI64" s="57" t="s">
        <v>68</v>
      </c>
      <c r="AJ64" s="23"/>
      <c r="AL64" t="str">
        <f t="shared" ca="1" si="0"/>
        <v xml:space="preserve">    (U1)ALERT_REQ_S_ISA_PD_</v>
      </c>
      <c r="AR64" s="59" t="str">
        <f t="shared" si="3"/>
        <v/>
      </c>
      <c r="AS64" s="59" t="str">
        <f t="shared" si="4"/>
        <v/>
      </c>
      <c r="AT64" s="59" t="str">
        <f t="shared" si="1"/>
        <v/>
      </c>
    </row>
    <row r="65" spans="1:46">
      <c r="B65" s="133"/>
      <c r="C65" s="43">
        <f t="shared" si="2"/>
        <v>59</v>
      </c>
      <c r="D65" s="57" t="s">
        <v>68</v>
      </c>
      <c r="E65" s="57" t="s">
        <v>68</v>
      </c>
      <c r="F65" s="57" t="s">
        <v>68</v>
      </c>
      <c r="G65" s="57" t="s">
        <v>68</v>
      </c>
      <c r="H65" s="57" t="s">
        <v>68</v>
      </c>
      <c r="I65" s="57" t="s">
        <v>68</v>
      </c>
      <c r="J65" s="57" t="s">
        <v>68</v>
      </c>
      <c r="K65" s="57" t="s">
        <v>68</v>
      </c>
      <c r="L65" s="57" t="s">
        <v>68</v>
      </c>
      <c r="M65" s="57" t="s">
        <v>68</v>
      </c>
      <c r="N65" s="57" t="s">
        <v>68</v>
      </c>
      <c r="O65" s="57" t="s">
        <v>68</v>
      </c>
      <c r="P65" s="57" t="s">
        <v>68</v>
      </c>
      <c r="Q65" s="57" t="s">
        <v>68</v>
      </c>
      <c r="R65" s="57" t="s">
        <v>68</v>
      </c>
      <c r="S65" s="57" t="s">
        <v>68</v>
      </c>
      <c r="T65" s="57" t="s">
        <v>68</v>
      </c>
      <c r="U65" s="57" t="s">
        <v>68</v>
      </c>
      <c r="V65" s="57" t="s">
        <v>68</v>
      </c>
      <c r="W65" s="57" t="s">
        <v>68</v>
      </c>
      <c r="X65" s="57" t="s">
        <v>68</v>
      </c>
      <c r="Y65" s="57" t="s">
        <v>68</v>
      </c>
      <c r="Z65" s="57" t="s">
        <v>68</v>
      </c>
      <c r="AA65" s="57" t="s">
        <v>68</v>
      </c>
      <c r="AB65" s="57" t="s">
        <v>68</v>
      </c>
      <c r="AC65" s="57" t="s">
        <v>68</v>
      </c>
      <c r="AD65" s="57" t="s">
        <v>68</v>
      </c>
      <c r="AE65" s="57" t="s">
        <v>68</v>
      </c>
      <c r="AF65" s="57" t="s">
        <v>68</v>
      </c>
      <c r="AG65" s="57" t="s">
        <v>68</v>
      </c>
      <c r="AH65" s="57" t="s">
        <v>68</v>
      </c>
      <c r="AI65" s="57" t="s">
        <v>68</v>
      </c>
      <c r="AJ65" s="23"/>
      <c r="AL65" t="str">
        <f t="shared" ca="1" si="0"/>
        <v xml:space="preserve">    (U1)ALERT_REQ_S_ISA_PD_</v>
      </c>
      <c r="AR65" s="59" t="str">
        <f t="shared" si="3"/>
        <v/>
      </c>
      <c r="AS65" s="59" t="str">
        <f t="shared" si="4"/>
        <v/>
      </c>
      <c r="AT65" s="59" t="str">
        <f t="shared" si="1"/>
        <v/>
      </c>
    </row>
    <row r="66" spans="1:46">
      <c r="B66" s="133"/>
      <c r="C66" s="43">
        <f t="shared" si="2"/>
        <v>60</v>
      </c>
      <c r="D66" s="57" t="s">
        <v>68</v>
      </c>
      <c r="E66" s="57" t="s">
        <v>68</v>
      </c>
      <c r="F66" s="57" t="s">
        <v>68</v>
      </c>
      <c r="G66" s="57" t="s">
        <v>68</v>
      </c>
      <c r="H66" s="57" t="s">
        <v>68</v>
      </c>
      <c r="I66" s="57" t="s">
        <v>68</v>
      </c>
      <c r="J66" s="57" t="s">
        <v>68</v>
      </c>
      <c r="K66" s="57" t="s">
        <v>68</v>
      </c>
      <c r="L66" s="57" t="s">
        <v>68</v>
      </c>
      <c r="M66" s="57" t="s">
        <v>68</v>
      </c>
      <c r="N66" s="57" t="s">
        <v>68</v>
      </c>
      <c r="O66" s="57" t="s">
        <v>68</v>
      </c>
      <c r="P66" s="57" t="s">
        <v>68</v>
      </c>
      <c r="Q66" s="57" t="s">
        <v>68</v>
      </c>
      <c r="R66" s="57" t="s">
        <v>68</v>
      </c>
      <c r="S66" s="57" t="s">
        <v>68</v>
      </c>
      <c r="T66" s="57" t="s">
        <v>68</v>
      </c>
      <c r="U66" s="57" t="s">
        <v>68</v>
      </c>
      <c r="V66" s="57" t="s">
        <v>68</v>
      </c>
      <c r="W66" s="57" t="s">
        <v>68</v>
      </c>
      <c r="X66" s="57" t="s">
        <v>68</v>
      </c>
      <c r="Y66" s="57" t="s">
        <v>68</v>
      </c>
      <c r="Z66" s="57" t="s">
        <v>68</v>
      </c>
      <c r="AA66" s="57" t="s">
        <v>68</v>
      </c>
      <c r="AB66" s="57" t="s">
        <v>68</v>
      </c>
      <c r="AC66" s="57" t="s">
        <v>68</v>
      </c>
      <c r="AD66" s="57" t="s">
        <v>68</v>
      </c>
      <c r="AE66" s="57" t="s">
        <v>68</v>
      </c>
      <c r="AF66" s="57" t="s">
        <v>68</v>
      </c>
      <c r="AG66" s="57" t="s">
        <v>68</v>
      </c>
      <c r="AH66" s="57" t="s">
        <v>68</v>
      </c>
      <c r="AI66" s="57" t="s">
        <v>68</v>
      </c>
      <c r="AJ66" s="23"/>
      <c r="AL66" t="str">
        <f t="shared" ca="1" si="0"/>
        <v xml:space="preserve">    (U1)ALERT_REQ_S_ISA_PD_</v>
      </c>
      <c r="AR66" s="59" t="str">
        <f t="shared" si="3"/>
        <v/>
      </c>
      <c r="AS66" s="59" t="str">
        <f t="shared" si="4"/>
        <v/>
      </c>
      <c r="AT66" s="59" t="str">
        <f t="shared" si="1"/>
        <v/>
      </c>
    </row>
    <row r="67" spans="1:46">
      <c r="B67" s="133"/>
      <c r="C67" s="43">
        <f t="shared" si="2"/>
        <v>61</v>
      </c>
      <c r="D67" s="57" t="s">
        <v>68</v>
      </c>
      <c r="E67" s="57" t="s">
        <v>68</v>
      </c>
      <c r="F67" s="57" t="s">
        <v>68</v>
      </c>
      <c r="G67" s="57" t="s">
        <v>68</v>
      </c>
      <c r="H67" s="57" t="s">
        <v>68</v>
      </c>
      <c r="I67" s="57" t="s">
        <v>68</v>
      </c>
      <c r="J67" s="57" t="s">
        <v>68</v>
      </c>
      <c r="K67" s="57" t="s">
        <v>68</v>
      </c>
      <c r="L67" s="57" t="s">
        <v>68</v>
      </c>
      <c r="M67" s="57" t="s">
        <v>68</v>
      </c>
      <c r="N67" s="57" t="s">
        <v>68</v>
      </c>
      <c r="O67" s="57" t="s">
        <v>68</v>
      </c>
      <c r="P67" s="57" t="s">
        <v>68</v>
      </c>
      <c r="Q67" s="57" t="s">
        <v>68</v>
      </c>
      <c r="R67" s="57" t="s">
        <v>68</v>
      </c>
      <c r="S67" s="57" t="s">
        <v>68</v>
      </c>
      <c r="T67" s="57" t="s">
        <v>68</v>
      </c>
      <c r="U67" s="57" t="s">
        <v>68</v>
      </c>
      <c r="V67" s="57" t="s">
        <v>68</v>
      </c>
      <c r="W67" s="57" t="s">
        <v>68</v>
      </c>
      <c r="X67" s="57" t="s">
        <v>68</v>
      </c>
      <c r="Y67" s="57" t="s">
        <v>68</v>
      </c>
      <c r="Z67" s="57" t="s">
        <v>68</v>
      </c>
      <c r="AA67" s="57" t="s">
        <v>68</v>
      </c>
      <c r="AB67" s="57" t="s">
        <v>68</v>
      </c>
      <c r="AC67" s="57" t="s">
        <v>68</v>
      </c>
      <c r="AD67" s="57" t="s">
        <v>68</v>
      </c>
      <c r="AE67" s="57" t="s">
        <v>68</v>
      </c>
      <c r="AF67" s="57" t="s">
        <v>68</v>
      </c>
      <c r="AG67" s="57" t="s">
        <v>68</v>
      </c>
      <c r="AH67" s="57" t="s">
        <v>68</v>
      </c>
      <c r="AI67" s="57" t="s">
        <v>68</v>
      </c>
      <c r="AJ67" s="23"/>
      <c r="AL67" t="str">
        <f t="shared" ca="1" si="0"/>
        <v xml:space="preserve">    (U1)ALERT_REQ_S_ISA_PD_</v>
      </c>
      <c r="AR67" s="59" t="str">
        <f t="shared" si="3"/>
        <v/>
      </c>
      <c r="AS67" s="59" t="str">
        <f t="shared" si="4"/>
        <v/>
      </c>
      <c r="AT67" s="59" t="str">
        <f t="shared" si="1"/>
        <v/>
      </c>
    </row>
    <row r="68" spans="1:46">
      <c r="B68" s="133"/>
      <c r="C68" s="43">
        <f t="shared" si="2"/>
        <v>62</v>
      </c>
      <c r="D68" s="57" t="s">
        <v>68</v>
      </c>
      <c r="E68" s="57" t="s">
        <v>68</v>
      </c>
      <c r="F68" s="57" t="s">
        <v>68</v>
      </c>
      <c r="G68" s="57" t="s">
        <v>68</v>
      </c>
      <c r="H68" s="57" t="s">
        <v>68</v>
      </c>
      <c r="I68" s="57" t="s">
        <v>68</v>
      </c>
      <c r="J68" s="57" t="s">
        <v>68</v>
      </c>
      <c r="K68" s="57" t="s">
        <v>68</v>
      </c>
      <c r="L68" s="57" t="s">
        <v>68</v>
      </c>
      <c r="M68" s="57" t="s">
        <v>68</v>
      </c>
      <c r="N68" s="57" t="s">
        <v>68</v>
      </c>
      <c r="O68" s="57" t="s">
        <v>68</v>
      </c>
      <c r="P68" s="57" t="s">
        <v>68</v>
      </c>
      <c r="Q68" s="57" t="s">
        <v>68</v>
      </c>
      <c r="R68" s="57" t="s">
        <v>68</v>
      </c>
      <c r="S68" s="57" t="s">
        <v>68</v>
      </c>
      <c r="T68" s="57" t="s">
        <v>68</v>
      </c>
      <c r="U68" s="57" t="s">
        <v>68</v>
      </c>
      <c r="V68" s="57" t="s">
        <v>68</v>
      </c>
      <c r="W68" s="57" t="s">
        <v>68</v>
      </c>
      <c r="X68" s="57" t="s">
        <v>68</v>
      </c>
      <c r="Y68" s="57" t="s">
        <v>68</v>
      </c>
      <c r="Z68" s="57" t="s">
        <v>68</v>
      </c>
      <c r="AA68" s="57" t="s">
        <v>68</v>
      </c>
      <c r="AB68" s="57" t="s">
        <v>68</v>
      </c>
      <c r="AC68" s="57" t="s">
        <v>68</v>
      </c>
      <c r="AD68" s="57" t="s">
        <v>68</v>
      </c>
      <c r="AE68" s="57" t="s">
        <v>68</v>
      </c>
      <c r="AF68" s="57" t="s">
        <v>68</v>
      </c>
      <c r="AG68" s="57" t="s">
        <v>68</v>
      </c>
      <c r="AH68" s="57" t="s">
        <v>68</v>
      </c>
      <c r="AI68" s="57" t="s">
        <v>68</v>
      </c>
      <c r="AJ68" s="23"/>
      <c r="AL68" t="str">
        <f t="shared" ca="1" si="0"/>
        <v xml:space="preserve">    (U1)ALERT_REQ_S_ISA_PD_</v>
      </c>
      <c r="AR68" s="59" t="str">
        <f t="shared" si="3"/>
        <v/>
      </c>
      <c r="AS68" s="59" t="str">
        <f t="shared" si="4"/>
        <v/>
      </c>
      <c r="AT68" s="59" t="str">
        <f t="shared" si="1"/>
        <v/>
      </c>
    </row>
    <row r="69" spans="1:46">
      <c r="B69" s="134"/>
      <c r="C69" s="43">
        <f t="shared" si="2"/>
        <v>63</v>
      </c>
      <c r="D69" s="57" t="s">
        <v>68</v>
      </c>
      <c r="E69" s="57" t="s">
        <v>68</v>
      </c>
      <c r="F69" s="57" t="s">
        <v>68</v>
      </c>
      <c r="G69" s="57" t="s">
        <v>68</v>
      </c>
      <c r="H69" s="57" t="s">
        <v>68</v>
      </c>
      <c r="I69" s="57" t="s">
        <v>68</v>
      </c>
      <c r="J69" s="57" t="s">
        <v>68</v>
      </c>
      <c r="K69" s="57" t="s">
        <v>68</v>
      </c>
      <c r="L69" s="57" t="s">
        <v>68</v>
      </c>
      <c r="M69" s="57" t="s">
        <v>68</v>
      </c>
      <c r="N69" s="57" t="s">
        <v>68</v>
      </c>
      <c r="O69" s="57" t="s">
        <v>68</v>
      </c>
      <c r="P69" s="57" t="s">
        <v>68</v>
      </c>
      <c r="Q69" s="57" t="s">
        <v>68</v>
      </c>
      <c r="R69" s="57" t="s">
        <v>68</v>
      </c>
      <c r="S69" s="57" t="s">
        <v>68</v>
      </c>
      <c r="T69" s="57" t="s">
        <v>68</v>
      </c>
      <c r="U69" s="57" t="s">
        <v>68</v>
      </c>
      <c r="V69" s="57" t="s">
        <v>68</v>
      </c>
      <c r="W69" s="57" t="s">
        <v>68</v>
      </c>
      <c r="X69" s="57" t="s">
        <v>68</v>
      </c>
      <c r="Y69" s="57" t="s">
        <v>68</v>
      </c>
      <c r="Z69" s="57" t="s">
        <v>68</v>
      </c>
      <c r="AA69" s="57" t="s">
        <v>68</v>
      </c>
      <c r="AB69" s="57" t="s">
        <v>68</v>
      </c>
      <c r="AC69" s="57" t="s">
        <v>68</v>
      </c>
      <c r="AD69" s="57" t="s">
        <v>68</v>
      </c>
      <c r="AE69" s="57" t="s">
        <v>68</v>
      </c>
      <c r="AF69" s="57" t="s">
        <v>68</v>
      </c>
      <c r="AG69" s="57" t="s">
        <v>68</v>
      </c>
      <c r="AH69" s="57" t="s">
        <v>68</v>
      </c>
      <c r="AI69" s="57" t="s">
        <v>68</v>
      </c>
      <c r="AJ69" s="23"/>
      <c r="AL69" t="str">
        <f t="shared" ca="1" si="0"/>
        <v xml:space="preserve">    (U1)ALERT_REQ_S_ISA_PD_</v>
      </c>
      <c r="AR69" s="59" t="str">
        <f t="shared" si="3"/>
        <v/>
      </c>
      <c r="AS69" s="59" t="str">
        <f t="shared" si="4"/>
        <v/>
      </c>
      <c r="AT69" s="59" t="str">
        <f t="shared" si="1"/>
        <v/>
      </c>
    </row>
    <row r="70" spans="1:46" ht="14.25" thickBot="1">
      <c r="A70" s="52" t="s">
        <v>65</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5" t="str">
        <f ca="1">IF(B6&lt;&gt;"",B6,"")</f>
        <v>Table PD</v>
      </c>
      <c r="C71" s="43">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1</v>
      </c>
      <c r="AI71" s="126">
        <f t="shared" si="6"/>
        <v>1</v>
      </c>
      <c r="AJ71" s="43" t="str">
        <f t="shared" ref="AJ71:AJ134" si="7">IF(AJ6&lt;&gt;"",AJ6,"")</f>
        <v>RW</v>
      </c>
      <c r="AK71" s="56"/>
      <c r="AL71" s="56" t="str">
        <f>BIN2HEX(AB71&amp;AC71&amp;AD71&amp;AE71&amp;AF71&amp;AG71&amp;AH71&amp;AI71,2)</f>
        <v>03</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(U4)0x00000003U,                                                           /* 00 RW                                              */</v>
      </c>
    </row>
    <row r="72" spans="1:46">
      <c r="B72" s="133"/>
      <c r="C72" s="43">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1</v>
      </c>
      <c r="AH72" s="126">
        <f t="shared" si="6"/>
        <v>1</v>
      </c>
      <c r="AI72" s="126">
        <f t="shared" si="6"/>
        <v>0</v>
      </c>
      <c r="AJ72" s="43" t="str">
        <f t="shared" si="7"/>
        <v>RW</v>
      </c>
      <c r="AK72" s="56"/>
      <c r="AL72" s="56" t="str">
        <f t="shared" ref="AL72:AL134" si="10">BIN2HEX(AB72&amp;AC72&amp;AD72&amp;AE72&amp;AF72&amp;AG72&amp;AH72&amp;AI72,2)</f>
        <v>06</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(U4)0x00000006U,                                                           /* 01 RW                                              */</v>
      </c>
    </row>
    <row r="73" spans="1:46">
      <c r="B73" s="133"/>
      <c r="C73" s="43">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1</v>
      </c>
      <c r="AF73" s="126">
        <f t="shared" si="6"/>
        <v>1</v>
      </c>
      <c r="AG73" s="126">
        <f t="shared" si="6"/>
        <v>0</v>
      </c>
      <c r="AH73" s="126">
        <f t="shared" si="6"/>
        <v>0</v>
      </c>
      <c r="AI73" s="126">
        <f t="shared" si="6"/>
        <v>1</v>
      </c>
      <c r="AJ73" s="43" t="str">
        <f t="shared" si="7"/>
        <v>MALFUNC</v>
      </c>
      <c r="AK73" s="56"/>
      <c r="AL73" s="56" t="str">
        <f t="shared" si="10"/>
        <v>19</v>
      </c>
      <c r="AM73" s="58" t="str">
        <f t="shared" si="11"/>
        <v>00</v>
      </c>
      <c r="AN73" s="58" t="str">
        <f t="shared" si="12"/>
        <v>00</v>
      </c>
      <c r="AO73" s="58" t="str">
        <f t="shared" si="13"/>
        <v>00</v>
      </c>
      <c r="AQ73" t="str">
        <f t="shared" si="8"/>
        <v xml:space="preserve">    (U4)0x00000019U,                                                           /* 02 MALFUNC                                         */</v>
      </c>
    </row>
    <row r="74" spans="1:46">
      <c r="B74" s="133"/>
      <c r="C74" s="43">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1</v>
      </c>
      <c r="AF74" s="126">
        <f t="shared" si="6"/>
        <v>1</v>
      </c>
      <c r="AG74" s="126">
        <f t="shared" si="6"/>
        <v>0</v>
      </c>
      <c r="AH74" s="126">
        <f t="shared" si="6"/>
        <v>1</v>
      </c>
      <c r="AI74" s="126">
        <f t="shared" si="6"/>
        <v>0</v>
      </c>
      <c r="AJ74" s="43" t="str">
        <f t="shared" si="7"/>
        <v>UNAVLBL</v>
      </c>
      <c r="AK74" s="56"/>
      <c r="AL74" s="56" t="str">
        <f t="shared" si="10"/>
        <v>1A</v>
      </c>
      <c r="AM74" s="58" t="str">
        <f t="shared" si="11"/>
        <v>00</v>
      </c>
      <c r="AN74" s="58" t="str">
        <f t="shared" si="12"/>
        <v>00</v>
      </c>
      <c r="AO74" s="58" t="str">
        <f t="shared" si="13"/>
        <v>00</v>
      </c>
      <c r="AQ74" t="str">
        <f t="shared" si="8"/>
        <v xml:space="preserve">    (U4)0x0000001AU                                                            /* 03 UNAVLBL                                         */</v>
      </c>
    </row>
    <row r="75" spans="1:46">
      <c r="B75" s="133"/>
      <c r="C75" s="43">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0</v>
      </c>
      <c r="AH75" s="126">
        <f t="shared" si="6"/>
        <v>0</v>
      </c>
      <c r="AI75" s="126">
        <f t="shared" si="6"/>
        <v>0</v>
      </c>
      <c r="AJ75" s="43" t="str">
        <f t="shared" si="7"/>
        <v/>
      </c>
      <c r="AK75" s="56"/>
      <c r="AL75" s="56" t="str">
        <f t="shared" si="10"/>
        <v>00</v>
      </c>
      <c r="AM75" s="58" t="str">
        <f t="shared" si="11"/>
        <v>00</v>
      </c>
      <c r="AN75" s="58" t="str">
        <f t="shared" si="12"/>
        <v>00</v>
      </c>
      <c r="AO75" s="58" t="str">
        <f t="shared" si="13"/>
        <v>00</v>
      </c>
      <c r="AQ75" t="str">
        <f t="shared" si="8"/>
        <v/>
      </c>
    </row>
    <row r="76" spans="1:46">
      <c r="B76" s="133"/>
      <c r="C76" s="43">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0</v>
      </c>
      <c r="AH76" s="126">
        <f t="shared" si="6"/>
        <v>0</v>
      </c>
      <c r="AI76" s="126">
        <f t="shared" si="6"/>
        <v>0</v>
      </c>
      <c r="AJ76" s="43" t="str">
        <f t="shared" si="7"/>
        <v/>
      </c>
      <c r="AK76" s="56"/>
      <c r="AL76" s="56" t="str">
        <f t="shared" si="10"/>
        <v>00</v>
      </c>
      <c r="AM76" s="58" t="str">
        <f t="shared" si="11"/>
        <v>00</v>
      </c>
      <c r="AN76" s="58" t="str">
        <f t="shared" si="12"/>
        <v>00</v>
      </c>
      <c r="AO76" s="58" t="str">
        <f t="shared" si="13"/>
        <v>00</v>
      </c>
      <c r="AQ76" t="str">
        <f t="shared" si="8"/>
        <v/>
      </c>
    </row>
    <row r="77" spans="1:46">
      <c r="B77" s="133"/>
      <c r="C77" s="43">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0</v>
      </c>
      <c r="AH77" s="126">
        <f t="shared" si="6"/>
        <v>0</v>
      </c>
      <c r="AI77" s="126">
        <f t="shared" si="6"/>
        <v>0</v>
      </c>
      <c r="AJ77" s="43" t="str">
        <f t="shared" si="7"/>
        <v/>
      </c>
      <c r="AK77" s="56"/>
      <c r="AL77" s="56" t="str">
        <f t="shared" si="10"/>
        <v>00</v>
      </c>
      <c r="AM77" s="58" t="str">
        <f t="shared" si="11"/>
        <v>00</v>
      </c>
      <c r="AN77" s="58" t="str">
        <f t="shared" si="12"/>
        <v>00</v>
      </c>
      <c r="AO77" s="58" t="str">
        <f t="shared" si="13"/>
        <v>00</v>
      </c>
      <c r="AQ77" t="str">
        <f t="shared" si="8"/>
        <v/>
      </c>
    </row>
    <row r="78" spans="1:46">
      <c r="B78" s="133"/>
      <c r="C78" s="43">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0</v>
      </c>
      <c r="AH78" s="126">
        <f t="shared" si="6"/>
        <v>0</v>
      </c>
      <c r="AI78" s="126">
        <f t="shared" ref="AI78" si="14">IF(AI13=1,1,0)</f>
        <v>0</v>
      </c>
      <c r="AJ78" s="43" t="str">
        <f t="shared" si="7"/>
        <v/>
      </c>
      <c r="AK78" s="56"/>
      <c r="AL78" s="56" t="str">
        <f t="shared" si="10"/>
        <v>00</v>
      </c>
      <c r="AM78" s="58" t="str">
        <f t="shared" si="11"/>
        <v>00</v>
      </c>
      <c r="AN78" s="58" t="str">
        <f t="shared" si="12"/>
        <v>00</v>
      </c>
      <c r="AO78" s="58" t="str">
        <f t="shared" si="13"/>
        <v>00</v>
      </c>
      <c r="AQ78" t="str">
        <f t="shared" si="8"/>
        <v/>
      </c>
    </row>
    <row r="79" spans="1:46">
      <c r="B79" s="133"/>
      <c r="C79" s="43">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0</v>
      </c>
      <c r="AG79" s="126">
        <f t="shared" si="15"/>
        <v>0</v>
      </c>
      <c r="AH79" s="126">
        <f t="shared" si="15"/>
        <v>0</v>
      </c>
      <c r="AI79" s="126">
        <f t="shared" si="15"/>
        <v>0</v>
      </c>
      <c r="AJ79" s="43" t="str">
        <f t="shared" si="7"/>
        <v/>
      </c>
      <c r="AK79" s="56"/>
      <c r="AL79" s="56" t="str">
        <f t="shared" si="10"/>
        <v>00</v>
      </c>
      <c r="AM79" s="58" t="str">
        <f t="shared" si="11"/>
        <v>00</v>
      </c>
      <c r="AN79" s="58" t="str">
        <f t="shared" si="12"/>
        <v>00</v>
      </c>
      <c r="AO79" s="58" t="str">
        <f t="shared" si="13"/>
        <v>00</v>
      </c>
      <c r="AQ79" t="str">
        <f t="shared" si="8"/>
        <v/>
      </c>
    </row>
    <row r="80" spans="1:46">
      <c r="B80" s="133"/>
      <c r="C80" s="43">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0</v>
      </c>
      <c r="AG80" s="126">
        <f t="shared" si="15"/>
        <v>0</v>
      </c>
      <c r="AH80" s="126">
        <f t="shared" si="15"/>
        <v>0</v>
      </c>
      <c r="AI80" s="126">
        <f t="shared" si="15"/>
        <v>0</v>
      </c>
      <c r="AJ80" s="43" t="str">
        <f t="shared" si="7"/>
        <v/>
      </c>
      <c r="AK80" s="56"/>
      <c r="AL80" s="56" t="str">
        <f t="shared" si="10"/>
        <v>00</v>
      </c>
      <c r="AM80" s="58" t="str">
        <f t="shared" si="11"/>
        <v>00</v>
      </c>
      <c r="AN80" s="58" t="str">
        <f t="shared" si="12"/>
        <v>00</v>
      </c>
      <c r="AO80" s="58" t="str">
        <f t="shared" si="13"/>
        <v>00</v>
      </c>
      <c r="AQ80" t="str">
        <f t="shared" si="8"/>
        <v/>
      </c>
    </row>
    <row r="81" spans="2:43">
      <c r="B81" s="133"/>
      <c r="C81" s="43">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0</v>
      </c>
      <c r="AG81" s="126">
        <f t="shared" si="15"/>
        <v>0</v>
      </c>
      <c r="AH81" s="126">
        <f t="shared" si="15"/>
        <v>0</v>
      </c>
      <c r="AI81" s="126">
        <f t="shared" si="15"/>
        <v>0</v>
      </c>
      <c r="AJ81" s="43" t="str">
        <f t="shared" si="7"/>
        <v/>
      </c>
      <c r="AK81" s="56"/>
      <c r="AL81" s="56" t="str">
        <f t="shared" si="10"/>
        <v>00</v>
      </c>
      <c r="AM81" s="58" t="str">
        <f t="shared" si="11"/>
        <v>00</v>
      </c>
      <c r="AN81" s="58" t="str">
        <f t="shared" si="12"/>
        <v>00</v>
      </c>
      <c r="AO81" s="58" t="str">
        <f t="shared" si="13"/>
        <v>00</v>
      </c>
      <c r="AQ81" t="str">
        <f t="shared" si="8"/>
        <v/>
      </c>
    </row>
    <row r="82" spans="2:43">
      <c r="B82" s="133"/>
      <c r="C82" s="43">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0</v>
      </c>
      <c r="AG82" s="126">
        <f t="shared" si="15"/>
        <v>0</v>
      </c>
      <c r="AH82" s="126">
        <f t="shared" si="15"/>
        <v>0</v>
      </c>
      <c r="AI82" s="126">
        <f t="shared" si="15"/>
        <v>0</v>
      </c>
      <c r="AJ82" s="43" t="str">
        <f t="shared" si="7"/>
        <v/>
      </c>
      <c r="AK82" s="56"/>
      <c r="AL82" s="56" t="str">
        <f t="shared" si="10"/>
        <v>00</v>
      </c>
      <c r="AM82" s="58" t="str">
        <f t="shared" si="11"/>
        <v>00</v>
      </c>
      <c r="AN82" s="58" t="str">
        <f t="shared" si="12"/>
        <v>00</v>
      </c>
      <c r="AO82" s="58" t="str">
        <f t="shared" si="13"/>
        <v>00</v>
      </c>
      <c r="AQ82" t="str">
        <f t="shared" si="8"/>
        <v/>
      </c>
    </row>
    <row r="83" spans="2:43">
      <c r="B83" s="133"/>
      <c r="C83" s="43">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0</v>
      </c>
      <c r="AG83" s="126">
        <f t="shared" si="15"/>
        <v>0</v>
      </c>
      <c r="AH83" s="126">
        <f t="shared" si="15"/>
        <v>0</v>
      </c>
      <c r="AI83" s="126">
        <f t="shared" si="15"/>
        <v>0</v>
      </c>
      <c r="AJ83" s="43" t="str">
        <f t="shared" si="7"/>
        <v/>
      </c>
      <c r="AK83" s="56"/>
      <c r="AL83" s="56" t="str">
        <f t="shared" si="10"/>
        <v>00</v>
      </c>
      <c r="AM83" s="58" t="str">
        <f t="shared" si="11"/>
        <v>00</v>
      </c>
      <c r="AN83" s="58" t="str">
        <f t="shared" si="12"/>
        <v>00</v>
      </c>
      <c r="AO83" s="58" t="str">
        <f t="shared" si="13"/>
        <v>00</v>
      </c>
      <c r="AQ83" t="str">
        <f t="shared" si="8"/>
        <v/>
      </c>
    </row>
    <row r="84" spans="2:43">
      <c r="B84" s="133"/>
      <c r="C84" s="43">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0</v>
      </c>
      <c r="AG84" s="126">
        <f t="shared" si="15"/>
        <v>0</v>
      </c>
      <c r="AH84" s="126">
        <f t="shared" si="15"/>
        <v>0</v>
      </c>
      <c r="AI84" s="126">
        <f t="shared" si="15"/>
        <v>0</v>
      </c>
      <c r="AJ84" s="43" t="str">
        <f t="shared" si="7"/>
        <v/>
      </c>
      <c r="AK84" s="56"/>
      <c r="AL84" s="56" t="str">
        <f t="shared" si="10"/>
        <v>00</v>
      </c>
      <c r="AM84" s="58" t="str">
        <f t="shared" si="11"/>
        <v>00</v>
      </c>
      <c r="AN84" s="58" t="str">
        <f t="shared" si="12"/>
        <v>00</v>
      </c>
      <c r="AO84" s="58" t="str">
        <f t="shared" si="13"/>
        <v>00</v>
      </c>
      <c r="AQ84" t="str">
        <f t="shared" si="8"/>
        <v/>
      </c>
    </row>
    <row r="85" spans="2:43">
      <c r="B85" s="133"/>
      <c r="C85" s="43">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0</v>
      </c>
      <c r="AG85" s="126">
        <f t="shared" si="15"/>
        <v>0</v>
      </c>
      <c r="AH85" s="126">
        <f t="shared" si="15"/>
        <v>0</v>
      </c>
      <c r="AI85" s="126">
        <f t="shared" si="15"/>
        <v>0</v>
      </c>
      <c r="AJ85" s="43" t="str">
        <f t="shared" si="7"/>
        <v/>
      </c>
      <c r="AK85" s="56"/>
      <c r="AL85" s="56" t="str">
        <f t="shared" si="10"/>
        <v>00</v>
      </c>
      <c r="AM85" s="58" t="str">
        <f t="shared" si="11"/>
        <v>00</v>
      </c>
      <c r="AN85" s="58" t="str">
        <f t="shared" si="12"/>
        <v>00</v>
      </c>
      <c r="AO85" s="58" t="str">
        <f t="shared" si="13"/>
        <v>00</v>
      </c>
      <c r="AQ85" t="str">
        <f t="shared" si="8"/>
        <v/>
      </c>
    </row>
    <row r="86" spans="2:43">
      <c r="B86" s="133"/>
      <c r="C86" s="43">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0</v>
      </c>
      <c r="AG86" s="126">
        <f t="shared" si="15"/>
        <v>0</v>
      </c>
      <c r="AH86" s="126">
        <f t="shared" si="15"/>
        <v>0</v>
      </c>
      <c r="AI86" s="126">
        <f t="shared" ref="AI86" si="16">IF(AI21=1,1,0)</f>
        <v>0</v>
      </c>
      <c r="AJ86" s="43" t="str">
        <f t="shared" si="7"/>
        <v/>
      </c>
      <c r="AK86" s="56"/>
      <c r="AL86" s="56" t="str">
        <f t="shared" si="10"/>
        <v>00</v>
      </c>
      <c r="AM86" s="58" t="str">
        <f t="shared" si="11"/>
        <v>00</v>
      </c>
      <c r="AN86" s="58" t="str">
        <f t="shared" si="12"/>
        <v>00</v>
      </c>
      <c r="AO86" s="58" t="str">
        <f t="shared" si="13"/>
        <v>00</v>
      </c>
      <c r="AQ86" t="str">
        <f t="shared" si="8"/>
        <v/>
      </c>
    </row>
    <row r="87" spans="2:43">
      <c r="B87" s="133"/>
      <c r="C87" s="43">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33"/>
      <c r="C88" s="43">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33"/>
      <c r="C89" s="43">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33"/>
      <c r="C90" s="43">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33"/>
      <c r="C91" s="43">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33"/>
      <c r="C92" s="43">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33"/>
      <c r="C93" s="43">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33"/>
      <c r="C94" s="43">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33"/>
      <c r="C95" s="43">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33"/>
      <c r="C96" s="43">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33"/>
      <c r="C97" s="43">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33"/>
      <c r="C98" s="43">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33"/>
      <c r="C99" s="43">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33"/>
      <c r="C100" s="43">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33"/>
      <c r="C101" s="43">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33"/>
      <c r="C102" s="43">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33"/>
      <c r="C103" s="43">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33"/>
      <c r="C104" s="43">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33"/>
      <c r="C105" s="43">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33"/>
      <c r="C106" s="43">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33"/>
      <c r="C107" s="43">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33"/>
      <c r="C108" s="43">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33"/>
      <c r="C109" s="43">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33"/>
      <c r="C110" s="43">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33"/>
      <c r="C111" s="43">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33"/>
      <c r="C112" s="43">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33"/>
      <c r="C113" s="43">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33"/>
      <c r="C114" s="43">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33"/>
      <c r="C115" s="43">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33"/>
      <c r="C116" s="43">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33"/>
      <c r="C117" s="43">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33"/>
      <c r="C118" s="43">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33"/>
      <c r="C119" s="43">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33"/>
      <c r="C120" s="43">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33"/>
      <c r="C121" s="43">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33"/>
      <c r="C122" s="43">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33"/>
      <c r="C123" s="43">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33"/>
      <c r="C124" s="43">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33"/>
      <c r="C125" s="43">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33"/>
      <c r="C126" s="43">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33"/>
      <c r="C127" s="43">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33"/>
      <c r="C128" s="43">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33"/>
      <c r="C129" s="43">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33"/>
      <c r="C130" s="43">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33"/>
      <c r="C131" s="43">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33"/>
      <c r="C132" s="43">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33"/>
      <c r="C133" s="43">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4"/>
      <c r="C134" s="43">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66</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5" t="str">
        <f ca="1">IF(B6&lt;&gt;"",B6,"")</f>
        <v>Table PD</v>
      </c>
      <c r="C136" s="43">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1</v>
      </c>
      <c r="AD136" s="126">
        <f t="shared" si="29"/>
        <v>1</v>
      </c>
      <c r="AE136" s="126">
        <f t="shared" si="29"/>
        <v>1</v>
      </c>
      <c r="AF136" s="126">
        <f t="shared" si="29"/>
        <v>1</v>
      </c>
      <c r="AG136" s="126">
        <f t="shared" si="29"/>
        <v>1</v>
      </c>
      <c r="AH136" s="126">
        <f t="shared" si="29"/>
        <v>1</v>
      </c>
      <c r="AI136" s="126">
        <f t="shared" si="29"/>
        <v>1</v>
      </c>
      <c r="AJ136" s="43" t="str">
        <f t="shared" ref="AJ136:AJ199" si="30">IF(AJ6&lt;&gt;"",AJ6,"")</f>
        <v>RW</v>
      </c>
      <c r="AK136" s="56"/>
      <c r="AL136" s="56" t="str">
        <f>BIN2HEX(AB136&amp;AC136&amp;AD136&amp;AE136&amp;AF136&amp;AG136&amp;AH136&amp;AI136,2)</f>
        <v>7F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RW                                              */</v>
      </c>
    </row>
    <row r="137" spans="1:43">
      <c r="B137" s="133"/>
      <c r="C137" s="43">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1</v>
      </c>
      <c r="AD137" s="126">
        <f t="shared" si="29"/>
        <v>1</v>
      </c>
      <c r="AE137" s="126">
        <f t="shared" si="29"/>
        <v>1</v>
      </c>
      <c r="AF137" s="126">
        <f t="shared" si="29"/>
        <v>1</v>
      </c>
      <c r="AG137" s="126">
        <f t="shared" si="29"/>
        <v>1</v>
      </c>
      <c r="AH137" s="126">
        <f t="shared" si="29"/>
        <v>1</v>
      </c>
      <c r="AI137" s="126">
        <f t="shared" si="29"/>
        <v>1</v>
      </c>
      <c r="AJ137" s="43" t="str">
        <f t="shared" si="30"/>
        <v>RW</v>
      </c>
      <c r="AK137" s="56"/>
      <c r="AL137" s="56" t="str">
        <f t="shared" ref="AL137:AL199" si="33">BIN2HEX(AB137&amp;AC137&amp;AD137&amp;AE137&amp;AF137&amp;AG137&amp;AH137&amp;AI137,2)</f>
        <v>7F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(U4)0x0000007FU,                                                           /* 01 RW                                              */</v>
      </c>
    </row>
    <row r="138" spans="1:43">
      <c r="B138" s="133"/>
      <c r="C138" s="43">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1</v>
      </c>
      <c r="AD138" s="126">
        <f t="shared" si="29"/>
        <v>1</v>
      </c>
      <c r="AE138" s="126">
        <f t="shared" si="29"/>
        <v>1</v>
      </c>
      <c r="AF138" s="126">
        <f t="shared" si="29"/>
        <v>1</v>
      </c>
      <c r="AG138" s="126">
        <f t="shared" si="29"/>
        <v>1</v>
      </c>
      <c r="AH138" s="126">
        <f t="shared" si="29"/>
        <v>1</v>
      </c>
      <c r="AI138" s="126">
        <f t="shared" si="29"/>
        <v>1</v>
      </c>
      <c r="AJ138" s="43" t="str">
        <f t="shared" si="30"/>
        <v>MALFUNC</v>
      </c>
      <c r="AK138" s="56"/>
      <c r="AL138" s="56" t="str">
        <f t="shared" si="33"/>
        <v>7F</v>
      </c>
      <c r="AM138" s="58" t="str">
        <f t="shared" si="34"/>
        <v>00</v>
      </c>
      <c r="AN138" s="58" t="str">
        <f t="shared" si="35"/>
        <v>00</v>
      </c>
      <c r="AO138" s="58" t="str">
        <f t="shared" si="36"/>
        <v>00</v>
      </c>
      <c r="AQ138" t="str">
        <f t="shared" si="31"/>
        <v xml:space="preserve">    (U4)0x0000007FU,                                                           /* 02 MALFUNC                                         */</v>
      </c>
    </row>
    <row r="139" spans="1:43">
      <c r="B139" s="133"/>
      <c r="C139" s="43">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1</v>
      </c>
      <c r="AD139" s="126">
        <f t="shared" si="29"/>
        <v>1</v>
      </c>
      <c r="AE139" s="126">
        <f t="shared" si="29"/>
        <v>1</v>
      </c>
      <c r="AF139" s="126">
        <f t="shared" si="29"/>
        <v>1</v>
      </c>
      <c r="AG139" s="126">
        <f t="shared" si="29"/>
        <v>1</v>
      </c>
      <c r="AH139" s="126">
        <f t="shared" si="29"/>
        <v>1</v>
      </c>
      <c r="AI139" s="126">
        <f t="shared" si="29"/>
        <v>1</v>
      </c>
      <c r="AJ139" s="43" t="str">
        <f t="shared" si="30"/>
        <v>UNAVLBL</v>
      </c>
      <c r="AK139" s="56"/>
      <c r="AL139" s="56" t="str">
        <f t="shared" si="33"/>
        <v>7F</v>
      </c>
      <c r="AM139" s="58" t="str">
        <f t="shared" si="34"/>
        <v>00</v>
      </c>
      <c r="AN139" s="58" t="str">
        <f t="shared" si="35"/>
        <v>00</v>
      </c>
      <c r="AO139" s="58" t="str">
        <f t="shared" si="36"/>
        <v>00</v>
      </c>
      <c r="AQ139" t="str">
        <f t="shared" si="31"/>
        <v xml:space="preserve">    (U4)0x0000007FU                                                            /* 03 UNAVLBL                                         */</v>
      </c>
    </row>
    <row r="140" spans="1:43">
      <c r="B140" s="133"/>
      <c r="C140" s="43">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0</v>
      </c>
      <c r="AG140" s="126">
        <f t="shared" si="29"/>
        <v>0</v>
      </c>
      <c r="AH140" s="126">
        <f t="shared" si="29"/>
        <v>0</v>
      </c>
      <c r="AI140" s="126">
        <f t="shared" si="29"/>
        <v>0</v>
      </c>
      <c r="AJ140" s="43" t="str">
        <f t="shared" si="30"/>
        <v/>
      </c>
      <c r="AK140" s="56"/>
      <c r="AL140" s="56" t="str">
        <f t="shared" si="33"/>
        <v>00</v>
      </c>
      <c r="AM140" s="58" t="str">
        <f t="shared" si="34"/>
        <v>00</v>
      </c>
      <c r="AN140" s="58" t="str">
        <f t="shared" si="35"/>
        <v>00</v>
      </c>
      <c r="AO140" s="58" t="str">
        <f t="shared" si="36"/>
        <v>00</v>
      </c>
      <c r="AQ140" t="str">
        <f t="shared" si="31"/>
        <v/>
      </c>
    </row>
    <row r="141" spans="1:43">
      <c r="B141" s="133"/>
      <c r="C141" s="43">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0</v>
      </c>
      <c r="AG141" s="126">
        <f t="shared" si="29"/>
        <v>0</v>
      </c>
      <c r="AH141" s="126">
        <f t="shared" si="29"/>
        <v>0</v>
      </c>
      <c r="AI141" s="126">
        <f t="shared" si="29"/>
        <v>0</v>
      </c>
      <c r="AJ141" s="43" t="str">
        <f t="shared" si="30"/>
        <v/>
      </c>
      <c r="AK141" s="56"/>
      <c r="AL141" s="56" t="str">
        <f t="shared" si="33"/>
        <v>00</v>
      </c>
      <c r="AM141" s="58" t="str">
        <f t="shared" si="34"/>
        <v>00</v>
      </c>
      <c r="AN141" s="58" t="str">
        <f t="shared" si="35"/>
        <v>00</v>
      </c>
      <c r="AO141" s="58" t="str">
        <f t="shared" si="36"/>
        <v>00</v>
      </c>
      <c r="AQ141" t="str">
        <f t="shared" si="31"/>
        <v/>
      </c>
    </row>
    <row r="142" spans="1:43">
      <c r="B142" s="133"/>
      <c r="C142" s="43">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0</v>
      </c>
      <c r="AG142" s="126">
        <f t="shared" si="29"/>
        <v>0</v>
      </c>
      <c r="AH142" s="126">
        <f t="shared" si="29"/>
        <v>0</v>
      </c>
      <c r="AI142" s="126">
        <f t="shared" si="29"/>
        <v>0</v>
      </c>
      <c r="AJ142" s="43" t="str">
        <f t="shared" si="30"/>
        <v/>
      </c>
      <c r="AK142" s="56"/>
      <c r="AL142" s="56" t="str">
        <f t="shared" si="33"/>
        <v>00</v>
      </c>
      <c r="AM142" s="58" t="str">
        <f t="shared" si="34"/>
        <v>00</v>
      </c>
      <c r="AN142" s="58" t="str">
        <f t="shared" si="35"/>
        <v>00</v>
      </c>
      <c r="AO142" s="58" t="str">
        <f t="shared" si="36"/>
        <v>00</v>
      </c>
      <c r="AQ142" t="str">
        <f t="shared" si="31"/>
        <v/>
      </c>
    </row>
    <row r="143" spans="1:43">
      <c r="B143" s="133"/>
      <c r="C143" s="43">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0</v>
      </c>
      <c r="AG143" s="126">
        <f t="shared" si="29"/>
        <v>0</v>
      </c>
      <c r="AH143" s="126">
        <f t="shared" si="29"/>
        <v>0</v>
      </c>
      <c r="AI143" s="126">
        <f t="shared" ref="AI143" si="37">IF(OR(AI13=0,AI13=1),1,0)</f>
        <v>0</v>
      </c>
      <c r="AJ143" s="43" t="str">
        <f t="shared" si="30"/>
        <v/>
      </c>
      <c r="AK143" s="56"/>
      <c r="AL143" s="56" t="str">
        <f t="shared" si="33"/>
        <v>00</v>
      </c>
      <c r="AM143" s="58" t="str">
        <f t="shared" si="34"/>
        <v>00</v>
      </c>
      <c r="AN143" s="58" t="str">
        <f t="shared" si="35"/>
        <v>00</v>
      </c>
      <c r="AO143" s="58" t="str">
        <f t="shared" si="36"/>
        <v>00</v>
      </c>
      <c r="AQ143" t="str">
        <f t="shared" si="31"/>
        <v/>
      </c>
    </row>
    <row r="144" spans="1:43">
      <c r="B144" s="133"/>
      <c r="C144" s="43">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0</v>
      </c>
      <c r="AG144" s="126">
        <f t="shared" si="38"/>
        <v>0</v>
      </c>
      <c r="AH144" s="126">
        <f t="shared" si="38"/>
        <v>0</v>
      </c>
      <c r="AI144" s="126">
        <f t="shared" si="38"/>
        <v>0</v>
      </c>
      <c r="AJ144" s="43" t="str">
        <f t="shared" si="30"/>
        <v/>
      </c>
      <c r="AK144" s="56"/>
      <c r="AL144" s="56" t="str">
        <f t="shared" si="33"/>
        <v>00</v>
      </c>
      <c r="AM144" s="58" t="str">
        <f t="shared" si="34"/>
        <v>00</v>
      </c>
      <c r="AN144" s="58" t="str">
        <f t="shared" si="35"/>
        <v>00</v>
      </c>
      <c r="AO144" s="58" t="str">
        <f t="shared" si="36"/>
        <v>00</v>
      </c>
      <c r="AQ144" t="str">
        <f t="shared" si="31"/>
        <v/>
      </c>
    </row>
    <row r="145" spans="2:43">
      <c r="B145" s="133"/>
      <c r="C145" s="43">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0</v>
      </c>
      <c r="AG145" s="126">
        <f t="shared" si="38"/>
        <v>0</v>
      </c>
      <c r="AH145" s="126">
        <f t="shared" si="38"/>
        <v>0</v>
      </c>
      <c r="AI145" s="126">
        <f t="shared" si="38"/>
        <v>0</v>
      </c>
      <c r="AJ145" s="43" t="str">
        <f t="shared" si="30"/>
        <v/>
      </c>
      <c r="AK145" s="56"/>
      <c r="AL145" s="56" t="str">
        <f t="shared" si="33"/>
        <v>00</v>
      </c>
      <c r="AM145" s="58" t="str">
        <f t="shared" si="34"/>
        <v>00</v>
      </c>
      <c r="AN145" s="58" t="str">
        <f t="shared" si="35"/>
        <v>00</v>
      </c>
      <c r="AO145" s="58" t="str">
        <f t="shared" si="36"/>
        <v>00</v>
      </c>
      <c r="AQ145" t="str">
        <f t="shared" si="31"/>
        <v/>
      </c>
    </row>
    <row r="146" spans="2:43">
      <c r="B146" s="133"/>
      <c r="C146" s="43">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0</v>
      </c>
      <c r="AG146" s="126">
        <f t="shared" si="38"/>
        <v>0</v>
      </c>
      <c r="AH146" s="126">
        <f t="shared" si="38"/>
        <v>0</v>
      </c>
      <c r="AI146" s="126">
        <f t="shared" si="38"/>
        <v>0</v>
      </c>
      <c r="AJ146" s="43" t="str">
        <f t="shared" si="30"/>
        <v/>
      </c>
      <c r="AK146" s="56"/>
      <c r="AL146" s="56" t="str">
        <f t="shared" si="33"/>
        <v>00</v>
      </c>
      <c r="AM146" s="58" t="str">
        <f t="shared" si="34"/>
        <v>00</v>
      </c>
      <c r="AN146" s="58" t="str">
        <f t="shared" si="35"/>
        <v>00</v>
      </c>
      <c r="AO146" s="58" t="str">
        <f t="shared" si="36"/>
        <v>00</v>
      </c>
      <c r="AQ146" t="str">
        <f t="shared" si="31"/>
        <v/>
      </c>
    </row>
    <row r="147" spans="2:43">
      <c r="B147" s="133"/>
      <c r="C147" s="43">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0</v>
      </c>
      <c r="AG147" s="126">
        <f t="shared" si="38"/>
        <v>0</v>
      </c>
      <c r="AH147" s="126">
        <f t="shared" si="38"/>
        <v>0</v>
      </c>
      <c r="AI147" s="126">
        <f t="shared" si="38"/>
        <v>0</v>
      </c>
      <c r="AJ147" s="43" t="str">
        <f t="shared" si="30"/>
        <v/>
      </c>
      <c r="AK147" s="56"/>
      <c r="AL147" s="56" t="str">
        <f t="shared" si="33"/>
        <v>00</v>
      </c>
      <c r="AM147" s="58" t="str">
        <f t="shared" si="34"/>
        <v>00</v>
      </c>
      <c r="AN147" s="58" t="str">
        <f t="shared" si="35"/>
        <v>00</v>
      </c>
      <c r="AO147" s="58" t="str">
        <f t="shared" si="36"/>
        <v>00</v>
      </c>
      <c r="AQ147" t="str">
        <f t="shared" si="31"/>
        <v/>
      </c>
    </row>
    <row r="148" spans="2:43">
      <c r="B148" s="133"/>
      <c r="C148" s="43">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0</v>
      </c>
      <c r="AG148" s="126">
        <f t="shared" si="38"/>
        <v>0</v>
      </c>
      <c r="AH148" s="126">
        <f t="shared" si="38"/>
        <v>0</v>
      </c>
      <c r="AI148" s="126">
        <f t="shared" si="38"/>
        <v>0</v>
      </c>
      <c r="AJ148" s="43" t="str">
        <f t="shared" si="30"/>
        <v/>
      </c>
      <c r="AK148" s="56"/>
      <c r="AL148" s="56" t="str">
        <f t="shared" si="33"/>
        <v>00</v>
      </c>
      <c r="AM148" s="58" t="str">
        <f t="shared" si="34"/>
        <v>00</v>
      </c>
      <c r="AN148" s="58" t="str">
        <f t="shared" si="35"/>
        <v>00</v>
      </c>
      <c r="AO148" s="58" t="str">
        <f t="shared" si="36"/>
        <v>00</v>
      </c>
      <c r="AQ148" t="str">
        <f t="shared" si="31"/>
        <v/>
      </c>
    </row>
    <row r="149" spans="2:43">
      <c r="B149" s="133"/>
      <c r="C149" s="43">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0</v>
      </c>
      <c r="AG149" s="126">
        <f t="shared" si="38"/>
        <v>0</v>
      </c>
      <c r="AH149" s="126">
        <f t="shared" si="38"/>
        <v>0</v>
      </c>
      <c r="AI149" s="126">
        <f t="shared" si="38"/>
        <v>0</v>
      </c>
      <c r="AJ149" s="43" t="str">
        <f t="shared" si="30"/>
        <v/>
      </c>
      <c r="AK149" s="56"/>
      <c r="AL149" s="56" t="str">
        <f t="shared" si="33"/>
        <v>00</v>
      </c>
      <c r="AM149" s="58" t="str">
        <f t="shared" si="34"/>
        <v>00</v>
      </c>
      <c r="AN149" s="58" t="str">
        <f t="shared" si="35"/>
        <v>00</v>
      </c>
      <c r="AO149" s="58" t="str">
        <f t="shared" si="36"/>
        <v>00</v>
      </c>
      <c r="AQ149" t="str">
        <f t="shared" si="31"/>
        <v/>
      </c>
    </row>
    <row r="150" spans="2:43">
      <c r="B150" s="133"/>
      <c r="C150" s="43">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0</v>
      </c>
      <c r="AG150" s="126">
        <f t="shared" si="38"/>
        <v>0</v>
      </c>
      <c r="AH150" s="126">
        <f t="shared" si="38"/>
        <v>0</v>
      </c>
      <c r="AI150" s="126">
        <f t="shared" si="38"/>
        <v>0</v>
      </c>
      <c r="AJ150" s="43" t="str">
        <f t="shared" si="30"/>
        <v/>
      </c>
      <c r="AK150" s="56"/>
      <c r="AL150" s="56" t="str">
        <f t="shared" si="33"/>
        <v>00</v>
      </c>
      <c r="AM150" s="58" t="str">
        <f t="shared" si="34"/>
        <v>00</v>
      </c>
      <c r="AN150" s="58" t="str">
        <f t="shared" si="35"/>
        <v>00</v>
      </c>
      <c r="AO150" s="58" t="str">
        <f t="shared" si="36"/>
        <v>00</v>
      </c>
      <c r="AQ150" t="str">
        <f t="shared" si="31"/>
        <v/>
      </c>
    </row>
    <row r="151" spans="2:43">
      <c r="B151" s="133"/>
      <c r="C151" s="43">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0</v>
      </c>
      <c r="AG151" s="126">
        <f t="shared" si="38"/>
        <v>0</v>
      </c>
      <c r="AH151" s="126">
        <f t="shared" si="38"/>
        <v>0</v>
      </c>
      <c r="AI151" s="126">
        <f t="shared" ref="AI151" si="39">IF(OR(AI21=0,AI21=1),1,0)</f>
        <v>0</v>
      </c>
      <c r="AJ151" s="43" t="str">
        <f t="shared" si="30"/>
        <v/>
      </c>
      <c r="AK151" s="56"/>
      <c r="AL151" s="56" t="str">
        <f t="shared" si="33"/>
        <v>00</v>
      </c>
      <c r="AM151" s="58" t="str">
        <f t="shared" si="34"/>
        <v>00</v>
      </c>
      <c r="AN151" s="58" t="str">
        <f t="shared" si="35"/>
        <v>00</v>
      </c>
      <c r="AO151" s="58" t="str">
        <f t="shared" si="36"/>
        <v>00</v>
      </c>
      <c r="AQ151" t="str">
        <f t="shared" si="31"/>
        <v/>
      </c>
    </row>
    <row r="152" spans="2:43">
      <c r="B152" s="133"/>
      <c r="C152" s="43">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33"/>
      <c r="C153" s="43">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33"/>
      <c r="C154" s="43">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33"/>
      <c r="C155" s="43">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33"/>
      <c r="C156" s="43">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33"/>
      <c r="C157" s="43">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33"/>
      <c r="C158" s="43">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33"/>
      <c r="C159" s="43">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33"/>
      <c r="C160" s="43">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33"/>
      <c r="C161" s="43">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33"/>
      <c r="C162" s="43">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33"/>
      <c r="C163" s="43">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33"/>
      <c r="C164" s="43">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33"/>
      <c r="C165" s="43">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33"/>
      <c r="C166" s="43">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33"/>
      <c r="C167" s="43">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33"/>
      <c r="C168" s="43">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33"/>
      <c r="C169" s="43">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33"/>
      <c r="C170" s="43">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33"/>
      <c r="C171" s="43">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33"/>
      <c r="C172" s="43">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33"/>
      <c r="C173" s="43">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33"/>
      <c r="C174" s="43">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33"/>
      <c r="C175" s="43">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33"/>
      <c r="C176" s="43">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33"/>
      <c r="C177" s="43">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33"/>
      <c r="C178" s="43">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33"/>
      <c r="C179" s="43">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33"/>
      <c r="C180" s="43">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33"/>
      <c r="C181" s="43">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33"/>
      <c r="C182" s="43">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33"/>
      <c r="C183" s="43">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33"/>
      <c r="C184" s="43">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33"/>
      <c r="C185" s="43">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33"/>
      <c r="C186" s="43">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33"/>
      <c r="C187" s="43">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33"/>
      <c r="C188" s="43">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33"/>
      <c r="C189" s="43">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33"/>
      <c r="C190" s="43">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33"/>
      <c r="C191" s="43">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33"/>
      <c r="C192" s="43">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33"/>
      <c r="C193" s="43">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33"/>
      <c r="C194" s="43">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33"/>
      <c r="C195" s="43">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33"/>
      <c r="C196" s="43">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33"/>
      <c r="C197" s="43">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33"/>
      <c r="C198" s="43">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4"/>
      <c r="C199" s="43">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L3:AB3 AD10:AI69 AJ6:AJ69 D6:AC69" name="Table作成編集範囲"/>
    <protectedRange sqref="AC3 AG3:AI3 AE3" name="Table作成編集範囲_1"/>
    <protectedRange sqref="AD6:AI9" name="Table作成編集範囲_2"/>
    <protectedRange sqref="B3" name="Table作成編集範囲_3"/>
  </protectedRanges>
  <mergeCells count="5">
    <mergeCell ref="C2:C3"/>
    <mergeCell ref="AJ2:AJ3"/>
    <mergeCell ref="A4:B5"/>
    <mergeCell ref="AE3:AI3"/>
    <mergeCell ref="AC3:AD3"/>
  </mergeCells>
  <phoneticPr fontId="2"/>
  <conditionalFormatting sqref="D6:AC69">
    <cfRule type="cellIs" dxfId="8" priority="10" operator="equal">
      <formula>1</formula>
    </cfRule>
    <cfRule type="cellIs" dxfId="7" priority="11" operator="equal">
      <formula>"×"</formula>
    </cfRule>
  </conditionalFormatting>
  <conditionalFormatting sqref="AR5:AS70">
    <cfRule type="expression" dxfId="6" priority="9">
      <formula>$B$3="Index Table"</formula>
    </cfRule>
  </conditionalFormatting>
  <conditionalFormatting sqref="AD6:AI7">
    <cfRule type="cellIs" dxfId="5" priority="5" operator="equal">
      <formula>1</formula>
    </cfRule>
    <cfRule type="cellIs" dxfId="4" priority="6" operator="equal">
      <formula>"×"</formula>
    </cfRule>
  </conditionalFormatting>
  <conditionalFormatting sqref="AD10:AI69">
    <cfRule type="cellIs" dxfId="3" priority="3" operator="equal">
      <formula>1</formula>
    </cfRule>
    <cfRule type="cellIs" dxfId="2" priority="4" operator="equal">
      <formula>"×"</formula>
    </cfRule>
  </conditionalFormatting>
  <conditionalFormatting sqref="AD8:AI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2:BV237"/>
  <sheetViews>
    <sheetView topLeftCell="A18" zoomScale="85" zoomScaleNormal="85" workbookViewId="0">
      <selection activeCell="AL66" sqref="AL66"/>
    </sheetView>
  </sheetViews>
  <sheetFormatPr defaultRowHeight="13.5"/>
  <cols>
    <col min="2" max="2" width="35.375" bestFit="1" customWidth="1"/>
    <col min="3" max="10" width="3.375" customWidth="1"/>
    <col min="11" max="11" width="17" customWidth="1"/>
    <col min="12" max="12" width="29" bestFit="1" customWidth="1"/>
    <col min="13" max="13" width="29.125" customWidth="1"/>
    <col min="14" max="14" width="16.25" customWidth="1"/>
    <col min="15" max="15" width="25.625" customWidth="1"/>
    <col min="16" max="19" width="10.875" customWidth="1"/>
  </cols>
  <sheetData>
    <row r="2" spans="2:74" ht="15" thickBot="1">
      <c r="B2" s="25" t="s">
        <v>264</v>
      </c>
    </row>
    <row r="3" spans="2:74" ht="18" thickBot="1">
      <c r="B3" s="93" t="s">
        <v>160</v>
      </c>
      <c r="C3" s="334" t="s">
        <v>215</v>
      </c>
      <c r="D3" s="335"/>
      <c r="E3" s="335"/>
      <c r="F3" s="335"/>
      <c r="G3" s="335"/>
      <c r="H3" s="335"/>
      <c r="I3" s="335"/>
      <c r="J3" s="336"/>
      <c r="K3" s="172"/>
      <c r="L3" s="172"/>
      <c r="M3" s="175"/>
      <c r="N3" s="173"/>
      <c r="O3" s="173"/>
      <c r="P3" s="173"/>
      <c r="Q3" s="174"/>
      <c r="S3" s="42"/>
      <c r="V3" s="214" t="s">
        <v>227</v>
      </c>
      <c r="W3" s="206"/>
      <c r="X3" s="206"/>
      <c r="Y3" s="206"/>
      <c r="Z3" s="206"/>
      <c r="AA3" s="206"/>
      <c r="AB3" s="206"/>
      <c r="AC3" s="206"/>
      <c r="AD3" s="206"/>
      <c r="AE3" s="206"/>
      <c r="AF3" s="206"/>
      <c r="AG3" s="206"/>
      <c r="AH3" s="206"/>
      <c r="AI3" s="206"/>
      <c r="AJ3" s="206"/>
      <c r="AK3" s="206"/>
      <c r="AL3" s="206"/>
      <c r="AM3" s="206"/>
      <c r="AN3" s="206"/>
      <c r="AO3" s="206"/>
      <c r="AP3" s="206"/>
      <c r="AQ3" s="206"/>
      <c r="AR3" s="206"/>
      <c r="AS3" s="206"/>
      <c r="AT3" s="206"/>
      <c r="AU3" s="206"/>
      <c r="AW3" s="214" t="s">
        <v>228</v>
      </c>
      <c r="AX3" s="206"/>
      <c r="AY3" s="206"/>
      <c r="AZ3" s="206"/>
      <c r="BA3" s="206"/>
      <c r="BB3" s="206"/>
      <c r="BC3" s="206"/>
      <c r="BD3" s="206"/>
      <c r="BE3" s="206"/>
      <c r="BF3" s="206"/>
      <c r="BG3" s="206"/>
      <c r="BH3" s="206"/>
      <c r="BI3" s="206"/>
      <c r="BJ3" s="206"/>
      <c r="BK3" s="206"/>
      <c r="BL3" s="206"/>
      <c r="BM3" s="206"/>
      <c r="BN3" s="206"/>
      <c r="BO3" s="206"/>
      <c r="BP3" s="206"/>
      <c r="BQ3" s="206"/>
      <c r="BR3" s="206"/>
      <c r="BS3" s="206"/>
      <c r="BT3" s="206"/>
      <c r="BU3" s="206"/>
      <c r="BV3" s="206"/>
    </row>
    <row r="4" spans="2:74">
      <c r="B4" s="66"/>
      <c r="C4" s="33" t="s">
        <v>236</v>
      </c>
      <c r="D4" s="33"/>
      <c r="E4" s="33"/>
      <c r="F4" s="33"/>
      <c r="G4" s="33"/>
      <c r="H4" s="33"/>
      <c r="I4" s="33"/>
      <c r="J4" s="33"/>
      <c r="K4" s="33"/>
      <c r="L4" s="34"/>
      <c r="M4" s="29" t="s">
        <v>52</v>
      </c>
      <c r="N4" s="39" t="s">
        <v>21</v>
      </c>
      <c r="O4" s="40"/>
      <c r="P4" s="40"/>
      <c r="Q4" s="41"/>
      <c r="S4" s="211"/>
    </row>
    <row r="5" spans="2:74">
      <c r="B5" s="67" t="s">
        <v>22</v>
      </c>
      <c r="C5" s="337" t="s">
        <v>237</v>
      </c>
      <c r="D5" s="338"/>
      <c r="E5" s="338"/>
      <c r="F5" s="338"/>
      <c r="G5" s="338"/>
      <c r="H5" s="338"/>
      <c r="I5" s="338"/>
      <c r="J5" s="339"/>
      <c r="K5" s="224" t="s">
        <v>23</v>
      </c>
      <c r="L5" s="222" t="s">
        <v>233</v>
      </c>
      <c r="M5" s="30" t="s">
        <v>321</v>
      </c>
      <c r="N5" s="225" t="s">
        <v>24</v>
      </c>
      <c r="O5" s="73" t="s">
        <v>25</v>
      </c>
      <c r="P5" s="73" t="s">
        <v>26</v>
      </c>
      <c r="Q5" s="140" t="s">
        <v>27</v>
      </c>
      <c r="S5" s="42"/>
    </row>
    <row r="6" spans="2:74">
      <c r="B6" s="67" t="s">
        <v>34</v>
      </c>
      <c r="C6" s="167" t="s">
        <v>238</v>
      </c>
      <c r="D6" s="167" t="s">
        <v>238</v>
      </c>
      <c r="E6" s="167" t="s">
        <v>238</v>
      </c>
      <c r="F6" s="167" t="s">
        <v>238</v>
      </c>
      <c r="G6" s="167" t="s">
        <v>239</v>
      </c>
      <c r="H6" s="167" t="s">
        <v>240</v>
      </c>
      <c r="I6" s="167" t="s">
        <v>239</v>
      </c>
      <c r="J6" s="167" t="s">
        <v>240</v>
      </c>
      <c r="K6" s="138" t="s">
        <v>101</v>
      </c>
      <c r="L6" s="139" t="s">
        <v>101</v>
      </c>
      <c r="M6" s="30" t="s">
        <v>241</v>
      </c>
      <c r="N6" s="226"/>
      <c r="O6" s="74"/>
      <c r="P6" s="74"/>
      <c r="Q6" s="140"/>
      <c r="S6" s="42"/>
    </row>
    <row r="7" spans="2:74" ht="27">
      <c r="B7" s="68" t="s">
        <v>28</v>
      </c>
      <c r="C7" s="340" t="s">
        <v>242</v>
      </c>
      <c r="D7" s="338"/>
      <c r="E7" s="338"/>
      <c r="F7" s="338"/>
      <c r="G7" s="338"/>
      <c r="H7" s="338"/>
      <c r="I7" s="338"/>
      <c r="J7" s="339"/>
      <c r="K7" s="1" t="s">
        <v>231</v>
      </c>
      <c r="L7" s="27" t="s">
        <v>231</v>
      </c>
      <c r="M7" s="31"/>
      <c r="N7" s="226"/>
      <c r="O7" s="74"/>
      <c r="P7" s="74"/>
      <c r="Q7" s="140"/>
      <c r="S7" s="42"/>
    </row>
    <row r="8" spans="2:74" ht="136.5">
      <c r="B8" s="67" t="s">
        <v>29</v>
      </c>
      <c r="C8" s="168" t="s">
        <v>167</v>
      </c>
      <c r="D8" s="168" t="s">
        <v>63</v>
      </c>
      <c r="E8" s="168" t="s">
        <v>243</v>
      </c>
      <c r="F8" s="168" t="s">
        <v>244</v>
      </c>
      <c r="G8" s="168" t="s">
        <v>245</v>
      </c>
      <c r="H8" s="168" t="s">
        <v>246</v>
      </c>
      <c r="I8" s="168" t="s">
        <v>247</v>
      </c>
      <c r="J8" s="168" t="s">
        <v>248</v>
      </c>
      <c r="K8" s="1" t="s">
        <v>310</v>
      </c>
      <c r="L8" s="27" t="s">
        <v>348</v>
      </c>
      <c r="M8" s="30" t="s">
        <v>256</v>
      </c>
      <c r="N8" s="226"/>
      <c r="O8" s="74"/>
      <c r="P8" s="74"/>
      <c r="Q8" s="140"/>
      <c r="S8" s="42"/>
    </row>
    <row r="9" spans="2:74" ht="68.25" thickBot="1">
      <c r="B9" s="69" t="s">
        <v>31</v>
      </c>
      <c r="C9" s="169" t="s">
        <v>249</v>
      </c>
      <c r="D9" s="169" t="s">
        <v>240</v>
      </c>
      <c r="E9" s="169" t="s">
        <v>250</v>
      </c>
      <c r="F9" s="169" t="s">
        <v>250</v>
      </c>
      <c r="G9" s="169" t="s">
        <v>250</v>
      </c>
      <c r="H9" s="169" t="s">
        <v>249</v>
      </c>
      <c r="I9" s="169" t="s">
        <v>249</v>
      </c>
      <c r="J9" s="169" t="s">
        <v>250</v>
      </c>
      <c r="K9" s="26" t="s">
        <v>396</v>
      </c>
      <c r="L9" s="28" t="s">
        <v>261</v>
      </c>
      <c r="M9" s="32" t="s">
        <v>338</v>
      </c>
      <c r="N9" s="227" t="s">
        <v>341</v>
      </c>
      <c r="O9" s="141"/>
      <c r="P9" s="72"/>
      <c r="Q9" s="142"/>
      <c r="S9" s="212"/>
    </row>
    <row r="10" spans="2:74" ht="14.25" thickTop="1">
      <c r="B10" s="70" t="s">
        <v>251</v>
      </c>
      <c r="C10" s="170" t="s">
        <v>174</v>
      </c>
      <c r="D10" s="170" t="s">
        <v>174</v>
      </c>
      <c r="E10" s="170" t="s">
        <v>174</v>
      </c>
      <c r="F10" s="170" t="s">
        <v>174</v>
      </c>
      <c r="G10" s="170" t="s">
        <v>174</v>
      </c>
      <c r="H10" s="170" t="s">
        <v>174</v>
      </c>
      <c r="I10" s="170" t="s">
        <v>174</v>
      </c>
      <c r="J10" s="170" t="s">
        <v>174</v>
      </c>
      <c r="K10" s="204" t="s">
        <v>390</v>
      </c>
      <c r="L10" s="218" t="s">
        <v>217</v>
      </c>
      <c r="M10" s="35" t="s">
        <v>252</v>
      </c>
      <c r="N10" s="228" t="s">
        <v>240</v>
      </c>
      <c r="O10" s="37"/>
      <c r="P10" s="37"/>
      <c r="Q10" s="143"/>
      <c r="S10" s="56"/>
    </row>
    <row r="11" spans="2:74">
      <c r="B11" s="21" t="s">
        <v>325</v>
      </c>
      <c r="C11" s="171" t="s">
        <v>174</v>
      </c>
      <c r="D11" s="171" t="s">
        <v>174</v>
      </c>
      <c r="E11" s="171" t="s">
        <v>174</v>
      </c>
      <c r="F11" s="171" t="s">
        <v>174</v>
      </c>
      <c r="G11" s="171" t="s">
        <v>174</v>
      </c>
      <c r="H11" s="171" t="s">
        <v>174</v>
      </c>
      <c r="I11" s="171" t="s">
        <v>174</v>
      </c>
      <c r="J11" s="171" t="s">
        <v>174</v>
      </c>
      <c r="K11" s="217" t="s">
        <v>217</v>
      </c>
      <c r="L11" s="219" t="s">
        <v>218</v>
      </c>
      <c r="M11" s="36" t="s">
        <v>258</v>
      </c>
      <c r="N11" s="229" t="s">
        <v>262</v>
      </c>
      <c r="O11" s="38"/>
      <c r="P11" s="38"/>
      <c r="Q11" s="144"/>
      <c r="S11" s="56"/>
    </row>
    <row r="12" spans="2:74">
      <c r="B12" s="21" t="s">
        <v>326</v>
      </c>
      <c r="C12" s="171" t="s">
        <v>174</v>
      </c>
      <c r="D12" s="171" t="s">
        <v>174</v>
      </c>
      <c r="E12" s="171" t="s">
        <v>174</v>
      </c>
      <c r="F12" s="171" t="s">
        <v>174</v>
      </c>
      <c r="G12" s="171" t="s">
        <v>174</v>
      </c>
      <c r="H12" s="171" t="s">
        <v>174</v>
      </c>
      <c r="I12" s="171" t="s">
        <v>174</v>
      </c>
      <c r="J12" s="171" t="s">
        <v>174</v>
      </c>
      <c r="K12" s="217" t="s">
        <v>217</v>
      </c>
      <c r="L12" s="219" t="s">
        <v>219</v>
      </c>
      <c r="M12" s="36" t="s">
        <v>260</v>
      </c>
      <c r="N12" s="229" t="s">
        <v>263</v>
      </c>
      <c r="O12" s="38"/>
      <c r="P12" s="38"/>
      <c r="Q12" s="144"/>
      <c r="S12" s="56"/>
    </row>
    <row r="13" spans="2:74">
      <c r="B13" s="21" t="s">
        <v>337</v>
      </c>
      <c r="C13" s="171" t="s">
        <v>174</v>
      </c>
      <c r="D13" s="171" t="s">
        <v>174</v>
      </c>
      <c r="E13" s="171" t="s">
        <v>174</v>
      </c>
      <c r="F13" s="171" t="s">
        <v>174</v>
      </c>
      <c r="G13" s="171" t="s">
        <v>174</v>
      </c>
      <c r="H13" s="171" t="s">
        <v>174</v>
      </c>
      <c r="I13" s="171" t="s">
        <v>174</v>
      </c>
      <c r="J13" s="171" t="s">
        <v>174</v>
      </c>
      <c r="K13" s="217" t="s">
        <v>217</v>
      </c>
      <c r="L13" s="219" t="s">
        <v>220</v>
      </c>
      <c r="M13" s="36" t="s">
        <v>339</v>
      </c>
      <c r="N13" s="229" t="s">
        <v>340</v>
      </c>
      <c r="O13" s="38"/>
      <c r="P13" s="38"/>
      <c r="Q13" s="144"/>
      <c r="S13" s="56"/>
    </row>
    <row r="14" spans="2:74">
      <c r="B14" s="21" t="s">
        <v>324</v>
      </c>
      <c r="C14" s="171" t="s">
        <v>174</v>
      </c>
      <c r="D14" s="171" t="s">
        <v>174</v>
      </c>
      <c r="E14" s="171" t="s">
        <v>174</v>
      </c>
      <c r="F14" s="171" t="s">
        <v>174</v>
      </c>
      <c r="G14" s="171" t="s">
        <v>174</v>
      </c>
      <c r="H14" s="171" t="s">
        <v>174</v>
      </c>
      <c r="I14" s="171" t="s">
        <v>174</v>
      </c>
      <c r="J14" s="171" t="s">
        <v>174</v>
      </c>
      <c r="K14" s="266" t="s">
        <v>391</v>
      </c>
      <c r="L14" s="266" t="s">
        <v>253</v>
      </c>
      <c r="M14" s="36" t="s">
        <v>33</v>
      </c>
      <c r="N14" s="229" t="s">
        <v>32</v>
      </c>
      <c r="O14" s="38"/>
      <c r="P14" s="38"/>
      <c r="Q14" s="144"/>
      <c r="S14" s="56"/>
    </row>
    <row r="15" spans="2:74">
      <c r="B15" s="267" t="s">
        <v>394</v>
      </c>
      <c r="C15" s="170" t="s">
        <v>174</v>
      </c>
      <c r="D15" s="170" t="s">
        <v>174</v>
      </c>
      <c r="E15" s="170" t="s">
        <v>174</v>
      </c>
      <c r="F15" s="170" t="s">
        <v>174</v>
      </c>
      <c r="G15" s="170" t="s">
        <v>174</v>
      </c>
      <c r="H15" s="170" t="s">
        <v>174</v>
      </c>
      <c r="I15" s="170" t="s">
        <v>174</v>
      </c>
      <c r="J15" s="170" t="s">
        <v>174</v>
      </c>
      <c r="K15" s="269" t="s">
        <v>392</v>
      </c>
      <c r="L15" s="269" t="s">
        <v>253</v>
      </c>
      <c r="M15" s="270" t="s">
        <v>33</v>
      </c>
      <c r="N15" s="271" t="s">
        <v>32</v>
      </c>
      <c r="O15" s="37"/>
      <c r="P15" s="37"/>
      <c r="Q15" s="143"/>
      <c r="S15" s="56"/>
    </row>
    <row r="16" spans="2:74">
      <c r="B16" s="268" t="s">
        <v>395</v>
      </c>
      <c r="C16" s="170" t="s">
        <v>174</v>
      </c>
      <c r="D16" s="170" t="s">
        <v>174</v>
      </c>
      <c r="E16" s="170" t="s">
        <v>174</v>
      </c>
      <c r="F16" s="170" t="s">
        <v>174</v>
      </c>
      <c r="G16" s="170" t="s">
        <v>174</v>
      </c>
      <c r="H16" s="170" t="s">
        <v>174</v>
      </c>
      <c r="I16" s="170" t="s">
        <v>174</v>
      </c>
      <c r="J16" s="170" t="s">
        <v>174</v>
      </c>
      <c r="K16" s="269" t="s">
        <v>393</v>
      </c>
      <c r="L16" s="269" t="s">
        <v>253</v>
      </c>
      <c r="M16" s="270" t="s">
        <v>33</v>
      </c>
      <c r="N16" s="271" t="s">
        <v>32</v>
      </c>
      <c r="O16" s="37"/>
      <c r="P16" s="37"/>
      <c r="Q16" s="143"/>
      <c r="S16" s="56"/>
    </row>
    <row r="17" spans="1:74" ht="14.25" thickBot="1">
      <c r="B17" s="230" t="s">
        <v>323</v>
      </c>
      <c r="C17" s="231" t="s">
        <v>174</v>
      </c>
      <c r="D17" s="231" t="s">
        <v>174</v>
      </c>
      <c r="E17" s="231" t="s">
        <v>174</v>
      </c>
      <c r="F17" s="231" t="s">
        <v>174</v>
      </c>
      <c r="G17" s="231" t="s">
        <v>174</v>
      </c>
      <c r="H17" s="231" t="s">
        <v>174</v>
      </c>
      <c r="I17" s="231" t="s">
        <v>174</v>
      </c>
      <c r="J17" s="231" t="s">
        <v>174</v>
      </c>
      <c r="K17" s="232" t="s">
        <v>254</v>
      </c>
      <c r="L17" s="232" t="s">
        <v>255</v>
      </c>
      <c r="M17" s="233" t="s">
        <v>33</v>
      </c>
      <c r="N17" s="234" t="s">
        <v>32</v>
      </c>
      <c r="O17" s="235"/>
      <c r="P17" s="235"/>
      <c r="Q17" s="236"/>
      <c r="S17" s="56"/>
    </row>
    <row r="18" spans="1:74">
      <c r="B18" s="42"/>
      <c r="C18" s="56"/>
      <c r="D18" s="56"/>
      <c r="E18" s="56"/>
      <c r="F18" s="56"/>
      <c r="G18" s="56"/>
      <c r="H18" s="56"/>
      <c r="I18" s="56"/>
      <c r="J18" s="56"/>
      <c r="K18" s="56"/>
      <c r="L18" s="56"/>
      <c r="M18" s="56"/>
      <c r="N18" s="56"/>
      <c r="O18" s="56"/>
      <c r="P18" s="56"/>
      <c r="Q18" s="56"/>
      <c r="S18" s="56"/>
    </row>
    <row r="19" spans="1:74">
      <c r="S19" s="56"/>
    </row>
    <row r="20" spans="1:74">
      <c r="S20" s="56"/>
    </row>
    <row r="21" spans="1:74">
      <c r="S21" s="56"/>
    </row>
    <row r="22" spans="1:74">
      <c r="S22" s="56"/>
    </row>
    <row r="23" spans="1:74">
      <c r="R23" s="56"/>
    </row>
    <row r="24" spans="1:74">
      <c r="A24" s="213"/>
      <c r="R24" s="56"/>
    </row>
    <row r="25" spans="1:74">
      <c r="R25" s="56"/>
    </row>
    <row r="26" spans="1:74">
      <c r="R26" s="56"/>
    </row>
    <row r="27" spans="1:74" ht="15" thickBot="1">
      <c r="B27" s="25" t="s">
        <v>265</v>
      </c>
      <c r="R27" s="56"/>
    </row>
    <row r="28" spans="1:74" ht="15" thickBot="1">
      <c r="B28" s="93" t="s">
        <v>160</v>
      </c>
      <c r="C28" s="334" t="s">
        <v>297</v>
      </c>
      <c r="D28" s="335"/>
      <c r="E28" s="335"/>
      <c r="F28" s="335"/>
      <c r="G28" s="335"/>
      <c r="H28" s="335"/>
      <c r="I28" s="335"/>
      <c r="J28" s="336"/>
      <c r="K28" s="172"/>
      <c r="L28" s="172"/>
      <c r="M28" s="175"/>
      <c r="N28" s="173"/>
      <c r="O28" s="173"/>
      <c r="P28" s="173"/>
      <c r="Q28" s="174"/>
      <c r="R28" s="56"/>
    </row>
    <row r="29" spans="1:74">
      <c r="B29" s="66"/>
      <c r="C29" s="33" t="s">
        <v>164</v>
      </c>
      <c r="D29" s="33"/>
      <c r="E29" s="33"/>
      <c r="F29" s="33"/>
      <c r="G29" s="33"/>
      <c r="H29" s="33"/>
      <c r="I29" s="33"/>
      <c r="J29" s="33"/>
      <c r="K29" s="33"/>
      <c r="L29" s="34"/>
      <c r="M29" s="29" t="s">
        <v>152</v>
      </c>
      <c r="N29" s="39" t="s">
        <v>21</v>
      </c>
      <c r="O29" s="40"/>
      <c r="P29" s="40"/>
      <c r="Q29" s="41"/>
      <c r="R29" s="56"/>
    </row>
    <row r="30" spans="1:74">
      <c r="B30" s="67" t="s">
        <v>22</v>
      </c>
      <c r="C30" s="337" t="s">
        <v>184</v>
      </c>
      <c r="D30" s="338"/>
      <c r="E30" s="338"/>
      <c r="F30" s="338"/>
      <c r="G30" s="338"/>
      <c r="H30" s="338"/>
      <c r="I30" s="338"/>
      <c r="J30" s="339"/>
      <c r="K30" s="224" t="s">
        <v>23</v>
      </c>
      <c r="L30" s="223" t="s">
        <v>23</v>
      </c>
      <c r="M30" s="30" t="s">
        <v>322</v>
      </c>
      <c r="N30" s="73" t="s">
        <v>24</v>
      </c>
      <c r="O30" s="191" t="s">
        <v>25</v>
      </c>
      <c r="P30" s="73" t="s">
        <v>26</v>
      </c>
      <c r="Q30" s="140" t="s">
        <v>27</v>
      </c>
      <c r="R30" s="56"/>
    </row>
    <row r="31" spans="1:74">
      <c r="B31" s="67" t="s">
        <v>34</v>
      </c>
      <c r="C31" s="167" t="s">
        <v>176</v>
      </c>
      <c r="D31" s="167" t="s">
        <v>165</v>
      </c>
      <c r="E31" s="167" t="s">
        <v>176</v>
      </c>
      <c r="F31" s="167" t="s">
        <v>176</v>
      </c>
      <c r="G31" s="167" t="s">
        <v>176</v>
      </c>
      <c r="H31" s="167" t="s">
        <v>176</v>
      </c>
      <c r="I31" s="167" t="s">
        <v>176</v>
      </c>
      <c r="J31" s="167" t="s">
        <v>176</v>
      </c>
      <c r="K31" s="138" t="s">
        <v>211</v>
      </c>
      <c r="L31" s="1" t="s">
        <v>226</v>
      </c>
      <c r="M31" s="30" t="s">
        <v>212</v>
      </c>
      <c r="N31" s="74"/>
      <c r="O31" s="192"/>
      <c r="P31" s="74"/>
      <c r="Q31" s="140"/>
      <c r="R31" s="56"/>
    </row>
    <row r="32" spans="1:74" ht="27">
      <c r="B32" s="68" t="s">
        <v>28</v>
      </c>
      <c r="C32" s="340" t="s">
        <v>166</v>
      </c>
      <c r="D32" s="338"/>
      <c r="E32" s="338"/>
      <c r="F32" s="338"/>
      <c r="G32" s="338"/>
      <c r="H32" s="338"/>
      <c r="I32" s="338"/>
      <c r="J32" s="339"/>
      <c r="K32" s="1" t="s">
        <v>235</v>
      </c>
      <c r="L32" s="1" t="s">
        <v>235</v>
      </c>
      <c r="M32" s="31"/>
      <c r="N32" s="74"/>
      <c r="O32" s="192"/>
      <c r="P32" s="74"/>
      <c r="Q32" s="140"/>
      <c r="R32" s="56"/>
      <c r="AW32" s="214" t="s">
        <v>229</v>
      </c>
      <c r="AX32" s="206"/>
      <c r="AY32" s="206"/>
      <c r="AZ32" s="206"/>
      <c r="BA32" s="206"/>
      <c r="BB32" s="206"/>
      <c r="BC32" s="206"/>
      <c r="BD32" s="206"/>
      <c r="BE32" s="206"/>
      <c r="BF32" s="206"/>
      <c r="BG32" s="206"/>
      <c r="BH32" s="206"/>
      <c r="BI32" s="206"/>
      <c r="BJ32" s="206"/>
      <c r="BK32" s="206"/>
      <c r="BL32" s="206"/>
      <c r="BM32" s="206"/>
      <c r="BN32" s="206"/>
      <c r="BO32" s="206"/>
      <c r="BP32" s="206"/>
      <c r="BQ32" s="206"/>
      <c r="BR32" s="206"/>
      <c r="BS32" s="206"/>
      <c r="BT32" s="206"/>
      <c r="BU32" s="206"/>
      <c r="BV32" s="206"/>
    </row>
    <row r="33" spans="2:41" ht="136.5">
      <c r="B33" s="67" t="s">
        <v>29</v>
      </c>
      <c r="C33" s="168" t="s">
        <v>167</v>
      </c>
      <c r="D33" s="168" t="s">
        <v>63</v>
      </c>
      <c r="E33" s="168" t="s">
        <v>168</v>
      </c>
      <c r="F33" s="168" t="s">
        <v>169</v>
      </c>
      <c r="G33" s="168" t="s">
        <v>170</v>
      </c>
      <c r="H33" s="168" t="s">
        <v>171</v>
      </c>
      <c r="I33" s="168" t="s">
        <v>172</v>
      </c>
      <c r="J33" s="168" t="s">
        <v>173</v>
      </c>
      <c r="K33" s="1" t="s">
        <v>331</v>
      </c>
      <c r="L33" s="1" t="s">
        <v>349</v>
      </c>
      <c r="M33" s="30" t="s">
        <v>30</v>
      </c>
      <c r="N33" s="74"/>
      <c r="O33" s="192"/>
      <c r="P33" s="74"/>
      <c r="Q33" s="140"/>
      <c r="R33" s="56"/>
    </row>
    <row r="34" spans="2:41" ht="68.25" thickBot="1">
      <c r="B34" s="69" t="s">
        <v>31</v>
      </c>
      <c r="C34" s="169" t="s">
        <v>175</v>
      </c>
      <c r="D34" s="169" t="s">
        <v>165</v>
      </c>
      <c r="E34" s="169" t="s">
        <v>175</v>
      </c>
      <c r="F34" s="169" t="s">
        <v>175</v>
      </c>
      <c r="G34" s="169" t="s">
        <v>175</v>
      </c>
      <c r="H34" s="169" t="s">
        <v>175</v>
      </c>
      <c r="I34" s="169" t="s">
        <v>175</v>
      </c>
      <c r="J34" s="169" t="s">
        <v>175</v>
      </c>
      <c r="K34" s="26" t="s">
        <v>232</v>
      </c>
      <c r="L34" s="28" t="s">
        <v>234</v>
      </c>
      <c r="M34" s="32" t="s">
        <v>309</v>
      </c>
      <c r="N34" s="141"/>
      <c r="O34" s="196" t="s">
        <v>366</v>
      </c>
      <c r="P34" s="72"/>
      <c r="Q34" s="142"/>
      <c r="R34" s="56"/>
    </row>
    <row r="35" spans="2:41" ht="14.25" thickTop="1">
      <c r="B35" s="70" t="s">
        <v>311</v>
      </c>
      <c r="C35" s="170" t="s">
        <v>174</v>
      </c>
      <c r="D35" s="170" t="s">
        <v>174</v>
      </c>
      <c r="E35" s="170" t="s">
        <v>174</v>
      </c>
      <c r="F35" s="170" t="s">
        <v>174</v>
      </c>
      <c r="G35" s="170" t="s">
        <v>174</v>
      </c>
      <c r="H35" s="170" t="s">
        <v>174</v>
      </c>
      <c r="I35" s="170" t="s">
        <v>174</v>
      </c>
      <c r="J35" s="170" t="s">
        <v>174</v>
      </c>
      <c r="K35" s="129" t="s">
        <v>217</v>
      </c>
      <c r="L35" s="210" t="s">
        <v>342</v>
      </c>
      <c r="M35" s="35" t="s">
        <v>33</v>
      </c>
      <c r="N35" s="37"/>
      <c r="O35" s="129" t="s">
        <v>32</v>
      </c>
      <c r="P35" s="37"/>
      <c r="Q35" s="143"/>
      <c r="R35" s="56"/>
    </row>
    <row r="36" spans="2:41">
      <c r="B36" s="21" t="s">
        <v>312</v>
      </c>
      <c r="C36" s="170" t="s">
        <v>174</v>
      </c>
      <c r="D36" s="170" t="s">
        <v>174</v>
      </c>
      <c r="E36" s="170" t="s">
        <v>174</v>
      </c>
      <c r="F36" s="170" t="s">
        <v>174</v>
      </c>
      <c r="G36" s="170" t="s">
        <v>174</v>
      </c>
      <c r="H36" s="170" t="s">
        <v>174</v>
      </c>
      <c r="I36" s="170" t="s">
        <v>174</v>
      </c>
      <c r="J36" s="170" t="s">
        <v>174</v>
      </c>
      <c r="K36" s="129" t="s">
        <v>217</v>
      </c>
      <c r="L36" s="210" t="s">
        <v>266</v>
      </c>
      <c r="M36" s="35" t="s">
        <v>33</v>
      </c>
      <c r="N36" s="37"/>
      <c r="O36" s="129" t="s">
        <v>32</v>
      </c>
      <c r="P36" s="37"/>
      <c r="Q36" s="143"/>
    </row>
    <row r="37" spans="2:41">
      <c r="B37" s="21" t="s">
        <v>312</v>
      </c>
      <c r="C37" s="171" t="s">
        <v>174</v>
      </c>
      <c r="D37" s="171" t="s">
        <v>174</v>
      </c>
      <c r="E37" s="171" t="s">
        <v>174</v>
      </c>
      <c r="F37" s="171" t="s">
        <v>174</v>
      </c>
      <c r="G37" s="171" t="s">
        <v>174</v>
      </c>
      <c r="H37" s="171" t="s">
        <v>174</v>
      </c>
      <c r="I37" s="171" t="s">
        <v>174</v>
      </c>
      <c r="J37" s="171" t="s">
        <v>174</v>
      </c>
      <c r="K37" s="57" t="s">
        <v>217</v>
      </c>
      <c r="L37" s="217" t="s">
        <v>267</v>
      </c>
      <c r="M37" s="36" t="s">
        <v>33</v>
      </c>
      <c r="N37" s="38"/>
      <c r="O37" s="57" t="s">
        <v>32</v>
      </c>
      <c r="P37" s="202"/>
      <c r="Q37" s="143"/>
    </row>
    <row r="38" spans="2:41">
      <c r="B38" s="70" t="s">
        <v>313</v>
      </c>
      <c r="C38" s="170" t="s">
        <v>174</v>
      </c>
      <c r="D38" s="170" t="s">
        <v>174</v>
      </c>
      <c r="E38" s="170" t="s">
        <v>174</v>
      </c>
      <c r="F38" s="170" t="s">
        <v>174</v>
      </c>
      <c r="G38" s="170" t="s">
        <v>174</v>
      </c>
      <c r="H38" s="170" t="s">
        <v>174</v>
      </c>
      <c r="I38" s="170" t="s">
        <v>174</v>
      </c>
      <c r="J38" s="170" t="s">
        <v>174</v>
      </c>
      <c r="K38" s="129" t="s">
        <v>217</v>
      </c>
      <c r="L38" s="217" t="s">
        <v>268</v>
      </c>
      <c r="M38" s="36" t="s">
        <v>33</v>
      </c>
      <c r="N38" s="37"/>
      <c r="O38" s="57" t="s">
        <v>32</v>
      </c>
      <c r="P38" s="37"/>
      <c r="Q38" s="143"/>
    </row>
    <row r="39" spans="2:41">
      <c r="B39" s="21" t="s">
        <v>312</v>
      </c>
      <c r="C39" s="171" t="s">
        <v>174</v>
      </c>
      <c r="D39" s="171" t="s">
        <v>174</v>
      </c>
      <c r="E39" s="171" t="s">
        <v>174</v>
      </c>
      <c r="F39" s="171" t="s">
        <v>174</v>
      </c>
      <c r="G39" s="171" t="s">
        <v>174</v>
      </c>
      <c r="H39" s="171" t="s">
        <v>174</v>
      </c>
      <c r="I39" s="171" t="s">
        <v>174</v>
      </c>
      <c r="J39" s="171" t="s">
        <v>174</v>
      </c>
      <c r="K39" s="57" t="s">
        <v>217</v>
      </c>
      <c r="L39" s="217" t="s">
        <v>269</v>
      </c>
      <c r="M39" s="36" t="s">
        <v>33</v>
      </c>
      <c r="N39" s="38"/>
      <c r="O39" s="57" t="s">
        <v>32</v>
      </c>
      <c r="P39" s="202"/>
      <c r="Q39" s="143"/>
    </row>
    <row r="40" spans="2:41">
      <c r="B40" s="21" t="s">
        <v>312</v>
      </c>
      <c r="C40" s="170" t="s">
        <v>174</v>
      </c>
      <c r="D40" s="170" t="s">
        <v>174</v>
      </c>
      <c r="E40" s="170" t="s">
        <v>174</v>
      </c>
      <c r="F40" s="170" t="s">
        <v>174</v>
      </c>
      <c r="G40" s="170" t="s">
        <v>174</v>
      </c>
      <c r="H40" s="170" t="s">
        <v>174</v>
      </c>
      <c r="I40" s="170" t="s">
        <v>174</v>
      </c>
      <c r="J40" s="170" t="s">
        <v>174</v>
      </c>
      <c r="K40" s="129" t="s">
        <v>217</v>
      </c>
      <c r="L40" s="217" t="s">
        <v>270</v>
      </c>
      <c r="M40" s="36" t="s">
        <v>33</v>
      </c>
      <c r="N40" s="37"/>
      <c r="O40" s="57" t="s">
        <v>32</v>
      </c>
      <c r="P40" s="37"/>
      <c r="Q40" s="143"/>
    </row>
    <row r="41" spans="2:41">
      <c r="B41" s="21" t="s">
        <v>312</v>
      </c>
      <c r="C41" s="171" t="s">
        <v>174</v>
      </c>
      <c r="D41" s="171" t="s">
        <v>174</v>
      </c>
      <c r="E41" s="171" t="s">
        <v>174</v>
      </c>
      <c r="F41" s="171" t="s">
        <v>174</v>
      </c>
      <c r="G41" s="171" t="s">
        <v>174</v>
      </c>
      <c r="H41" s="171" t="s">
        <v>174</v>
      </c>
      <c r="I41" s="171" t="s">
        <v>174</v>
      </c>
      <c r="J41" s="171" t="s">
        <v>174</v>
      </c>
      <c r="K41" s="57" t="s">
        <v>217</v>
      </c>
      <c r="L41" s="217" t="s">
        <v>271</v>
      </c>
      <c r="M41" s="36" t="s">
        <v>33</v>
      </c>
      <c r="N41" s="38"/>
      <c r="O41" s="57" t="s">
        <v>32</v>
      </c>
      <c r="P41" s="202"/>
      <c r="Q41" s="143"/>
    </row>
    <row r="42" spans="2:41">
      <c r="B42" s="21" t="s">
        <v>312</v>
      </c>
      <c r="C42" s="170" t="s">
        <v>174</v>
      </c>
      <c r="D42" s="170" t="s">
        <v>174</v>
      </c>
      <c r="E42" s="170" t="s">
        <v>174</v>
      </c>
      <c r="F42" s="170" t="s">
        <v>174</v>
      </c>
      <c r="G42" s="170" t="s">
        <v>174</v>
      </c>
      <c r="H42" s="170" t="s">
        <v>174</v>
      </c>
      <c r="I42" s="170" t="s">
        <v>174</v>
      </c>
      <c r="J42" s="170" t="s">
        <v>174</v>
      </c>
      <c r="K42" s="129" t="s">
        <v>217</v>
      </c>
      <c r="L42" s="217" t="s">
        <v>272</v>
      </c>
      <c r="M42" s="36" t="s">
        <v>33</v>
      </c>
      <c r="N42" s="37"/>
      <c r="O42" s="57" t="s">
        <v>32</v>
      </c>
      <c r="P42" s="37"/>
      <c r="Q42" s="143"/>
      <c r="R42" s="56"/>
    </row>
    <row r="43" spans="2:41">
      <c r="B43" s="21" t="s">
        <v>312</v>
      </c>
      <c r="C43" s="171" t="s">
        <v>174</v>
      </c>
      <c r="D43" s="171" t="s">
        <v>174</v>
      </c>
      <c r="E43" s="171" t="s">
        <v>174</v>
      </c>
      <c r="F43" s="171" t="s">
        <v>174</v>
      </c>
      <c r="G43" s="171" t="s">
        <v>174</v>
      </c>
      <c r="H43" s="171" t="s">
        <v>174</v>
      </c>
      <c r="I43" s="171" t="s">
        <v>174</v>
      </c>
      <c r="J43" s="171" t="s">
        <v>174</v>
      </c>
      <c r="K43" s="57" t="s">
        <v>217</v>
      </c>
      <c r="L43" s="217" t="s">
        <v>273</v>
      </c>
      <c r="M43" s="36" t="s">
        <v>33</v>
      </c>
      <c r="N43" s="38"/>
      <c r="O43" s="57" t="s">
        <v>32</v>
      </c>
      <c r="P43" s="202"/>
      <c r="Q43" s="143"/>
      <c r="R43" s="56"/>
    </row>
    <row r="44" spans="2:41">
      <c r="B44" s="21" t="s">
        <v>312</v>
      </c>
      <c r="C44" s="170" t="s">
        <v>174</v>
      </c>
      <c r="D44" s="170" t="s">
        <v>174</v>
      </c>
      <c r="E44" s="170" t="s">
        <v>174</v>
      </c>
      <c r="F44" s="170" t="s">
        <v>174</v>
      </c>
      <c r="G44" s="170" t="s">
        <v>174</v>
      </c>
      <c r="H44" s="170" t="s">
        <v>174</v>
      </c>
      <c r="I44" s="170" t="s">
        <v>174</v>
      </c>
      <c r="J44" s="170" t="s">
        <v>174</v>
      </c>
      <c r="K44" s="129" t="s">
        <v>217</v>
      </c>
      <c r="L44" s="210" t="s">
        <v>274</v>
      </c>
      <c r="M44" s="36" t="s">
        <v>33</v>
      </c>
      <c r="N44" s="37"/>
      <c r="O44" s="57" t="s">
        <v>32</v>
      </c>
      <c r="P44" s="37"/>
      <c r="Q44" s="143"/>
      <c r="R44" s="56"/>
    </row>
    <row r="45" spans="2:41">
      <c r="B45" s="21" t="s">
        <v>312</v>
      </c>
      <c r="C45" s="171" t="s">
        <v>174</v>
      </c>
      <c r="D45" s="171" t="s">
        <v>174</v>
      </c>
      <c r="E45" s="171" t="s">
        <v>174</v>
      </c>
      <c r="F45" s="171" t="s">
        <v>174</v>
      </c>
      <c r="G45" s="171" t="s">
        <v>174</v>
      </c>
      <c r="H45" s="171" t="s">
        <v>174</v>
      </c>
      <c r="I45" s="171" t="s">
        <v>174</v>
      </c>
      <c r="J45" s="171" t="s">
        <v>174</v>
      </c>
      <c r="K45" s="57" t="s">
        <v>217</v>
      </c>
      <c r="L45" s="217" t="s">
        <v>275</v>
      </c>
      <c r="M45" s="36" t="s">
        <v>33</v>
      </c>
      <c r="N45" s="38"/>
      <c r="O45" s="57" t="s">
        <v>32</v>
      </c>
      <c r="P45" s="202"/>
      <c r="Q45" s="143"/>
      <c r="R45" s="56"/>
      <c r="S45" s="42"/>
    </row>
    <row r="46" spans="2:41">
      <c r="B46" s="21" t="s">
        <v>312</v>
      </c>
      <c r="C46" s="170" t="s">
        <v>174</v>
      </c>
      <c r="D46" s="170" t="s">
        <v>174</v>
      </c>
      <c r="E46" s="170" t="s">
        <v>174</v>
      </c>
      <c r="F46" s="170" t="s">
        <v>174</v>
      </c>
      <c r="G46" s="170" t="s">
        <v>174</v>
      </c>
      <c r="H46" s="170" t="s">
        <v>174</v>
      </c>
      <c r="I46" s="170" t="s">
        <v>174</v>
      </c>
      <c r="J46" s="170" t="s">
        <v>174</v>
      </c>
      <c r="K46" s="129" t="s">
        <v>217</v>
      </c>
      <c r="L46" s="217" t="s">
        <v>276</v>
      </c>
      <c r="M46" s="36" t="s">
        <v>33</v>
      </c>
      <c r="N46" s="37"/>
      <c r="O46" s="57" t="s">
        <v>32</v>
      </c>
      <c r="P46" s="37"/>
      <c r="Q46" s="143"/>
      <c r="R46" s="56"/>
      <c r="S46" s="211"/>
    </row>
    <row r="47" spans="2:41">
      <c r="B47" s="21" t="s">
        <v>312</v>
      </c>
      <c r="C47" s="171" t="s">
        <v>174</v>
      </c>
      <c r="D47" s="171" t="s">
        <v>174</v>
      </c>
      <c r="E47" s="171" t="s">
        <v>174</v>
      </c>
      <c r="F47" s="171" t="s">
        <v>174</v>
      </c>
      <c r="G47" s="171" t="s">
        <v>174</v>
      </c>
      <c r="H47" s="171" t="s">
        <v>174</v>
      </c>
      <c r="I47" s="171" t="s">
        <v>174</v>
      </c>
      <c r="J47" s="171" t="s">
        <v>174</v>
      </c>
      <c r="K47" s="57" t="s">
        <v>217</v>
      </c>
      <c r="L47" s="217" t="s">
        <v>277</v>
      </c>
      <c r="M47" s="36" t="s">
        <v>33</v>
      </c>
      <c r="N47" s="38"/>
      <c r="O47" s="57" t="s">
        <v>32</v>
      </c>
      <c r="P47" s="202"/>
      <c r="Q47" s="143"/>
      <c r="R47" s="56"/>
      <c r="S47" s="42"/>
    </row>
    <row r="48" spans="2:41">
      <c r="B48" s="21" t="s">
        <v>312</v>
      </c>
      <c r="C48" s="170" t="s">
        <v>174</v>
      </c>
      <c r="D48" s="170" t="s">
        <v>174</v>
      </c>
      <c r="E48" s="170" t="s">
        <v>174</v>
      </c>
      <c r="F48" s="170" t="s">
        <v>174</v>
      </c>
      <c r="G48" s="170" t="s">
        <v>174</v>
      </c>
      <c r="H48" s="170" t="s">
        <v>174</v>
      </c>
      <c r="I48" s="170" t="s">
        <v>174</v>
      </c>
      <c r="J48" s="170" t="s">
        <v>174</v>
      </c>
      <c r="K48" s="129" t="s">
        <v>217</v>
      </c>
      <c r="L48" s="217" t="s">
        <v>278</v>
      </c>
      <c r="M48" s="36" t="s">
        <v>33</v>
      </c>
      <c r="N48" s="37"/>
      <c r="O48" s="57" t="s">
        <v>32</v>
      </c>
      <c r="P48" s="37"/>
      <c r="Q48" s="143"/>
      <c r="R48" s="56"/>
      <c r="S48" s="42"/>
      <c r="T48" s="215"/>
      <c r="U48" s="215"/>
      <c r="V48" s="215"/>
      <c r="W48" s="215"/>
      <c r="X48" s="215"/>
      <c r="Y48" s="215"/>
      <c r="Z48" s="215"/>
      <c r="AA48" s="215"/>
      <c r="AB48" s="215"/>
      <c r="AC48" s="215"/>
      <c r="AD48" s="215"/>
      <c r="AE48" s="215"/>
      <c r="AF48" s="215"/>
      <c r="AG48" s="215"/>
      <c r="AH48" s="215"/>
      <c r="AI48" s="215"/>
      <c r="AJ48" s="215"/>
      <c r="AK48" s="215"/>
      <c r="AL48" s="215"/>
      <c r="AM48" s="215"/>
      <c r="AN48" s="215"/>
      <c r="AO48" s="215"/>
    </row>
    <row r="49" spans="2:19">
      <c r="B49" s="21" t="s">
        <v>312</v>
      </c>
      <c r="C49" s="171" t="s">
        <v>174</v>
      </c>
      <c r="D49" s="171" t="s">
        <v>174</v>
      </c>
      <c r="E49" s="171" t="s">
        <v>174</v>
      </c>
      <c r="F49" s="171" t="s">
        <v>174</v>
      </c>
      <c r="G49" s="171" t="s">
        <v>174</v>
      </c>
      <c r="H49" s="171" t="s">
        <v>174</v>
      </c>
      <c r="I49" s="171" t="s">
        <v>174</v>
      </c>
      <c r="J49" s="171" t="s">
        <v>174</v>
      </c>
      <c r="K49" s="57" t="s">
        <v>217</v>
      </c>
      <c r="L49" s="217" t="s">
        <v>279</v>
      </c>
      <c r="M49" s="36" t="s">
        <v>33</v>
      </c>
      <c r="N49" s="38"/>
      <c r="O49" s="57" t="s">
        <v>32</v>
      </c>
      <c r="P49" s="202"/>
      <c r="Q49" s="143"/>
      <c r="R49" s="56"/>
      <c r="S49" s="42"/>
    </row>
    <row r="50" spans="2:19">
      <c r="B50" s="21" t="s">
        <v>312</v>
      </c>
      <c r="C50" s="170" t="s">
        <v>174</v>
      </c>
      <c r="D50" s="170" t="s">
        <v>174</v>
      </c>
      <c r="E50" s="170" t="s">
        <v>174</v>
      </c>
      <c r="F50" s="170" t="s">
        <v>174</v>
      </c>
      <c r="G50" s="170" t="s">
        <v>174</v>
      </c>
      <c r="H50" s="170" t="s">
        <v>174</v>
      </c>
      <c r="I50" s="170" t="s">
        <v>174</v>
      </c>
      <c r="J50" s="170" t="s">
        <v>174</v>
      </c>
      <c r="K50" s="129" t="s">
        <v>217</v>
      </c>
      <c r="L50" s="217" t="s">
        <v>280</v>
      </c>
      <c r="M50" s="36" t="s">
        <v>33</v>
      </c>
      <c r="N50" s="37"/>
      <c r="O50" s="57" t="s">
        <v>32</v>
      </c>
      <c r="P50" s="37"/>
      <c r="Q50" s="143"/>
      <c r="R50" s="56"/>
      <c r="S50" s="42"/>
    </row>
    <row r="51" spans="2:19">
      <c r="B51" s="21" t="s">
        <v>312</v>
      </c>
      <c r="C51" s="171" t="s">
        <v>174</v>
      </c>
      <c r="D51" s="171" t="s">
        <v>174</v>
      </c>
      <c r="E51" s="171" t="s">
        <v>174</v>
      </c>
      <c r="F51" s="171" t="s">
        <v>174</v>
      </c>
      <c r="G51" s="171" t="s">
        <v>174</v>
      </c>
      <c r="H51" s="171" t="s">
        <v>174</v>
      </c>
      <c r="I51" s="171" t="s">
        <v>174</v>
      </c>
      <c r="J51" s="171" t="s">
        <v>174</v>
      </c>
      <c r="K51" s="57" t="s">
        <v>217</v>
      </c>
      <c r="L51" s="217" t="s">
        <v>281</v>
      </c>
      <c r="M51" s="36" t="s">
        <v>33</v>
      </c>
      <c r="N51" s="38"/>
      <c r="O51" s="57" t="s">
        <v>32</v>
      </c>
      <c r="P51" s="202"/>
      <c r="Q51" s="143"/>
      <c r="R51" s="212"/>
      <c r="S51" s="212"/>
    </row>
    <row r="52" spans="2:19">
      <c r="B52" s="21" t="s">
        <v>312</v>
      </c>
      <c r="C52" s="170" t="s">
        <v>174</v>
      </c>
      <c r="D52" s="170" t="s">
        <v>174</v>
      </c>
      <c r="E52" s="170" t="s">
        <v>174</v>
      </c>
      <c r="F52" s="170" t="s">
        <v>174</v>
      </c>
      <c r="G52" s="170" t="s">
        <v>174</v>
      </c>
      <c r="H52" s="170" t="s">
        <v>174</v>
      </c>
      <c r="I52" s="170" t="s">
        <v>174</v>
      </c>
      <c r="J52" s="170" t="s">
        <v>174</v>
      </c>
      <c r="K52" s="129" t="s">
        <v>217</v>
      </c>
      <c r="L52" s="210" t="s">
        <v>282</v>
      </c>
      <c r="M52" s="36" t="s">
        <v>33</v>
      </c>
      <c r="N52" s="37"/>
      <c r="O52" s="57" t="s">
        <v>32</v>
      </c>
      <c r="P52" s="37"/>
      <c r="Q52" s="143"/>
      <c r="R52" s="56"/>
      <c r="S52" s="56"/>
    </row>
    <row r="53" spans="2:19">
      <c r="B53" s="21" t="s">
        <v>312</v>
      </c>
      <c r="C53" s="171" t="s">
        <v>174</v>
      </c>
      <c r="D53" s="171" t="s">
        <v>174</v>
      </c>
      <c r="E53" s="171" t="s">
        <v>174</v>
      </c>
      <c r="F53" s="171" t="s">
        <v>174</v>
      </c>
      <c r="G53" s="171" t="s">
        <v>174</v>
      </c>
      <c r="H53" s="171" t="s">
        <v>174</v>
      </c>
      <c r="I53" s="171" t="s">
        <v>174</v>
      </c>
      <c r="J53" s="171" t="s">
        <v>174</v>
      </c>
      <c r="K53" s="57" t="s">
        <v>217</v>
      </c>
      <c r="L53" s="217" t="s">
        <v>283</v>
      </c>
      <c r="M53" s="36" t="s">
        <v>33</v>
      </c>
      <c r="N53" s="38"/>
      <c r="O53" s="57" t="s">
        <v>32</v>
      </c>
      <c r="P53" s="202"/>
      <c r="Q53" s="143"/>
      <c r="R53" s="56"/>
      <c r="S53" s="56"/>
    </row>
    <row r="54" spans="2:19">
      <c r="B54" s="21" t="s">
        <v>312</v>
      </c>
      <c r="C54" s="170" t="s">
        <v>174</v>
      </c>
      <c r="D54" s="170" t="s">
        <v>174</v>
      </c>
      <c r="E54" s="170" t="s">
        <v>174</v>
      </c>
      <c r="F54" s="170" t="s">
        <v>174</v>
      </c>
      <c r="G54" s="170" t="s">
        <v>174</v>
      </c>
      <c r="H54" s="170" t="s">
        <v>174</v>
      </c>
      <c r="I54" s="170" t="s">
        <v>174</v>
      </c>
      <c r="J54" s="170" t="s">
        <v>174</v>
      </c>
      <c r="K54" s="129" t="s">
        <v>217</v>
      </c>
      <c r="L54" s="217" t="s">
        <v>284</v>
      </c>
      <c r="M54" s="36" t="s">
        <v>33</v>
      </c>
      <c r="N54" s="37"/>
      <c r="O54" s="57" t="s">
        <v>32</v>
      </c>
      <c r="P54" s="37"/>
      <c r="Q54" s="143"/>
      <c r="R54" s="56"/>
      <c r="S54" s="56"/>
    </row>
    <row r="55" spans="2:19">
      <c r="B55" s="21" t="s">
        <v>312</v>
      </c>
      <c r="C55" s="171" t="s">
        <v>174</v>
      </c>
      <c r="D55" s="171" t="s">
        <v>174</v>
      </c>
      <c r="E55" s="171" t="s">
        <v>174</v>
      </c>
      <c r="F55" s="171" t="s">
        <v>174</v>
      </c>
      <c r="G55" s="171" t="s">
        <v>174</v>
      </c>
      <c r="H55" s="171" t="s">
        <v>174</v>
      </c>
      <c r="I55" s="171" t="s">
        <v>174</v>
      </c>
      <c r="J55" s="171" t="s">
        <v>174</v>
      </c>
      <c r="K55" s="57" t="s">
        <v>217</v>
      </c>
      <c r="L55" s="217" t="s">
        <v>285</v>
      </c>
      <c r="M55" s="36" t="s">
        <v>33</v>
      </c>
      <c r="N55" s="38"/>
      <c r="O55" s="57" t="s">
        <v>32</v>
      </c>
      <c r="P55" s="202"/>
      <c r="Q55" s="143"/>
      <c r="R55" s="56"/>
      <c r="S55" s="56"/>
    </row>
    <row r="56" spans="2:19">
      <c r="B56" s="21" t="s">
        <v>312</v>
      </c>
      <c r="C56" s="170" t="s">
        <v>174</v>
      </c>
      <c r="D56" s="170" t="s">
        <v>174</v>
      </c>
      <c r="E56" s="170" t="s">
        <v>174</v>
      </c>
      <c r="F56" s="170" t="s">
        <v>174</v>
      </c>
      <c r="G56" s="170" t="s">
        <v>174</v>
      </c>
      <c r="H56" s="170" t="s">
        <v>174</v>
      </c>
      <c r="I56" s="170" t="s">
        <v>174</v>
      </c>
      <c r="J56" s="170" t="s">
        <v>174</v>
      </c>
      <c r="K56" s="129" t="s">
        <v>217</v>
      </c>
      <c r="L56" s="217" t="s">
        <v>286</v>
      </c>
      <c r="M56" s="36" t="s">
        <v>33</v>
      </c>
      <c r="N56" s="37"/>
      <c r="O56" s="57" t="s">
        <v>32</v>
      </c>
      <c r="P56" s="37"/>
      <c r="Q56" s="143"/>
      <c r="R56" s="56"/>
      <c r="S56" s="56"/>
    </row>
    <row r="57" spans="2:19">
      <c r="B57" s="21" t="s">
        <v>312</v>
      </c>
      <c r="C57" s="171" t="s">
        <v>174</v>
      </c>
      <c r="D57" s="171" t="s">
        <v>174</v>
      </c>
      <c r="E57" s="171" t="s">
        <v>174</v>
      </c>
      <c r="F57" s="171" t="s">
        <v>174</v>
      </c>
      <c r="G57" s="171" t="s">
        <v>174</v>
      </c>
      <c r="H57" s="171" t="s">
        <v>174</v>
      </c>
      <c r="I57" s="171" t="s">
        <v>174</v>
      </c>
      <c r="J57" s="171" t="s">
        <v>174</v>
      </c>
      <c r="K57" s="57" t="s">
        <v>217</v>
      </c>
      <c r="L57" s="217" t="s">
        <v>287</v>
      </c>
      <c r="M57" s="36" t="s">
        <v>33</v>
      </c>
      <c r="N57" s="38"/>
      <c r="O57" s="57" t="s">
        <v>32</v>
      </c>
      <c r="P57" s="202"/>
      <c r="Q57" s="143"/>
      <c r="R57" s="56"/>
      <c r="S57" s="56"/>
    </row>
    <row r="58" spans="2:19">
      <c r="B58" s="21" t="s">
        <v>312</v>
      </c>
      <c r="C58" s="170" t="s">
        <v>174</v>
      </c>
      <c r="D58" s="170" t="s">
        <v>174</v>
      </c>
      <c r="E58" s="170" t="s">
        <v>174</v>
      </c>
      <c r="F58" s="170" t="s">
        <v>174</v>
      </c>
      <c r="G58" s="170" t="s">
        <v>174</v>
      </c>
      <c r="H58" s="170" t="s">
        <v>174</v>
      </c>
      <c r="I58" s="170" t="s">
        <v>174</v>
      </c>
      <c r="J58" s="170" t="s">
        <v>174</v>
      </c>
      <c r="K58" s="129" t="s">
        <v>217</v>
      </c>
      <c r="L58" s="217" t="s">
        <v>288</v>
      </c>
      <c r="M58" s="36" t="s">
        <v>33</v>
      </c>
      <c r="N58" s="37"/>
      <c r="O58" s="129" t="s">
        <v>32</v>
      </c>
      <c r="P58" s="37"/>
      <c r="Q58" s="143"/>
      <c r="R58" s="56"/>
      <c r="S58" s="56"/>
    </row>
    <row r="59" spans="2:19">
      <c r="B59" s="21" t="s">
        <v>312</v>
      </c>
      <c r="C59" s="171" t="s">
        <v>174</v>
      </c>
      <c r="D59" s="171" t="s">
        <v>174</v>
      </c>
      <c r="E59" s="171" t="s">
        <v>174</v>
      </c>
      <c r="F59" s="171" t="s">
        <v>174</v>
      </c>
      <c r="G59" s="171" t="s">
        <v>174</v>
      </c>
      <c r="H59" s="171" t="s">
        <v>174</v>
      </c>
      <c r="I59" s="171" t="s">
        <v>174</v>
      </c>
      <c r="J59" s="171" t="s">
        <v>174</v>
      </c>
      <c r="K59" s="57" t="s">
        <v>217</v>
      </c>
      <c r="L59" s="217" t="s">
        <v>289</v>
      </c>
      <c r="M59" s="36" t="s">
        <v>33</v>
      </c>
      <c r="N59" s="38"/>
      <c r="O59" s="57" t="s">
        <v>32</v>
      </c>
      <c r="P59" s="202"/>
      <c r="Q59" s="143"/>
      <c r="R59" s="56"/>
      <c r="S59" s="56"/>
    </row>
    <row r="60" spans="2:19">
      <c r="B60" s="21" t="s">
        <v>314</v>
      </c>
      <c r="C60" s="171" t="s">
        <v>174</v>
      </c>
      <c r="D60" s="171" t="s">
        <v>174</v>
      </c>
      <c r="E60" s="171" t="s">
        <v>174</v>
      </c>
      <c r="F60" s="171" t="s">
        <v>174</v>
      </c>
      <c r="G60" s="171" t="s">
        <v>174</v>
      </c>
      <c r="H60" s="171" t="s">
        <v>174</v>
      </c>
      <c r="I60" s="171" t="s">
        <v>174</v>
      </c>
      <c r="J60" s="171" t="s">
        <v>174</v>
      </c>
      <c r="K60" s="57" t="s">
        <v>217</v>
      </c>
      <c r="L60" s="217" t="s">
        <v>290</v>
      </c>
      <c r="M60" s="36" t="s">
        <v>301</v>
      </c>
      <c r="N60" s="38"/>
      <c r="O60" s="57" t="s">
        <v>298</v>
      </c>
      <c r="P60" s="202"/>
      <c r="Q60" s="143"/>
      <c r="R60" s="56"/>
      <c r="S60" s="56"/>
    </row>
    <row r="61" spans="2:19">
      <c r="B61" s="21" t="s">
        <v>315</v>
      </c>
      <c r="C61" s="170" t="s">
        <v>174</v>
      </c>
      <c r="D61" s="170" t="s">
        <v>174</v>
      </c>
      <c r="E61" s="170" t="s">
        <v>174</v>
      </c>
      <c r="F61" s="170" t="s">
        <v>174</v>
      </c>
      <c r="G61" s="170" t="s">
        <v>174</v>
      </c>
      <c r="H61" s="170" t="s">
        <v>174</v>
      </c>
      <c r="I61" s="170" t="s">
        <v>174</v>
      </c>
      <c r="J61" s="170" t="s">
        <v>174</v>
      </c>
      <c r="K61" s="129" t="s">
        <v>217</v>
      </c>
      <c r="L61" s="217" t="s">
        <v>291</v>
      </c>
      <c r="M61" s="36" t="s">
        <v>303</v>
      </c>
      <c r="N61" s="37"/>
      <c r="O61" s="57" t="s">
        <v>300</v>
      </c>
      <c r="P61" s="37"/>
      <c r="Q61" s="143"/>
      <c r="R61" s="56"/>
      <c r="S61" s="56"/>
    </row>
    <row r="62" spans="2:19">
      <c r="B62" s="21" t="s">
        <v>312</v>
      </c>
      <c r="C62" s="171" t="s">
        <v>174</v>
      </c>
      <c r="D62" s="171" t="s">
        <v>174</v>
      </c>
      <c r="E62" s="171" t="s">
        <v>174</v>
      </c>
      <c r="F62" s="171" t="s">
        <v>174</v>
      </c>
      <c r="G62" s="171" t="s">
        <v>174</v>
      </c>
      <c r="H62" s="171" t="s">
        <v>174</v>
      </c>
      <c r="I62" s="171" t="s">
        <v>174</v>
      </c>
      <c r="J62" s="171" t="s">
        <v>174</v>
      </c>
      <c r="K62" s="57" t="s">
        <v>217</v>
      </c>
      <c r="L62" s="217" t="s">
        <v>292</v>
      </c>
      <c r="M62" s="36" t="s">
        <v>33</v>
      </c>
      <c r="N62" s="38"/>
      <c r="O62" s="57" t="s">
        <v>299</v>
      </c>
      <c r="P62" s="202"/>
      <c r="Q62" s="143"/>
      <c r="R62" s="56"/>
      <c r="S62" s="56"/>
    </row>
    <row r="63" spans="2:19">
      <c r="B63" s="21" t="s">
        <v>312</v>
      </c>
      <c r="C63" s="170" t="s">
        <v>174</v>
      </c>
      <c r="D63" s="170" t="s">
        <v>174</v>
      </c>
      <c r="E63" s="170" t="s">
        <v>174</v>
      </c>
      <c r="F63" s="170" t="s">
        <v>174</v>
      </c>
      <c r="G63" s="170" t="s">
        <v>174</v>
      </c>
      <c r="H63" s="170" t="s">
        <v>174</v>
      </c>
      <c r="I63" s="170" t="s">
        <v>174</v>
      </c>
      <c r="J63" s="170" t="s">
        <v>174</v>
      </c>
      <c r="K63" s="129" t="s">
        <v>217</v>
      </c>
      <c r="L63" s="217" t="s">
        <v>293</v>
      </c>
      <c r="M63" s="36" t="s">
        <v>33</v>
      </c>
      <c r="N63" s="37"/>
      <c r="O63" s="57" t="s">
        <v>299</v>
      </c>
      <c r="P63" s="37"/>
      <c r="Q63" s="143"/>
      <c r="R63" s="56"/>
      <c r="S63" s="56"/>
    </row>
    <row r="64" spans="2:19">
      <c r="B64" s="21" t="s">
        <v>312</v>
      </c>
      <c r="C64" s="171" t="s">
        <v>174</v>
      </c>
      <c r="D64" s="171" t="s">
        <v>174</v>
      </c>
      <c r="E64" s="171" t="s">
        <v>174</v>
      </c>
      <c r="F64" s="171" t="s">
        <v>174</v>
      </c>
      <c r="G64" s="171" t="s">
        <v>174</v>
      </c>
      <c r="H64" s="171" t="s">
        <v>174</v>
      </c>
      <c r="I64" s="171" t="s">
        <v>174</v>
      </c>
      <c r="J64" s="171" t="s">
        <v>174</v>
      </c>
      <c r="K64" s="57" t="s">
        <v>217</v>
      </c>
      <c r="L64" s="217" t="s">
        <v>294</v>
      </c>
      <c r="M64" s="36" t="s">
        <v>33</v>
      </c>
      <c r="N64" s="38"/>
      <c r="O64" s="57" t="s">
        <v>32</v>
      </c>
      <c r="P64" s="202"/>
      <c r="Q64" s="143"/>
      <c r="R64" s="56"/>
      <c r="S64" s="56"/>
    </row>
    <row r="65" spans="2:19">
      <c r="B65" s="21" t="s">
        <v>312</v>
      </c>
      <c r="C65" s="170" t="s">
        <v>174</v>
      </c>
      <c r="D65" s="170" t="s">
        <v>174</v>
      </c>
      <c r="E65" s="170" t="s">
        <v>174</v>
      </c>
      <c r="F65" s="170" t="s">
        <v>174</v>
      </c>
      <c r="G65" s="170" t="s">
        <v>174</v>
      </c>
      <c r="H65" s="170" t="s">
        <v>174</v>
      </c>
      <c r="I65" s="170" t="s">
        <v>174</v>
      </c>
      <c r="J65" s="170" t="s">
        <v>174</v>
      </c>
      <c r="K65" s="129" t="s">
        <v>217</v>
      </c>
      <c r="L65" s="217" t="s">
        <v>295</v>
      </c>
      <c r="M65" s="36" t="s">
        <v>33</v>
      </c>
      <c r="N65" s="37"/>
      <c r="O65" s="129" t="s">
        <v>32</v>
      </c>
      <c r="P65" s="37"/>
      <c r="Q65" s="143"/>
      <c r="R65" s="56"/>
      <c r="S65" s="56"/>
    </row>
    <row r="66" spans="2:19">
      <c r="B66" s="21" t="s">
        <v>312</v>
      </c>
      <c r="C66" s="171" t="s">
        <v>174</v>
      </c>
      <c r="D66" s="171" t="s">
        <v>174</v>
      </c>
      <c r="E66" s="171" t="s">
        <v>174</v>
      </c>
      <c r="F66" s="171" t="s">
        <v>174</v>
      </c>
      <c r="G66" s="171" t="s">
        <v>174</v>
      </c>
      <c r="H66" s="171" t="s">
        <v>174</v>
      </c>
      <c r="I66" s="171" t="s">
        <v>174</v>
      </c>
      <c r="J66" s="171" t="s">
        <v>174</v>
      </c>
      <c r="K66" s="57" t="s">
        <v>217</v>
      </c>
      <c r="L66" s="217" t="s">
        <v>296</v>
      </c>
      <c r="M66" s="36" t="s">
        <v>33</v>
      </c>
      <c r="N66" s="38"/>
      <c r="O66" s="57" t="s">
        <v>32</v>
      </c>
      <c r="P66" s="202"/>
      <c r="Q66" s="143"/>
      <c r="R66" s="56"/>
      <c r="S66" s="56"/>
    </row>
    <row r="67" spans="2:19">
      <c r="B67" s="21" t="s">
        <v>327</v>
      </c>
      <c r="C67" s="171" t="s">
        <v>174</v>
      </c>
      <c r="D67" s="171" t="s">
        <v>174</v>
      </c>
      <c r="E67" s="171" t="s">
        <v>174</v>
      </c>
      <c r="F67" s="171" t="s">
        <v>174</v>
      </c>
      <c r="G67" s="171" t="s">
        <v>174</v>
      </c>
      <c r="H67" s="171" t="s">
        <v>174</v>
      </c>
      <c r="I67" s="171" t="s">
        <v>174</v>
      </c>
      <c r="J67" s="171" t="s">
        <v>174</v>
      </c>
      <c r="K67" s="57" t="s">
        <v>218</v>
      </c>
      <c r="L67" s="216" t="s">
        <v>304</v>
      </c>
      <c r="M67" s="36" t="s">
        <v>33</v>
      </c>
      <c r="N67" s="73"/>
      <c r="O67" s="57" t="s">
        <v>32</v>
      </c>
      <c r="P67" s="38"/>
      <c r="Q67" s="144"/>
      <c r="R67" s="56"/>
      <c r="S67" s="56"/>
    </row>
    <row r="68" spans="2:19">
      <c r="B68" s="21" t="s">
        <v>328</v>
      </c>
      <c r="C68" s="171" t="s">
        <v>174</v>
      </c>
      <c r="D68" s="171" t="s">
        <v>174</v>
      </c>
      <c r="E68" s="171" t="s">
        <v>174</v>
      </c>
      <c r="F68" s="171" t="s">
        <v>174</v>
      </c>
      <c r="G68" s="171" t="s">
        <v>174</v>
      </c>
      <c r="H68" s="171" t="s">
        <v>174</v>
      </c>
      <c r="I68" s="171" t="s">
        <v>174</v>
      </c>
      <c r="J68" s="171" t="s">
        <v>174</v>
      </c>
      <c r="K68" s="57" t="s">
        <v>219</v>
      </c>
      <c r="L68" s="217" t="s">
        <v>304</v>
      </c>
      <c r="M68" s="36" t="s">
        <v>33</v>
      </c>
      <c r="N68" s="73"/>
      <c r="O68" s="57" t="s">
        <v>32</v>
      </c>
      <c r="P68" s="38"/>
      <c r="Q68" s="144"/>
      <c r="R68" s="56"/>
      <c r="S68" s="56"/>
    </row>
    <row r="69" spans="2:19">
      <c r="B69" s="21" t="s">
        <v>351</v>
      </c>
      <c r="C69" s="171" t="s">
        <v>174</v>
      </c>
      <c r="D69" s="171" t="s">
        <v>174</v>
      </c>
      <c r="E69" s="171" t="s">
        <v>174</v>
      </c>
      <c r="F69" s="171" t="s">
        <v>174</v>
      </c>
      <c r="G69" s="171" t="s">
        <v>174</v>
      </c>
      <c r="H69" s="171" t="s">
        <v>174</v>
      </c>
      <c r="I69" s="171" t="s">
        <v>174</v>
      </c>
      <c r="J69" s="171" t="s">
        <v>174</v>
      </c>
      <c r="K69" s="57" t="s">
        <v>220</v>
      </c>
      <c r="L69" s="217" t="s">
        <v>304</v>
      </c>
      <c r="M69" s="36" t="s">
        <v>33</v>
      </c>
      <c r="N69" s="73"/>
      <c r="O69" s="57" t="s">
        <v>32</v>
      </c>
      <c r="P69" s="38"/>
      <c r="Q69" s="144"/>
      <c r="R69" s="56"/>
      <c r="S69" s="56"/>
    </row>
    <row r="70" spans="2:19" ht="14.25" thickBot="1">
      <c r="B70" s="197" t="s">
        <v>329</v>
      </c>
      <c r="C70" s="198" t="s">
        <v>174</v>
      </c>
      <c r="D70" s="198" t="s">
        <v>174</v>
      </c>
      <c r="E70" s="198" t="s">
        <v>174</v>
      </c>
      <c r="F70" s="198" t="s">
        <v>174</v>
      </c>
      <c r="G70" s="198" t="s">
        <v>174</v>
      </c>
      <c r="H70" s="198" t="s">
        <v>174</v>
      </c>
      <c r="I70" s="198" t="s">
        <v>174</v>
      </c>
      <c r="J70" s="198" t="s">
        <v>174</v>
      </c>
      <c r="K70" s="199" t="s">
        <v>221</v>
      </c>
      <c r="L70" s="221" t="s">
        <v>304</v>
      </c>
      <c r="M70" s="200" t="s">
        <v>33</v>
      </c>
      <c r="N70" s="237"/>
      <c r="O70" s="199" t="s">
        <v>32</v>
      </c>
      <c r="P70" s="203"/>
      <c r="Q70" s="201"/>
      <c r="R70" s="56"/>
      <c r="S70" s="56"/>
    </row>
    <row r="71" spans="2:19">
      <c r="B71" s="207"/>
      <c r="C71" s="208"/>
      <c r="D71" s="208"/>
      <c r="E71" s="208"/>
      <c r="F71" s="208"/>
      <c r="G71" s="208"/>
      <c r="H71" s="208"/>
      <c r="I71" s="208"/>
      <c r="J71" s="208"/>
      <c r="K71" s="208"/>
      <c r="L71" s="208"/>
      <c r="M71" s="220"/>
      <c r="N71" s="208"/>
      <c r="O71" s="208"/>
      <c r="P71" s="208"/>
      <c r="Q71" s="208"/>
      <c r="R71" s="56"/>
      <c r="S71" s="56"/>
    </row>
    <row r="72" spans="2:19">
      <c r="B72" s="209"/>
      <c r="C72" s="56"/>
      <c r="D72" s="56"/>
      <c r="E72" s="56"/>
      <c r="F72" s="56"/>
      <c r="G72" s="56"/>
      <c r="H72" s="56"/>
      <c r="I72" s="56"/>
      <c r="J72" s="56"/>
      <c r="K72" s="56"/>
      <c r="L72" s="56"/>
      <c r="M72" s="220"/>
      <c r="N72" s="56"/>
      <c r="O72" s="56"/>
      <c r="P72" s="56"/>
      <c r="Q72" s="56"/>
      <c r="R72" s="56"/>
      <c r="S72" s="56"/>
    </row>
    <row r="73" spans="2:19">
      <c r="B73" s="209"/>
      <c r="C73" s="56"/>
      <c r="D73" s="56"/>
      <c r="E73" s="56"/>
      <c r="F73" s="56"/>
      <c r="G73" s="56"/>
      <c r="H73" s="56"/>
      <c r="I73" s="56"/>
      <c r="J73" s="56"/>
      <c r="K73" s="56"/>
      <c r="L73" s="56"/>
      <c r="M73" s="220"/>
      <c r="N73" s="56"/>
      <c r="O73" s="56"/>
      <c r="P73" s="56"/>
      <c r="Q73" s="56"/>
      <c r="R73" s="56"/>
      <c r="S73" s="56"/>
    </row>
    <row r="74" spans="2:19">
      <c r="B74" s="209"/>
      <c r="C74" s="56"/>
      <c r="D74" s="56"/>
      <c r="E74" s="56"/>
      <c r="F74" s="56"/>
      <c r="G74" s="56"/>
      <c r="H74" s="56"/>
      <c r="I74" s="56"/>
      <c r="J74" s="56"/>
      <c r="K74" s="56"/>
      <c r="L74" s="56"/>
      <c r="M74" s="220"/>
      <c r="N74" s="56"/>
      <c r="O74" s="56"/>
      <c r="P74" s="56"/>
      <c r="Q74" s="56"/>
      <c r="R74" s="56"/>
      <c r="S74" s="56"/>
    </row>
    <row r="75" spans="2:19">
      <c r="B75" s="209"/>
      <c r="C75" s="56"/>
      <c r="D75" s="56"/>
      <c r="E75" s="56"/>
      <c r="F75" s="56"/>
      <c r="G75" s="56"/>
      <c r="H75" s="56"/>
      <c r="I75" s="56"/>
      <c r="J75" s="56"/>
      <c r="K75" s="56"/>
      <c r="L75" s="56"/>
      <c r="M75" s="220"/>
      <c r="N75" s="56"/>
      <c r="O75" s="56"/>
      <c r="P75" s="56"/>
      <c r="Q75" s="56"/>
      <c r="R75" s="56"/>
      <c r="S75" s="56"/>
    </row>
    <row r="76" spans="2:19">
      <c r="B76" s="209"/>
      <c r="C76" s="56"/>
      <c r="D76" s="56"/>
      <c r="E76" s="56"/>
      <c r="F76" s="56"/>
      <c r="G76" s="56"/>
      <c r="H76" s="56"/>
      <c r="I76" s="56"/>
      <c r="J76" s="56"/>
      <c r="K76" s="56"/>
      <c r="L76" s="56"/>
      <c r="M76" s="220"/>
      <c r="N76" s="56"/>
      <c r="O76" s="56"/>
      <c r="P76" s="56"/>
      <c r="Q76" s="56"/>
      <c r="R76" s="42"/>
    </row>
    <row r="77" spans="2:19">
      <c r="B77" s="209"/>
      <c r="C77" s="56"/>
      <c r="D77" s="56"/>
      <c r="E77" s="56"/>
      <c r="F77" s="56"/>
      <c r="G77" s="56"/>
      <c r="H77" s="56"/>
      <c r="I77" s="56"/>
      <c r="J77" s="56"/>
      <c r="K77" s="56"/>
      <c r="L77" s="56"/>
      <c r="M77" s="220"/>
      <c r="N77" s="56"/>
      <c r="O77" s="56"/>
      <c r="P77" s="56"/>
      <c r="Q77" s="56"/>
      <c r="R77" s="42"/>
    </row>
    <row r="78" spans="2:19">
      <c r="R78" s="56"/>
    </row>
    <row r="88" spans="18:74" ht="17.25">
      <c r="AW88" s="214" t="s">
        <v>343</v>
      </c>
      <c r="AX88" s="206"/>
      <c r="AY88" s="206"/>
      <c r="AZ88" s="206"/>
      <c r="BA88" s="206"/>
      <c r="BB88" s="206"/>
      <c r="BC88" s="206"/>
      <c r="BD88" s="206"/>
      <c r="BE88" s="206"/>
      <c r="BF88" s="206"/>
      <c r="BG88" s="206"/>
      <c r="BH88" s="206"/>
      <c r="BI88" s="206"/>
      <c r="BJ88" s="206"/>
      <c r="BK88" s="206"/>
      <c r="BL88" s="206"/>
      <c r="BM88" s="206"/>
      <c r="BN88" s="206"/>
      <c r="BO88" s="206"/>
      <c r="BP88" s="206"/>
      <c r="BQ88" s="206"/>
      <c r="BR88" s="206"/>
      <c r="BS88" s="206"/>
      <c r="BT88" s="206"/>
      <c r="BU88" s="206"/>
      <c r="BV88" s="206"/>
    </row>
    <row r="93" spans="18:74">
      <c r="R93" s="56"/>
    </row>
    <row r="94" spans="18:74">
      <c r="R94" s="56"/>
    </row>
    <row r="194" spans="49:74" ht="17.25">
      <c r="AW194" s="214" t="s">
        <v>230</v>
      </c>
      <c r="AX194" s="206"/>
      <c r="AY194" s="206"/>
      <c r="AZ194" s="206"/>
      <c r="BA194" s="206"/>
      <c r="BB194" s="206"/>
      <c r="BC194" s="206"/>
      <c r="BD194" s="206"/>
      <c r="BE194" s="206"/>
      <c r="BF194" s="206"/>
      <c r="BG194" s="206"/>
      <c r="BH194" s="206"/>
      <c r="BI194" s="206"/>
      <c r="BJ194" s="206"/>
      <c r="BK194" s="206"/>
      <c r="BL194" s="206"/>
      <c r="BM194" s="206"/>
      <c r="BN194" s="206"/>
      <c r="BO194" s="206"/>
      <c r="BP194" s="206"/>
      <c r="BQ194" s="206"/>
      <c r="BR194" s="206"/>
      <c r="BS194" s="206"/>
      <c r="BT194" s="206"/>
      <c r="BU194" s="206"/>
      <c r="BV194" s="206"/>
    </row>
    <row r="216" spans="49:74" ht="17.25">
      <c r="AW216" s="214" t="s">
        <v>344</v>
      </c>
      <c r="AX216" s="206"/>
      <c r="AY216" s="206"/>
      <c r="AZ216" s="206"/>
      <c r="BA216" s="206"/>
      <c r="BB216" s="206"/>
      <c r="BC216" s="206"/>
      <c r="BD216" s="206"/>
      <c r="BE216" s="206"/>
      <c r="BF216" s="206"/>
      <c r="BG216" s="206"/>
      <c r="BH216" s="206"/>
      <c r="BI216" s="206"/>
      <c r="BJ216" s="206"/>
      <c r="BK216" s="206"/>
      <c r="BL216" s="206"/>
      <c r="BM216" s="206"/>
      <c r="BN216" s="206"/>
      <c r="BO216" s="206"/>
      <c r="BP216" s="206"/>
      <c r="BQ216" s="206"/>
      <c r="BR216" s="206"/>
      <c r="BS216" s="206"/>
      <c r="BT216" s="206"/>
      <c r="BU216" s="206"/>
      <c r="BV216" s="206"/>
    </row>
    <row r="237" spans="49:74" ht="17.25">
      <c r="AW237" s="214" t="s">
        <v>353</v>
      </c>
      <c r="AX237" s="206"/>
      <c r="AY237" s="206"/>
      <c r="AZ237" s="206"/>
      <c r="BA237" s="206"/>
      <c r="BB237" s="206"/>
      <c r="BC237" s="206"/>
      <c r="BD237" s="206"/>
      <c r="BE237" s="206"/>
      <c r="BF237" s="206"/>
      <c r="BG237" s="206"/>
      <c r="BH237" s="206"/>
      <c r="BI237" s="206"/>
      <c r="BJ237" s="206"/>
      <c r="BK237" s="206"/>
      <c r="BL237" s="206"/>
      <c r="BM237" s="206"/>
      <c r="BN237" s="206"/>
      <c r="BO237" s="206"/>
      <c r="BP237" s="206"/>
      <c r="BQ237" s="206"/>
      <c r="BR237" s="206"/>
      <c r="BS237" s="206"/>
      <c r="BT237" s="206"/>
      <c r="BU237" s="206"/>
      <c r="BV237" s="206"/>
    </row>
  </sheetData>
  <mergeCells count="6">
    <mergeCell ref="C3:J3"/>
    <mergeCell ref="C5:J5"/>
    <mergeCell ref="C7:J7"/>
    <mergeCell ref="C30:J30"/>
    <mergeCell ref="C32:J32"/>
    <mergeCell ref="C28:J28"/>
  </mergeCells>
  <phoneticPr fontId="2"/>
  <dataValidations disablePrompts="1" count="1">
    <dataValidation type="list" allowBlank="1" showInputMessage="1" showErrorMessage="1" sqref="C28 C3"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topLeftCell="A19" workbookViewId="0"/>
  </sheetViews>
  <sheetFormatPr defaultRowHeight="13.5"/>
  <cols>
    <col min="2" max="2" width="4.875" bestFit="1" customWidth="1"/>
    <col min="3" max="3" width="12.25" customWidth="1"/>
    <col min="4" max="4" width="86" customWidth="1"/>
  </cols>
  <sheetData>
    <row r="2" spans="2:4" ht="14.25" thickBot="1">
      <c r="B2" s="81" t="s">
        <v>86</v>
      </c>
      <c r="C2" s="82">
        <f>MAX(B4:B28)</f>
        <v>19</v>
      </c>
      <c r="D2" s="82"/>
    </row>
    <row r="3" spans="2:4" ht="14.25" thickBot="1">
      <c r="B3" s="75" t="s">
        <v>86</v>
      </c>
      <c r="C3" s="83" t="s">
        <v>90</v>
      </c>
      <c r="D3" s="76" t="s">
        <v>87</v>
      </c>
    </row>
    <row r="4" spans="2:4" ht="14.25" thickTop="1">
      <c r="B4" s="12">
        <v>0</v>
      </c>
      <c r="C4" s="84" t="s">
        <v>91</v>
      </c>
      <c r="D4" s="14" t="s">
        <v>20</v>
      </c>
    </row>
    <row r="5" spans="2:4" ht="40.5">
      <c r="B5" s="2">
        <v>1</v>
      </c>
      <c r="C5" s="85" t="s">
        <v>91</v>
      </c>
      <c r="D5" s="87" t="s">
        <v>92</v>
      </c>
    </row>
    <row r="6" spans="2:4" ht="27">
      <c r="B6" s="2">
        <v>2</v>
      </c>
      <c r="C6" s="85" t="s">
        <v>94</v>
      </c>
      <c r="D6" s="87" t="s">
        <v>95</v>
      </c>
    </row>
    <row r="7" spans="2:4" ht="54">
      <c r="B7" s="2">
        <v>3</v>
      </c>
      <c r="C7" s="85" t="s">
        <v>91</v>
      </c>
      <c r="D7" s="87" t="s">
        <v>98</v>
      </c>
    </row>
    <row r="8" spans="2:4" ht="81">
      <c r="B8" s="2">
        <v>4</v>
      </c>
      <c r="C8" s="85" t="s">
        <v>106</v>
      </c>
      <c r="D8" s="87" t="s">
        <v>112</v>
      </c>
    </row>
    <row r="9" spans="2:4" ht="41.25" customHeight="1">
      <c r="B9" s="2">
        <v>5</v>
      </c>
      <c r="C9" s="85" t="s">
        <v>107</v>
      </c>
      <c r="D9" s="87" t="s">
        <v>108</v>
      </c>
    </row>
    <row r="10" spans="2:4" ht="27">
      <c r="B10" s="2">
        <v>6</v>
      </c>
      <c r="C10" s="85" t="s">
        <v>91</v>
      </c>
      <c r="D10" s="87" t="s">
        <v>111</v>
      </c>
    </row>
    <row r="11" spans="2:4" ht="27">
      <c r="B11" s="2">
        <v>7</v>
      </c>
      <c r="C11" s="85" t="s">
        <v>106</v>
      </c>
      <c r="D11" s="87" t="s">
        <v>110</v>
      </c>
    </row>
    <row r="12" spans="2:4" ht="27">
      <c r="B12" s="2">
        <v>8</v>
      </c>
      <c r="C12" s="85" t="s">
        <v>91</v>
      </c>
      <c r="D12" s="87" t="s">
        <v>113</v>
      </c>
    </row>
    <row r="13" spans="2:4" ht="27">
      <c r="B13" s="2">
        <v>9</v>
      </c>
      <c r="C13" s="85" t="s">
        <v>91</v>
      </c>
      <c r="D13" s="87" t="s">
        <v>114</v>
      </c>
    </row>
    <row r="14" spans="2:4" ht="27">
      <c r="B14" s="2">
        <v>10</v>
      </c>
      <c r="C14" s="85" t="s">
        <v>115</v>
      </c>
      <c r="D14" s="87" t="s">
        <v>116</v>
      </c>
    </row>
    <row r="15" spans="2:4" ht="135">
      <c r="B15" s="2">
        <v>11</v>
      </c>
      <c r="C15" s="85" t="s">
        <v>91</v>
      </c>
      <c r="D15" s="87" t="s">
        <v>128</v>
      </c>
    </row>
    <row r="16" spans="2:4" ht="191.25" customHeight="1">
      <c r="B16" s="2">
        <v>12</v>
      </c>
      <c r="C16" s="85" t="s">
        <v>158</v>
      </c>
      <c r="D16" s="87" t="s">
        <v>181</v>
      </c>
    </row>
    <row r="17" spans="2:4" ht="27">
      <c r="B17" s="2">
        <v>13</v>
      </c>
      <c r="C17" s="85" t="s">
        <v>94</v>
      </c>
      <c r="D17" s="87" t="s">
        <v>185</v>
      </c>
    </row>
    <row r="18" spans="2:4" ht="67.5">
      <c r="B18" s="2">
        <v>14</v>
      </c>
      <c r="C18" s="85" t="s">
        <v>94</v>
      </c>
      <c r="D18" s="87" t="s">
        <v>187</v>
      </c>
    </row>
    <row r="19" spans="2:4" ht="40.5">
      <c r="B19" s="2">
        <v>15</v>
      </c>
      <c r="C19" s="85" t="s">
        <v>107</v>
      </c>
      <c r="D19" s="87" t="s">
        <v>190</v>
      </c>
    </row>
    <row r="20" spans="2:4" ht="64.5" customHeight="1">
      <c r="B20" s="2">
        <v>16</v>
      </c>
      <c r="C20" s="85" t="s">
        <v>107</v>
      </c>
      <c r="D20" s="87" t="s">
        <v>194</v>
      </c>
    </row>
    <row r="21" spans="2:4" ht="66.75" customHeight="1">
      <c r="B21" s="2">
        <v>17</v>
      </c>
      <c r="C21" s="85" t="s">
        <v>106</v>
      </c>
      <c r="D21" s="87" t="s">
        <v>209</v>
      </c>
    </row>
    <row r="22" spans="2:4" ht="27">
      <c r="B22" s="2">
        <v>18</v>
      </c>
      <c r="C22" s="85" t="s">
        <v>345</v>
      </c>
      <c r="D22" s="87" t="s">
        <v>346</v>
      </c>
    </row>
    <row r="23" spans="2:4" ht="27">
      <c r="B23" s="2">
        <v>19</v>
      </c>
      <c r="C23" s="85" t="s">
        <v>345</v>
      </c>
      <c r="D23" s="87" t="s">
        <v>347</v>
      </c>
    </row>
    <row r="24" spans="2:4">
      <c r="B24" s="2"/>
      <c r="C24" s="85"/>
      <c r="D24" s="87"/>
    </row>
    <row r="25" spans="2:4">
      <c r="B25" s="2"/>
      <c r="C25" s="85"/>
      <c r="D25" s="71"/>
    </row>
    <row r="26" spans="2:4">
      <c r="B26" s="2"/>
      <c r="C26" s="85"/>
      <c r="D26" s="71"/>
    </row>
    <row r="27" spans="2:4" ht="14.25" thickBot="1">
      <c r="B27" s="3"/>
      <c r="C27" s="86"/>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2024-06-24T00:49:21Z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2024-04-05T10:23:50Z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13d2640f-79f9-4644-a363-051321726a6f</vt:lpwstr>
  </property>
  <property fmtid="{D5CDD505-2E9C-101B-9397-08002B2CF9AE}" pid="8" name="MSIP_Label_6add209e-37c4-4e15-ab1b-f9befe71def1_ContentBits">
    <vt:lpwstr>0</vt:lpwstr>
  </property>
</Properties>
</file>