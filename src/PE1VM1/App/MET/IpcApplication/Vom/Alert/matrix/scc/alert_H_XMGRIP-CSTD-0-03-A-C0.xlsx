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C:\00. Actual Project\01. 19Pfv3\11.R2小\02.設計\01.Team1\04. MET-H_XMGRIP-CSTD-0-03-A-C0_MET19PFV3-27856\04.パラメータ設定書\"/>
    </mc:Choice>
  </mc:AlternateContent>
  <xr:revisionPtr revIDLastSave="0" documentId="13_ncr:1_{2311E279-5368-4E18-A127-DFA38E8AB56D}" xr6:coauthVersionLast="47" xr6:coauthVersionMax="47" xr10:uidLastSave="{00000000-0000-0000-0000-000000000000}"/>
  <bookViews>
    <workbookView xWindow="-1968" yWindow="-16308" windowWidth="29016" windowHeight="15816"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TT_IND" sheetId="9" r:id="rId7"/>
    <sheet name="PD" sheetId="14" r:id="rId8"/>
    <sheet name="BC" sheetId="15" r:id="rId9"/>
    <sheet name="Reference" sheetId="3"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AJ199" i="15" l="1"/>
  <c r="AQ199" i="15" s="1"/>
  <c r="AI199" i="15"/>
  <c r="AH199" i="15"/>
  <c r="AG199" i="15"/>
  <c r="AF199" i="15"/>
  <c r="AE199" i="15"/>
  <c r="AD199" i="15"/>
  <c r="AC199" i="15"/>
  <c r="AB199" i="15"/>
  <c r="AL199" i="15" s="1"/>
  <c r="AA199" i="15"/>
  <c r="Z199" i="15"/>
  <c r="Y199" i="15"/>
  <c r="X199" i="15"/>
  <c r="W199" i="15"/>
  <c r="V199" i="15"/>
  <c r="U199" i="15"/>
  <c r="T199" i="15"/>
  <c r="S199" i="15"/>
  <c r="R199" i="15"/>
  <c r="Q199" i="15"/>
  <c r="P199" i="15"/>
  <c r="O199" i="15"/>
  <c r="N199" i="15"/>
  <c r="M199" i="15"/>
  <c r="L199" i="15"/>
  <c r="AN199" i="15" s="1"/>
  <c r="K199" i="15"/>
  <c r="J199" i="15"/>
  <c r="I199" i="15"/>
  <c r="H199" i="15"/>
  <c r="G199" i="15"/>
  <c r="F199" i="15"/>
  <c r="E199" i="15"/>
  <c r="D199" i="15"/>
  <c r="AO199" i="15" s="1"/>
  <c r="AJ198" i="15"/>
  <c r="AQ198" i="15" s="1"/>
  <c r="AI198" i="15"/>
  <c r="AH198" i="15"/>
  <c r="AG198" i="15"/>
  <c r="AF198" i="15"/>
  <c r="AE198" i="15"/>
  <c r="AD198" i="15"/>
  <c r="AC198" i="15"/>
  <c r="AB198" i="15"/>
  <c r="AA198" i="15"/>
  <c r="Z198" i="15"/>
  <c r="Y198" i="15"/>
  <c r="X198" i="15"/>
  <c r="W198" i="15"/>
  <c r="V198" i="15"/>
  <c r="U198" i="15"/>
  <c r="T198" i="15"/>
  <c r="AM198" i="15" s="1"/>
  <c r="S198" i="15"/>
  <c r="R198" i="15"/>
  <c r="Q198" i="15"/>
  <c r="P198" i="15"/>
  <c r="O198" i="15"/>
  <c r="AN198" i="15" s="1"/>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AN197" i="15" s="1"/>
  <c r="K197" i="15"/>
  <c r="J197" i="15"/>
  <c r="I197" i="15"/>
  <c r="H197" i="15"/>
  <c r="G197" i="15"/>
  <c r="F197" i="15"/>
  <c r="E197" i="15"/>
  <c r="D197" i="15"/>
  <c r="AN196" i="15"/>
  <c r="AJ196" i="15"/>
  <c r="AQ196" i="15" s="1"/>
  <c r="AI196" i="15"/>
  <c r="AH196" i="15"/>
  <c r="AG196" i="15"/>
  <c r="AF196" i="15"/>
  <c r="AE196" i="15"/>
  <c r="AD196" i="15"/>
  <c r="AC196" i="15"/>
  <c r="AB196" i="15"/>
  <c r="AL196" i="15" s="1"/>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O196" i="15" s="1"/>
  <c r="AJ195" i="15"/>
  <c r="AQ195" i="15" s="1"/>
  <c r="AI195" i="15"/>
  <c r="AH195" i="15"/>
  <c r="AG195" i="15"/>
  <c r="AF195" i="15"/>
  <c r="AE195" i="15"/>
  <c r="AD195" i="15"/>
  <c r="AC195" i="15"/>
  <c r="AB195" i="15"/>
  <c r="AL195" i="15" s="1"/>
  <c r="AA195" i="15"/>
  <c r="Z195" i="15"/>
  <c r="Y195" i="15"/>
  <c r="X195" i="15"/>
  <c r="W195" i="15"/>
  <c r="V195" i="15"/>
  <c r="U195" i="15"/>
  <c r="T195" i="15"/>
  <c r="AM195" i="15" s="1"/>
  <c r="S195" i="15"/>
  <c r="R195" i="15"/>
  <c r="Q195" i="15"/>
  <c r="P195" i="15"/>
  <c r="O195" i="15"/>
  <c r="N195" i="15"/>
  <c r="M195" i="15"/>
  <c r="L195" i="15"/>
  <c r="AN195" i="15" s="1"/>
  <c r="K195" i="15"/>
  <c r="J195" i="15"/>
  <c r="I195" i="15"/>
  <c r="H195" i="15"/>
  <c r="G195" i="15"/>
  <c r="F195" i="15"/>
  <c r="E195" i="15"/>
  <c r="D195" i="15"/>
  <c r="AO195" i="15" s="1"/>
  <c r="AJ194" i="15"/>
  <c r="AQ194" i="15" s="1"/>
  <c r="AI194" i="15"/>
  <c r="AH194" i="15"/>
  <c r="AG194" i="15"/>
  <c r="AF194" i="15"/>
  <c r="AE194" i="15"/>
  <c r="AD194" i="15"/>
  <c r="AC194" i="15"/>
  <c r="AB194" i="15"/>
  <c r="AA194" i="15"/>
  <c r="Z194" i="15"/>
  <c r="Y194" i="15"/>
  <c r="X194" i="15"/>
  <c r="W194" i="15"/>
  <c r="V194" i="15"/>
  <c r="U194" i="15"/>
  <c r="T194" i="15"/>
  <c r="S194" i="15"/>
  <c r="R194" i="15"/>
  <c r="Q194" i="15"/>
  <c r="P194" i="15"/>
  <c r="O194" i="15"/>
  <c r="AN194" i="15" s="1"/>
  <c r="N194" i="15"/>
  <c r="M194" i="15"/>
  <c r="L194" i="15"/>
  <c r="K194" i="15"/>
  <c r="J194" i="15"/>
  <c r="I194" i="15"/>
  <c r="H194" i="15"/>
  <c r="G194" i="15"/>
  <c r="F194" i="15"/>
  <c r="E194" i="15"/>
  <c r="D194" i="15"/>
  <c r="C194" i="15"/>
  <c r="AJ193" i="15"/>
  <c r="AQ193" i="15" s="1"/>
  <c r="AI193" i="15"/>
  <c r="AH193" i="15"/>
  <c r="AG193" i="15"/>
  <c r="AF193" i="15"/>
  <c r="AE193" i="15"/>
  <c r="AD193" i="15"/>
  <c r="AC193" i="15"/>
  <c r="AB193" i="15"/>
  <c r="AL193" i="15" s="1"/>
  <c r="AA193" i="15"/>
  <c r="Z193" i="15"/>
  <c r="Y193" i="15"/>
  <c r="X193" i="15"/>
  <c r="W193" i="15"/>
  <c r="V193" i="15"/>
  <c r="U193" i="15"/>
  <c r="T193" i="15"/>
  <c r="S193" i="15"/>
  <c r="R193" i="15"/>
  <c r="Q193" i="15"/>
  <c r="P193" i="15"/>
  <c r="O193" i="15"/>
  <c r="N193" i="15"/>
  <c r="M193" i="15"/>
  <c r="L193" i="15"/>
  <c r="AN193" i="15" s="1"/>
  <c r="K193" i="15"/>
  <c r="J193" i="15"/>
  <c r="I193" i="15"/>
  <c r="H193" i="15"/>
  <c r="G193" i="15"/>
  <c r="F193" i="15"/>
  <c r="E193" i="15"/>
  <c r="D193" i="15"/>
  <c r="AO193" i="15" s="1"/>
  <c r="AJ192" i="15"/>
  <c r="AQ192" i="15" s="1"/>
  <c r="AI192" i="15"/>
  <c r="AH192" i="15"/>
  <c r="AG192" i="15"/>
  <c r="AF192" i="15"/>
  <c r="AE192" i="15"/>
  <c r="AD192" i="15"/>
  <c r="AC192" i="15"/>
  <c r="AB192" i="15"/>
  <c r="AA192" i="15"/>
  <c r="Z192" i="15"/>
  <c r="Y192" i="15"/>
  <c r="X192" i="15"/>
  <c r="W192" i="15"/>
  <c r="V192" i="15"/>
  <c r="U192" i="15"/>
  <c r="T192" i="15"/>
  <c r="AM192" i="15" s="1"/>
  <c r="S192" i="15"/>
  <c r="R192" i="15"/>
  <c r="Q192" i="15"/>
  <c r="P192" i="15"/>
  <c r="O192" i="15"/>
  <c r="AN192" i="15" s="1"/>
  <c r="N192" i="15"/>
  <c r="M192" i="15"/>
  <c r="L192" i="15"/>
  <c r="K192" i="15"/>
  <c r="J192" i="15"/>
  <c r="I192" i="15"/>
  <c r="H192" i="15"/>
  <c r="G192" i="15"/>
  <c r="F192" i="15"/>
  <c r="E192" i="15"/>
  <c r="D192"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AN191" i="15" s="1"/>
  <c r="K191" i="15"/>
  <c r="J191" i="15"/>
  <c r="I191" i="15"/>
  <c r="H191" i="15"/>
  <c r="G191" i="15"/>
  <c r="F191" i="15"/>
  <c r="E191" i="15"/>
  <c r="D191" i="15"/>
  <c r="AN190" i="15"/>
  <c r="AJ190" i="15"/>
  <c r="AQ190" i="15" s="1"/>
  <c r="AI190" i="15"/>
  <c r="AH190" i="15"/>
  <c r="AG190" i="15"/>
  <c r="AF190" i="15"/>
  <c r="AE190" i="15"/>
  <c r="AD190" i="15"/>
  <c r="AC190" i="15"/>
  <c r="AB190" i="15"/>
  <c r="AL190" i="15" s="1"/>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O190" i="15" s="1"/>
  <c r="AJ189" i="15"/>
  <c r="AQ189" i="15" s="1"/>
  <c r="AI189" i="15"/>
  <c r="AH189" i="15"/>
  <c r="AG189" i="15"/>
  <c r="AF189" i="15"/>
  <c r="AE189" i="15"/>
  <c r="AD189" i="15"/>
  <c r="AC189" i="15"/>
  <c r="AB189" i="15"/>
  <c r="AL189" i="15" s="1"/>
  <c r="AA189" i="15"/>
  <c r="Z189" i="15"/>
  <c r="Y189" i="15"/>
  <c r="X189" i="15"/>
  <c r="W189" i="15"/>
  <c r="V189" i="15"/>
  <c r="U189" i="15"/>
  <c r="T189" i="15"/>
  <c r="AM189" i="15" s="1"/>
  <c r="S189" i="15"/>
  <c r="R189" i="15"/>
  <c r="Q189" i="15"/>
  <c r="P189" i="15"/>
  <c r="O189" i="15"/>
  <c r="N189" i="15"/>
  <c r="M189" i="15"/>
  <c r="L189" i="15"/>
  <c r="AN189" i="15" s="1"/>
  <c r="K189" i="15"/>
  <c r="J189" i="15"/>
  <c r="I189" i="15"/>
  <c r="H189" i="15"/>
  <c r="G189" i="15"/>
  <c r="F189" i="15"/>
  <c r="E189" i="15"/>
  <c r="D189" i="15"/>
  <c r="AO189" i="15" s="1"/>
  <c r="AJ188" i="15"/>
  <c r="AQ188" i="15" s="1"/>
  <c r="AI188" i="15"/>
  <c r="AH188" i="15"/>
  <c r="AG188" i="15"/>
  <c r="AF188" i="15"/>
  <c r="AE188" i="15"/>
  <c r="AD188" i="15"/>
  <c r="AC188" i="15"/>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C188" i="15"/>
  <c r="AJ187" i="15"/>
  <c r="AQ187" i="15" s="1"/>
  <c r="AI187" i="15"/>
  <c r="AH187" i="15"/>
  <c r="AG187" i="15"/>
  <c r="AF187" i="15"/>
  <c r="AE187" i="15"/>
  <c r="AD187" i="15"/>
  <c r="AC187" i="15"/>
  <c r="AB187" i="15"/>
  <c r="AL187" i="15" s="1"/>
  <c r="AA187" i="15"/>
  <c r="Z187" i="15"/>
  <c r="Y187" i="15"/>
  <c r="X187" i="15"/>
  <c r="W187" i="15"/>
  <c r="V187" i="15"/>
  <c r="U187" i="15"/>
  <c r="T187" i="15"/>
  <c r="S187" i="15"/>
  <c r="R187" i="15"/>
  <c r="Q187" i="15"/>
  <c r="P187" i="15"/>
  <c r="O187" i="15"/>
  <c r="N187" i="15"/>
  <c r="M187" i="15"/>
  <c r="L187" i="15"/>
  <c r="AN187" i="15" s="1"/>
  <c r="K187" i="15"/>
  <c r="J187" i="15"/>
  <c r="I187" i="15"/>
  <c r="H187" i="15"/>
  <c r="G187" i="15"/>
  <c r="F187" i="15"/>
  <c r="E187" i="15"/>
  <c r="D187" i="15"/>
  <c r="AO187" i="15" s="1"/>
  <c r="AJ186" i="15"/>
  <c r="AQ186" i="15" s="1"/>
  <c r="AI186" i="15"/>
  <c r="AH186" i="15"/>
  <c r="AG186" i="15"/>
  <c r="AF186" i="15"/>
  <c r="AE186" i="15"/>
  <c r="AD186" i="15"/>
  <c r="AC186" i="15"/>
  <c r="AB186" i="15"/>
  <c r="AL186" i="15" s="1"/>
  <c r="AA186" i="15"/>
  <c r="Z186" i="15"/>
  <c r="Y186" i="15"/>
  <c r="X186" i="15"/>
  <c r="W186" i="15"/>
  <c r="V186" i="15"/>
  <c r="U186" i="15"/>
  <c r="T186" i="15"/>
  <c r="AM186" i="15" s="1"/>
  <c r="S186" i="15"/>
  <c r="R186" i="15"/>
  <c r="Q186" i="15"/>
  <c r="P186" i="15"/>
  <c r="O186" i="15"/>
  <c r="AN186" i="15" s="1"/>
  <c r="N186" i="15"/>
  <c r="M186" i="15"/>
  <c r="L186" i="15"/>
  <c r="K186" i="15"/>
  <c r="J186" i="15"/>
  <c r="I186" i="15"/>
  <c r="H186" i="15"/>
  <c r="G186" i="15"/>
  <c r="F186" i="15"/>
  <c r="E186" i="15"/>
  <c r="D186" i="15"/>
  <c r="AO186" i="15" s="1"/>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AN185" i="15" s="1"/>
  <c r="K185" i="15"/>
  <c r="J185" i="15"/>
  <c r="I185" i="15"/>
  <c r="H185" i="15"/>
  <c r="G185" i="15"/>
  <c r="F185" i="15"/>
  <c r="E185" i="15"/>
  <c r="D185" i="15"/>
  <c r="AN184" i="15"/>
  <c r="AJ184" i="15"/>
  <c r="AQ184" i="15" s="1"/>
  <c r="AI184" i="15"/>
  <c r="AH184" i="15"/>
  <c r="AG184" i="15"/>
  <c r="AF184" i="15"/>
  <c r="AE184" i="15"/>
  <c r="AD184" i="15"/>
  <c r="AC184" i="15"/>
  <c r="AB184" i="15"/>
  <c r="AL184" i="15" s="1"/>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O184" i="15" s="1"/>
  <c r="AJ183" i="15"/>
  <c r="AQ183"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J182" i="15"/>
  <c r="AQ182" i="15" s="1"/>
  <c r="AI182" i="15"/>
  <c r="AH182" i="15"/>
  <c r="AG182" i="15"/>
  <c r="AF182" i="15"/>
  <c r="AE182" i="15"/>
  <c r="AD182" i="15"/>
  <c r="AC182" i="15"/>
  <c r="AB182" i="15"/>
  <c r="AA182" i="15"/>
  <c r="Z182" i="15"/>
  <c r="Y182" i="15"/>
  <c r="X182" i="15"/>
  <c r="W182" i="15"/>
  <c r="V182" i="15"/>
  <c r="U182" i="15"/>
  <c r="T182" i="15"/>
  <c r="S182" i="15"/>
  <c r="R182" i="15"/>
  <c r="Q182" i="15"/>
  <c r="P182" i="15"/>
  <c r="O182" i="15"/>
  <c r="AN182" i="15" s="1"/>
  <c r="N182" i="15"/>
  <c r="M182" i="15"/>
  <c r="L182" i="15"/>
  <c r="K182" i="15"/>
  <c r="J182" i="15"/>
  <c r="I182" i="15"/>
  <c r="H182" i="15"/>
  <c r="G182" i="15"/>
  <c r="F182" i="15"/>
  <c r="E182" i="15"/>
  <c r="D182" i="15"/>
  <c r="C182" i="15"/>
  <c r="AJ181" i="15"/>
  <c r="AQ181" i="15" s="1"/>
  <c r="AI181" i="15"/>
  <c r="AH181" i="15"/>
  <c r="AG181" i="15"/>
  <c r="AF181" i="15"/>
  <c r="AE181" i="15"/>
  <c r="AD181" i="15"/>
  <c r="AC181" i="15"/>
  <c r="AB181" i="15"/>
  <c r="AL181" i="15" s="1"/>
  <c r="AA181" i="15"/>
  <c r="Z181" i="15"/>
  <c r="Y181" i="15"/>
  <c r="X181" i="15"/>
  <c r="W181" i="15"/>
  <c r="V181" i="15"/>
  <c r="U181" i="15"/>
  <c r="T181" i="15"/>
  <c r="S181" i="15"/>
  <c r="R181" i="15"/>
  <c r="Q181" i="15"/>
  <c r="P181" i="15"/>
  <c r="O181" i="15"/>
  <c r="N181" i="15"/>
  <c r="M181" i="15"/>
  <c r="L181" i="15"/>
  <c r="AN181" i="15" s="1"/>
  <c r="K181" i="15"/>
  <c r="J181" i="15"/>
  <c r="I181" i="15"/>
  <c r="H181" i="15"/>
  <c r="G181" i="15"/>
  <c r="F181" i="15"/>
  <c r="E181" i="15"/>
  <c r="D181" i="15"/>
  <c r="AO181" i="15" s="1"/>
  <c r="AJ180" i="15"/>
  <c r="AQ180" i="15" s="1"/>
  <c r="AI180" i="15"/>
  <c r="AH180" i="15"/>
  <c r="AG180" i="15"/>
  <c r="AF180" i="15"/>
  <c r="AE180" i="15"/>
  <c r="AD180" i="15"/>
  <c r="AC180" i="15"/>
  <c r="AB180" i="15"/>
  <c r="AL180" i="15" s="1"/>
  <c r="AA180" i="15"/>
  <c r="Z180" i="15"/>
  <c r="Y180" i="15"/>
  <c r="X180" i="15"/>
  <c r="W180" i="15"/>
  <c r="V180" i="15"/>
  <c r="U180" i="15"/>
  <c r="T180" i="15"/>
  <c r="AM180" i="15" s="1"/>
  <c r="S180" i="15"/>
  <c r="R180" i="15"/>
  <c r="Q180" i="15"/>
  <c r="P180" i="15"/>
  <c r="O180" i="15"/>
  <c r="AN180" i="15" s="1"/>
  <c r="N180" i="15"/>
  <c r="M180" i="15"/>
  <c r="L180" i="15"/>
  <c r="K180" i="15"/>
  <c r="J180" i="15"/>
  <c r="I180" i="15"/>
  <c r="H180" i="15"/>
  <c r="G180" i="15"/>
  <c r="F180" i="15"/>
  <c r="E180" i="15"/>
  <c r="D180" i="15"/>
  <c r="AO180" i="15" s="1"/>
  <c r="AJ179" i="15"/>
  <c r="AQ17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AN179" i="15" s="1"/>
  <c r="K179" i="15"/>
  <c r="J179" i="15"/>
  <c r="I179" i="15"/>
  <c r="H179" i="15"/>
  <c r="G179" i="15"/>
  <c r="F179" i="15"/>
  <c r="E179" i="15"/>
  <c r="D179" i="15"/>
  <c r="AN178" i="15"/>
  <c r="AJ178" i="15"/>
  <c r="AQ178" i="15" s="1"/>
  <c r="AI178" i="15"/>
  <c r="AH178" i="15"/>
  <c r="AG178" i="15"/>
  <c r="AF178" i="15"/>
  <c r="AE178" i="15"/>
  <c r="AD178" i="15"/>
  <c r="AC178" i="15"/>
  <c r="AB178" i="15"/>
  <c r="AL178" i="15" s="1"/>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O178" i="15" s="1"/>
  <c r="AJ177" i="15"/>
  <c r="AQ177"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N177" i="15"/>
  <c r="M177" i="15"/>
  <c r="L177" i="15"/>
  <c r="AN177" i="15" s="1"/>
  <c r="K177" i="15"/>
  <c r="J177" i="15"/>
  <c r="I177" i="15"/>
  <c r="H177" i="15"/>
  <c r="G177" i="15"/>
  <c r="F177" i="15"/>
  <c r="E177" i="15"/>
  <c r="D177" i="15"/>
  <c r="AO177" i="15" s="1"/>
  <c r="AJ176" i="15"/>
  <c r="AQ176" i="15" s="1"/>
  <c r="AI176" i="15"/>
  <c r="AH176" i="15"/>
  <c r="AG176" i="15"/>
  <c r="AF176" i="15"/>
  <c r="AE176" i="15"/>
  <c r="AD176" i="15"/>
  <c r="AC176" i="15"/>
  <c r="AB176" i="15"/>
  <c r="AA176" i="15"/>
  <c r="Z176" i="15"/>
  <c r="Y176" i="15"/>
  <c r="X176" i="15"/>
  <c r="W176" i="15"/>
  <c r="V176" i="15"/>
  <c r="U176" i="15"/>
  <c r="T176" i="15"/>
  <c r="S176" i="15"/>
  <c r="R176" i="15"/>
  <c r="Q176" i="15"/>
  <c r="P176" i="15"/>
  <c r="O176" i="15"/>
  <c r="AN176" i="15" s="1"/>
  <c r="N176" i="15"/>
  <c r="M176" i="15"/>
  <c r="L176" i="15"/>
  <c r="K176" i="15"/>
  <c r="J176" i="15"/>
  <c r="I176" i="15"/>
  <c r="H176" i="15"/>
  <c r="G176" i="15"/>
  <c r="F176" i="15"/>
  <c r="E176" i="15"/>
  <c r="D176" i="15"/>
  <c r="AJ175" i="15"/>
  <c r="AQ175" i="15" s="1"/>
  <c r="AI175" i="15"/>
  <c r="AH175" i="15"/>
  <c r="AG175" i="15"/>
  <c r="AF175" i="15"/>
  <c r="AE175" i="15"/>
  <c r="AD175" i="15"/>
  <c r="AC175" i="15"/>
  <c r="AB175" i="15"/>
  <c r="AL175" i="15" s="1"/>
  <c r="AA175" i="15"/>
  <c r="Z175" i="15"/>
  <c r="Y175" i="15"/>
  <c r="X175" i="15"/>
  <c r="W175" i="15"/>
  <c r="V175" i="15"/>
  <c r="U175" i="15"/>
  <c r="T175" i="15"/>
  <c r="S175" i="15"/>
  <c r="R175" i="15"/>
  <c r="Q175" i="15"/>
  <c r="P175" i="15"/>
  <c r="O175" i="15"/>
  <c r="N175" i="15"/>
  <c r="M175" i="15"/>
  <c r="L175" i="15"/>
  <c r="AN175" i="15" s="1"/>
  <c r="K175" i="15"/>
  <c r="J175" i="15"/>
  <c r="I175" i="15"/>
  <c r="H175" i="15"/>
  <c r="G175" i="15"/>
  <c r="F175" i="15"/>
  <c r="E175" i="15"/>
  <c r="D175" i="15"/>
  <c r="AO175" i="15" s="1"/>
  <c r="AJ174" i="15"/>
  <c r="AQ174" i="15" s="1"/>
  <c r="AI174" i="15"/>
  <c r="AH174" i="15"/>
  <c r="AG174" i="15"/>
  <c r="AF174" i="15"/>
  <c r="AE174" i="15"/>
  <c r="AD174" i="15"/>
  <c r="AC174" i="15"/>
  <c r="AB174" i="15"/>
  <c r="AL174" i="15" s="1"/>
  <c r="AA174" i="15"/>
  <c r="Z174" i="15"/>
  <c r="Y174" i="15"/>
  <c r="X174" i="15"/>
  <c r="W174" i="15"/>
  <c r="V174" i="15"/>
  <c r="U174" i="15"/>
  <c r="T174" i="15"/>
  <c r="AM174" i="15" s="1"/>
  <c r="S174" i="15"/>
  <c r="R174" i="15"/>
  <c r="Q174" i="15"/>
  <c r="P174" i="15"/>
  <c r="O174" i="15"/>
  <c r="AN174" i="15" s="1"/>
  <c r="N174" i="15"/>
  <c r="M174" i="15"/>
  <c r="L174" i="15"/>
  <c r="K174" i="15"/>
  <c r="J174" i="15"/>
  <c r="I174" i="15"/>
  <c r="H174" i="15"/>
  <c r="G174" i="15"/>
  <c r="F174" i="15"/>
  <c r="E174" i="15"/>
  <c r="D174" i="15"/>
  <c r="AO174" i="15" s="1"/>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AN173" i="15" s="1"/>
  <c r="K173" i="15"/>
  <c r="J173" i="15"/>
  <c r="I173" i="15"/>
  <c r="H173" i="15"/>
  <c r="G173" i="15"/>
  <c r="F173" i="15"/>
  <c r="E173" i="15"/>
  <c r="D173" i="15"/>
  <c r="AN172" i="15"/>
  <c r="AJ172" i="15"/>
  <c r="AQ172" i="15" s="1"/>
  <c r="AI172" i="15"/>
  <c r="AH172" i="15"/>
  <c r="AG172" i="15"/>
  <c r="AF172" i="15"/>
  <c r="AE172" i="15"/>
  <c r="AD172" i="15"/>
  <c r="AC172" i="15"/>
  <c r="AB172" i="15"/>
  <c r="AL172" i="15" s="1"/>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O172" i="15" s="1"/>
  <c r="AJ171" i="15"/>
  <c r="AQ171" i="15" s="1"/>
  <c r="AI171" i="15"/>
  <c r="AH171" i="15"/>
  <c r="AG171" i="15"/>
  <c r="AF171" i="15"/>
  <c r="AE171" i="15"/>
  <c r="AD171" i="15"/>
  <c r="AC171" i="15"/>
  <c r="AB171" i="15"/>
  <c r="AL171" i="15" s="1"/>
  <c r="AA171" i="15"/>
  <c r="Z171" i="15"/>
  <c r="Y171" i="15"/>
  <c r="X171" i="15"/>
  <c r="W171" i="15"/>
  <c r="V171" i="15"/>
  <c r="U171" i="15"/>
  <c r="T171" i="15"/>
  <c r="AM171" i="15" s="1"/>
  <c r="S171" i="15"/>
  <c r="R171" i="15"/>
  <c r="Q171" i="15"/>
  <c r="P171" i="15"/>
  <c r="O171" i="15"/>
  <c r="N171" i="15"/>
  <c r="M171" i="15"/>
  <c r="L171" i="15"/>
  <c r="AN171" i="15" s="1"/>
  <c r="K171" i="15"/>
  <c r="J171" i="15"/>
  <c r="I171" i="15"/>
  <c r="H171" i="15"/>
  <c r="G171" i="15"/>
  <c r="F171" i="15"/>
  <c r="E171" i="15"/>
  <c r="D171" i="15"/>
  <c r="AO171" i="15" s="1"/>
  <c r="AJ170" i="15"/>
  <c r="AQ170" i="15" s="1"/>
  <c r="AI170" i="15"/>
  <c r="AH170" i="15"/>
  <c r="AG170" i="15"/>
  <c r="AF170" i="15"/>
  <c r="AE170" i="15"/>
  <c r="AD170" i="15"/>
  <c r="AC170" i="15"/>
  <c r="AB170" i="15"/>
  <c r="AA170" i="15"/>
  <c r="Z170" i="15"/>
  <c r="Y170" i="15"/>
  <c r="X170" i="15"/>
  <c r="W170" i="15"/>
  <c r="V170" i="15"/>
  <c r="U170" i="15"/>
  <c r="T170" i="15"/>
  <c r="S170" i="15"/>
  <c r="R170" i="15"/>
  <c r="Q170" i="15"/>
  <c r="P170" i="15"/>
  <c r="O170" i="15"/>
  <c r="AN170" i="15" s="1"/>
  <c r="N170" i="15"/>
  <c r="M170" i="15"/>
  <c r="L170" i="15"/>
  <c r="K170" i="15"/>
  <c r="J170" i="15"/>
  <c r="I170" i="15"/>
  <c r="H170" i="15"/>
  <c r="G170" i="15"/>
  <c r="F170" i="15"/>
  <c r="E170" i="15"/>
  <c r="D170" i="15"/>
  <c r="AJ169" i="15"/>
  <c r="AQ169" i="15" s="1"/>
  <c r="AI169" i="15"/>
  <c r="AH169" i="15"/>
  <c r="AG169" i="15"/>
  <c r="AF169" i="15"/>
  <c r="AE169" i="15"/>
  <c r="AD169" i="15"/>
  <c r="AC169" i="15"/>
  <c r="AB169" i="15"/>
  <c r="AL169" i="15" s="1"/>
  <c r="AA169" i="15"/>
  <c r="Z169" i="15"/>
  <c r="Y169" i="15"/>
  <c r="X169" i="15"/>
  <c r="W169" i="15"/>
  <c r="V169" i="15"/>
  <c r="U169" i="15"/>
  <c r="T169" i="15"/>
  <c r="S169" i="15"/>
  <c r="R169" i="15"/>
  <c r="Q169" i="15"/>
  <c r="P169" i="15"/>
  <c r="O169" i="15"/>
  <c r="N169" i="15"/>
  <c r="M169" i="15"/>
  <c r="L169" i="15"/>
  <c r="AN169" i="15" s="1"/>
  <c r="K169" i="15"/>
  <c r="J169" i="15"/>
  <c r="I169" i="15"/>
  <c r="H169" i="15"/>
  <c r="G169" i="15"/>
  <c r="F169" i="15"/>
  <c r="E169" i="15"/>
  <c r="D169" i="15"/>
  <c r="AO169" i="15" s="1"/>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AN168" i="15" s="1"/>
  <c r="N168" i="15"/>
  <c r="M168" i="15"/>
  <c r="L168" i="15"/>
  <c r="K168" i="15"/>
  <c r="J168" i="15"/>
  <c r="I168" i="15"/>
  <c r="H168" i="15"/>
  <c r="G168" i="15"/>
  <c r="F168" i="15"/>
  <c r="E168" i="15"/>
  <c r="D168" i="15"/>
  <c r="AO168" i="15" s="1"/>
  <c r="AJ167" i="15"/>
  <c r="AQ167" i="15" s="1"/>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AN167" i="15" s="1"/>
  <c r="K167" i="15"/>
  <c r="J167" i="15"/>
  <c r="I167" i="15"/>
  <c r="H167" i="15"/>
  <c r="G167" i="15"/>
  <c r="F167" i="15"/>
  <c r="E167" i="15"/>
  <c r="D167" i="15"/>
  <c r="AN166" i="15"/>
  <c r="AJ166" i="15"/>
  <c r="AQ166" i="15" s="1"/>
  <c r="AI166" i="15"/>
  <c r="AH166" i="15"/>
  <c r="AG166" i="15"/>
  <c r="AF166" i="15"/>
  <c r="AE166" i="15"/>
  <c r="AD166" i="15"/>
  <c r="AC166" i="15"/>
  <c r="AB166" i="15"/>
  <c r="AL166" i="15" s="1"/>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O166" i="15" s="1"/>
  <c r="AJ165" i="15"/>
  <c r="AQ165" i="15" s="1"/>
  <c r="AI165" i="15"/>
  <c r="AH165" i="15"/>
  <c r="AG165" i="15"/>
  <c r="AF165" i="15"/>
  <c r="AE165" i="15"/>
  <c r="AD165" i="15"/>
  <c r="AC165" i="15"/>
  <c r="AL165" i="15" s="1"/>
  <c r="AB165" i="15"/>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AN164" i="15" s="1"/>
  <c r="N164" i="15"/>
  <c r="M164" i="15"/>
  <c r="L164" i="15"/>
  <c r="K164" i="15"/>
  <c r="J164" i="15"/>
  <c r="I164" i="15"/>
  <c r="H164" i="15"/>
  <c r="G164" i="15"/>
  <c r="F164" i="15"/>
  <c r="E164" i="15"/>
  <c r="D164" i="15"/>
  <c r="C164" i="15"/>
  <c r="AJ163" i="15"/>
  <c r="AQ163" i="15" s="1"/>
  <c r="AI163" i="15"/>
  <c r="AH163" i="15"/>
  <c r="AG163" i="15"/>
  <c r="AF163" i="15"/>
  <c r="AE163" i="15"/>
  <c r="AD163" i="15"/>
  <c r="AC163" i="15"/>
  <c r="AB163" i="15"/>
  <c r="AL163" i="15" s="1"/>
  <c r="AA163" i="15"/>
  <c r="Z163" i="15"/>
  <c r="Y163" i="15"/>
  <c r="X163" i="15"/>
  <c r="W163" i="15"/>
  <c r="V163" i="15"/>
  <c r="U163" i="15"/>
  <c r="T163" i="15"/>
  <c r="S163" i="15"/>
  <c r="R163" i="15"/>
  <c r="Q163" i="15"/>
  <c r="P163" i="15"/>
  <c r="O163" i="15"/>
  <c r="N163" i="15"/>
  <c r="M163" i="15"/>
  <c r="L163" i="15"/>
  <c r="AN163" i="15" s="1"/>
  <c r="K163" i="15"/>
  <c r="J163" i="15"/>
  <c r="I163" i="15"/>
  <c r="H163" i="15"/>
  <c r="G163" i="15"/>
  <c r="F163" i="15"/>
  <c r="E163" i="15"/>
  <c r="D163" i="15"/>
  <c r="AO163" i="15" s="1"/>
  <c r="AJ162" i="15"/>
  <c r="AQ162" i="15" s="1"/>
  <c r="AI162" i="15"/>
  <c r="AH162" i="15"/>
  <c r="AG162" i="15"/>
  <c r="AF162" i="15"/>
  <c r="AE162" i="15"/>
  <c r="AD162" i="15"/>
  <c r="AC162" i="15"/>
  <c r="AB162" i="15"/>
  <c r="AL162" i="15" s="1"/>
  <c r="AA162" i="15"/>
  <c r="Z162" i="15"/>
  <c r="Y162" i="15"/>
  <c r="X162" i="15"/>
  <c r="W162" i="15"/>
  <c r="V162" i="15"/>
  <c r="U162" i="15"/>
  <c r="T162" i="15"/>
  <c r="AM162" i="15" s="1"/>
  <c r="S162" i="15"/>
  <c r="R162" i="15"/>
  <c r="Q162" i="15"/>
  <c r="P162" i="15"/>
  <c r="O162" i="15"/>
  <c r="AN162" i="15" s="1"/>
  <c r="N162" i="15"/>
  <c r="M162" i="15"/>
  <c r="L162" i="15"/>
  <c r="K162" i="15"/>
  <c r="J162" i="15"/>
  <c r="I162" i="15"/>
  <c r="H162" i="15"/>
  <c r="G162" i="15"/>
  <c r="F162" i="15"/>
  <c r="E162" i="15"/>
  <c r="D162" i="15"/>
  <c r="AO162" i="15" s="1"/>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AN161" i="15" s="1"/>
  <c r="K161" i="15"/>
  <c r="J161" i="15"/>
  <c r="I161" i="15"/>
  <c r="H161" i="15"/>
  <c r="G161" i="15"/>
  <c r="F161" i="15"/>
  <c r="E161" i="15"/>
  <c r="D161" i="15"/>
  <c r="AN160" i="15"/>
  <c r="AJ160" i="15"/>
  <c r="AQ160" i="15" s="1"/>
  <c r="AI160" i="15"/>
  <c r="AH160" i="15"/>
  <c r="AG160" i="15"/>
  <c r="AF160" i="15"/>
  <c r="AE160" i="15"/>
  <c r="AD160" i="15"/>
  <c r="AC160" i="15"/>
  <c r="AB160" i="15"/>
  <c r="AL160" i="15" s="1"/>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O160" i="15" s="1"/>
  <c r="AJ159" i="15"/>
  <c r="AQ159" i="15" s="1"/>
  <c r="AI159" i="15"/>
  <c r="AH159" i="15"/>
  <c r="AG159" i="15"/>
  <c r="AF159" i="15"/>
  <c r="AE159" i="15"/>
  <c r="AD159" i="15"/>
  <c r="AC159" i="15"/>
  <c r="AB159" i="15"/>
  <c r="AL159" i="15" s="1"/>
  <c r="AA159" i="15"/>
  <c r="Z159" i="15"/>
  <c r="Y159" i="15"/>
  <c r="X159" i="15"/>
  <c r="W159" i="15"/>
  <c r="V159" i="15"/>
  <c r="U159" i="15"/>
  <c r="T159" i="15"/>
  <c r="AM159" i="15" s="1"/>
  <c r="S159" i="15"/>
  <c r="R159" i="15"/>
  <c r="Q159" i="15"/>
  <c r="P159" i="15"/>
  <c r="O159" i="15"/>
  <c r="N159" i="15"/>
  <c r="M159" i="15"/>
  <c r="L159" i="15"/>
  <c r="AN159" i="15" s="1"/>
  <c r="K159" i="15"/>
  <c r="J159" i="15"/>
  <c r="I159" i="15"/>
  <c r="H159" i="15"/>
  <c r="G159" i="15"/>
  <c r="F159" i="15"/>
  <c r="E159" i="15"/>
  <c r="D159" i="15"/>
  <c r="AO159" i="15" s="1"/>
  <c r="AJ158" i="15"/>
  <c r="AQ158" i="15" s="1"/>
  <c r="AI158" i="15"/>
  <c r="AH158" i="15"/>
  <c r="AG158" i="15"/>
  <c r="AF158" i="15"/>
  <c r="AE158" i="15"/>
  <c r="AD158" i="15"/>
  <c r="AC158" i="15"/>
  <c r="AB158" i="15"/>
  <c r="AA158" i="15"/>
  <c r="Z158" i="15"/>
  <c r="Y158" i="15"/>
  <c r="X158" i="15"/>
  <c r="W158" i="15"/>
  <c r="V158" i="15"/>
  <c r="U158" i="15"/>
  <c r="T158" i="15"/>
  <c r="S158" i="15"/>
  <c r="R158" i="15"/>
  <c r="Q158" i="15"/>
  <c r="P158" i="15"/>
  <c r="O158" i="15"/>
  <c r="AN158" i="15" s="1"/>
  <c r="N158" i="15"/>
  <c r="M158" i="15"/>
  <c r="L158" i="15"/>
  <c r="K158" i="15"/>
  <c r="J158" i="15"/>
  <c r="I158" i="15"/>
  <c r="H158" i="15"/>
  <c r="G158" i="15"/>
  <c r="F158" i="15"/>
  <c r="E158" i="15"/>
  <c r="D158" i="15"/>
  <c r="AJ157" i="15"/>
  <c r="AQ157" i="15" s="1"/>
  <c r="AI157" i="15"/>
  <c r="AH157" i="15"/>
  <c r="AG157" i="15"/>
  <c r="AF157" i="15"/>
  <c r="AE157" i="15"/>
  <c r="AD157" i="15"/>
  <c r="AC157" i="15"/>
  <c r="AB157" i="15"/>
  <c r="AL157" i="15" s="1"/>
  <c r="AA157" i="15"/>
  <c r="Z157" i="15"/>
  <c r="Y157" i="15"/>
  <c r="X157" i="15"/>
  <c r="W157" i="15"/>
  <c r="V157" i="15"/>
  <c r="U157" i="15"/>
  <c r="T157" i="15"/>
  <c r="S157" i="15"/>
  <c r="R157" i="15"/>
  <c r="Q157" i="15"/>
  <c r="P157" i="15"/>
  <c r="O157" i="15"/>
  <c r="N157" i="15"/>
  <c r="M157" i="15"/>
  <c r="L157" i="15"/>
  <c r="AN157" i="15" s="1"/>
  <c r="K157" i="15"/>
  <c r="J157" i="15"/>
  <c r="I157" i="15"/>
  <c r="H157" i="15"/>
  <c r="G157" i="15"/>
  <c r="F157" i="15"/>
  <c r="E157" i="15"/>
  <c r="D157" i="15"/>
  <c r="AO157" i="15" s="1"/>
  <c r="AJ156" i="15"/>
  <c r="AQ156" i="15" s="1"/>
  <c r="AI156" i="15"/>
  <c r="AH156" i="15"/>
  <c r="AG156" i="15"/>
  <c r="AF156" i="15"/>
  <c r="AE156" i="15"/>
  <c r="AD156" i="15"/>
  <c r="AC156" i="15"/>
  <c r="AB156" i="15"/>
  <c r="AL156" i="15" s="1"/>
  <c r="AA156" i="15"/>
  <c r="Z156" i="15"/>
  <c r="Y156" i="15"/>
  <c r="X156" i="15"/>
  <c r="W156" i="15"/>
  <c r="V156" i="15"/>
  <c r="U156" i="15"/>
  <c r="T156" i="15"/>
  <c r="AM156" i="15" s="1"/>
  <c r="S156" i="15"/>
  <c r="R156" i="15"/>
  <c r="Q156" i="15"/>
  <c r="P156" i="15"/>
  <c r="O156" i="15"/>
  <c r="AN156" i="15" s="1"/>
  <c r="N156" i="15"/>
  <c r="M156" i="15"/>
  <c r="L156" i="15"/>
  <c r="K156" i="15"/>
  <c r="J156" i="15"/>
  <c r="I156" i="15"/>
  <c r="H156" i="15"/>
  <c r="G156" i="15"/>
  <c r="F156" i="15"/>
  <c r="E156" i="15"/>
  <c r="D156" i="15"/>
  <c r="AO156" i="15" s="1"/>
  <c r="AJ155" i="15"/>
  <c r="AQ155" i="15" s="1"/>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AN155" i="15" s="1"/>
  <c r="K155" i="15"/>
  <c r="J155" i="15"/>
  <c r="I155" i="15"/>
  <c r="H155" i="15"/>
  <c r="G155" i="15"/>
  <c r="F155" i="15"/>
  <c r="E155" i="15"/>
  <c r="D155" i="15"/>
  <c r="AN154" i="15"/>
  <c r="AJ154" i="15"/>
  <c r="AQ154" i="15" s="1"/>
  <c r="AI154" i="15"/>
  <c r="AH154" i="15"/>
  <c r="AG154" i="15"/>
  <c r="AF154" i="15"/>
  <c r="AE154" i="15"/>
  <c r="AD154" i="15"/>
  <c r="AC154" i="15"/>
  <c r="AB154" i="15"/>
  <c r="AL154" i="15" s="1"/>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O154" i="15" s="1"/>
  <c r="AJ153" i="15"/>
  <c r="AQ153" i="15" s="1"/>
  <c r="AI153" i="15"/>
  <c r="AH153" i="15"/>
  <c r="AG153" i="15"/>
  <c r="AF153" i="15"/>
  <c r="AE153" i="15"/>
  <c r="AD153" i="15"/>
  <c r="AC153" i="15"/>
  <c r="AB153" i="15"/>
  <c r="AL153" i="15" s="1"/>
  <c r="AA153" i="15"/>
  <c r="Z153" i="15"/>
  <c r="Y153" i="15"/>
  <c r="X153" i="15"/>
  <c r="W153" i="15"/>
  <c r="V153" i="15"/>
  <c r="U153" i="15"/>
  <c r="T153" i="15"/>
  <c r="AM153" i="15" s="1"/>
  <c r="S153" i="15"/>
  <c r="R153" i="15"/>
  <c r="Q153" i="15"/>
  <c r="P153" i="15"/>
  <c r="O153" i="15"/>
  <c r="N153" i="15"/>
  <c r="M153" i="15"/>
  <c r="L153" i="15"/>
  <c r="AN153" i="15" s="1"/>
  <c r="K153" i="15"/>
  <c r="J153" i="15"/>
  <c r="I153" i="15"/>
  <c r="H153" i="15"/>
  <c r="G153" i="15"/>
  <c r="F153" i="15"/>
  <c r="E153" i="15"/>
  <c r="D153" i="15"/>
  <c r="AO153" i="15" s="1"/>
  <c r="AJ152" i="15"/>
  <c r="AQ152" i="15" s="1"/>
  <c r="AI152" i="15"/>
  <c r="AH152" i="15"/>
  <c r="AG152" i="15"/>
  <c r="AF152" i="15"/>
  <c r="AE152" i="15"/>
  <c r="AD152" i="15"/>
  <c r="AC152" i="15"/>
  <c r="AB152" i="15"/>
  <c r="AA152" i="15"/>
  <c r="Z152" i="15"/>
  <c r="Y152" i="15"/>
  <c r="X152" i="15"/>
  <c r="W152" i="15"/>
  <c r="V152" i="15"/>
  <c r="U152" i="15"/>
  <c r="T152" i="15"/>
  <c r="S152" i="15"/>
  <c r="R152" i="15"/>
  <c r="Q152" i="15"/>
  <c r="P152" i="15"/>
  <c r="O152" i="15"/>
  <c r="AN152" i="15" s="1"/>
  <c r="N152" i="15"/>
  <c r="M152" i="15"/>
  <c r="L152" i="15"/>
  <c r="K152" i="15"/>
  <c r="J152" i="15"/>
  <c r="I152" i="15"/>
  <c r="H152" i="15"/>
  <c r="G152" i="15"/>
  <c r="F152" i="15"/>
  <c r="E152" i="15"/>
  <c r="D152" i="15"/>
  <c r="AJ151" i="15"/>
  <c r="AQ151" i="15" s="1"/>
  <c r="AS21" i="15" s="1"/>
  <c r="AI151" i="15"/>
  <c r="AH151" i="15"/>
  <c r="AG151" i="15"/>
  <c r="AF151" i="15"/>
  <c r="AE151" i="15"/>
  <c r="AD151" i="15"/>
  <c r="AC151" i="15"/>
  <c r="AB151" i="15"/>
  <c r="AL151" i="15" s="1"/>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L150" i="15" s="1"/>
  <c r="AA150" i="15"/>
  <c r="Z150" i="15"/>
  <c r="Y150" i="15"/>
  <c r="X150" i="15"/>
  <c r="W150" i="15"/>
  <c r="V150" i="15"/>
  <c r="U150" i="15"/>
  <c r="T150" i="15"/>
  <c r="AM150" i="15" s="1"/>
  <c r="S150" i="15"/>
  <c r="R150" i="15"/>
  <c r="Q150" i="15"/>
  <c r="P150" i="15"/>
  <c r="O150" i="15"/>
  <c r="AN150" i="15" s="1"/>
  <c r="N150" i="15"/>
  <c r="M150" i="15"/>
  <c r="L150" i="15"/>
  <c r="K150" i="15"/>
  <c r="J150" i="15"/>
  <c r="I150" i="15"/>
  <c r="H150" i="15"/>
  <c r="G150" i="15"/>
  <c r="F150" i="15"/>
  <c r="E150" i="15"/>
  <c r="D150" i="15"/>
  <c r="AO150" i="15" s="1"/>
  <c r="AJ149" i="15"/>
  <c r="AQ149" i="15" s="1"/>
  <c r="AS19" i="15" s="1"/>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AN149" i="15" s="1"/>
  <c r="K149" i="15"/>
  <c r="J149" i="15"/>
  <c r="I149" i="15"/>
  <c r="H149" i="15"/>
  <c r="G149" i="15"/>
  <c r="F149" i="15"/>
  <c r="E149" i="15"/>
  <c r="D149" i="15"/>
  <c r="AN148"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O148" i="15" s="1"/>
  <c r="AJ147" i="15"/>
  <c r="AQ147" i="15" s="1"/>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AN147" i="15" s="1"/>
  <c r="K147" i="15"/>
  <c r="J147" i="15"/>
  <c r="I147" i="15"/>
  <c r="H147" i="15"/>
  <c r="G147" i="15"/>
  <c r="F147" i="15"/>
  <c r="E147" i="15"/>
  <c r="D147" i="15"/>
  <c r="AO147" i="15" s="1"/>
  <c r="AJ146" i="15"/>
  <c r="AQ146" i="15" s="1"/>
  <c r="AI146" i="15"/>
  <c r="AH146" i="15"/>
  <c r="AG146" i="15"/>
  <c r="AF146" i="15"/>
  <c r="AE146" i="15"/>
  <c r="AD146" i="15"/>
  <c r="AC146" i="15"/>
  <c r="AB146" i="15"/>
  <c r="AA146" i="15"/>
  <c r="Z146" i="15"/>
  <c r="Y146" i="15"/>
  <c r="X146" i="15"/>
  <c r="W146" i="15"/>
  <c r="V146" i="15"/>
  <c r="U146" i="15"/>
  <c r="T146" i="15"/>
  <c r="S146" i="15"/>
  <c r="R146" i="15"/>
  <c r="Q146" i="15"/>
  <c r="P146" i="15"/>
  <c r="O146" i="15"/>
  <c r="AN146" i="15" s="1"/>
  <c r="N146" i="15"/>
  <c r="M146" i="15"/>
  <c r="L146" i="15"/>
  <c r="K146" i="15"/>
  <c r="J146" i="15"/>
  <c r="I146" i="15"/>
  <c r="H146" i="15"/>
  <c r="G146" i="15"/>
  <c r="F146" i="15"/>
  <c r="E146" i="15"/>
  <c r="D146" i="15"/>
  <c r="C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AN145" i="15" s="1"/>
  <c r="K145" i="15"/>
  <c r="J145" i="15"/>
  <c r="I145" i="15"/>
  <c r="H145" i="15"/>
  <c r="G145" i="15"/>
  <c r="F145" i="15"/>
  <c r="E145" i="15"/>
  <c r="D145" i="15"/>
  <c r="AO145" i="15" s="1"/>
  <c r="AJ144" i="15"/>
  <c r="AQ144" i="15" s="1"/>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AN144" i="15" s="1"/>
  <c r="N144" i="15"/>
  <c r="M144" i="15"/>
  <c r="L144" i="15"/>
  <c r="K144" i="15"/>
  <c r="J144" i="15"/>
  <c r="I144" i="15"/>
  <c r="H144" i="15"/>
  <c r="G144" i="15"/>
  <c r="F144" i="15"/>
  <c r="E144" i="15"/>
  <c r="D144" i="15"/>
  <c r="AO144" i="15" s="1"/>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N142" i="15"/>
  <c r="AJ142" i="15"/>
  <c r="AI142" i="15"/>
  <c r="AH142" i="15"/>
  <c r="AG142" i="15"/>
  <c r="AF142" i="15"/>
  <c r="AE142" i="15"/>
  <c r="AD142" i="15"/>
  <c r="AC142" i="15"/>
  <c r="AB142" i="15"/>
  <c r="AL142" i="15" s="1"/>
  <c r="AA142" i="15"/>
  <c r="Z142" i="15"/>
  <c r="Y142" i="15"/>
  <c r="X142" i="15"/>
  <c r="W142" i="15"/>
  <c r="V142" i="15"/>
  <c r="U142" i="15"/>
  <c r="T142" i="15"/>
  <c r="AM142" i="15" s="1"/>
  <c r="S142" i="15"/>
  <c r="R142" i="15"/>
  <c r="Q142" i="15"/>
  <c r="P142" i="15"/>
  <c r="O142" i="15"/>
  <c r="N142" i="15"/>
  <c r="M142" i="15"/>
  <c r="L142" i="15"/>
  <c r="K142" i="15"/>
  <c r="J142" i="15"/>
  <c r="I142" i="15"/>
  <c r="H142" i="15"/>
  <c r="G142" i="15"/>
  <c r="F142" i="15"/>
  <c r="E142" i="15"/>
  <c r="D142" i="15"/>
  <c r="AO142" i="15" s="1"/>
  <c r="AJ141" i="15"/>
  <c r="AI141" i="15"/>
  <c r="AH141" i="15"/>
  <c r="AG141" i="15"/>
  <c r="AF141" i="15"/>
  <c r="AE141" i="15"/>
  <c r="AD141" i="15"/>
  <c r="AC141" i="15"/>
  <c r="AB141" i="15"/>
  <c r="AL141" i="15" s="1"/>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O141" i="15" s="1"/>
  <c r="AJ140" i="15"/>
  <c r="AI140" i="15"/>
  <c r="AH140" i="15"/>
  <c r="AG140" i="15"/>
  <c r="AF140" i="15"/>
  <c r="AE140" i="15"/>
  <c r="AD140" i="15"/>
  <c r="AC140" i="15"/>
  <c r="AB140" i="15"/>
  <c r="AA140" i="15"/>
  <c r="Z140" i="15"/>
  <c r="Y140" i="15"/>
  <c r="X140" i="15"/>
  <c r="W140" i="15"/>
  <c r="V140" i="15"/>
  <c r="U140" i="15"/>
  <c r="T140" i="15"/>
  <c r="S140" i="15"/>
  <c r="R140" i="15"/>
  <c r="Q140" i="15"/>
  <c r="P140" i="15"/>
  <c r="O140" i="15"/>
  <c r="AN140" i="15" s="1"/>
  <c r="N140" i="15"/>
  <c r="M140" i="15"/>
  <c r="L140" i="15"/>
  <c r="K140" i="15"/>
  <c r="J140" i="15"/>
  <c r="I140" i="15"/>
  <c r="H140" i="15"/>
  <c r="G140" i="15"/>
  <c r="F140" i="15"/>
  <c r="E140" i="15"/>
  <c r="D140" i="15"/>
  <c r="AJ139" i="15"/>
  <c r="AI139" i="15"/>
  <c r="AH139" i="15"/>
  <c r="AG139" i="15"/>
  <c r="AF139" i="15"/>
  <c r="AE139" i="15"/>
  <c r="AD139" i="15"/>
  <c r="AC139" i="15"/>
  <c r="AB139" i="15"/>
  <c r="AL139" i="15" s="1"/>
  <c r="AA139" i="15"/>
  <c r="Z139" i="15"/>
  <c r="Y139" i="15"/>
  <c r="X139" i="15"/>
  <c r="W139" i="15"/>
  <c r="V139" i="15"/>
  <c r="U139" i="15"/>
  <c r="T139" i="15"/>
  <c r="S139" i="15"/>
  <c r="R139" i="15"/>
  <c r="Q139" i="15"/>
  <c r="P139" i="15"/>
  <c r="O139" i="15"/>
  <c r="N139" i="15"/>
  <c r="M139" i="15"/>
  <c r="L139" i="15"/>
  <c r="AN139" i="15" s="1"/>
  <c r="K139" i="15"/>
  <c r="J139" i="15"/>
  <c r="I139" i="15"/>
  <c r="H139" i="15"/>
  <c r="G139" i="15"/>
  <c r="F139" i="15"/>
  <c r="E139" i="15"/>
  <c r="D139" i="15"/>
  <c r="AO139" i="15" s="1"/>
  <c r="AJ138" i="15"/>
  <c r="AI138" i="15"/>
  <c r="AH138" i="15"/>
  <c r="AG138" i="15"/>
  <c r="AF138" i="15"/>
  <c r="AE138" i="15"/>
  <c r="AD138" i="15"/>
  <c r="AC138" i="15"/>
  <c r="AB138" i="15"/>
  <c r="AL138" i="15" s="1"/>
  <c r="AA138" i="15"/>
  <c r="Z138" i="15"/>
  <c r="Y138" i="15"/>
  <c r="X138" i="15"/>
  <c r="W138" i="15"/>
  <c r="V138" i="15"/>
  <c r="U138" i="15"/>
  <c r="T138" i="15"/>
  <c r="AM138" i="15" s="1"/>
  <c r="S138" i="15"/>
  <c r="R138" i="15"/>
  <c r="Q138" i="15"/>
  <c r="P138" i="15"/>
  <c r="O138" i="15"/>
  <c r="AN138" i="15" s="1"/>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AN137" i="15" s="1"/>
  <c r="K137" i="15"/>
  <c r="J137" i="15"/>
  <c r="I137" i="15"/>
  <c r="H137" i="15"/>
  <c r="G137" i="15"/>
  <c r="F137" i="15"/>
  <c r="E137" i="15"/>
  <c r="D137" i="15"/>
  <c r="AN136"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K136" i="15"/>
  <c r="J136" i="15"/>
  <c r="I136" i="15"/>
  <c r="H136" i="15"/>
  <c r="G136" i="15"/>
  <c r="F136" i="15"/>
  <c r="E136" i="15"/>
  <c r="D136" i="15"/>
  <c r="AO136" i="15" s="1"/>
  <c r="AJ134" i="15"/>
  <c r="AQ134" i="15" s="1"/>
  <c r="AI134" i="15"/>
  <c r="AH134" i="15"/>
  <c r="AG134" i="15"/>
  <c r="AF134" i="15"/>
  <c r="AE134" i="15"/>
  <c r="AL134" i="15" s="1"/>
  <c r="AD134" i="15"/>
  <c r="AC134" i="15"/>
  <c r="AB134" i="15"/>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J133" i="15"/>
  <c r="AQ133" i="15" s="1"/>
  <c r="AI133" i="15"/>
  <c r="AH133" i="15"/>
  <c r="AG133" i="15"/>
  <c r="AF133" i="15"/>
  <c r="AE133" i="15"/>
  <c r="AD133" i="15"/>
  <c r="AC133" i="15"/>
  <c r="AB133" i="15"/>
  <c r="AL133" i="15" s="1"/>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3" i="15" s="1"/>
  <c r="AJ132" i="15"/>
  <c r="AQ132" i="15" s="1"/>
  <c r="AI132" i="15"/>
  <c r="AH132" i="15"/>
  <c r="AG132" i="15"/>
  <c r="AF132" i="15"/>
  <c r="AE132" i="15"/>
  <c r="AL132" i="15" s="1"/>
  <c r="AD132" i="15"/>
  <c r="AC132" i="15"/>
  <c r="AB132" i="15"/>
  <c r="AA132" i="15"/>
  <c r="Z132" i="15"/>
  <c r="Y132" i="15"/>
  <c r="X132" i="15"/>
  <c r="W132" i="15"/>
  <c r="V132" i="15"/>
  <c r="U132" i="15"/>
  <c r="T132" i="15"/>
  <c r="AM132" i="15" s="1"/>
  <c r="S132" i="15"/>
  <c r="R132" i="15"/>
  <c r="Q132" i="15"/>
  <c r="P132" i="15"/>
  <c r="O132" i="15"/>
  <c r="N132" i="15"/>
  <c r="M132" i="15"/>
  <c r="AN132" i="15" s="1"/>
  <c r="L132" i="15"/>
  <c r="K132" i="15"/>
  <c r="J132" i="15"/>
  <c r="I132" i="15"/>
  <c r="H132" i="15"/>
  <c r="G132" i="15"/>
  <c r="F132" i="15"/>
  <c r="E132" i="15"/>
  <c r="D132" i="15"/>
  <c r="AO131" i="15"/>
  <c r="AJ131" i="15"/>
  <c r="AQ131" i="15" s="1"/>
  <c r="AR66" i="15" s="1"/>
  <c r="AI131" i="15"/>
  <c r="AH131" i="15"/>
  <c r="AG131" i="15"/>
  <c r="AF131" i="15"/>
  <c r="AE131" i="15"/>
  <c r="AD131" i="15"/>
  <c r="AC131" i="15"/>
  <c r="AB131" i="15"/>
  <c r="AL131" i="15" s="1"/>
  <c r="AA131" i="15"/>
  <c r="Z131" i="15"/>
  <c r="Y131" i="15"/>
  <c r="X131" i="15"/>
  <c r="W131" i="15"/>
  <c r="V131" i="15"/>
  <c r="U131" i="15"/>
  <c r="T131" i="15"/>
  <c r="S131" i="15"/>
  <c r="R131" i="15"/>
  <c r="Q131" i="15"/>
  <c r="P131" i="15"/>
  <c r="O131" i="15"/>
  <c r="N131" i="15"/>
  <c r="M131" i="15"/>
  <c r="L131" i="15"/>
  <c r="AN131" i="15" s="1"/>
  <c r="K131" i="15"/>
  <c r="J131" i="15"/>
  <c r="I131" i="15"/>
  <c r="H131" i="15"/>
  <c r="G131" i="15"/>
  <c r="F131" i="15"/>
  <c r="E131" i="15"/>
  <c r="D131" i="15"/>
  <c r="AJ130" i="15"/>
  <c r="AQ130" i="15" s="1"/>
  <c r="AI130" i="15"/>
  <c r="AH130" i="15"/>
  <c r="AG130" i="15"/>
  <c r="AF130" i="15"/>
  <c r="AE130" i="15"/>
  <c r="AL130" i="15" s="1"/>
  <c r="AD130" i="15"/>
  <c r="AC130" i="15"/>
  <c r="AB130" i="15"/>
  <c r="AA130" i="15"/>
  <c r="Z130" i="15"/>
  <c r="Y130" i="15"/>
  <c r="X130" i="15"/>
  <c r="W130" i="15"/>
  <c r="V130" i="15"/>
  <c r="U130" i="15"/>
  <c r="T130" i="15"/>
  <c r="S130" i="15"/>
  <c r="R130" i="15"/>
  <c r="Q130" i="15"/>
  <c r="P130" i="15"/>
  <c r="O130" i="15"/>
  <c r="N130" i="15"/>
  <c r="M130" i="15"/>
  <c r="AN130" i="15" s="1"/>
  <c r="L130" i="15"/>
  <c r="K130" i="15"/>
  <c r="J130" i="15"/>
  <c r="I130" i="15"/>
  <c r="H130" i="15"/>
  <c r="G130" i="15"/>
  <c r="F130" i="15"/>
  <c r="E130" i="15"/>
  <c r="D130" i="15"/>
  <c r="AO129" i="15"/>
  <c r="AJ129" i="15"/>
  <c r="AQ129" i="15" s="1"/>
  <c r="AI129" i="15"/>
  <c r="AH129" i="15"/>
  <c r="AG129" i="15"/>
  <c r="AF129" i="15"/>
  <c r="AE129" i="15"/>
  <c r="AD129" i="15"/>
  <c r="AC129" i="15"/>
  <c r="AB129" i="15"/>
  <c r="AL129" i="15" s="1"/>
  <c r="AA129" i="15"/>
  <c r="Z129" i="15"/>
  <c r="Y129" i="15"/>
  <c r="X129" i="15"/>
  <c r="W129" i="15"/>
  <c r="V129" i="15"/>
  <c r="U129" i="15"/>
  <c r="T129" i="15"/>
  <c r="AM129" i="15" s="1"/>
  <c r="S129" i="15"/>
  <c r="R129" i="15"/>
  <c r="Q129" i="15"/>
  <c r="P129" i="15"/>
  <c r="O129" i="15"/>
  <c r="N129" i="15"/>
  <c r="M129" i="15"/>
  <c r="L129" i="15"/>
  <c r="K129" i="15"/>
  <c r="J129" i="15"/>
  <c r="I129" i="15"/>
  <c r="H129" i="15"/>
  <c r="G129" i="15"/>
  <c r="F129" i="15"/>
  <c r="E129" i="15"/>
  <c r="D129" i="15"/>
  <c r="AJ128" i="15"/>
  <c r="AQ128" i="15" s="1"/>
  <c r="AR63" i="15" s="1"/>
  <c r="AI128" i="15"/>
  <c r="AH128" i="15"/>
  <c r="AG128" i="15"/>
  <c r="AF128" i="15"/>
  <c r="AE128" i="15"/>
  <c r="AL128" i="15" s="1"/>
  <c r="AD128" i="15"/>
  <c r="AC128" i="15"/>
  <c r="AB128" i="15"/>
  <c r="AA128" i="15"/>
  <c r="Z128" i="15"/>
  <c r="Y128" i="15"/>
  <c r="X128" i="15"/>
  <c r="W128" i="15"/>
  <c r="V128" i="15"/>
  <c r="U128" i="15"/>
  <c r="T128" i="15"/>
  <c r="S128" i="15"/>
  <c r="R128" i="15"/>
  <c r="Q128" i="15"/>
  <c r="P128" i="15"/>
  <c r="O128" i="15"/>
  <c r="N128" i="15"/>
  <c r="M128" i="15"/>
  <c r="AN128" i="15" s="1"/>
  <c r="L128" i="15"/>
  <c r="K128" i="15"/>
  <c r="J128" i="15"/>
  <c r="I128" i="15"/>
  <c r="H128" i="15"/>
  <c r="G128" i="15"/>
  <c r="F128" i="15"/>
  <c r="E128" i="15"/>
  <c r="D128" i="15"/>
  <c r="AJ127" i="15"/>
  <c r="AQ127" i="15" s="1"/>
  <c r="AI127" i="15"/>
  <c r="AH127" i="15"/>
  <c r="AG127" i="15"/>
  <c r="AF127" i="15"/>
  <c r="AE127" i="15"/>
  <c r="AD127" i="15"/>
  <c r="AC127" i="15"/>
  <c r="AB127" i="15"/>
  <c r="AL127" i="15" s="1"/>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O127" i="15" s="1"/>
  <c r="AJ126" i="15"/>
  <c r="AQ126" i="15" s="1"/>
  <c r="AI126" i="15"/>
  <c r="AH126" i="15"/>
  <c r="AG126" i="15"/>
  <c r="AF126" i="15"/>
  <c r="AE126" i="15"/>
  <c r="AL126" i="15" s="1"/>
  <c r="AD126" i="15"/>
  <c r="AC126" i="15"/>
  <c r="AB126" i="15"/>
  <c r="AA126" i="15"/>
  <c r="Z126" i="15"/>
  <c r="Y126" i="15"/>
  <c r="X126" i="15"/>
  <c r="W126" i="15"/>
  <c r="V126" i="15"/>
  <c r="U126" i="15"/>
  <c r="T126" i="15"/>
  <c r="AM126" i="15" s="1"/>
  <c r="S126" i="15"/>
  <c r="R126" i="15"/>
  <c r="Q126" i="15"/>
  <c r="P126" i="15"/>
  <c r="O126" i="15"/>
  <c r="N126" i="15"/>
  <c r="M126" i="15"/>
  <c r="L126" i="15"/>
  <c r="K126" i="15"/>
  <c r="J126" i="15"/>
  <c r="I126" i="15"/>
  <c r="H126" i="15"/>
  <c r="G126" i="15"/>
  <c r="F126" i="15"/>
  <c r="E126" i="15"/>
  <c r="D126" i="15"/>
  <c r="AO125" i="15"/>
  <c r="AJ125" i="15"/>
  <c r="AQ125" i="15" s="1"/>
  <c r="AR60" i="15" s="1"/>
  <c r="AI125" i="15"/>
  <c r="AH125" i="15"/>
  <c r="AG125" i="15"/>
  <c r="AF125" i="15"/>
  <c r="AE125" i="15"/>
  <c r="AD125" i="15"/>
  <c r="AC125" i="15"/>
  <c r="AB125" i="15"/>
  <c r="AL125" i="15" s="1"/>
  <c r="AA125" i="15"/>
  <c r="Z125" i="15"/>
  <c r="Y125" i="15"/>
  <c r="X125" i="15"/>
  <c r="W125" i="15"/>
  <c r="V125" i="15"/>
  <c r="U125" i="15"/>
  <c r="T125" i="15"/>
  <c r="S125" i="15"/>
  <c r="R125" i="15"/>
  <c r="Q125" i="15"/>
  <c r="P125" i="15"/>
  <c r="O125" i="15"/>
  <c r="N125" i="15"/>
  <c r="M125" i="15"/>
  <c r="L125" i="15"/>
  <c r="AN125" i="15" s="1"/>
  <c r="K125" i="15"/>
  <c r="J125" i="15"/>
  <c r="I125" i="15"/>
  <c r="H125" i="15"/>
  <c r="G125" i="15"/>
  <c r="F125" i="15"/>
  <c r="E125" i="15"/>
  <c r="D125" i="15"/>
  <c r="AJ124" i="15"/>
  <c r="AQ124" i="15" s="1"/>
  <c r="AI124" i="15"/>
  <c r="AH124" i="15"/>
  <c r="AG124" i="15"/>
  <c r="AF124" i="15"/>
  <c r="AE124" i="15"/>
  <c r="AL124" i="15" s="1"/>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O123" i="15"/>
  <c r="AJ123" i="15"/>
  <c r="AQ123" i="15" s="1"/>
  <c r="AI123" i="15"/>
  <c r="AH123" i="15"/>
  <c r="AG123" i="15"/>
  <c r="AF123" i="15"/>
  <c r="AE123" i="15"/>
  <c r="AD123" i="15"/>
  <c r="AC123" i="15"/>
  <c r="AB123" i="15"/>
  <c r="AL123" i="15" s="1"/>
  <c r="AA123" i="15"/>
  <c r="Z123" i="15"/>
  <c r="Y123" i="15"/>
  <c r="X123" i="15"/>
  <c r="W123" i="15"/>
  <c r="V123" i="15"/>
  <c r="U123" i="15"/>
  <c r="T123" i="15"/>
  <c r="AM123" i="15" s="1"/>
  <c r="S123" i="15"/>
  <c r="R123" i="15"/>
  <c r="Q123" i="15"/>
  <c r="P123" i="15"/>
  <c r="O123" i="15"/>
  <c r="N123" i="15"/>
  <c r="M123" i="15"/>
  <c r="L123" i="15"/>
  <c r="K123" i="15"/>
  <c r="J123" i="15"/>
  <c r="I123" i="15"/>
  <c r="H123" i="15"/>
  <c r="G123" i="15"/>
  <c r="F123" i="15"/>
  <c r="E123" i="15"/>
  <c r="D123" i="15"/>
  <c r="AJ122" i="15"/>
  <c r="AQ122" i="15" s="1"/>
  <c r="AR57" i="15" s="1"/>
  <c r="AI122" i="15"/>
  <c r="AH122" i="15"/>
  <c r="AG122" i="15"/>
  <c r="AF122" i="15"/>
  <c r="AE122" i="15"/>
  <c r="AL122" i="15" s="1"/>
  <c r="AD122" i="15"/>
  <c r="AC122" i="15"/>
  <c r="AB122" i="15"/>
  <c r="AA122" i="15"/>
  <c r="Z122" i="15"/>
  <c r="Y122" i="15"/>
  <c r="X122" i="15"/>
  <c r="W122" i="15"/>
  <c r="V122" i="15"/>
  <c r="U122" i="15"/>
  <c r="T122" i="15"/>
  <c r="S122" i="15"/>
  <c r="R122" i="15"/>
  <c r="Q122" i="15"/>
  <c r="P122" i="15"/>
  <c r="O122" i="15"/>
  <c r="N122" i="15"/>
  <c r="M122" i="15"/>
  <c r="L122" i="15"/>
  <c r="AN122" i="15" s="1"/>
  <c r="K122" i="15"/>
  <c r="J122" i="15"/>
  <c r="I122" i="15"/>
  <c r="H122" i="15"/>
  <c r="G122" i="15"/>
  <c r="F122" i="15"/>
  <c r="E122" i="15"/>
  <c r="D122" i="15"/>
  <c r="AJ121" i="15"/>
  <c r="AQ121" i="15" s="1"/>
  <c r="AI121" i="15"/>
  <c r="AH121" i="15"/>
  <c r="AG121" i="15"/>
  <c r="AF121" i="15"/>
  <c r="AE121" i="15"/>
  <c r="AD121" i="15"/>
  <c r="AC121" i="15"/>
  <c r="AB121" i="15"/>
  <c r="AL121" i="15" s="1"/>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O121" i="15" s="1"/>
  <c r="AJ120" i="15"/>
  <c r="AQ120" i="15" s="1"/>
  <c r="AI120" i="15"/>
  <c r="AH120" i="15"/>
  <c r="AG120" i="15"/>
  <c r="AF120" i="15"/>
  <c r="AE120" i="15"/>
  <c r="AL120" i="15" s="1"/>
  <c r="AD120" i="15"/>
  <c r="AC120" i="15"/>
  <c r="AB120" i="15"/>
  <c r="AA120" i="15"/>
  <c r="Z120" i="15"/>
  <c r="Y120" i="15"/>
  <c r="X120" i="15"/>
  <c r="W120" i="15"/>
  <c r="V120" i="15"/>
  <c r="U120" i="15"/>
  <c r="T120" i="15"/>
  <c r="AM120" i="15" s="1"/>
  <c r="S120" i="15"/>
  <c r="R120" i="15"/>
  <c r="Q120" i="15"/>
  <c r="P120" i="15"/>
  <c r="O120" i="15"/>
  <c r="N120" i="15"/>
  <c r="M120" i="15"/>
  <c r="L120" i="15"/>
  <c r="K120" i="15"/>
  <c r="J120" i="15"/>
  <c r="I120" i="15"/>
  <c r="H120" i="15"/>
  <c r="G120" i="15"/>
  <c r="F120" i="15"/>
  <c r="E120" i="15"/>
  <c r="D120" i="15"/>
  <c r="AO119" i="15"/>
  <c r="AJ119" i="15"/>
  <c r="AQ119" i="15" s="1"/>
  <c r="AR54" i="15" s="1"/>
  <c r="AI119" i="15"/>
  <c r="AH119" i="15"/>
  <c r="AG119" i="15"/>
  <c r="AF119" i="15"/>
  <c r="AE119" i="15"/>
  <c r="AD119" i="15"/>
  <c r="AC119" i="15"/>
  <c r="AB119" i="15"/>
  <c r="AL119" i="15" s="1"/>
  <c r="AA119" i="15"/>
  <c r="Z119" i="15"/>
  <c r="Y119" i="15"/>
  <c r="X119" i="15"/>
  <c r="W119" i="15"/>
  <c r="V119" i="15"/>
  <c r="U119" i="15"/>
  <c r="T119" i="15"/>
  <c r="S119" i="15"/>
  <c r="R119" i="15"/>
  <c r="Q119" i="15"/>
  <c r="P119" i="15"/>
  <c r="O119" i="15"/>
  <c r="N119" i="15"/>
  <c r="M119" i="15"/>
  <c r="L119" i="15"/>
  <c r="AN119" i="15" s="1"/>
  <c r="K119" i="15"/>
  <c r="J119" i="15"/>
  <c r="I119" i="15"/>
  <c r="H119" i="15"/>
  <c r="G119" i="15"/>
  <c r="F119" i="15"/>
  <c r="E119" i="15"/>
  <c r="D119" i="15"/>
  <c r="AJ118" i="15"/>
  <c r="AQ118" i="15" s="1"/>
  <c r="AI118" i="15"/>
  <c r="AH118" i="15"/>
  <c r="AG118" i="15"/>
  <c r="AF118" i="15"/>
  <c r="AE118" i="15"/>
  <c r="AL118" i="15" s="1"/>
  <c r="AD118" i="15"/>
  <c r="AC118" i="15"/>
  <c r="AB118" i="15"/>
  <c r="AA118" i="15"/>
  <c r="Z118" i="15"/>
  <c r="Y118" i="15"/>
  <c r="X118" i="15"/>
  <c r="W118" i="15"/>
  <c r="V118" i="15"/>
  <c r="U118" i="15"/>
  <c r="T118" i="15"/>
  <c r="S118" i="15"/>
  <c r="R118" i="15"/>
  <c r="Q118" i="15"/>
  <c r="P118" i="15"/>
  <c r="O118" i="15"/>
  <c r="N118" i="15"/>
  <c r="M118" i="15"/>
  <c r="AN118" i="15" s="1"/>
  <c r="L118" i="15"/>
  <c r="K118" i="15"/>
  <c r="J118" i="15"/>
  <c r="I118" i="15"/>
  <c r="H118" i="15"/>
  <c r="G118" i="15"/>
  <c r="F118" i="15"/>
  <c r="E118" i="15"/>
  <c r="D118" i="15"/>
  <c r="AO117" i="15"/>
  <c r="AJ117" i="15"/>
  <c r="AQ117" i="15" s="1"/>
  <c r="AI117" i="15"/>
  <c r="AH117" i="15"/>
  <c r="AG117" i="15"/>
  <c r="AF117" i="15"/>
  <c r="AE117" i="15"/>
  <c r="AD117" i="15"/>
  <c r="AC117" i="15"/>
  <c r="AB117" i="15"/>
  <c r="AL117" i="15" s="1"/>
  <c r="AA117" i="15"/>
  <c r="Z117" i="15"/>
  <c r="Y117" i="15"/>
  <c r="X117" i="15"/>
  <c r="W117" i="15"/>
  <c r="V117" i="15"/>
  <c r="U117" i="15"/>
  <c r="T117" i="15"/>
  <c r="AM117" i="15" s="1"/>
  <c r="S117" i="15"/>
  <c r="R117" i="15"/>
  <c r="Q117" i="15"/>
  <c r="P117" i="15"/>
  <c r="O117" i="15"/>
  <c r="N117" i="15"/>
  <c r="M117" i="15"/>
  <c r="L117" i="15"/>
  <c r="AN117" i="15" s="1"/>
  <c r="K117" i="15"/>
  <c r="J117" i="15"/>
  <c r="I117" i="15"/>
  <c r="H117" i="15"/>
  <c r="G117" i="15"/>
  <c r="F117" i="15"/>
  <c r="E117" i="15"/>
  <c r="D117" i="15"/>
  <c r="AJ116" i="15"/>
  <c r="AQ116" i="15" s="1"/>
  <c r="AR51" i="15" s="1"/>
  <c r="AI116" i="15"/>
  <c r="AH116" i="15"/>
  <c r="AG116" i="15"/>
  <c r="AF116" i="15"/>
  <c r="AE116" i="15"/>
  <c r="AL116" i="15" s="1"/>
  <c r="AD116" i="15"/>
  <c r="AC116" i="15"/>
  <c r="AB116" i="15"/>
  <c r="AA116" i="15"/>
  <c r="Z116" i="15"/>
  <c r="Y116" i="15"/>
  <c r="X116" i="15"/>
  <c r="W116" i="15"/>
  <c r="V116" i="15"/>
  <c r="U116" i="15"/>
  <c r="T116" i="15"/>
  <c r="S116" i="15"/>
  <c r="R116" i="15"/>
  <c r="Q116" i="15"/>
  <c r="P116" i="15"/>
  <c r="O116" i="15"/>
  <c r="N116" i="15"/>
  <c r="M116" i="15"/>
  <c r="L116" i="15"/>
  <c r="AN116" i="15" s="1"/>
  <c r="K116" i="15"/>
  <c r="J116" i="15"/>
  <c r="I116" i="15"/>
  <c r="H116" i="15"/>
  <c r="G116" i="15"/>
  <c r="F116" i="15"/>
  <c r="E116" i="15"/>
  <c r="D116" i="15"/>
  <c r="AJ115" i="15"/>
  <c r="AQ115" i="15" s="1"/>
  <c r="AI115" i="15"/>
  <c r="AH115" i="15"/>
  <c r="AG115" i="15"/>
  <c r="AF115" i="15"/>
  <c r="AE115" i="15"/>
  <c r="AD115" i="15"/>
  <c r="AC115" i="15"/>
  <c r="AB115" i="15"/>
  <c r="AL115" i="15" s="1"/>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O115" i="15" s="1"/>
  <c r="AJ114" i="15"/>
  <c r="AQ114" i="15" s="1"/>
  <c r="AI114" i="15"/>
  <c r="AH114" i="15"/>
  <c r="AG114" i="15"/>
  <c r="AF114" i="15"/>
  <c r="AE114" i="15"/>
  <c r="AD114" i="15"/>
  <c r="AC114" i="15"/>
  <c r="AB114" i="15"/>
  <c r="AL114" i="15" s="1"/>
  <c r="AA114" i="15"/>
  <c r="Z114" i="15"/>
  <c r="Y114" i="15"/>
  <c r="X114" i="15"/>
  <c r="W114" i="15"/>
  <c r="V114" i="15"/>
  <c r="U114" i="15"/>
  <c r="T114" i="15"/>
  <c r="S114" i="15"/>
  <c r="R114" i="15"/>
  <c r="Q114" i="15"/>
  <c r="P114" i="15"/>
  <c r="O114" i="15"/>
  <c r="N114" i="15"/>
  <c r="M114" i="15"/>
  <c r="L114" i="15"/>
  <c r="AN114" i="15" s="1"/>
  <c r="K114" i="15"/>
  <c r="J114" i="15"/>
  <c r="I114" i="15"/>
  <c r="H114" i="15"/>
  <c r="G114" i="15"/>
  <c r="F114" i="15"/>
  <c r="E114" i="15"/>
  <c r="D114" i="15"/>
  <c r="AO114" i="15" s="1"/>
  <c r="AJ113" i="15"/>
  <c r="AQ113" i="15" s="1"/>
  <c r="AI113" i="15"/>
  <c r="AH113" i="15"/>
  <c r="AG113" i="15"/>
  <c r="AF113" i="15"/>
  <c r="AE113" i="15"/>
  <c r="AL113" i="15" s="1"/>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AO113" i="15" s="1"/>
  <c r="F113" i="15"/>
  <c r="E113" i="15"/>
  <c r="D113" i="15"/>
  <c r="AQ112" i="15"/>
  <c r="AJ112" i="15"/>
  <c r="AI112" i="15"/>
  <c r="AH112" i="15"/>
  <c r="AG112" i="15"/>
  <c r="AF112" i="15"/>
  <c r="AE112" i="15"/>
  <c r="AL112" i="15" s="1"/>
  <c r="AD112" i="15"/>
  <c r="AC112" i="15"/>
  <c r="AB112" i="15"/>
  <c r="AA112" i="15"/>
  <c r="Z112" i="15"/>
  <c r="Y112" i="15"/>
  <c r="X112" i="15"/>
  <c r="W112" i="15"/>
  <c r="V112" i="15"/>
  <c r="U112" i="15"/>
  <c r="T112" i="15"/>
  <c r="S112" i="15"/>
  <c r="R112" i="15"/>
  <c r="Q112" i="15"/>
  <c r="P112" i="15"/>
  <c r="O112" i="15"/>
  <c r="N112" i="15"/>
  <c r="M112" i="15"/>
  <c r="AN112" i="15" s="1"/>
  <c r="L112" i="15"/>
  <c r="K112" i="15"/>
  <c r="J112" i="15"/>
  <c r="I112" i="15"/>
  <c r="H112" i="15"/>
  <c r="G112" i="15"/>
  <c r="AO112" i="15" s="1"/>
  <c r="F112" i="15"/>
  <c r="E112" i="15"/>
  <c r="D112" i="15"/>
  <c r="AJ111" i="15"/>
  <c r="AQ111" i="15" s="1"/>
  <c r="AI111" i="15"/>
  <c r="AH111" i="15"/>
  <c r="AG111" i="15"/>
  <c r="AF111" i="15"/>
  <c r="AE111" i="15"/>
  <c r="AD111" i="15"/>
  <c r="AC111" i="15"/>
  <c r="AB111" i="15"/>
  <c r="AL111" i="15" s="1"/>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O111" i="15" s="1"/>
  <c r="AQ110" i="15"/>
  <c r="AJ110" i="15"/>
  <c r="AI110" i="15"/>
  <c r="AH110" i="15"/>
  <c r="AG110" i="15"/>
  <c r="AF110" i="15"/>
  <c r="AE110" i="15"/>
  <c r="AD110" i="15"/>
  <c r="AC110" i="15"/>
  <c r="AB110" i="15"/>
  <c r="AL110" i="15" s="1"/>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O110" i="15" s="1"/>
  <c r="AO109" i="15"/>
  <c r="AJ109" i="15"/>
  <c r="AQ109" i="15" s="1"/>
  <c r="AR45" i="15" s="1"/>
  <c r="AI109" i="15"/>
  <c r="AH109" i="15"/>
  <c r="AG109" i="15"/>
  <c r="AF109" i="15"/>
  <c r="AE109" i="15"/>
  <c r="AL109" i="15" s="1"/>
  <c r="AD109" i="15"/>
  <c r="AC109" i="15"/>
  <c r="AB109" i="15"/>
  <c r="AA109" i="15"/>
  <c r="Z109" i="15"/>
  <c r="Y109" i="15"/>
  <c r="X109" i="15"/>
  <c r="W109" i="15"/>
  <c r="V109" i="15"/>
  <c r="U109" i="15"/>
  <c r="T109" i="15"/>
  <c r="AM109" i="15" s="1"/>
  <c r="S109" i="15"/>
  <c r="R109" i="15"/>
  <c r="Q109" i="15"/>
  <c r="P109" i="15"/>
  <c r="O109" i="15"/>
  <c r="N109" i="15"/>
  <c r="M109" i="15"/>
  <c r="L109" i="15"/>
  <c r="AN109" i="15" s="1"/>
  <c r="K109" i="15"/>
  <c r="J109" i="15"/>
  <c r="I109" i="15"/>
  <c r="H109" i="15"/>
  <c r="G109" i="15"/>
  <c r="F109" i="15"/>
  <c r="E109" i="15"/>
  <c r="D109" i="15"/>
  <c r="AQ108" i="15"/>
  <c r="AO108" i="15"/>
  <c r="AJ108" i="15"/>
  <c r="AI108" i="15"/>
  <c r="AH108" i="15"/>
  <c r="AG108" i="15"/>
  <c r="AF108" i="15"/>
  <c r="AE108" i="15"/>
  <c r="AL108" i="15" s="1"/>
  <c r="AD108" i="15"/>
  <c r="AC108" i="15"/>
  <c r="AB108" i="15"/>
  <c r="AA108" i="15"/>
  <c r="Z108" i="15"/>
  <c r="Y108" i="15"/>
  <c r="X108" i="15"/>
  <c r="W108" i="15"/>
  <c r="V108" i="15"/>
  <c r="U108" i="15"/>
  <c r="T108" i="15"/>
  <c r="AM108" i="15" s="1"/>
  <c r="S108" i="15"/>
  <c r="R108" i="15"/>
  <c r="Q108" i="15"/>
  <c r="P108" i="15"/>
  <c r="O108" i="15"/>
  <c r="N108" i="15"/>
  <c r="M108" i="15"/>
  <c r="AN108" i="15" s="1"/>
  <c r="L108" i="15"/>
  <c r="K108" i="15"/>
  <c r="J108" i="15"/>
  <c r="I108" i="15"/>
  <c r="H108" i="15"/>
  <c r="G108" i="15"/>
  <c r="F108" i="15"/>
  <c r="E108" i="15"/>
  <c r="D108" i="15"/>
  <c r="AO107" i="15"/>
  <c r="AJ107" i="15"/>
  <c r="AQ107" i="15" s="1"/>
  <c r="AI107" i="15"/>
  <c r="AH107" i="15"/>
  <c r="AG107" i="15"/>
  <c r="AF107" i="15"/>
  <c r="AE107" i="15"/>
  <c r="AD107" i="15"/>
  <c r="AC107" i="15"/>
  <c r="AB107" i="15"/>
  <c r="AL107" i="15" s="1"/>
  <c r="AA107" i="15"/>
  <c r="Z107" i="15"/>
  <c r="Y107" i="15"/>
  <c r="X107" i="15"/>
  <c r="W107" i="15"/>
  <c r="V107" i="15"/>
  <c r="U107" i="15"/>
  <c r="T107" i="15"/>
  <c r="AM107" i="15" s="1"/>
  <c r="S107" i="15"/>
  <c r="R107" i="15"/>
  <c r="Q107" i="15"/>
  <c r="P107" i="15"/>
  <c r="O107" i="15"/>
  <c r="N107" i="15"/>
  <c r="M107" i="15"/>
  <c r="L107" i="15"/>
  <c r="K107" i="15"/>
  <c r="J107" i="15"/>
  <c r="I107" i="15"/>
  <c r="H107" i="15"/>
  <c r="G107" i="15"/>
  <c r="F107" i="15"/>
  <c r="E107" i="15"/>
  <c r="D107" i="15"/>
  <c r="AQ106" i="15"/>
  <c r="AO106" i="15"/>
  <c r="AJ106" i="15"/>
  <c r="AI106" i="15"/>
  <c r="AH106" i="15"/>
  <c r="AG106" i="15"/>
  <c r="AF106" i="15"/>
  <c r="AE106" i="15"/>
  <c r="AD106" i="15"/>
  <c r="AC106" i="15"/>
  <c r="AB106" i="15"/>
  <c r="AL106" i="15" s="1"/>
  <c r="AA106" i="15"/>
  <c r="Z106" i="15"/>
  <c r="Y106" i="15"/>
  <c r="X106" i="15"/>
  <c r="W106" i="15"/>
  <c r="V106" i="15"/>
  <c r="U106" i="15"/>
  <c r="T106" i="15"/>
  <c r="AM106" i="15" s="1"/>
  <c r="S106" i="15"/>
  <c r="R106" i="15"/>
  <c r="Q106" i="15"/>
  <c r="P106" i="15"/>
  <c r="O106" i="15"/>
  <c r="N106" i="15"/>
  <c r="M106" i="15"/>
  <c r="L106" i="15"/>
  <c r="K106" i="15"/>
  <c r="J106" i="15"/>
  <c r="I106" i="15"/>
  <c r="H106" i="15"/>
  <c r="G106" i="15"/>
  <c r="F106" i="15"/>
  <c r="E106" i="15"/>
  <c r="D106" i="15"/>
  <c r="AJ105" i="15"/>
  <c r="AQ105" i="15" s="1"/>
  <c r="AI105" i="15"/>
  <c r="AH105" i="15"/>
  <c r="AG105" i="15"/>
  <c r="AF105" i="15"/>
  <c r="AE105" i="15"/>
  <c r="AL105" i="15" s="1"/>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O105" i="15" s="1"/>
  <c r="AQ104" i="15"/>
  <c r="AJ104" i="15"/>
  <c r="AI104" i="15"/>
  <c r="AH104" i="15"/>
  <c r="AG104" i="15"/>
  <c r="AF104" i="15"/>
  <c r="AE104" i="15"/>
  <c r="AL104" i="15" s="1"/>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O104" i="15" s="1"/>
  <c r="AO103" i="15"/>
  <c r="AJ103" i="15"/>
  <c r="AQ103" i="15" s="1"/>
  <c r="AR38" i="15" s="1"/>
  <c r="AI103" i="15"/>
  <c r="AH103" i="15"/>
  <c r="AG103" i="15"/>
  <c r="AF103" i="15"/>
  <c r="AE103" i="15"/>
  <c r="AD103" i="15"/>
  <c r="AC103" i="15"/>
  <c r="AB103" i="15"/>
  <c r="AL103" i="15" s="1"/>
  <c r="AA103" i="15"/>
  <c r="Z103" i="15"/>
  <c r="Y103" i="15"/>
  <c r="X103" i="15"/>
  <c r="W103" i="15"/>
  <c r="V103" i="15"/>
  <c r="U103" i="15"/>
  <c r="T103" i="15"/>
  <c r="AM103" i="15" s="1"/>
  <c r="S103" i="15"/>
  <c r="R103" i="15"/>
  <c r="Q103" i="15"/>
  <c r="P103" i="15"/>
  <c r="O103" i="15"/>
  <c r="N103" i="15"/>
  <c r="M103" i="15"/>
  <c r="L103" i="15"/>
  <c r="AN103" i="15" s="1"/>
  <c r="K103" i="15"/>
  <c r="J103" i="15"/>
  <c r="I103" i="15"/>
  <c r="H103" i="15"/>
  <c r="G103" i="15"/>
  <c r="F103" i="15"/>
  <c r="E103" i="15"/>
  <c r="D103" i="15"/>
  <c r="AQ102" i="15"/>
  <c r="AO102" i="15"/>
  <c r="AJ102" i="15"/>
  <c r="AI102" i="15"/>
  <c r="AH102" i="15"/>
  <c r="AG102" i="15"/>
  <c r="AF102" i="15"/>
  <c r="AE102" i="15"/>
  <c r="AD102" i="15"/>
  <c r="AC102" i="15"/>
  <c r="AB102" i="15"/>
  <c r="AL102" i="15" s="1"/>
  <c r="AA102" i="15"/>
  <c r="Z102" i="15"/>
  <c r="Y102" i="15"/>
  <c r="X102" i="15"/>
  <c r="W102" i="15"/>
  <c r="V102" i="15"/>
  <c r="U102" i="15"/>
  <c r="T102" i="15"/>
  <c r="AM102" i="15" s="1"/>
  <c r="S102" i="15"/>
  <c r="R102" i="15"/>
  <c r="Q102" i="15"/>
  <c r="P102" i="15"/>
  <c r="O102" i="15"/>
  <c r="N102" i="15"/>
  <c r="M102" i="15"/>
  <c r="L102" i="15"/>
  <c r="K102" i="15"/>
  <c r="J102" i="15"/>
  <c r="I102" i="15"/>
  <c r="H102" i="15"/>
  <c r="G102" i="15"/>
  <c r="F102" i="15"/>
  <c r="E102" i="15"/>
  <c r="D102" i="15"/>
  <c r="AJ101" i="15"/>
  <c r="AQ101" i="15" s="1"/>
  <c r="AI101" i="15"/>
  <c r="AH101" i="15"/>
  <c r="AG101" i="15"/>
  <c r="AF101" i="15"/>
  <c r="AE101" i="15"/>
  <c r="AL101" i="15" s="1"/>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AO101" i="15" s="1"/>
  <c r="F101" i="15"/>
  <c r="E101" i="15"/>
  <c r="D101" i="15"/>
  <c r="AJ100" i="15"/>
  <c r="AQ100" i="15" s="1"/>
  <c r="AR36" i="15" s="1"/>
  <c r="AI100" i="15"/>
  <c r="AH100" i="15"/>
  <c r="AG100" i="15"/>
  <c r="AF100" i="15"/>
  <c r="AE100" i="15"/>
  <c r="AD100" i="15"/>
  <c r="AC100" i="15"/>
  <c r="AB100" i="15"/>
  <c r="AL100" i="15" s="1"/>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O100" i="15" s="1"/>
  <c r="AO99" i="15"/>
  <c r="AJ99" i="15"/>
  <c r="AQ99" i="15" s="1"/>
  <c r="AI99" i="15"/>
  <c r="AH99" i="15"/>
  <c r="AG99" i="15"/>
  <c r="AF99" i="15"/>
  <c r="AE99" i="15"/>
  <c r="AL99" i="15" s="1"/>
  <c r="AD99" i="15"/>
  <c r="AC99" i="15"/>
  <c r="AB99" i="15"/>
  <c r="AA99" i="15"/>
  <c r="Z99" i="15"/>
  <c r="Y99" i="15"/>
  <c r="X99" i="15"/>
  <c r="W99" i="15"/>
  <c r="V99" i="15"/>
  <c r="U99" i="15"/>
  <c r="T99" i="15"/>
  <c r="AM99" i="15" s="1"/>
  <c r="S99" i="15"/>
  <c r="R99" i="15"/>
  <c r="Q99" i="15"/>
  <c r="P99" i="15"/>
  <c r="O99" i="15"/>
  <c r="N99" i="15"/>
  <c r="M99" i="15"/>
  <c r="L99" i="15"/>
  <c r="AN99" i="15" s="1"/>
  <c r="K99" i="15"/>
  <c r="J99" i="15"/>
  <c r="I99" i="15"/>
  <c r="H99" i="15"/>
  <c r="G99" i="15"/>
  <c r="F99" i="15"/>
  <c r="E99" i="15"/>
  <c r="D99" i="15"/>
  <c r="AO98" i="15"/>
  <c r="AJ98" i="15"/>
  <c r="AQ98" i="15" s="1"/>
  <c r="AI98" i="15"/>
  <c r="AH98" i="15"/>
  <c r="AG98" i="15"/>
  <c r="AF98" i="15"/>
  <c r="AE98" i="15"/>
  <c r="AD98" i="15"/>
  <c r="AC98" i="15"/>
  <c r="AB98" i="15"/>
  <c r="AL98" i="15" s="1"/>
  <c r="AA98" i="15"/>
  <c r="Z98" i="15"/>
  <c r="Y98" i="15"/>
  <c r="X98" i="15"/>
  <c r="W98" i="15"/>
  <c r="V98" i="15"/>
  <c r="U98" i="15"/>
  <c r="T98" i="15"/>
  <c r="AM98" i="15" s="1"/>
  <c r="S98" i="15"/>
  <c r="R98" i="15"/>
  <c r="Q98" i="15"/>
  <c r="P98" i="15"/>
  <c r="O98" i="15"/>
  <c r="N98" i="15"/>
  <c r="M98" i="15"/>
  <c r="L98" i="15"/>
  <c r="K98" i="15"/>
  <c r="J98" i="15"/>
  <c r="I98" i="15"/>
  <c r="H98" i="15"/>
  <c r="G98" i="15"/>
  <c r="F98" i="15"/>
  <c r="E98" i="15"/>
  <c r="D98" i="15"/>
  <c r="AJ97" i="15"/>
  <c r="AQ97" i="15" s="1"/>
  <c r="AR33" i="15" s="1"/>
  <c r="AI97" i="15"/>
  <c r="AH97" i="15"/>
  <c r="AG97" i="15"/>
  <c r="AF97" i="15"/>
  <c r="AE97" i="15"/>
  <c r="AL97" i="15" s="1"/>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O97" i="15" s="1"/>
  <c r="AQ96" i="15"/>
  <c r="AJ96" i="15"/>
  <c r="AI96" i="15"/>
  <c r="AH96" i="15"/>
  <c r="AG96" i="15"/>
  <c r="AF96" i="15"/>
  <c r="AE96" i="15"/>
  <c r="AL96" i="15" s="1"/>
  <c r="AD96" i="15"/>
  <c r="AC96" i="15"/>
  <c r="AB96" i="15"/>
  <c r="AA96" i="15"/>
  <c r="Z96" i="15"/>
  <c r="Y96" i="15"/>
  <c r="X96" i="15"/>
  <c r="W96" i="15"/>
  <c r="V96" i="15"/>
  <c r="U96" i="15"/>
  <c r="T96" i="15"/>
  <c r="S96" i="15"/>
  <c r="R96" i="15"/>
  <c r="Q96" i="15"/>
  <c r="P96" i="15"/>
  <c r="O96" i="15"/>
  <c r="N96" i="15"/>
  <c r="M96" i="15"/>
  <c r="AN96" i="15" s="1"/>
  <c r="L96" i="15"/>
  <c r="K96" i="15"/>
  <c r="J96" i="15"/>
  <c r="I96" i="15"/>
  <c r="H96" i="15"/>
  <c r="G96" i="15"/>
  <c r="F96" i="15"/>
  <c r="E96" i="15"/>
  <c r="D96" i="15"/>
  <c r="AO96" i="15" s="1"/>
  <c r="AO95" i="15"/>
  <c r="AJ95" i="15"/>
  <c r="AQ95" i="15" s="1"/>
  <c r="AR30" i="15" s="1"/>
  <c r="AI95" i="15"/>
  <c r="AH95" i="15"/>
  <c r="AG95" i="15"/>
  <c r="AF95" i="15"/>
  <c r="AE95" i="15"/>
  <c r="AD95" i="15"/>
  <c r="AC95" i="15"/>
  <c r="AB95" i="15"/>
  <c r="AL95" i="15" s="1"/>
  <c r="AA95" i="15"/>
  <c r="Z95" i="15"/>
  <c r="Y95" i="15"/>
  <c r="X95" i="15"/>
  <c r="W95" i="15"/>
  <c r="V95" i="15"/>
  <c r="U95" i="15"/>
  <c r="T95" i="15"/>
  <c r="AM95" i="15" s="1"/>
  <c r="S95" i="15"/>
  <c r="R95" i="15"/>
  <c r="Q95" i="15"/>
  <c r="P95" i="15"/>
  <c r="O95" i="15"/>
  <c r="N95" i="15"/>
  <c r="M95" i="15"/>
  <c r="L95" i="15"/>
  <c r="AN95" i="15" s="1"/>
  <c r="K95" i="15"/>
  <c r="J95" i="15"/>
  <c r="I95" i="15"/>
  <c r="H95" i="15"/>
  <c r="G95" i="15"/>
  <c r="F95" i="15"/>
  <c r="E95" i="15"/>
  <c r="D95" i="15"/>
  <c r="AJ94" i="15"/>
  <c r="AQ94" i="15" s="1"/>
  <c r="AI94" i="15"/>
  <c r="AH94" i="15"/>
  <c r="AG94" i="15"/>
  <c r="AF94" i="15"/>
  <c r="AE94" i="15"/>
  <c r="AL94" i="15" s="1"/>
  <c r="AD94" i="15"/>
  <c r="AC94" i="15"/>
  <c r="AB94" i="15"/>
  <c r="AA94" i="15"/>
  <c r="Z94" i="15"/>
  <c r="Y94" i="15"/>
  <c r="X94" i="15"/>
  <c r="W94" i="15"/>
  <c r="V94" i="15"/>
  <c r="U94" i="15"/>
  <c r="T94" i="15"/>
  <c r="S94" i="15"/>
  <c r="R94" i="15"/>
  <c r="Q94" i="15"/>
  <c r="P94" i="15"/>
  <c r="O94" i="15"/>
  <c r="N94" i="15"/>
  <c r="M94" i="15"/>
  <c r="AN94" i="15" s="1"/>
  <c r="L94" i="15"/>
  <c r="K94" i="15"/>
  <c r="J94" i="15"/>
  <c r="I94" i="15"/>
  <c r="H94" i="15"/>
  <c r="G94" i="15"/>
  <c r="AO94" i="15" s="1"/>
  <c r="F94" i="15"/>
  <c r="E94" i="15"/>
  <c r="D94" i="15"/>
  <c r="AJ93" i="15"/>
  <c r="AQ93" i="15" s="1"/>
  <c r="AI93" i="15"/>
  <c r="AH93" i="15"/>
  <c r="AG93" i="15"/>
  <c r="AF93" i="15"/>
  <c r="AE93" i="15"/>
  <c r="AD93" i="15"/>
  <c r="AC93" i="15"/>
  <c r="AB93" i="15"/>
  <c r="AL93" i="15" s="1"/>
  <c r="AA93" i="15"/>
  <c r="Z93" i="15"/>
  <c r="Y93" i="15"/>
  <c r="X93" i="15"/>
  <c r="W93" i="15"/>
  <c r="V93" i="15"/>
  <c r="U93" i="15"/>
  <c r="T93" i="15"/>
  <c r="S93" i="15"/>
  <c r="R93" i="15"/>
  <c r="Q93" i="15"/>
  <c r="P93" i="15"/>
  <c r="O93" i="15"/>
  <c r="N93" i="15"/>
  <c r="M93" i="15"/>
  <c r="L93" i="15"/>
  <c r="K93" i="15"/>
  <c r="J93" i="15"/>
  <c r="I93" i="15"/>
  <c r="H93" i="15"/>
  <c r="G93" i="15"/>
  <c r="F93" i="15"/>
  <c r="E93" i="15"/>
  <c r="D93" i="15"/>
  <c r="AO93" i="15" s="1"/>
  <c r="AO92" i="15"/>
  <c r="AJ92" i="15"/>
  <c r="AQ92" i="15" s="1"/>
  <c r="AR27" i="15" s="1"/>
  <c r="AI92" i="15"/>
  <c r="AH92" i="15"/>
  <c r="AG92" i="15"/>
  <c r="AF92" i="15"/>
  <c r="AE92" i="15"/>
  <c r="AL92" i="15" s="1"/>
  <c r="AD92" i="15"/>
  <c r="AC92" i="15"/>
  <c r="AB92" i="15"/>
  <c r="AA92" i="15"/>
  <c r="Z92" i="15"/>
  <c r="Y92" i="15"/>
  <c r="X92" i="15"/>
  <c r="W92" i="15"/>
  <c r="V92" i="15"/>
  <c r="U92" i="15"/>
  <c r="T92" i="15"/>
  <c r="AM92" i="15" s="1"/>
  <c r="S92" i="15"/>
  <c r="R92" i="15"/>
  <c r="Q92" i="15"/>
  <c r="P92" i="15"/>
  <c r="O92" i="15"/>
  <c r="N92" i="15"/>
  <c r="M92" i="15"/>
  <c r="AN92" i="15" s="1"/>
  <c r="L92" i="15"/>
  <c r="K92" i="15"/>
  <c r="J92" i="15"/>
  <c r="I92" i="15"/>
  <c r="H92" i="15"/>
  <c r="G92" i="15"/>
  <c r="F92" i="15"/>
  <c r="E92" i="15"/>
  <c r="D92" i="15"/>
  <c r="AO91" i="15"/>
  <c r="AJ91" i="15"/>
  <c r="AQ91" i="15" s="1"/>
  <c r="AI91" i="15"/>
  <c r="AH91" i="15"/>
  <c r="AG91" i="15"/>
  <c r="AF91" i="15"/>
  <c r="AE91" i="15"/>
  <c r="AD91" i="15"/>
  <c r="AC91" i="15"/>
  <c r="AB91" i="15"/>
  <c r="AL91" i="15" s="1"/>
  <c r="AA91" i="15"/>
  <c r="Z91" i="15"/>
  <c r="Y91" i="15"/>
  <c r="X91" i="15"/>
  <c r="W91" i="15"/>
  <c r="V91" i="15"/>
  <c r="U91" i="15"/>
  <c r="T91" i="15"/>
  <c r="AM91" i="15" s="1"/>
  <c r="S91" i="15"/>
  <c r="R91" i="15"/>
  <c r="Q91" i="15"/>
  <c r="P91" i="15"/>
  <c r="O91" i="15"/>
  <c r="N91" i="15"/>
  <c r="M91" i="15"/>
  <c r="L91" i="15"/>
  <c r="K91" i="15"/>
  <c r="J91" i="15"/>
  <c r="I91" i="15"/>
  <c r="H91" i="15"/>
  <c r="G91" i="15"/>
  <c r="F91" i="15"/>
  <c r="E91" i="15"/>
  <c r="D91" i="15"/>
  <c r="AJ90" i="15"/>
  <c r="AQ90" i="15" s="1"/>
  <c r="AI90" i="15"/>
  <c r="AH90" i="15"/>
  <c r="AG90" i="15"/>
  <c r="AF90" i="15"/>
  <c r="AE90" i="15"/>
  <c r="AL90" i="15" s="1"/>
  <c r="AD90" i="15"/>
  <c r="AC90" i="15"/>
  <c r="AB90" i="15"/>
  <c r="AA90" i="15"/>
  <c r="Z90" i="15"/>
  <c r="Y90" i="15"/>
  <c r="X90" i="15"/>
  <c r="W90" i="15"/>
  <c r="V90" i="15"/>
  <c r="U90" i="15"/>
  <c r="T90" i="15"/>
  <c r="S90" i="15"/>
  <c r="R90" i="15"/>
  <c r="Q90" i="15"/>
  <c r="P90" i="15"/>
  <c r="O90" i="15"/>
  <c r="N90" i="15"/>
  <c r="M90" i="15"/>
  <c r="AN90" i="15" s="1"/>
  <c r="L90" i="15"/>
  <c r="K90" i="15"/>
  <c r="J90" i="15"/>
  <c r="I90" i="15"/>
  <c r="H90" i="15"/>
  <c r="G90" i="15"/>
  <c r="F90" i="15"/>
  <c r="E90" i="15"/>
  <c r="D90" i="15"/>
  <c r="AO90" i="15" s="1"/>
  <c r="AO89" i="15"/>
  <c r="AJ89" i="15"/>
  <c r="AQ89" i="15" s="1"/>
  <c r="AR24" i="15" s="1"/>
  <c r="AI89" i="15"/>
  <c r="AH89" i="15"/>
  <c r="AG89" i="15"/>
  <c r="AF89" i="15"/>
  <c r="AE89" i="15"/>
  <c r="AD89" i="15"/>
  <c r="AC89" i="15"/>
  <c r="AB89" i="15"/>
  <c r="AL89" i="15" s="1"/>
  <c r="AA89" i="15"/>
  <c r="Z89" i="15"/>
  <c r="Y89" i="15"/>
  <c r="X89" i="15"/>
  <c r="W89" i="15"/>
  <c r="V89" i="15"/>
  <c r="U89" i="15"/>
  <c r="T89" i="15"/>
  <c r="AM89" i="15" s="1"/>
  <c r="S89" i="15"/>
  <c r="R89" i="15"/>
  <c r="Q89" i="15"/>
  <c r="P89" i="15"/>
  <c r="O89" i="15"/>
  <c r="N89" i="15"/>
  <c r="M89" i="15"/>
  <c r="L89" i="15"/>
  <c r="AN89" i="15" s="1"/>
  <c r="K89" i="15"/>
  <c r="J89" i="15"/>
  <c r="I89" i="15"/>
  <c r="H89" i="15"/>
  <c r="G89" i="15"/>
  <c r="F89" i="15"/>
  <c r="E89" i="15"/>
  <c r="D89" i="15"/>
  <c r="AQ88" i="15"/>
  <c r="AO88" i="15"/>
  <c r="AJ88" i="15"/>
  <c r="AI88" i="15"/>
  <c r="AH88" i="15"/>
  <c r="AG88" i="15"/>
  <c r="AF88" i="15"/>
  <c r="AE88" i="15"/>
  <c r="AD88" i="15"/>
  <c r="AC88" i="15"/>
  <c r="AB88" i="15"/>
  <c r="AL88" i="15" s="1"/>
  <c r="AA88" i="15"/>
  <c r="Z88" i="15"/>
  <c r="Y88" i="15"/>
  <c r="X88" i="15"/>
  <c r="W88" i="15"/>
  <c r="V88" i="15"/>
  <c r="U88" i="15"/>
  <c r="T88" i="15"/>
  <c r="AM88" i="15" s="1"/>
  <c r="S88" i="15"/>
  <c r="R88" i="15"/>
  <c r="Q88" i="15"/>
  <c r="P88" i="15"/>
  <c r="O88" i="15"/>
  <c r="N88" i="15"/>
  <c r="M88" i="15"/>
  <c r="L88" i="15"/>
  <c r="K88" i="15"/>
  <c r="J88" i="15"/>
  <c r="I88" i="15"/>
  <c r="H88" i="15"/>
  <c r="G88" i="15"/>
  <c r="F88" i="15"/>
  <c r="E88" i="15"/>
  <c r="D88" i="15"/>
  <c r="AJ87" i="15"/>
  <c r="AQ87" i="15" s="1"/>
  <c r="AI87" i="15"/>
  <c r="AH87" i="15"/>
  <c r="AG87" i="15"/>
  <c r="AF87" i="15"/>
  <c r="AE87" i="15"/>
  <c r="AL87" i="15" s="1"/>
  <c r="AD87" i="15"/>
  <c r="AC87" i="15"/>
  <c r="AB87" i="15"/>
  <c r="AA87" i="15"/>
  <c r="Z87" i="15"/>
  <c r="Y87" i="15"/>
  <c r="X87" i="15"/>
  <c r="W87" i="15"/>
  <c r="V87" i="15"/>
  <c r="U87" i="15"/>
  <c r="T87" i="15"/>
  <c r="S87" i="15"/>
  <c r="R87" i="15"/>
  <c r="Q87" i="15"/>
  <c r="P87" i="15"/>
  <c r="O87" i="15"/>
  <c r="N87" i="15"/>
  <c r="M87" i="15"/>
  <c r="L87" i="15"/>
  <c r="K87" i="15"/>
  <c r="J87" i="15"/>
  <c r="I87" i="15"/>
  <c r="H87" i="15"/>
  <c r="G87" i="15"/>
  <c r="AO87" i="15" s="1"/>
  <c r="F87" i="15"/>
  <c r="E87" i="15"/>
  <c r="D87" i="15"/>
  <c r="AJ86" i="15"/>
  <c r="AQ86" i="15" s="1"/>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6" i="15" s="1"/>
  <c r="AO85" i="15"/>
  <c r="AJ85" i="15"/>
  <c r="AQ85" i="15" s="1"/>
  <c r="AR20" i="15" s="1"/>
  <c r="AI85" i="15"/>
  <c r="AH85" i="15"/>
  <c r="AG85" i="15"/>
  <c r="AF85" i="15"/>
  <c r="AE85" i="15"/>
  <c r="AD85" i="15"/>
  <c r="AC85" i="15"/>
  <c r="AB85" i="15"/>
  <c r="AA85" i="15"/>
  <c r="Z85" i="15"/>
  <c r="Y85" i="15"/>
  <c r="X85" i="15"/>
  <c r="W85" i="15"/>
  <c r="V85" i="15"/>
  <c r="U85" i="15"/>
  <c r="T85" i="15"/>
  <c r="AM85" i="15" s="1"/>
  <c r="S85" i="15"/>
  <c r="R85" i="15"/>
  <c r="Q85" i="15"/>
  <c r="P85" i="15"/>
  <c r="O85" i="15"/>
  <c r="N85" i="15"/>
  <c r="M85" i="15"/>
  <c r="L85" i="15"/>
  <c r="AN85" i="15" s="1"/>
  <c r="K85" i="15"/>
  <c r="J85" i="15"/>
  <c r="I85" i="15"/>
  <c r="H85" i="15"/>
  <c r="G85" i="15"/>
  <c r="F85" i="15"/>
  <c r="E85" i="15"/>
  <c r="D85" i="15"/>
  <c r="AO84" i="15"/>
  <c r="AJ84" i="15"/>
  <c r="AI84" i="15"/>
  <c r="AH84" i="15"/>
  <c r="AG84" i="15"/>
  <c r="AF84" i="15"/>
  <c r="AE84" i="15"/>
  <c r="AD84" i="15"/>
  <c r="AC84" i="15"/>
  <c r="AB84" i="15"/>
  <c r="AL84" i="15" s="1"/>
  <c r="AA84" i="15"/>
  <c r="Z84" i="15"/>
  <c r="Y84" i="15"/>
  <c r="X84" i="15"/>
  <c r="W84" i="15"/>
  <c r="V84" i="15"/>
  <c r="U84" i="15"/>
  <c r="T84" i="15"/>
  <c r="AM84" i="15" s="1"/>
  <c r="S84" i="15"/>
  <c r="R84" i="15"/>
  <c r="Q84" i="15"/>
  <c r="P84" i="15"/>
  <c r="O84" i="15"/>
  <c r="N84" i="15"/>
  <c r="M84" i="15"/>
  <c r="L84" i="15"/>
  <c r="K84" i="15"/>
  <c r="J84" i="15"/>
  <c r="I84" i="15"/>
  <c r="H84" i="15"/>
  <c r="G84" i="15"/>
  <c r="F84" i="15"/>
  <c r="E84" i="15"/>
  <c r="D84" i="15"/>
  <c r="AJ83" i="15"/>
  <c r="AQ83" i="15" s="1"/>
  <c r="AI83" i="15"/>
  <c r="AH83" i="15"/>
  <c r="AG83" i="15"/>
  <c r="AF83" i="15"/>
  <c r="AL83" i="15" s="1"/>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O83" i="15" s="1"/>
  <c r="AO82" i="15"/>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J81" i="15"/>
  <c r="AQ81" i="15" s="1"/>
  <c r="AI81" i="15"/>
  <c r="AH81" i="15"/>
  <c r="AG81" i="15"/>
  <c r="AF81" i="15"/>
  <c r="AE81" i="15"/>
  <c r="AD81" i="15"/>
  <c r="AC81" i="15"/>
  <c r="AB81" i="15"/>
  <c r="AA81" i="15"/>
  <c r="Z81" i="15"/>
  <c r="Y81" i="15"/>
  <c r="X81" i="15"/>
  <c r="W81" i="15"/>
  <c r="V81" i="15"/>
  <c r="U81" i="15"/>
  <c r="T81" i="15"/>
  <c r="S81" i="15"/>
  <c r="R81" i="15"/>
  <c r="Q81" i="15"/>
  <c r="P81" i="15"/>
  <c r="O81" i="15"/>
  <c r="N81" i="15"/>
  <c r="M81" i="15"/>
  <c r="L81" i="15"/>
  <c r="AN81" i="15" s="1"/>
  <c r="K81" i="15"/>
  <c r="J81" i="15"/>
  <c r="I81" i="15"/>
  <c r="H81" i="15"/>
  <c r="G81" i="15"/>
  <c r="F81" i="15"/>
  <c r="AO81" i="15" s="1"/>
  <c r="E81" i="15"/>
  <c r="D81" i="15"/>
  <c r="AN80" i="15"/>
  <c r="AJ80" i="15"/>
  <c r="AQ80" i="15" s="1"/>
  <c r="AR15" i="15" s="1"/>
  <c r="AI80" i="15"/>
  <c r="AH80" i="15"/>
  <c r="AG80" i="15"/>
  <c r="AF80" i="15"/>
  <c r="AE80" i="15"/>
  <c r="AD80" i="15"/>
  <c r="AC80" i="15"/>
  <c r="AB80" i="15"/>
  <c r="AL80" i="15" s="1"/>
  <c r="AA80" i="15"/>
  <c r="Z80" i="15"/>
  <c r="Y80" i="15"/>
  <c r="X80" i="15"/>
  <c r="W80" i="15"/>
  <c r="V80" i="15"/>
  <c r="U80" i="15"/>
  <c r="T80" i="15"/>
  <c r="AM80" i="15" s="1"/>
  <c r="S80" i="15"/>
  <c r="R80" i="15"/>
  <c r="Q80" i="15"/>
  <c r="P80" i="15"/>
  <c r="O80" i="15"/>
  <c r="N80" i="15"/>
  <c r="M80" i="15"/>
  <c r="L80" i="15"/>
  <c r="K80" i="15"/>
  <c r="J80" i="15"/>
  <c r="I80" i="15"/>
  <c r="AO80" i="15" s="1"/>
  <c r="H80" i="15"/>
  <c r="G80" i="15"/>
  <c r="F80" i="15"/>
  <c r="E80" i="15"/>
  <c r="D80" i="15"/>
  <c r="C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AN79" i="15" s="1"/>
  <c r="K79" i="15"/>
  <c r="J79" i="15"/>
  <c r="I79" i="15"/>
  <c r="H79" i="15"/>
  <c r="G79" i="15"/>
  <c r="F79" i="15"/>
  <c r="AO79" i="15" s="1"/>
  <c r="E79" i="15"/>
  <c r="D79" i="15"/>
  <c r="AN78"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K78" i="15"/>
  <c r="J78" i="15"/>
  <c r="I78" i="15"/>
  <c r="AO78" i="15" s="1"/>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AO77" i="15" s="1"/>
  <c r="E77" i="15"/>
  <c r="D77" i="15"/>
  <c r="AN76" i="15"/>
  <c r="AJ76" i="15"/>
  <c r="AI76" i="15"/>
  <c r="AH76" i="15"/>
  <c r="AG76" i="15"/>
  <c r="AF76" i="15"/>
  <c r="AE76" i="15"/>
  <c r="AD76" i="15"/>
  <c r="AC76" i="15"/>
  <c r="AB76" i="15"/>
  <c r="AL76" i="15" s="1"/>
  <c r="AA76" i="15"/>
  <c r="Z76" i="15"/>
  <c r="Y76" i="15"/>
  <c r="X76" i="15"/>
  <c r="W76" i="15"/>
  <c r="V76" i="15"/>
  <c r="U76" i="15"/>
  <c r="T76" i="15"/>
  <c r="AM76" i="15" s="1"/>
  <c r="S76" i="15"/>
  <c r="R76" i="15"/>
  <c r="Q76" i="15"/>
  <c r="P76" i="15"/>
  <c r="O76" i="15"/>
  <c r="N76" i="15"/>
  <c r="M76" i="15"/>
  <c r="L76" i="15"/>
  <c r="K76" i="15"/>
  <c r="J76" i="15"/>
  <c r="I76" i="15"/>
  <c r="AO76" i="15" s="1"/>
  <c r="H76" i="15"/>
  <c r="G76" i="15"/>
  <c r="F76" i="15"/>
  <c r="E76" i="15"/>
  <c r="D76" i="15"/>
  <c r="C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AN75" i="15" s="1"/>
  <c r="K75" i="15"/>
  <c r="J75" i="15"/>
  <c r="I75" i="15"/>
  <c r="H75" i="15"/>
  <c r="G75" i="15"/>
  <c r="F75" i="15"/>
  <c r="AO75" i="15" s="1"/>
  <c r="E75" i="15"/>
  <c r="D75" i="15"/>
  <c r="AN74" i="15"/>
  <c r="AJ74" i="15"/>
  <c r="AI74" i="15"/>
  <c r="AH74" i="15"/>
  <c r="AG74" i="15"/>
  <c r="AF74" i="15"/>
  <c r="AE74" i="15"/>
  <c r="AD74" i="15"/>
  <c r="AC74" i="15"/>
  <c r="AB74" i="15"/>
  <c r="AA74" i="15"/>
  <c r="Z74" i="15"/>
  <c r="Y74" i="15"/>
  <c r="X74" i="15"/>
  <c r="W74" i="15"/>
  <c r="V74" i="15"/>
  <c r="U74" i="15"/>
  <c r="T74" i="15"/>
  <c r="AM74" i="15" s="1"/>
  <c r="S74" i="15"/>
  <c r="R74" i="15"/>
  <c r="Q74" i="15"/>
  <c r="P74" i="15"/>
  <c r="O74" i="15"/>
  <c r="N74" i="15"/>
  <c r="M74" i="15"/>
  <c r="L74" i="15"/>
  <c r="K74" i="15"/>
  <c r="J74" i="15"/>
  <c r="I74" i="15"/>
  <c r="AO74" i="15" s="1"/>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AN73" i="15" s="1"/>
  <c r="K73" i="15"/>
  <c r="J73" i="15"/>
  <c r="I73" i="15"/>
  <c r="H73" i="15"/>
  <c r="G73" i="15"/>
  <c r="F73" i="15"/>
  <c r="E73" i="15"/>
  <c r="D73" i="15"/>
  <c r="AN72" i="15"/>
  <c r="AJ72" i="15"/>
  <c r="AI72" i="15"/>
  <c r="AH72" i="15"/>
  <c r="AG72" i="15"/>
  <c r="AF72" i="15"/>
  <c r="AE72" i="15"/>
  <c r="AD72" i="15"/>
  <c r="AC72" i="15"/>
  <c r="AB72" i="15"/>
  <c r="AL72" i="15" s="1"/>
  <c r="AA72" i="15"/>
  <c r="Z72" i="15"/>
  <c r="Y72" i="15"/>
  <c r="X72" i="15"/>
  <c r="W72" i="15"/>
  <c r="V72" i="15"/>
  <c r="U72" i="15"/>
  <c r="T72" i="15"/>
  <c r="AM72" i="15" s="1"/>
  <c r="S72" i="15"/>
  <c r="R72" i="15"/>
  <c r="Q72" i="15"/>
  <c r="P72" i="15"/>
  <c r="O72" i="15"/>
  <c r="N72" i="15"/>
  <c r="M72" i="15"/>
  <c r="L72" i="15"/>
  <c r="K72" i="15"/>
  <c r="J72" i="15"/>
  <c r="I72" i="15"/>
  <c r="H72" i="15"/>
  <c r="G72" i="15"/>
  <c r="F72" i="15"/>
  <c r="E72" i="15"/>
  <c r="D72" i="15"/>
  <c r="C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AO71" i="15" s="1"/>
  <c r="E71" i="15"/>
  <c r="D71" i="15"/>
  <c r="AT70" i="15"/>
  <c r="AS70" i="15"/>
  <c r="AT69" i="15"/>
  <c r="AS69" i="15"/>
  <c r="C69" i="15"/>
  <c r="AT68" i="15"/>
  <c r="AS68" i="15"/>
  <c r="AR68" i="15"/>
  <c r="C68" i="15"/>
  <c r="AT67" i="15"/>
  <c r="AS67" i="15"/>
  <c r="AR67" i="15"/>
  <c r="C67" i="15"/>
  <c r="AT66" i="15"/>
  <c r="AS66" i="15"/>
  <c r="C66" i="15"/>
  <c r="C131" i="15" s="1"/>
  <c r="AT65" i="15"/>
  <c r="AS65" i="15"/>
  <c r="AR65" i="15"/>
  <c r="C65" i="15"/>
  <c r="AT64" i="15"/>
  <c r="AS64" i="15"/>
  <c r="AR64" i="15"/>
  <c r="C64" i="15"/>
  <c r="C129" i="15" s="1"/>
  <c r="AT63" i="15"/>
  <c r="AS63" i="15"/>
  <c r="C63" i="15"/>
  <c r="AT62" i="15"/>
  <c r="AS62" i="15"/>
  <c r="AR62" i="15"/>
  <c r="C62" i="15"/>
  <c r="AT61" i="15"/>
  <c r="AS61" i="15"/>
  <c r="AR61" i="15"/>
  <c r="C61" i="15"/>
  <c r="AT60" i="15"/>
  <c r="AS60" i="15"/>
  <c r="C60" i="15"/>
  <c r="C125" i="15" s="1"/>
  <c r="AT59" i="15"/>
  <c r="AS59" i="15"/>
  <c r="AR59" i="15"/>
  <c r="C59" i="15"/>
  <c r="AT58" i="15"/>
  <c r="AS58" i="15"/>
  <c r="C58" i="15"/>
  <c r="C123" i="15" s="1"/>
  <c r="AT57" i="15"/>
  <c r="AS57" i="15"/>
  <c r="C57" i="15"/>
  <c r="AT56" i="15"/>
  <c r="AS56" i="15"/>
  <c r="AR56" i="15"/>
  <c r="C56" i="15"/>
  <c r="AT55" i="15"/>
  <c r="AS55" i="15"/>
  <c r="AR55" i="15"/>
  <c r="C55" i="15"/>
  <c r="AT54" i="15"/>
  <c r="AS54" i="15"/>
  <c r="C54" i="15"/>
  <c r="AT53" i="15"/>
  <c r="AS53" i="15"/>
  <c r="AR53" i="15"/>
  <c r="C53" i="15"/>
  <c r="AT52" i="15"/>
  <c r="AS52" i="15"/>
  <c r="AR52" i="15"/>
  <c r="C52" i="15"/>
  <c r="C117" i="15" s="1"/>
  <c r="AT51" i="15"/>
  <c r="AS51" i="15"/>
  <c r="C51" i="15"/>
  <c r="AT50" i="15"/>
  <c r="AS50" i="15"/>
  <c r="AR50" i="15"/>
  <c r="C50" i="15"/>
  <c r="AT49" i="15"/>
  <c r="AS49" i="15"/>
  <c r="AR49" i="15"/>
  <c r="C49" i="15"/>
  <c r="AT48" i="15"/>
  <c r="AS48" i="15"/>
  <c r="AR48" i="15"/>
  <c r="C48" i="15"/>
  <c r="AT47" i="15"/>
  <c r="AS47" i="15"/>
  <c r="AR47" i="15"/>
  <c r="C47" i="15"/>
  <c r="AT46" i="15"/>
  <c r="AS46" i="15"/>
  <c r="AR46" i="15"/>
  <c r="C46" i="15"/>
  <c r="C111" i="15" s="1"/>
  <c r="AT45" i="15"/>
  <c r="AS45" i="15"/>
  <c r="C45" i="15"/>
  <c r="AT44" i="15"/>
  <c r="AS44" i="15"/>
  <c r="AR44" i="15"/>
  <c r="C44" i="15"/>
  <c r="AT43" i="15"/>
  <c r="AS43" i="15"/>
  <c r="AR43" i="15"/>
  <c r="C43" i="15"/>
  <c r="AT42" i="15"/>
  <c r="AS42" i="15"/>
  <c r="AR42" i="15"/>
  <c r="C42" i="15"/>
  <c r="AT41" i="15"/>
  <c r="AS41" i="15"/>
  <c r="AR41" i="15"/>
  <c r="C41" i="15"/>
  <c r="AT40" i="15"/>
  <c r="AS40" i="15"/>
  <c r="AR40" i="15"/>
  <c r="C40" i="15"/>
  <c r="C105" i="15" s="1"/>
  <c r="AT39" i="15"/>
  <c r="AS39" i="15"/>
  <c r="C39" i="15"/>
  <c r="AT38" i="15"/>
  <c r="AS38" i="15"/>
  <c r="C38" i="15"/>
  <c r="AT37" i="15"/>
  <c r="AS37" i="15"/>
  <c r="AR37" i="15"/>
  <c r="C37" i="15"/>
  <c r="AT36" i="15"/>
  <c r="AS36" i="15"/>
  <c r="C36" i="15"/>
  <c r="AT35" i="15"/>
  <c r="AS35" i="15"/>
  <c r="AR35" i="15"/>
  <c r="C35" i="15"/>
  <c r="AT34" i="15"/>
  <c r="AS34" i="15"/>
  <c r="AR34" i="15"/>
  <c r="C34" i="15"/>
  <c r="C99" i="15" s="1"/>
  <c r="AT33" i="15"/>
  <c r="AS33" i="15"/>
  <c r="C33" i="15"/>
  <c r="AT32" i="15"/>
  <c r="AS32" i="15"/>
  <c r="AR32" i="15"/>
  <c r="C32" i="15"/>
  <c r="AT31" i="15"/>
  <c r="AS31" i="15"/>
  <c r="C31" i="15"/>
  <c r="AT30" i="15"/>
  <c r="AS30" i="15"/>
  <c r="C30" i="15"/>
  <c r="AT29" i="15"/>
  <c r="AS29" i="15"/>
  <c r="AR29" i="15"/>
  <c r="C29" i="15"/>
  <c r="AT28" i="15"/>
  <c r="AS28" i="15"/>
  <c r="AR28" i="15"/>
  <c r="C28" i="15"/>
  <c r="C93" i="15" s="1"/>
  <c r="AT27" i="15"/>
  <c r="AS27" i="15"/>
  <c r="C27" i="15"/>
  <c r="AT26" i="15"/>
  <c r="AS26" i="15"/>
  <c r="AR26" i="15"/>
  <c r="C26" i="15"/>
  <c r="AT25" i="15"/>
  <c r="AS25" i="15"/>
  <c r="C25" i="15"/>
  <c r="AT24" i="15"/>
  <c r="AS24" i="15"/>
  <c r="C24" i="15"/>
  <c r="AT23" i="15"/>
  <c r="AS23" i="15"/>
  <c r="AR23" i="15"/>
  <c r="C23" i="15"/>
  <c r="AT22" i="15"/>
  <c r="AR22" i="15"/>
  <c r="C22" i="15"/>
  <c r="C87" i="15" s="1"/>
  <c r="C21" i="15"/>
  <c r="C20" i="15"/>
  <c r="C19" i="15"/>
  <c r="C18" i="15"/>
  <c r="AS17" i="15"/>
  <c r="C17" i="15"/>
  <c r="C147" i="15" s="1"/>
  <c r="AS16" i="15"/>
  <c r="C16" i="15"/>
  <c r="C81" i="15" s="1"/>
  <c r="C15" i="15"/>
  <c r="C145" i="15" s="1"/>
  <c r="C14" i="15"/>
  <c r="AW13" i="15"/>
  <c r="AL13" i="15"/>
  <c r="AT13" i="15" s="1"/>
  <c r="C13" i="15"/>
  <c r="C143" i="15" s="1"/>
  <c r="AL12" i="15"/>
  <c r="AT12" i="15" s="1"/>
  <c r="C12" i="15"/>
  <c r="AT11" i="15"/>
  <c r="AL11" i="15"/>
  <c r="C11" i="15"/>
  <c r="C141" i="15" s="1"/>
  <c r="AL10" i="15"/>
  <c r="AT10" i="15" s="1"/>
  <c r="C10" i="15"/>
  <c r="C75" i="15" s="1"/>
  <c r="AL9" i="15"/>
  <c r="AT9" i="15" s="1"/>
  <c r="C9" i="15"/>
  <c r="C139" i="15" s="1"/>
  <c r="C8" i="15"/>
  <c r="C7" i="15"/>
  <c r="C137" i="15" s="1"/>
  <c r="AW6" i="15"/>
  <c r="AL6" i="15"/>
  <c r="AT6" i="15" s="1"/>
  <c r="C6" i="15"/>
  <c r="B3" i="15"/>
  <c r="AW7" i="15" s="1"/>
  <c r="AO138" i="15" l="1"/>
  <c r="AO73" i="15"/>
  <c r="AO72" i="15"/>
  <c r="AS22" i="15"/>
  <c r="AQ82" i="15"/>
  <c r="AR18" i="15" s="1"/>
  <c r="AQ148" i="15"/>
  <c r="AS18" i="15" s="1"/>
  <c r="AQ79" i="15"/>
  <c r="AQ84" i="15"/>
  <c r="AR19" i="15" s="1"/>
  <c r="AQ150" i="15"/>
  <c r="AS20" i="15" s="1"/>
  <c r="AQ145" i="15"/>
  <c r="AS15" i="15" s="1"/>
  <c r="AL73" i="15"/>
  <c r="AL78" i="15"/>
  <c r="AL81" i="15"/>
  <c r="AL85" i="15"/>
  <c r="AL75" i="15"/>
  <c r="AL86" i="15"/>
  <c r="AL136" i="15"/>
  <c r="AR16" i="15"/>
  <c r="AL145" i="15"/>
  <c r="AL74" i="15"/>
  <c r="AL77" i="15"/>
  <c r="AL82" i="15"/>
  <c r="AR21" i="15"/>
  <c r="AL144" i="15"/>
  <c r="AL147" i="15"/>
  <c r="AL71" i="15"/>
  <c r="AL79" i="15"/>
  <c r="AL148" i="15"/>
  <c r="AL149" i="15"/>
  <c r="AU11" i="15"/>
  <c r="AU10" i="15"/>
  <c r="C150" i="15"/>
  <c r="C85" i="15"/>
  <c r="C136" i="15"/>
  <c r="C71" i="15"/>
  <c r="C149" i="15"/>
  <c r="C84" i="15"/>
  <c r="C155" i="15"/>
  <c r="C90" i="15"/>
  <c r="C161" i="15"/>
  <c r="C96" i="15"/>
  <c r="C167" i="15"/>
  <c r="C102" i="15"/>
  <c r="AR39" i="15"/>
  <c r="C173" i="15"/>
  <c r="C108" i="15"/>
  <c r="C179" i="15"/>
  <c r="C114" i="15"/>
  <c r="AN82" i="15"/>
  <c r="AM83" i="15"/>
  <c r="AN87" i="15"/>
  <c r="AN88" i="15"/>
  <c r="AM90" i="15"/>
  <c r="AM96" i="15"/>
  <c r="AM97" i="15"/>
  <c r="AN101" i="15"/>
  <c r="AN102" i="15"/>
  <c r="AM104" i="15"/>
  <c r="AM105" i="15"/>
  <c r="AN113" i="15"/>
  <c r="AO118" i="15"/>
  <c r="C162" i="15"/>
  <c r="C97" i="15"/>
  <c r="AQ75" i="15"/>
  <c r="AR10" i="15" s="1"/>
  <c r="AQ76" i="15"/>
  <c r="AR11" i="15" s="1"/>
  <c r="C154" i="15"/>
  <c r="C89" i="15"/>
  <c r="C178" i="15"/>
  <c r="C113" i="15"/>
  <c r="C187" i="15"/>
  <c r="C122" i="15"/>
  <c r="AM73" i="15"/>
  <c r="AM77" i="15"/>
  <c r="AM79" i="15"/>
  <c r="AM81" i="15"/>
  <c r="AN93" i="15"/>
  <c r="AN111" i="15"/>
  <c r="AR70" i="15"/>
  <c r="AR69" i="15"/>
  <c r="C152" i="15"/>
  <c r="C170" i="15"/>
  <c r="B6" i="15"/>
  <c r="C156" i="15"/>
  <c r="C91" i="15"/>
  <c r="C168" i="15"/>
  <c r="C103" i="15"/>
  <c r="C115" i="15"/>
  <c r="C180" i="15"/>
  <c r="C195" i="15"/>
  <c r="C130" i="15"/>
  <c r="C133" i="15"/>
  <c r="C198" i="15"/>
  <c r="AQ72" i="15"/>
  <c r="AR7" i="15" s="1"/>
  <c r="C138" i="15"/>
  <c r="C73" i="15"/>
  <c r="C160" i="15"/>
  <c r="C95" i="15"/>
  <c r="C153" i="15"/>
  <c r="C88" i="15"/>
  <c r="C159" i="15"/>
  <c r="C94" i="15"/>
  <c r="C177" i="15"/>
  <c r="C112" i="15"/>
  <c r="C183" i="15"/>
  <c r="C118" i="15"/>
  <c r="C74" i="15"/>
  <c r="C78" i="15"/>
  <c r="AQ78" i="15" s="1"/>
  <c r="C82" i="15"/>
  <c r="AN86" i="15"/>
  <c r="AM87" i="15"/>
  <c r="AM94" i="15"/>
  <c r="AN100" i="15"/>
  <c r="AM101" i="15"/>
  <c r="AN110" i="15"/>
  <c r="AM112" i="15"/>
  <c r="AM113" i="15"/>
  <c r="AO130" i="15"/>
  <c r="AN71" i="15"/>
  <c r="AQ74" i="15"/>
  <c r="AR9" i="15" s="1"/>
  <c r="C166" i="15"/>
  <c r="C101" i="15"/>
  <c r="C172" i="15"/>
  <c r="C107" i="15"/>
  <c r="C119" i="15"/>
  <c r="C184" i="15"/>
  <c r="AR58" i="15"/>
  <c r="AM71" i="15"/>
  <c r="AR25" i="15"/>
  <c r="AR31" i="15"/>
  <c r="C165" i="15"/>
  <c r="C100" i="15"/>
  <c r="C171" i="15"/>
  <c r="C106" i="15"/>
  <c r="C193" i="15"/>
  <c r="C128" i="15"/>
  <c r="AR17" i="15"/>
  <c r="C121" i="15"/>
  <c r="C186" i="15"/>
  <c r="C199" i="15"/>
  <c r="C134" i="15"/>
  <c r="AM86" i="15"/>
  <c r="AN91" i="15"/>
  <c r="AM93" i="15"/>
  <c r="AM100" i="15"/>
  <c r="AN107" i="15"/>
  <c r="AM110" i="15"/>
  <c r="AM111" i="15"/>
  <c r="C140" i="15"/>
  <c r="C158" i="15"/>
  <c r="C176" i="15"/>
  <c r="C144" i="15"/>
  <c r="C79" i="15"/>
  <c r="C174" i="15"/>
  <c r="C109" i="15"/>
  <c r="AQ71" i="15"/>
  <c r="AR6" i="15" s="1"/>
  <c r="AN77" i="15"/>
  <c r="AQ77" i="15" s="1"/>
  <c r="AR12" i="15" s="1"/>
  <c r="AN104" i="15"/>
  <c r="C148" i="15"/>
  <c r="C83" i="15"/>
  <c r="AM75" i="15"/>
  <c r="C142" i="15"/>
  <c r="AQ142" i="15" s="1"/>
  <c r="AS12" i="15" s="1"/>
  <c r="C77" i="15"/>
  <c r="C151" i="15"/>
  <c r="C86" i="15"/>
  <c r="C157" i="15"/>
  <c r="C92" i="15"/>
  <c r="C163" i="15"/>
  <c r="C98" i="15"/>
  <c r="C169" i="15"/>
  <c r="C104" i="15"/>
  <c r="C175" i="15"/>
  <c r="C110" i="15"/>
  <c r="C181" i="15"/>
  <c r="C116" i="15"/>
  <c r="C189" i="15"/>
  <c r="C124" i="15"/>
  <c r="C127" i="15"/>
  <c r="C192" i="15"/>
  <c r="AN83" i="15"/>
  <c r="AN84" i="15"/>
  <c r="AN97" i="15"/>
  <c r="AN98" i="15"/>
  <c r="AN105" i="15"/>
  <c r="AN106" i="15"/>
  <c r="AO124" i="15"/>
  <c r="C185" i="15"/>
  <c r="C120" i="15"/>
  <c r="C191" i="15"/>
  <c r="C126" i="15"/>
  <c r="C197" i="15"/>
  <c r="C132" i="15"/>
  <c r="AO137" i="15"/>
  <c r="AL137" i="15"/>
  <c r="AQ138" i="15"/>
  <c r="AS8" i="15" s="1"/>
  <c r="AM139" i="15"/>
  <c r="AO140" i="15"/>
  <c r="AL140" i="15"/>
  <c r="AQ141" i="15"/>
  <c r="AS11" i="15" s="1"/>
  <c r="AO143" i="15"/>
  <c r="AM145" i="15"/>
  <c r="AO146" i="15"/>
  <c r="AL146" i="15"/>
  <c r="AM148" i="15"/>
  <c r="AO149" i="15"/>
  <c r="AM151" i="15"/>
  <c r="AO152" i="15"/>
  <c r="AL152" i="15"/>
  <c r="AM154" i="15"/>
  <c r="AO155" i="15"/>
  <c r="AL155" i="15"/>
  <c r="AM157" i="15"/>
  <c r="AO158" i="15"/>
  <c r="AL158" i="15"/>
  <c r="AM160" i="15"/>
  <c r="AO161" i="15"/>
  <c r="AL161" i="15"/>
  <c r="AM163" i="15"/>
  <c r="AO164" i="15"/>
  <c r="AL164" i="15"/>
  <c r="AM166" i="15"/>
  <c r="AO167" i="15"/>
  <c r="AL167" i="15"/>
  <c r="AM169" i="15"/>
  <c r="AO170" i="15"/>
  <c r="AL170" i="15"/>
  <c r="AM172" i="15"/>
  <c r="AO173" i="15"/>
  <c r="AL173" i="15"/>
  <c r="AM175" i="15"/>
  <c r="AO176" i="15"/>
  <c r="AL176" i="15"/>
  <c r="AM178" i="15"/>
  <c r="AO179" i="15"/>
  <c r="AL179" i="15"/>
  <c r="AM181" i="15"/>
  <c r="AO182" i="15"/>
  <c r="AL182" i="15"/>
  <c r="AM184" i="15"/>
  <c r="AO185" i="15"/>
  <c r="AL185" i="15"/>
  <c r="AM187" i="15"/>
  <c r="AO188" i="15"/>
  <c r="AL188" i="15"/>
  <c r="AM190" i="15"/>
  <c r="AO191" i="15"/>
  <c r="AL191" i="15"/>
  <c r="AM193" i="15"/>
  <c r="AO194" i="15"/>
  <c r="AL194" i="15"/>
  <c r="AM196" i="15"/>
  <c r="AO197" i="15"/>
  <c r="AL197" i="15"/>
  <c r="AM199" i="15"/>
  <c r="AN115" i="15"/>
  <c r="AM116" i="15"/>
  <c r="AM119" i="15"/>
  <c r="AO120" i="15"/>
  <c r="AN121" i="15"/>
  <c r="AM122" i="15"/>
  <c r="AN124" i="15"/>
  <c r="AM125" i="15"/>
  <c r="AO126" i="15"/>
  <c r="AN127" i="15"/>
  <c r="AM128" i="15"/>
  <c r="AM131" i="15"/>
  <c r="AO132" i="15"/>
  <c r="AN133" i="15"/>
  <c r="AM134" i="15"/>
  <c r="AL143" i="15"/>
  <c r="C190" i="15"/>
  <c r="C196" i="15"/>
  <c r="AM114" i="15"/>
  <c r="AM115" i="15"/>
  <c r="AO116" i="15"/>
  <c r="AM118" i="15"/>
  <c r="AN120" i="15"/>
  <c r="AM121" i="15"/>
  <c r="AO122" i="15"/>
  <c r="AN123" i="15"/>
  <c r="AM124" i="15"/>
  <c r="AN126" i="15"/>
  <c r="AM127" i="15"/>
  <c r="AO128" i="15"/>
  <c r="AN129" i="15"/>
  <c r="AM130" i="15"/>
  <c r="AM133" i="15"/>
  <c r="AO134" i="15"/>
  <c r="AQ136" i="15"/>
  <c r="AS6" i="15" s="1"/>
  <c r="AM137" i="15"/>
  <c r="AQ139" i="15"/>
  <c r="AS9" i="15" s="1"/>
  <c r="AM140" i="15"/>
  <c r="AM143" i="15"/>
  <c r="AM146" i="15"/>
  <c r="AM149" i="15"/>
  <c r="AM152" i="15"/>
  <c r="AM155" i="15"/>
  <c r="AM158" i="15"/>
  <c r="AM161" i="15"/>
  <c r="AM164" i="15"/>
  <c r="AM167" i="15"/>
  <c r="AM170" i="15"/>
  <c r="AM173" i="15"/>
  <c r="AM176" i="15"/>
  <c r="AM179" i="15"/>
  <c r="AM182" i="15"/>
  <c r="AM185" i="15"/>
  <c r="AM188" i="15"/>
  <c r="AM191" i="15"/>
  <c r="AO192" i="15"/>
  <c r="AL192" i="15"/>
  <c r="AM194" i="15"/>
  <c r="AM197" i="15"/>
  <c r="AO198" i="15"/>
  <c r="AL198" i="15"/>
  <c r="AQ73" i="15" l="1"/>
  <c r="AR8" i="15" s="1"/>
  <c r="AQ143" i="15"/>
  <c r="AS14" i="15" s="1"/>
  <c r="AQ140" i="15"/>
  <c r="AS10" i="15" s="1"/>
  <c r="AQ137" i="15"/>
  <c r="AS7" i="15" s="1"/>
  <c r="AR13" i="15"/>
  <c r="AR14" i="15"/>
  <c r="B136" i="15"/>
  <c r="B71" i="15"/>
  <c r="AS13" i="15" l="1"/>
  <c r="AJ199" i="14" l="1"/>
  <c r="AQ199" i="14" s="1"/>
  <c r="AI199" i="14"/>
  <c r="AH199" i="14"/>
  <c r="AG199" i="14"/>
  <c r="AF199" i="14"/>
  <c r="AE199" i="14"/>
  <c r="AD199" i="14"/>
  <c r="AC199" i="14"/>
  <c r="AB199" i="14"/>
  <c r="AL199" i="14" s="1"/>
  <c r="AA199" i="14"/>
  <c r="Z199" i="14"/>
  <c r="Y199" i="14"/>
  <c r="X199" i="14"/>
  <c r="W199" i="14"/>
  <c r="V199" i="14"/>
  <c r="U199" i="14"/>
  <c r="T199" i="14"/>
  <c r="S199" i="14"/>
  <c r="R199" i="14"/>
  <c r="Q199" i="14"/>
  <c r="P199" i="14"/>
  <c r="O199" i="14"/>
  <c r="N199" i="14"/>
  <c r="M199" i="14"/>
  <c r="L199" i="14"/>
  <c r="AN199" i="14" s="1"/>
  <c r="K199" i="14"/>
  <c r="J199" i="14"/>
  <c r="I199" i="14"/>
  <c r="H199" i="14"/>
  <c r="G199" i="14"/>
  <c r="F199" i="14"/>
  <c r="E199" i="14"/>
  <c r="D199" i="14"/>
  <c r="AO199" i="14" s="1"/>
  <c r="AN198" i="14"/>
  <c r="AJ198" i="14"/>
  <c r="AQ198" i="14" s="1"/>
  <c r="AI198" i="14"/>
  <c r="AH198" i="14"/>
  <c r="AG198" i="14"/>
  <c r="AF198" i="14"/>
  <c r="AE198" i="14"/>
  <c r="AD198" i="14"/>
  <c r="AC198" i="14"/>
  <c r="AL198" i="14" s="1"/>
  <c r="AB198" i="14"/>
  <c r="AA198" i="14"/>
  <c r="Z198" i="14"/>
  <c r="Y198" i="14"/>
  <c r="X198" i="14"/>
  <c r="W198" i="14"/>
  <c r="V198" i="14"/>
  <c r="U198" i="14"/>
  <c r="T198" i="14"/>
  <c r="AM198" i="14" s="1"/>
  <c r="S198" i="14"/>
  <c r="R198" i="14"/>
  <c r="Q198" i="14"/>
  <c r="P198" i="14"/>
  <c r="O198" i="14"/>
  <c r="N198" i="14"/>
  <c r="M198" i="14"/>
  <c r="L198" i="14"/>
  <c r="K198" i="14"/>
  <c r="J198" i="14"/>
  <c r="I198" i="14"/>
  <c r="H198" i="14"/>
  <c r="G198" i="14"/>
  <c r="F198" i="14"/>
  <c r="E198" i="14"/>
  <c r="D198" i="14"/>
  <c r="AO198" i="14" s="1"/>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AN197" i="14" s="1"/>
  <c r="K197" i="14"/>
  <c r="J197" i="14"/>
  <c r="I197" i="14"/>
  <c r="H197" i="14"/>
  <c r="G197" i="14"/>
  <c r="F197" i="14"/>
  <c r="E197" i="14"/>
  <c r="D197" i="14"/>
  <c r="AN196"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O196" i="14" s="1"/>
  <c r="AJ195" i="14"/>
  <c r="AQ195" i="14" s="1"/>
  <c r="AI195" i="14"/>
  <c r="AH195" i="14"/>
  <c r="AG195" i="14"/>
  <c r="AF195" i="14"/>
  <c r="AE195" i="14"/>
  <c r="AD195" i="14"/>
  <c r="AC195" i="14"/>
  <c r="AB195" i="14"/>
  <c r="AL195" i="14" s="1"/>
  <c r="AA195" i="14"/>
  <c r="Z195" i="14"/>
  <c r="Y195" i="14"/>
  <c r="X195" i="14"/>
  <c r="W195" i="14"/>
  <c r="V195" i="14"/>
  <c r="U195" i="14"/>
  <c r="T195" i="14"/>
  <c r="AM195" i="14" s="1"/>
  <c r="S195" i="14"/>
  <c r="R195" i="14"/>
  <c r="Q195" i="14"/>
  <c r="P195" i="14"/>
  <c r="O195" i="14"/>
  <c r="N195" i="14"/>
  <c r="M195" i="14"/>
  <c r="L195" i="14"/>
  <c r="AN195" i="14" s="1"/>
  <c r="K195" i="14"/>
  <c r="J195" i="14"/>
  <c r="I195" i="14"/>
  <c r="H195" i="14"/>
  <c r="G195" i="14"/>
  <c r="F195" i="14"/>
  <c r="E195" i="14"/>
  <c r="D195" i="14"/>
  <c r="AO195" i="14" s="1"/>
  <c r="AJ194" i="14"/>
  <c r="AQ194" i="14" s="1"/>
  <c r="AI194" i="14"/>
  <c r="AH194" i="14"/>
  <c r="AG194" i="14"/>
  <c r="AF194" i="14"/>
  <c r="AE194" i="14"/>
  <c r="AD194" i="14"/>
  <c r="AC194" i="14"/>
  <c r="AB194" i="14"/>
  <c r="AA194" i="14"/>
  <c r="Z194" i="14"/>
  <c r="Y194" i="14"/>
  <c r="X194" i="14"/>
  <c r="W194" i="14"/>
  <c r="V194" i="14"/>
  <c r="U194" i="14"/>
  <c r="T194" i="14"/>
  <c r="S194" i="14"/>
  <c r="R194" i="14"/>
  <c r="Q194" i="14"/>
  <c r="P194" i="14"/>
  <c r="O194" i="14"/>
  <c r="AN194" i="14" s="1"/>
  <c r="N194" i="14"/>
  <c r="M194" i="14"/>
  <c r="L194" i="14"/>
  <c r="K194" i="14"/>
  <c r="J194" i="14"/>
  <c r="I194" i="14"/>
  <c r="H194" i="14"/>
  <c r="G194" i="14"/>
  <c r="F194" i="14"/>
  <c r="E194" i="14"/>
  <c r="D194" i="14"/>
  <c r="C194" i="14"/>
  <c r="AJ193" i="14"/>
  <c r="AQ193" i="14" s="1"/>
  <c r="AI193" i="14"/>
  <c r="AH193" i="14"/>
  <c r="AG193" i="14"/>
  <c r="AF193" i="14"/>
  <c r="AE193" i="14"/>
  <c r="AD193" i="14"/>
  <c r="AC193" i="14"/>
  <c r="AB193" i="14"/>
  <c r="AL193" i="14" s="1"/>
  <c r="AA193" i="14"/>
  <c r="Z193" i="14"/>
  <c r="Y193" i="14"/>
  <c r="X193" i="14"/>
  <c r="W193" i="14"/>
  <c r="V193" i="14"/>
  <c r="U193" i="14"/>
  <c r="T193" i="14"/>
  <c r="S193" i="14"/>
  <c r="R193" i="14"/>
  <c r="Q193" i="14"/>
  <c r="P193" i="14"/>
  <c r="O193" i="14"/>
  <c r="N193" i="14"/>
  <c r="M193" i="14"/>
  <c r="L193" i="14"/>
  <c r="AN193" i="14" s="1"/>
  <c r="K193" i="14"/>
  <c r="J193" i="14"/>
  <c r="I193" i="14"/>
  <c r="H193" i="14"/>
  <c r="G193" i="14"/>
  <c r="F193" i="14"/>
  <c r="E193" i="14"/>
  <c r="D193" i="14"/>
  <c r="AO193" i="14" s="1"/>
  <c r="AN192" i="14"/>
  <c r="AJ192" i="14"/>
  <c r="AQ192" i="14" s="1"/>
  <c r="AI192" i="14"/>
  <c r="AH192" i="14"/>
  <c r="AG192" i="14"/>
  <c r="AF192" i="14"/>
  <c r="AE192" i="14"/>
  <c r="AD192" i="14"/>
  <c r="AC192" i="14"/>
  <c r="AL192" i="14" s="1"/>
  <c r="AB192" i="14"/>
  <c r="AA192" i="14"/>
  <c r="Z192" i="14"/>
  <c r="Y192" i="14"/>
  <c r="X192" i="14"/>
  <c r="W192" i="14"/>
  <c r="V192" i="14"/>
  <c r="U192" i="14"/>
  <c r="T192" i="14"/>
  <c r="AM192" i="14" s="1"/>
  <c r="S192" i="14"/>
  <c r="R192" i="14"/>
  <c r="Q192" i="14"/>
  <c r="P192" i="14"/>
  <c r="O192" i="14"/>
  <c r="N192" i="14"/>
  <c r="M192" i="14"/>
  <c r="L192" i="14"/>
  <c r="K192" i="14"/>
  <c r="J192" i="14"/>
  <c r="I192" i="14"/>
  <c r="H192" i="14"/>
  <c r="G192" i="14"/>
  <c r="F192" i="14"/>
  <c r="E192" i="14"/>
  <c r="D192" i="14"/>
  <c r="AO192" i="14" s="1"/>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AN191" i="14" s="1"/>
  <c r="K191" i="14"/>
  <c r="J191" i="14"/>
  <c r="I191" i="14"/>
  <c r="H191" i="14"/>
  <c r="G191" i="14"/>
  <c r="F191" i="14"/>
  <c r="E191" i="14"/>
  <c r="D191" i="14"/>
  <c r="AN190" i="14"/>
  <c r="AJ190" i="14"/>
  <c r="AQ190" i="14" s="1"/>
  <c r="AI190" i="14"/>
  <c r="AH190" i="14"/>
  <c r="AG190" i="14"/>
  <c r="AF190" i="14"/>
  <c r="AE190" i="14"/>
  <c r="AD190" i="14"/>
  <c r="AC190" i="14"/>
  <c r="AB190" i="14"/>
  <c r="AL190" i="14" s="1"/>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O190" i="14" s="1"/>
  <c r="AJ189" i="14"/>
  <c r="AQ189" i="14" s="1"/>
  <c r="AI189" i="14"/>
  <c r="AH189" i="14"/>
  <c r="AG189" i="14"/>
  <c r="AF189" i="14"/>
  <c r="AE189" i="14"/>
  <c r="AD189" i="14"/>
  <c r="AC189" i="14"/>
  <c r="AB189" i="14"/>
  <c r="AL189" i="14" s="1"/>
  <c r="AA189" i="14"/>
  <c r="Z189" i="14"/>
  <c r="Y189" i="14"/>
  <c r="X189" i="14"/>
  <c r="W189" i="14"/>
  <c r="V189" i="14"/>
  <c r="U189" i="14"/>
  <c r="T189" i="14"/>
  <c r="AM189" i="14" s="1"/>
  <c r="S189" i="14"/>
  <c r="R189" i="14"/>
  <c r="Q189" i="14"/>
  <c r="P189" i="14"/>
  <c r="O189" i="14"/>
  <c r="N189" i="14"/>
  <c r="M189" i="14"/>
  <c r="L189" i="14"/>
  <c r="AN189" i="14" s="1"/>
  <c r="K189" i="14"/>
  <c r="J189" i="14"/>
  <c r="I189" i="14"/>
  <c r="H189" i="14"/>
  <c r="G189" i="14"/>
  <c r="F189" i="14"/>
  <c r="E189" i="14"/>
  <c r="D189" i="14"/>
  <c r="AO189" i="14" s="1"/>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AN188" i="14" s="1"/>
  <c r="N188" i="14"/>
  <c r="M188" i="14"/>
  <c r="L188" i="14"/>
  <c r="K188" i="14"/>
  <c r="J188" i="14"/>
  <c r="I188" i="14"/>
  <c r="H188" i="14"/>
  <c r="G188" i="14"/>
  <c r="F188" i="14"/>
  <c r="E188" i="14"/>
  <c r="D188" i="14"/>
  <c r="C188" i="14"/>
  <c r="AJ187" i="14"/>
  <c r="AQ187" i="14" s="1"/>
  <c r="AI187" i="14"/>
  <c r="AH187" i="14"/>
  <c r="AG187" i="14"/>
  <c r="AF187" i="14"/>
  <c r="AE187" i="14"/>
  <c r="AD187" i="14"/>
  <c r="AC187" i="14"/>
  <c r="AB187" i="14"/>
  <c r="AL187" i="14" s="1"/>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O187" i="14" s="1"/>
  <c r="AN186" i="14"/>
  <c r="AJ186" i="14"/>
  <c r="AQ186" i="14" s="1"/>
  <c r="AI186" i="14"/>
  <c r="AH186" i="14"/>
  <c r="AG186" i="14"/>
  <c r="AF186" i="14"/>
  <c r="AE186" i="14"/>
  <c r="AD186" i="14"/>
  <c r="AC186" i="14"/>
  <c r="AB186" i="14"/>
  <c r="AL186" i="14" s="1"/>
  <c r="AA186" i="14"/>
  <c r="Z186" i="14"/>
  <c r="Y186" i="14"/>
  <c r="X186" i="14"/>
  <c r="W186" i="14"/>
  <c r="V186" i="14"/>
  <c r="U186" i="14"/>
  <c r="T186" i="14"/>
  <c r="AM186" i="14" s="1"/>
  <c r="S186" i="14"/>
  <c r="R186" i="14"/>
  <c r="Q186" i="14"/>
  <c r="P186" i="14"/>
  <c r="O186" i="14"/>
  <c r="N186" i="14"/>
  <c r="M186" i="14"/>
  <c r="L186" i="14"/>
  <c r="K186" i="14"/>
  <c r="J186" i="14"/>
  <c r="I186" i="14"/>
  <c r="H186" i="14"/>
  <c r="G186" i="14"/>
  <c r="F186" i="14"/>
  <c r="E186" i="14"/>
  <c r="D186" i="14"/>
  <c r="AO186" i="14" s="1"/>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AN185" i="14" s="1"/>
  <c r="K185" i="14"/>
  <c r="J185" i="14"/>
  <c r="I185" i="14"/>
  <c r="H185" i="14"/>
  <c r="G185" i="14"/>
  <c r="F185" i="14"/>
  <c r="E185" i="14"/>
  <c r="D185" i="14"/>
  <c r="AN184" i="14"/>
  <c r="AJ184" i="14"/>
  <c r="AQ184" i="14" s="1"/>
  <c r="AI184" i="14"/>
  <c r="AH184" i="14"/>
  <c r="AG184" i="14"/>
  <c r="AF184" i="14"/>
  <c r="AE184" i="14"/>
  <c r="AD184" i="14"/>
  <c r="AC184" i="14"/>
  <c r="AB184" i="14"/>
  <c r="AL184" i="14" s="1"/>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O184" i="14" s="1"/>
  <c r="AJ183" i="14"/>
  <c r="AQ183" i="14" s="1"/>
  <c r="AI183" i="14"/>
  <c r="AH183" i="14"/>
  <c r="AG183" i="14"/>
  <c r="AF183" i="14"/>
  <c r="AE183" i="14"/>
  <c r="AD183" i="14"/>
  <c r="AC183" i="14"/>
  <c r="AB183" i="14"/>
  <c r="AL183" i="14" s="1"/>
  <c r="AA183" i="14"/>
  <c r="Z183" i="14"/>
  <c r="Y183" i="14"/>
  <c r="X183" i="14"/>
  <c r="W183" i="14"/>
  <c r="V183" i="14"/>
  <c r="U183" i="14"/>
  <c r="T183" i="14"/>
  <c r="AM183" i="14" s="1"/>
  <c r="S183" i="14"/>
  <c r="R183" i="14"/>
  <c r="Q183" i="14"/>
  <c r="P183" i="14"/>
  <c r="O183" i="14"/>
  <c r="N183" i="14"/>
  <c r="M183" i="14"/>
  <c r="L183" i="14"/>
  <c r="AN183" i="14" s="1"/>
  <c r="K183" i="14"/>
  <c r="J183" i="14"/>
  <c r="I183" i="14"/>
  <c r="H183" i="14"/>
  <c r="G183" i="14"/>
  <c r="F183" i="14"/>
  <c r="E183" i="14"/>
  <c r="D183" i="14"/>
  <c r="AO183" i="14" s="1"/>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AN182" i="14" s="1"/>
  <c r="N182" i="14"/>
  <c r="M182" i="14"/>
  <c r="L182" i="14"/>
  <c r="K182" i="14"/>
  <c r="J182" i="14"/>
  <c r="I182" i="14"/>
  <c r="H182" i="14"/>
  <c r="G182" i="14"/>
  <c r="F182" i="14"/>
  <c r="E182" i="14"/>
  <c r="D182" i="14"/>
  <c r="C182" i="14"/>
  <c r="AJ181" i="14"/>
  <c r="AQ181" i="14" s="1"/>
  <c r="AI181" i="14"/>
  <c r="AH181" i="14"/>
  <c r="AG181" i="14"/>
  <c r="AF181" i="14"/>
  <c r="AE181" i="14"/>
  <c r="AD181" i="14"/>
  <c r="AC181" i="14"/>
  <c r="AB181" i="14"/>
  <c r="AL181" i="14" s="1"/>
  <c r="AA181" i="14"/>
  <c r="Z181" i="14"/>
  <c r="Y181" i="14"/>
  <c r="X181" i="14"/>
  <c r="W181" i="14"/>
  <c r="V181" i="14"/>
  <c r="U181" i="14"/>
  <c r="T181" i="14"/>
  <c r="S181" i="14"/>
  <c r="R181" i="14"/>
  <c r="Q181" i="14"/>
  <c r="P181" i="14"/>
  <c r="O181" i="14"/>
  <c r="N181" i="14"/>
  <c r="M181" i="14"/>
  <c r="L181" i="14"/>
  <c r="AN181" i="14" s="1"/>
  <c r="K181" i="14"/>
  <c r="J181" i="14"/>
  <c r="I181" i="14"/>
  <c r="H181" i="14"/>
  <c r="G181" i="14"/>
  <c r="F181" i="14"/>
  <c r="E181" i="14"/>
  <c r="D181" i="14"/>
  <c r="AO181" i="14" s="1"/>
  <c r="AN180" i="14"/>
  <c r="AJ180" i="14"/>
  <c r="AQ180" i="14" s="1"/>
  <c r="AI180" i="14"/>
  <c r="AH180" i="14"/>
  <c r="AG180" i="14"/>
  <c r="AF180" i="14"/>
  <c r="AE180" i="14"/>
  <c r="AD180" i="14"/>
  <c r="AC180" i="14"/>
  <c r="AB180" i="14"/>
  <c r="AL180" i="14" s="1"/>
  <c r="AA180" i="14"/>
  <c r="Z180" i="14"/>
  <c r="Y180" i="14"/>
  <c r="X180" i="14"/>
  <c r="W180" i="14"/>
  <c r="V180" i="14"/>
  <c r="U180" i="14"/>
  <c r="T180" i="14"/>
  <c r="AM180" i="14" s="1"/>
  <c r="S180" i="14"/>
  <c r="R180" i="14"/>
  <c r="Q180" i="14"/>
  <c r="P180" i="14"/>
  <c r="O180" i="14"/>
  <c r="N180" i="14"/>
  <c r="M180" i="14"/>
  <c r="L180" i="14"/>
  <c r="K180" i="14"/>
  <c r="J180" i="14"/>
  <c r="I180" i="14"/>
  <c r="H180" i="14"/>
  <c r="G180" i="14"/>
  <c r="F180" i="14"/>
  <c r="E180" i="14"/>
  <c r="D180" i="14"/>
  <c r="AO180" i="14" s="1"/>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AN179" i="14" s="1"/>
  <c r="K179" i="14"/>
  <c r="J179" i="14"/>
  <c r="I179" i="14"/>
  <c r="H179" i="14"/>
  <c r="G179" i="14"/>
  <c r="F179" i="14"/>
  <c r="E179" i="14"/>
  <c r="D179" i="14"/>
  <c r="AN178" i="14"/>
  <c r="AJ178" i="14"/>
  <c r="AQ178" i="14" s="1"/>
  <c r="AI178" i="14"/>
  <c r="AH178" i="14"/>
  <c r="AG178" i="14"/>
  <c r="AF178" i="14"/>
  <c r="AE178" i="14"/>
  <c r="AD178" i="14"/>
  <c r="AC178" i="14"/>
  <c r="AB178" i="14"/>
  <c r="AL178" i="14" s="1"/>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O178" i="14" s="1"/>
  <c r="AJ177" i="14"/>
  <c r="AQ177" i="14" s="1"/>
  <c r="AI177" i="14"/>
  <c r="AH177" i="14"/>
  <c r="AG177" i="14"/>
  <c r="AF177" i="14"/>
  <c r="AE177" i="14"/>
  <c r="AD177" i="14"/>
  <c r="AC177" i="14"/>
  <c r="AB177" i="14"/>
  <c r="AL177" i="14" s="1"/>
  <c r="AA177" i="14"/>
  <c r="Z177" i="14"/>
  <c r="Y177" i="14"/>
  <c r="X177" i="14"/>
  <c r="W177" i="14"/>
  <c r="V177" i="14"/>
  <c r="U177" i="14"/>
  <c r="T177" i="14"/>
  <c r="AM177" i="14" s="1"/>
  <c r="S177" i="14"/>
  <c r="R177" i="14"/>
  <c r="Q177" i="14"/>
  <c r="P177" i="14"/>
  <c r="O177" i="14"/>
  <c r="N177" i="14"/>
  <c r="M177" i="14"/>
  <c r="L177" i="14"/>
  <c r="AN177" i="14" s="1"/>
  <c r="K177" i="14"/>
  <c r="J177" i="14"/>
  <c r="I177" i="14"/>
  <c r="H177" i="14"/>
  <c r="G177" i="14"/>
  <c r="F177" i="14"/>
  <c r="E177" i="14"/>
  <c r="D177" i="14"/>
  <c r="AO177" i="14" s="1"/>
  <c r="AJ176" i="14"/>
  <c r="AQ176" i="14" s="1"/>
  <c r="AI176" i="14"/>
  <c r="AH176" i="14"/>
  <c r="AG176" i="14"/>
  <c r="AF176" i="14"/>
  <c r="AE176" i="14"/>
  <c r="AD176" i="14"/>
  <c r="AC176" i="14"/>
  <c r="AB176" i="14"/>
  <c r="AA176" i="14"/>
  <c r="Z176" i="14"/>
  <c r="Y176" i="14"/>
  <c r="X176" i="14"/>
  <c r="W176" i="14"/>
  <c r="V176" i="14"/>
  <c r="U176" i="14"/>
  <c r="T176" i="14"/>
  <c r="S176" i="14"/>
  <c r="R176" i="14"/>
  <c r="Q176" i="14"/>
  <c r="P176" i="14"/>
  <c r="O176" i="14"/>
  <c r="AN176" i="14" s="1"/>
  <c r="N176" i="14"/>
  <c r="M176" i="14"/>
  <c r="L176" i="14"/>
  <c r="K176" i="14"/>
  <c r="J176" i="14"/>
  <c r="I176" i="14"/>
  <c r="H176" i="14"/>
  <c r="G176" i="14"/>
  <c r="F176" i="14"/>
  <c r="E176" i="14"/>
  <c r="D176" i="14"/>
  <c r="C176" i="14"/>
  <c r="AJ175" i="14"/>
  <c r="AQ175" i="14" s="1"/>
  <c r="AI175" i="14"/>
  <c r="AH175" i="14"/>
  <c r="AG175" i="14"/>
  <c r="AF175" i="14"/>
  <c r="AE175" i="14"/>
  <c r="AD175" i="14"/>
  <c r="AC175" i="14"/>
  <c r="AB175" i="14"/>
  <c r="AL175" i="14" s="1"/>
  <c r="AA175" i="14"/>
  <c r="Z175" i="14"/>
  <c r="Y175" i="14"/>
  <c r="X175" i="14"/>
  <c r="W175" i="14"/>
  <c r="V175" i="14"/>
  <c r="U175" i="14"/>
  <c r="T175" i="14"/>
  <c r="S175" i="14"/>
  <c r="R175" i="14"/>
  <c r="Q175" i="14"/>
  <c r="P175" i="14"/>
  <c r="O175" i="14"/>
  <c r="N175" i="14"/>
  <c r="M175" i="14"/>
  <c r="L175" i="14"/>
  <c r="AN175" i="14" s="1"/>
  <c r="K175" i="14"/>
  <c r="J175" i="14"/>
  <c r="I175" i="14"/>
  <c r="H175" i="14"/>
  <c r="G175" i="14"/>
  <c r="F175" i="14"/>
  <c r="E175" i="14"/>
  <c r="D175" i="14"/>
  <c r="AO175" i="14" s="1"/>
  <c r="AN174" i="14"/>
  <c r="AJ174" i="14"/>
  <c r="AQ174" i="14" s="1"/>
  <c r="AI174" i="14"/>
  <c r="AH174" i="14"/>
  <c r="AG174" i="14"/>
  <c r="AF174" i="14"/>
  <c r="AE174" i="14"/>
  <c r="AD174" i="14"/>
  <c r="AC174" i="14"/>
  <c r="AB174" i="14"/>
  <c r="AL174" i="14" s="1"/>
  <c r="AA174" i="14"/>
  <c r="Z174" i="14"/>
  <c r="Y174" i="14"/>
  <c r="X174" i="14"/>
  <c r="W174" i="14"/>
  <c r="V174" i="14"/>
  <c r="U174" i="14"/>
  <c r="T174" i="14"/>
  <c r="AM174" i="14" s="1"/>
  <c r="S174" i="14"/>
  <c r="R174" i="14"/>
  <c r="Q174" i="14"/>
  <c r="P174" i="14"/>
  <c r="O174" i="14"/>
  <c r="N174" i="14"/>
  <c r="M174" i="14"/>
  <c r="L174" i="14"/>
  <c r="K174" i="14"/>
  <c r="J174" i="14"/>
  <c r="I174" i="14"/>
  <c r="H174" i="14"/>
  <c r="G174" i="14"/>
  <c r="F174" i="14"/>
  <c r="E174" i="14"/>
  <c r="D174" i="14"/>
  <c r="AO174" i="14" s="1"/>
  <c r="AJ173" i="14"/>
  <c r="AQ173" i="14" s="1"/>
  <c r="AI173" i="14"/>
  <c r="AH173" i="14"/>
  <c r="AG173" i="14"/>
  <c r="AF173" i="14"/>
  <c r="AE173" i="14"/>
  <c r="AD173" i="14"/>
  <c r="AL173" i="14" s="1"/>
  <c r="AC173" i="14"/>
  <c r="AB173" i="14"/>
  <c r="AA173" i="14"/>
  <c r="Z173" i="14"/>
  <c r="Y173" i="14"/>
  <c r="X173" i="14"/>
  <c r="W173" i="14"/>
  <c r="V173" i="14"/>
  <c r="U173" i="14"/>
  <c r="T173" i="14"/>
  <c r="S173" i="14"/>
  <c r="R173" i="14"/>
  <c r="Q173" i="14"/>
  <c r="P173" i="14"/>
  <c r="O173" i="14"/>
  <c r="N173" i="14"/>
  <c r="M173" i="14"/>
  <c r="L173" i="14"/>
  <c r="AN173" i="14" s="1"/>
  <c r="K173" i="14"/>
  <c r="J173" i="14"/>
  <c r="I173" i="14"/>
  <c r="H173" i="14"/>
  <c r="G173" i="14"/>
  <c r="F173" i="14"/>
  <c r="E173" i="14"/>
  <c r="D173" i="14"/>
  <c r="AN172" i="14"/>
  <c r="AJ172" i="14"/>
  <c r="AQ172" i="14" s="1"/>
  <c r="AI172" i="14"/>
  <c r="AH172" i="14"/>
  <c r="AG172" i="14"/>
  <c r="AF172" i="14"/>
  <c r="AE172" i="14"/>
  <c r="AD172" i="14"/>
  <c r="AC172" i="14"/>
  <c r="AB172" i="14"/>
  <c r="AL172" i="14" s="1"/>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O172" i="14" s="1"/>
  <c r="AJ171" i="14"/>
  <c r="AQ171" i="14" s="1"/>
  <c r="AI171" i="14"/>
  <c r="AH171" i="14"/>
  <c r="AG171" i="14"/>
  <c r="AF171" i="14"/>
  <c r="AE171" i="14"/>
  <c r="AD171" i="14"/>
  <c r="AC171" i="14"/>
  <c r="AB171" i="14"/>
  <c r="AL171" i="14" s="1"/>
  <c r="AA171" i="14"/>
  <c r="Z171" i="14"/>
  <c r="Y171" i="14"/>
  <c r="X171" i="14"/>
  <c r="W171" i="14"/>
  <c r="V171" i="14"/>
  <c r="U171" i="14"/>
  <c r="T171" i="14"/>
  <c r="AM171" i="14" s="1"/>
  <c r="S171" i="14"/>
  <c r="R171" i="14"/>
  <c r="Q171" i="14"/>
  <c r="P171" i="14"/>
  <c r="O171" i="14"/>
  <c r="N171" i="14"/>
  <c r="M171" i="14"/>
  <c r="L171" i="14"/>
  <c r="AN171" i="14" s="1"/>
  <c r="K171" i="14"/>
  <c r="J171" i="14"/>
  <c r="I171" i="14"/>
  <c r="H171" i="14"/>
  <c r="G171" i="14"/>
  <c r="F171" i="14"/>
  <c r="E171" i="14"/>
  <c r="D171" i="14"/>
  <c r="AO171" i="14" s="1"/>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AN170" i="14" s="1"/>
  <c r="N170" i="14"/>
  <c r="M170" i="14"/>
  <c r="L170" i="14"/>
  <c r="K170" i="14"/>
  <c r="J170" i="14"/>
  <c r="I170" i="14"/>
  <c r="H170" i="14"/>
  <c r="G170" i="14"/>
  <c r="F170" i="14"/>
  <c r="E170" i="14"/>
  <c r="D170" i="14"/>
  <c r="C170" i="14"/>
  <c r="AJ169" i="14"/>
  <c r="AQ169" i="14" s="1"/>
  <c r="AI169" i="14"/>
  <c r="AH169" i="14"/>
  <c r="AG169" i="14"/>
  <c r="AF169" i="14"/>
  <c r="AE169" i="14"/>
  <c r="AD169" i="14"/>
  <c r="AL169" i="14" s="1"/>
  <c r="AC169" i="14"/>
  <c r="AB169" i="14"/>
  <c r="AA169" i="14"/>
  <c r="Z169" i="14"/>
  <c r="Y169" i="14"/>
  <c r="X169" i="14"/>
  <c r="W169" i="14"/>
  <c r="V169" i="14"/>
  <c r="U169" i="14"/>
  <c r="T169" i="14"/>
  <c r="S169" i="14"/>
  <c r="R169" i="14"/>
  <c r="Q169" i="14"/>
  <c r="P169" i="14"/>
  <c r="O169" i="14"/>
  <c r="N169" i="14"/>
  <c r="M169" i="14"/>
  <c r="L169" i="14"/>
  <c r="AN169" i="14" s="1"/>
  <c r="K169" i="14"/>
  <c r="J169" i="14"/>
  <c r="I169" i="14"/>
  <c r="H169" i="14"/>
  <c r="G169" i="14"/>
  <c r="F169" i="14"/>
  <c r="E169" i="14"/>
  <c r="D169" i="14"/>
  <c r="AO169" i="14" s="1"/>
  <c r="AN168" i="14"/>
  <c r="AJ168" i="14"/>
  <c r="AQ168" i="14" s="1"/>
  <c r="AI168" i="14"/>
  <c r="AH168" i="14"/>
  <c r="AG168" i="14"/>
  <c r="AF168" i="14"/>
  <c r="AE168" i="14"/>
  <c r="AD168" i="14"/>
  <c r="AC168" i="14"/>
  <c r="AB168" i="14"/>
  <c r="AL168" i="14" s="1"/>
  <c r="AA168" i="14"/>
  <c r="Z168" i="14"/>
  <c r="Y168" i="14"/>
  <c r="X168" i="14"/>
  <c r="W168" i="14"/>
  <c r="V168" i="14"/>
  <c r="U168" i="14"/>
  <c r="T168" i="14"/>
  <c r="AM168" i="14" s="1"/>
  <c r="S168" i="14"/>
  <c r="R168" i="14"/>
  <c r="Q168" i="14"/>
  <c r="P168" i="14"/>
  <c r="O168" i="14"/>
  <c r="N168" i="14"/>
  <c r="M168" i="14"/>
  <c r="L168" i="14"/>
  <c r="K168" i="14"/>
  <c r="J168" i="14"/>
  <c r="I168" i="14"/>
  <c r="H168" i="14"/>
  <c r="G168" i="14"/>
  <c r="F168" i="14"/>
  <c r="E168" i="14"/>
  <c r="D168" i="14"/>
  <c r="AO168" i="14" s="1"/>
  <c r="AJ167" i="14"/>
  <c r="AQ167" i="14" s="1"/>
  <c r="AS38" i="14" s="1"/>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AN167" i="14" s="1"/>
  <c r="K167" i="14"/>
  <c r="J167" i="14"/>
  <c r="I167" i="14"/>
  <c r="H167" i="14"/>
  <c r="G167" i="14"/>
  <c r="F167" i="14"/>
  <c r="E167" i="14"/>
  <c r="D167" i="14"/>
  <c r="AN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O166" i="14" s="1"/>
  <c r="AJ165" i="14"/>
  <c r="AQ165" i="14" s="1"/>
  <c r="AS35" i="14" s="1"/>
  <c r="AI165" i="14"/>
  <c r="AH165" i="14"/>
  <c r="AG165" i="14"/>
  <c r="AF165" i="14"/>
  <c r="AE165" i="14"/>
  <c r="AD165" i="14"/>
  <c r="AC165" i="14"/>
  <c r="AB165" i="14"/>
  <c r="AA165" i="14"/>
  <c r="Z165" i="14"/>
  <c r="Y165" i="14"/>
  <c r="X165" i="14"/>
  <c r="W165" i="14"/>
  <c r="V165" i="14"/>
  <c r="U165" i="14"/>
  <c r="T165" i="14"/>
  <c r="AM165" i="14" s="1"/>
  <c r="S165" i="14"/>
  <c r="R165" i="14"/>
  <c r="Q165" i="14"/>
  <c r="P165" i="14"/>
  <c r="O165" i="14"/>
  <c r="N165" i="14"/>
  <c r="M165" i="14"/>
  <c r="L165" i="14"/>
  <c r="AN165" i="14" s="1"/>
  <c r="K165" i="14"/>
  <c r="J165" i="14"/>
  <c r="I165" i="14"/>
  <c r="H165" i="14"/>
  <c r="G165" i="14"/>
  <c r="F165" i="14"/>
  <c r="E165" i="14"/>
  <c r="D165" i="14"/>
  <c r="AO165" i="14" s="1"/>
  <c r="AJ164" i="14"/>
  <c r="AI164" i="14"/>
  <c r="AH164" i="14"/>
  <c r="AG164" i="14"/>
  <c r="AF164" i="14"/>
  <c r="AE164" i="14"/>
  <c r="AD164" i="14"/>
  <c r="AC164" i="14"/>
  <c r="AB164" i="14"/>
  <c r="AA164" i="14"/>
  <c r="Z164" i="14"/>
  <c r="Y164" i="14"/>
  <c r="X164" i="14"/>
  <c r="W164" i="14"/>
  <c r="V164" i="14"/>
  <c r="U164" i="14"/>
  <c r="T164" i="14"/>
  <c r="S164" i="14"/>
  <c r="R164" i="14"/>
  <c r="Q164" i="14"/>
  <c r="P164" i="14"/>
  <c r="O164" i="14"/>
  <c r="AN164" i="14" s="1"/>
  <c r="N164" i="14"/>
  <c r="M164" i="14"/>
  <c r="L164" i="14"/>
  <c r="K164" i="14"/>
  <c r="J164" i="14"/>
  <c r="I164" i="14"/>
  <c r="H164" i="14"/>
  <c r="G164" i="14"/>
  <c r="F164" i="14"/>
  <c r="E164" i="14"/>
  <c r="D164" i="14"/>
  <c r="C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AN163" i="14" s="1"/>
  <c r="K163" i="14"/>
  <c r="J163" i="14"/>
  <c r="I163" i="14"/>
  <c r="H163" i="14"/>
  <c r="G163" i="14"/>
  <c r="F163" i="14"/>
  <c r="E163" i="14"/>
  <c r="D163" i="14"/>
  <c r="AO163" i="14" s="1"/>
  <c r="AN162" i="14"/>
  <c r="AJ162" i="14"/>
  <c r="AQ162" i="14" s="1"/>
  <c r="AS32" i="14" s="1"/>
  <c r="AI162" i="14"/>
  <c r="AH162" i="14"/>
  <c r="AG162" i="14"/>
  <c r="AF162" i="14"/>
  <c r="AE162" i="14"/>
  <c r="AD162" i="14"/>
  <c r="AC162" i="14"/>
  <c r="AB162" i="14"/>
  <c r="AA162" i="14"/>
  <c r="Z162" i="14"/>
  <c r="Y162" i="14"/>
  <c r="X162" i="14"/>
  <c r="W162" i="14"/>
  <c r="V162" i="14"/>
  <c r="U162" i="14"/>
  <c r="T162" i="14"/>
  <c r="AM162" i="14" s="1"/>
  <c r="S162" i="14"/>
  <c r="R162" i="14"/>
  <c r="Q162" i="14"/>
  <c r="P162" i="14"/>
  <c r="O162" i="14"/>
  <c r="N162" i="14"/>
  <c r="M162" i="14"/>
  <c r="L162" i="14"/>
  <c r="K162" i="14"/>
  <c r="J162" i="14"/>
  <c r="I162" i="14"/>
  <c r="H162" i="14"/>
  <c r="G162" i="14"/>
  <c r="F162" i="14"/>
  <c r="E162" i="14"/>
  <c r="D162" i="14"/>
  <c r="AO162" i="14" s="1"/>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AN161" i="14" s="1"/>
  <c r="K161" i="14"/>
  <c r="J161" i="14"/>
  <c r="I161" i="14"/>
  <c r="H161" i="14"/>
  <c r="G161" i="14"/>
  <c r="F161" i="14"/>
  <c r="E161" i="14"/>
  <c r="D161" i="14"/>
  <c r="AN160" i="14"/>
  <c r="AJ160" i="14"/>
  <c r="AQ160" i="14" s="1"/>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O160" i="14" s="1"/>
  <c r="AJ159" i="14"/>
  <c r="AI159" i="14"/>
  <c r="AH159" i="14"/>
  <c r="AG159" i="14"/>
  <c r="AF159" i="14"/>
  <c r="AE159" i="14"/>
  <c r="AD159" i="14"/>
  <c r="AC159" i="14"/>
  <c r="AB159" i="14"/>
  <c r="AA159" i="14"/>
  <c r="Z159" i="14"/>
  <c r="Y159" i="14"/>
  <c r="X159" i="14"/>
  <c r="W159" i="14"/>
  <c r="V159" i="14"/>
  <c r="U159" i="14"/>
  <c r="T159" i="14"/>
  <c r="AM159" i="14" s="1"/>
  <c r="S159" i="14"/>
  <c r="R159" i="14"/>
  <c r="Q159" i="14"/>
  <c r="P159" i="14"/>
  <c r="O159" i="14"/>
  <c r="N159" i="14"/>
  <c r="M159" i="14"/>
  <c r="L159" i="14"/>
  <c r="AN159" i="14" s="1"/>
  <c r="K159" i="14"/>
  <c r="J159" i="14"/>
  <c r="I159" i="14"/>
  <c r="H159" i="14"/>
  <c r="G159" i="14"/>
  <c r="F159" i="14"/>
  <c r="E159" i="14"/>
  <c r="D159" i="14"/>
  <c r="AO159" i="14" s="1"/>
  <c r="AJ158" i="14"/>
  <c r="AQ158" i="14" s="1"/>
  <c r="AI158" i="14"/>
  <c r="AH158" i="14"/>
  <c r="AG158" i="14"/>
  <c r="AF158" i="14"/>
  <c r="AE158" i="14"/>
  <c r="AD158" i="14"/>
  <c r="AC158" i="14"/>
  <c r="AB158" i="14"/>
  <c r="AA158" i="14"/>
  <c r="Z158" i="14"/>
  <c r="Y158" i="14"/>
  <c r="X158" i="14"/>
  <c r="W158" i="14"/>
  <c r="V158" i="14"/>
  <c r="U158" i="14"/>
  <c r="T158" i="14"/>
  <c r="S158" i="14"/>
  <c r="R158" i="14"/>
  <c r="Q158" i="14"/>
  <c r="P158" i="14"/>
  <c r="O158" i="14"/>
  <c r="AN158" i="14" s="1"/>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AN157" i="14" s="1"/>
  <c r="K157" i="14"/>
  <c r="J157" i="14"/>
  <c r="I157" i="14"/>
  <c r="H157" i="14"/>
  <c r="G157" i="14"/>
  <c r="F157" i="14"/>
  <c r="E157" i="14"/>
  <c r="D157" i="14"/>
  <c r="AO157" i="14" s="1"/>
  <c r="AN156" i="14"/>
  <c r="AJ156" i="14"/>
  <c r="AI156" i="14"/>
  <c r="AH156" i="14"/>
  <c r="AG156" i="14"/>
  <c r="AF156" i="14"/>
  <c r="AE156" i="14"/>
  <c r="AD156" i="14"/>
  <c r="AC156" i="14"/>
  <c r="AB156" i="14"/>
  <c r="AA156" i="14"/>
  <c r="Z156" i="14"/>
  <c r="Y156" i="14"/>
  <c r="X156" i="14"/>
  <c r="W156" i="14"/>
  <c r="V156" i="14"/>
  <c r="U156" i="14"/>
  <c r="T156" i="14"/>
  <c r="AM156" i="14" s="1"/>
  <c r="S156" i="14"/>
  <c r="R156" i="14"/>
  <c r="Q156" i="14"/>
  <c r="P156" i="14"/>
  <c r="O156" i="14"/>
  <c r="N156" i="14"/>
  <c r="M156" i="14"/>
  <c r="L156" i="14"/>
  <c r="K156" i="14"/>
  <c r="J156" i="14"/>
  <c r="I156" i="14"/>
  <c r="H156" i="14"/>
  <c r="G156" i="14"/>
  <c r="F156" i="14"/>
  <c r="E156" i="14"/>
  <c r="D156" i="14"/>
  <c r="AO156" i="14" s="1"/>
  <c r="AJ155" i="14"/>
  <c r="AQ155" i="14" s="1"/>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AN155" i="14" s="1"/>
  <c r="K155" i="14"/>
  <c r="J155" i="14"/>
  <c r="I155" i="14"/>
  <c r="H155" i="14"/>
  <c r="G155" i="14"/>
  <c r="F155" i="14"/>
  <c r="E155" i="14"/>
  <c r="D155" i="14"/>
  <c r="AN154" i="14"/>
  <c r="AJ154" i="14"/>
  <c r="AQ154" i="14" s="1"/>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O154" i="14" s="1"/>
  <c r="AJ153" i="14"/>
  <c r="AQ153" i="14" s="1"/>
  <c r="AS23" i="14" s="1"/>
  <c r="AI153" i="14"/>
  <c r="AH153" i="14"/>
  <c r="AG153" i="14"/>
  <c r="AF153" i="14"/>
  <c r="AE153" i="14"/>
  <c r="AD153" i="14"/>
  <c r="AC153" i="14"/>
  <c r="AB153" i="14"/>
  <c r="AA153" i="14"/>
  <c r="Z153" i="14"/>
  <c r="Y153" i="14"/>
  <c r="X153" i="14"/>
  <c r="W153" i="14"/>
  <c r="V153" i="14"/>
  <c r="U153" i="14"/>
  <c r="T153" i="14"/>
  <c r="AM153" i="14" s="1"/>
  <c r="S153" i="14"/>
  <c r="R153" i="14"/>
  <c r="Q153" i="14"/>
  <c r="P153" i="14"/>
  <c r="O153" i="14"/>
  <c r="N153" i="14"/>
  <c r="M153" i="14"/>
  <c r="L153" i="14"/>
  <c r="AN153" i="14" s="1"/>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S152" i="14"/>
  <c r="R152" i="14"/>
  <c r="Q152" i="14"/>
  <c r="P152" i="14"/>
  <c r="O152" i="14"/>
  <c r="AN152" i="14" s="1"/>
  <c r="N152" i="14"/>
  <c r="M152" i="14"/>
  <c r="L152" i="14"/>
  <c r="K152" i="14"/>
  <c r="J152" i="14"/>
  <c r="I152" i="14"/>
  <c r="H152" i="14"/>
  <c r="G152" i="14"/>
  <c r="F152" i="14"/>
  <c r="E152" i="14"/>
  <c r="D152" i="14"/>
  <c r="AJ151" i="14"/>
  <c r="AQ151" i="14" s="1"/>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AN151" i="14" s="1"/>
  <c r="K151" i="14"/>
  <c r="J151" i="14"/>
  <c r="I151" i="14"/>
  <c r="H151" i="14"/>
  <c r="G151" i="14"/>
  <c r="F151" i="14"/>
  <c r="E151" i="14"/>
  <c r="D151" i="14"/>
  <c r="AO151" i="14" s="1"/>
  <c r="AN150" i="14"/>
  <c r="AJ150" i="14"/>
  <c r="AI150" i="14"/>
  <c r="AH150" i="14"/>
  <c r="AG150" i="14"/>
  <c r="AF150" i="14"/>
  <c r="AE150" i="14"/>
  <c r="AD150" i="14"/>
  <c r="AC150" i="14"/>
  <c r="AB150" i="14"/>
  <c r="AA150" i="14"/>
  <c r="Z150" i="14"/>
  <c r="Y150" i="14"/>
  <c r="X150" i="14"/>
  <c r="W150" i="14"/>
  <c r="V150" i="14"/>
  <c r="U150" i="14"/>
  <c r="T150" i="14"/>
  <c r="AM150" i="14" s="1"/>
  <c r="S150" i="14"/>
  <c r="R150" i="14"/>
  <c r="Q150" i="14"/>
  <c r="P150" i="14"/>
  <c r="O150" i="14"/>
  <c r="N150" i="14"/>
  <c r="M150" i="14"/>
  <c r="L150" i="14"/>
  <c r="K150" i="14"/>
  <c r="J150" i="14"/>
  <c r="I150" i="14"/>
  <c r="H150" i="14"/>
  <c r="G150" i="14"/>
  <c r="F150" i="14"/>
  <c r="E150" i="14"/>
  <c r="D150" i="14"/>
  <c r="AO150" i="14" s="1"/>
  <c r="AJ149" i="14"/>
  <c r="AQ149" i="14" s="1"/>
  <c r="AS19" i="14" s="1"/>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AN149" i="14" s="1"/>
  <c r="K149" i="14"/>
  <c r="J149" i="14"/>
  <c r="I149" i="14"/>
  <c r="H149" i="14"/>
  <c r="G149" i="14"/>
  <c r="F149" i="14"/>
  <c r="E149" i="14"/>
  <c r="D149" i="14"/>
  <c r="AN148" i="14"/>
  <c r="AJ148" i="14"/>
  <c r="AI148" i="14"/>
  <c r="AH148" i="14"/>
  <c r="AG148" i="14"/>
  <c r="AF148" i="14"/>
  <c r="AE148" i="14"/>
  <c r="AD148" i="14"/>
  <c r="AC148" i="14"/>
  <c r="AB148" i="14"/>
  <c r="AL148" i="14" s="1"/>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O148" i="14" s="1"/>
  <c r="AJ147" i="14"/>
  <c r="AQ147" i="14" s="1"/>
  <c r="AI147" i="14"/>
  <c r="AH147" i="14"/>
  <c r="AG147" i="14"/>
  <c r="AF147" i="14"/>
  <c r="AE147" i="14"/>
  <c r="AD147" i="14"/>
  <c r="AC147" i="14"/>
  <c r="AB147" i="14"/>
  <c r="AA147" i="14"/>
  <c r="Z147" i="14"/>
  <c r="Y147" i="14"/>
  <c r="X147" i="14"/>
  <c r="W147" i="14"/>
  <c r="V147" i="14"/>
  <c r="U147" i="14"/>
  <c r="T147" i="14"/>
  <c r="AM147" i="14" s="1"/>
  <c r="S147" i="14"/>
  <c r="R147" i="14"/>
  <c r="Q147" i="14"/>
  <c r="P147" i="14"/>
  <c r="O147" i="14"/>
  <c r="N147" i="14"/>
  <c r="M147" i="14"/>
  <c r="L147" i="14"/>
  <c r="AN147" i="14" s="1"/>
  <c r="K147" i="14"/>
  <c r="J147" i="14"/>
  <c r="I147" i="14"/>
  <c r="H147" i="14"/>
  <c r="G147" i="14"/>
  <c r="F147" i="14"/>
  <c r="E147" i="14"/>
  <c r="D147" i="14"/>
  <c r="AO147" i="14" s="1"/>
  <c r="AJ146" i="14"/>
  <c r="AQ146" i="14" s="1"/>
  <c r="AI146" i="14"/>
  <c r="AH146" i="14"/>
  <c r="AG146" i="14"/>
  <c r="AF146" i="14"/>
  <c r="AE146" i="14"/>
  <c r="AD146" i="14"/>
  <c r="AC146" i="14"/>
  <c r="AB146" i="14"/>
  <c r="AA146" i="14"/>
  <c r="Z146" i="14"/>
  <c r="Y146" i="14"/>
  <c r="X146" i="14"/>
  <c r="W146" i="14"/>
  <c r="V146" i="14"/>
  <c r="U146" i="14"/>
  <c r="T146" i="14"/>
  <c r="S146" i="14"/>
  <c r="R146" i="14"/>
  <c r="Q146" i="14"/>
  <c r="P146" i="14"/>
  <c r="O146" i="14"/>
  <c r="AN146" i="14" s="1"/>
  <c r="N146" i="14"/>
  <c r="M146" i="14"/>
  <c r="L146" i="14"/>
  <c r="K146" i="14"/>
  <c r="J146" i="14"/>
  <c r="I146" i="14"/>
  <c r="H146" i="14"/>
  <c r="G146" i="14"/>
  <c r="F146" i="14"/>
  <c r="E146" i="14"/>
  <c r="D146" i="14"/>
  <c r="AJ145" i="14"/>
  <c r="AQ145" i="14" s="1"/>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AN145" i="14" s="1"/>
  <c r="K145" i="14"/>
  <c r="J145" i="14"/>
  <c r="I145" i="14"/>
  <c r="H145" i="14"/>
  <c r="G145" i="14"/>
  <c r="F145" i="14"/>
  <c r="E145" i="14"/>
  <c r="D145" i="14"/>
  <c r="AO145" i="14" s="1"/>
  <c r="AN144" i="14"/>
  <c r="AJ144" i="14"/>
  <c r="AQ144" i="14" s="1"/>
  <c r="AS15" i="14" s="1"/>
  <c r="AI144" i="14"/>
  <c r="AH144" i="14"/>
  <c r="AG144" i="14"/>
  <c r="AF144" i="14"/>
  <c r="AE144" i="14"/>
  <c r="AD144" i="14"/>
  <c r="AC144" i="14"/>
  <c r="AB144" i="14"/>
  <c r="AA144" i="14"/>
  <c r="Z144" i="14"/>
  <c r="Y144" i="14"/>
  <c r="X144" i="14"/>
  <c r="W144" i="14"/>
  <c r="V144" i="14"/>
  <c r="U144" i="14"/>
  <c r="T144" i="14"/>
  <c r="AM144" i="14" s="1"/>
  <c r="S144" i="14"/>
  <c r="R144" i="14"/>
  <c r="Q144" i="14"/>
  <c r="P144" i="14"/>
  <c r="O144" i="14"/>
  <c r="N144" i="14"/>
  <c r="M144" i="14"/>
  <c r="L144" i="14"/>
  <c r="K144" i="14"/>
  <c r="J144" i="14"/>
  <c r="I144" i="14"/>
  <c r="H144" i="14"/>
  <c r="G144" i="14"/>
  <c r="F144" i="14"/>
  <c r="E144" i="14"/>
  <c r="D144" i="14"/>
  <c r="AO144" i="14" s="1"/>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AN143" i="14" s="1"/>
  <c r="K143" i="14"/>
  <c r="J143" i="14"/>
  <c r="I143" i="14"/>
  <c r="H143" i="14"/>
  <c r="G143" i="14"/>
  <c r="F143" i="14"/>
  <c r="E143" i="14"/>
  <c r="D143" i="14"/>
  <c r="AN142"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O142" i="14" s="1"/>
  <c r="AJ141" i="14"/>
  <c r="AI141" i="14"/>
  <c r="AH141" i="14"/>
  <c r="AG141" i="14"/>
  <c r="AF141" i="14"/>
  <c r="AE141" i="14"/>
  <c r="AD141" i="14"/>
  <c r="AC141" i="14"/>
  <c r="AB141" i="14"/>
  <c r="AA141" i="14"/>
  <c r="Z141" i="14"/>
  <c r="Y141" i="14"/>
  <c r="X141" i="14"/>
  <c r="W141" i="14"/>
  <c r="V141" i="14"/>
  <c r="U141" i="14"/>
  <c r="T141" i="14"/>
  <c r="AM141" i="14" s="1"/>
  <c r="S141" i="14"/>
  <c r="R141" i="14"/>
  <c r="Q141" i="14"/>
  <c r="P141" i="14"/>
  <c r="O141" i="14"/>
  <c r="N141" i="14"/>
  <c r="M141" i="14"/>
  <c r="L141" i="14"/>
  <c r="AN141" i="14" s="1"/>
  <c r="K141" i="14"/>
  <c r="J141" i="14"/>
  <c r="I141" i="14"/>
  <c r="H141" i="14"/>
  <c r="G141" i="14"/>
  <c r="F141" i="14"/>
  <c r="E141" i="14"/>
  <c r="D141" i="14"/>
  <c r="AO141" i="14" s="1"/>
  <c r="AJ140" i="14"/>
  <c r="AI140" i="14"/>
  <c r="AH140" i="14"/>
  <c r="AG140" i="14"/>
  <c r="AF140" i="14"/>
  <c r="AE140" i="14"/>
  <c r="AD140" i="14"/>
  <c r="AC140" i="14"/>
  <c r="AB140" i="14"/>
  <c r="AA140" i="14"/>
  <c r="Z140" i="14"/>
  <c r="Y140" i="14"/>
  <c r="X140" i="14"/>
  <c r="W140" i="14"/>
  <c r="V140" i="14"/>
  <c r="U140" i="14"/>
  <c r="T140" i="14"/>
  <c r="S140" i="14"/>
  <c r="R140" i="14"/>
  <c r="Q140" i="14"/>
  <c r="P140" i="14"/>
  <c r="O140" i="14"/>
  <c r="AN140" i="14" s="1"/>
  <c r="N140" i="14"/>
  <c r="M140" i="14"/>
  <c r="L140" i="14"/>
  <c r="K140" i="14"/>
  <c r="J140" i="14"/>
  <c r="I140" i="14"/>
  <c r="H140" i="14"/>
  <c r="G140" i="14"/>
  <c r="F140" i="14"/>
  <c r="E140" i="14"/>
  <c r="D140" i="14"/>
  <c r="C140" i="14"/>
  <c r="AJ139" i="14"/>
  <c r="AI139" i="14"/>
  <c r="AH139" i="14"/>
  <c r="AG139" i="14"/>
  <c r="AF139" i="14"/>
  <c r="AE139" i="14"/>
  <c r="AD139" i="14"/>
  <c r="AC139" i="14"/>
  <c r="AB139" i="14"/>
  <c r="AL139" i="14" s="1"/>
  <c r="AA139" i="14"/>
  <c r="Z139" i="14"/>
  <c r="Y139" i="14"/>
  <c r="X139" i="14"/>
  <c r="W139" i="14"/>
  <c r="V139" i="14"/>
  <c r="U139" i="14"/>
  <c r="T139" i="14"/>
  <c r="S139" i="14"/>
  <c r="R139" i="14"/>
  <c r="Q139" i="14"/>
  <c r="P139" i="14"/>
  <c r="O139" i="14"/>
  <c r="N139" i="14"/>
  <c r="M139" i="14"/>
  <c r="L139" i="14"/>
  <c r="AN139" i="14" s="1"/>
  <c r="K139" i="14"/>
  <c r="J139" i="14"/>
  <c r="I139" i="14"/>
  <c r="H139" i="14"/>
  <c r="G139" i="14"/>
  <c r="F139" i="14"/>
  <c r="E139" i="14"/>
  <c r="D139" i="14"/>
  <c r="AO139" i="14" s="1"/>
  <c r="AN138" i="14"/>
  <c r="AJ138" i="14"/>
  <c r="AI138" i="14"/>
  <c r="AH138" i="14"/>
  <c r="AG138" i="14"/>
  <c r="AF138" i="14"/>
  <c r="AE138" i="14"/>
  <c r="AD138" i="14"/>
  <c r="AC138" i="14"/>
  <c r="AB138" i="14"/>
  <c r="AA138" i="14"/>
  <c r="Z138" i="14"/>
  <c r="Y138" i="14"/>
  <c r="X138" i="14"/>
  <c r="W138" i="14"/>
  <c r="V138" i="14"/>
  <c r="U138" i="14"/>
  <c r="T138" i="14"/>
  <c r="AM138" i="14" s="1"/>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AN137" i="14" s="1"/>
  <c r="K137" i="14"/>
  <c r="J137" i="14"/>
  <c r="I137" i="14"/>
  <c r="H137" i="14"/>
  <c r="G137" i="14"/>
  <c r="F137" i="14"/>
  <c r="E137" i="14"/>
  <c r="D137" i="14"/>
  <c r="AN136"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O136" i="14" s="1"/>
  <c r="AJ134" i="14"/>
  <c r="AQ134" i="14" s="1"/>
  <c r="AI134" i="14"/>
  <c r="AH134" i="14"/>
  <c r="AG134" i="14"/>
  <c r="AF134" i="14"/>
  <c r="AE134" i="14"/>
  <c r="AL134" i="14" s="1"/>
  <c r="AD134" i="14"/>
  <c r="AC134" i="14"/>
  <c r="AB134" i="14"/>
  <c r="AA134" i="14"/>
  <c r="Z134" i="14"/>
  <c r="Y134" i="14"/>
  <c r="X134" i="14"/>
  <c r="W134" i="14"/>
  <c r="V134" i="14"/>
  <c r="U134" i="14"/>
  <c r="T134" i="14"/>
  <c r="AM134" i="14" s="1"/>
  <c r="S134" i="14"/>
  <c r="R134" i="14"/>
  <c r="Q134" i="14"/>
  <c r="P134" i="14"/>
  <c r="O134" i="14"/>
  <c r="N134" i="14"/>
  <c r="M134" i="14"/>
  <c r="L134" i="14"/>
  <c r="AN134" i="14" s="1"/>
  <c r="K134" i="14"/>
  <c r="J134" i="14"/>
  <c r="I134" i="14"/>
  <c r="H134" i="14"/>
  <c r="G134" i="14"/>
  <c r="F134" i="14"/>
  <c r="E134" i="14"/>
  <c r="D134" i="14"/>
  <c r="AJ133" i="14"/>
  <c r="AQ133" i="14" s="1"/>
  <c r="AI133" i="14"/>
  <c r="AH133" i="14"/>
  <c r="AG133" i="14"/>
  <c r="AF133" i="14"/>
  <c r="AE133" i="14"/>
  <c r="AD133" i="14"/>
  <c r="AC133" i="14"/>
  <c r="AB133" i="14"/>
  <c r="AL133" i="14" s="1"/>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O133" i="14" s="1"/>
  <c r="AJ132" i="14"/>
  <c r="AQ132" i="14" s="1"/>
  <c r="AI132" i="14"/>
  <c r="AH132" i="14"/>
  <c r="AG132" i="14"/>
  <c r="AF132" i="14"/>
  <c r="AE132" i="14"/>
  <c r="AL132" i="14" s="1"/>
  <c r="AD132" i="14"/>
  <c r="AC132" i="14"/>
  <c r="AB132" i="14"/>
  <c r="AA132" i="14"/>
  <c r="Z132" i="14"/>
  <c r="Y132" i="14"/>
  <c r="X132" i="14"/>
  <c r="W132" i="14"/>
  <c r="V132" i="14"/>
  <c r="U132" i="14"/>
  <c r="T132" i="14"/>
  <c r="AM132" i="14" s="1"/>
  <c r="S132" i="14"/>
  <c r="R132" i="14"/>
  <c r="Q132" i="14"/>
  <c r="P132" i="14"/>
  <c r="O132" i="14"/>
  <c r="N132" i="14"/>
  <c r="M132" i="14"/>
  <c r="L132" i="14"/>
  <c r="K132" i="14"/>
  <c r="J132" i="14"/>
  <c r="I132" i="14"/>
  <c r="H132" i="14"/>
  <c r="G132" i="14"/>
  <c r="F132" i="14"/>
  <c r="E132" i="14"/>
  <c r="D132" i="14"/>
  <c r="AO131" i="14"/>
  <c r="AJ131" i="14"/>
  <c r="AQ131" i="14" s="1"/>
  <c r="AI131" i="14"/>
  <c r="AH131" i="14"/>
  <c r="AG131" i="14"/>
  <c r="AF131" i="14"/>
  <c r="AE131" i="14"/>
  <c r="AD131" i="14"/>
  <c r="AC131" i="14"/>
  <c r="AB131" i="14"/>
  <c r="AL131" i="14" s="1"/>
  <c r="AA131" i="14"/>
  <c r="Z131" i="14"/>
  <c r="Y131" i="14"/>
  <c r="X131" i="14"/>
  <c r="W131" i="14"/>
  <c r="V131" i="14"/>
  <c r="U131" i="14"/>
  <c r="T131" i="14"/>
  <c r="AM131" i="14" s="1"/>
  <c r="S131" i="14"/>
  <c r="R131" i="14"/>
  <c r="Q131" i="14"/>
  <c r="P131" i="14"/>
  <c r="O131" i="14"/>
  <c r="N131" i="14"/>
  <c r="M131" i="14"/>
  <c r="L131" i="14"/>
  <c r="AN131" i="14" s="1"/>
  <c r="K131" i="14"/>
  <c r="J131" i="14"/>
  <c r="I131" i="14"/>
  <c r="H131" i="14"/>
  <c r="G131" i="14"/>
  <c r="F131" i="14"/>
  <c r="E131" i="14"/>
  <c r="D131" i="14"/>
  <c r="AJ130" i="14"/>
  <c r="AQ130" i="14" s="1"/>
  <c r="AI130" i="14"/>
  <c r="AH130" i="14"/>
  <c r="AG130" i="14"/>
  <c r="AF130" i="14"/>
  <c r="AE130" i="14"/>
  <c r="AL130" i="14" s="1"/>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O130" i="14" s="1"/>
  <c r="AO129" i="14"/>
  <c r="AJ129" i="14"/>
  <c r="AQ129" i="14" s="1"/>
  <c r="AI129" i="14"/>
  <c r="AH129" i="14"/>
  <c r="AG129" i="14"/>
  <c r="AF129" i="14"/>
  <c r="AE129" i="14"/>
  <c r="AD129" i="14"/>
  <c r="AC129" i="14"/>
  <c r="AB129" i="14"/>
  <c r="AL129" i="14" s="1"/>
  <c r="AA129" i="14"/>
  <c r="Z129" i="14"/>
  <c r="Y129" i="14"/>
  <c r="X129" i="14"/>
  <c r="W129" i="14"/>
  <c r="V129" i="14"/>
  <c r="U129" i="14"/>
  <c r="T129" i="14"/>
  <c r="AM129" i="14" s="1"/>
  <c r="S129" i="14"/>
  <c r="R129" i="14"/>
  <c r="Q129" i="14"/>
  <c r="P129" i="14"/>
  <c r="O129" i="14"/>
  <c r="N129" i="14"/>
  <c r="M129" i="14"/>
  <c r="L129" i="14"/>
  <c r="K129" i="14"/>
  <c r="J129" i="14"/>
  <c r="I129" i="14"/>
  <c r="H129" i="14"/>
  <c r="G129" i="14"/>
  <c r="F129" i="14"/>
  <c r="E129" i="14"/>
  <c r="D129" i="14"/>
  <c r="AJ128" i="14"/>
  <c r="AQ128" i="14" s="1"/>
  <c r="AI128" i="14"/>
  <c r="AH128" i="14"/>
  <c r="AG128" i="14"/>
  <c r="AF128" i="14"/>
  <c r="AE128" i="14"/>
  <c r="AL128" i="14" s="1"/>
  <c r="AD128" i="14"/>
  <c r="AC128" i="14"/>
  <c r="AB128" i="14"/>
  <c r="AA128" i="14"/>
  <c r="Z128" i="14"/>
  <c r="Y128" i="14"/>
  <c r="X128" i="14"/>
  <c r="W128" i="14"/>
  <c r="V128" i="14"/>
  <c r="U128" i="14"/>
  <c r="T128" i="14"/>
  <c r="AM128" i="14" s="1"/>
  <c r="S128" i="14"/>
  <c r="R128" i="14"/>
  <c r="Q128" i="14"/>
  <c r="P128" i="14"/>
  <c r="O128" i="14"/>
  <c r="N128" i="14"/>
  <c r="M128" i="14"/>
  <c r="L128" i="14"/>
  <c r="AN128" i="14" s="1"/>
  <c r="K128" i="14"/>
  <c r="J128" i="14"/>
  <c r="I128" i="14"/>
  <c r="H128" i="14"/>
  <c r="G128" i="14"/>
  <c r="F128" i="14"/>
  <c r="E128" i="14"/>
  <c r="D128" i="14"/>
  <c r="AJ127" i="14"/>
  <c r="AQ127" i="14" s="1"/>
  <c r="AI127" i="14"/>
  <c r="AH127" i="14"/>
  <c r="AG127" i="14"/>
  <c r="AF127" i="14"/>
  <c r="AE127" i="14"/>
  <c r="AD127" i="14"/>
  <c r="AC127" i="14"/>
  <c r="AB127" i="14"/>
  <c r="AL127" i="14" s="1"/>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O127" i="14" s="1"/>
  <c r="AJ126" i="14"/>
  <c r="AQ126" i="14" s="1"/>
  <c r="AI126" i="14"/>
  <c r="AH126" i="14"/>
  <c r="AG126" i="14"/>
  <c r="AF126" i="14"/>
  <c r="AE126" i="14"/>
  <c r="AL126" i="14" s="1"/>
  <c r="AD126" i="14"/>
  <c r="AC126" i="14"/>
  <c r="AB126" i="14"/>
  <c r="AA126" i="14"/>
  <c r="Z126" i="14"/>
  <c r="Y126" i="14"/>
  <c r="X126" i="14"/>
  <c r="W126" i="14"/>
  <c r="V126" i="14"/>
  <c r="U126" i="14"/>
  <c r="T126" i="14"/>
  <c r="AM126" i="14" s="1"/>
  <c r="S126" i="14"/>
  <c r="R126" i="14"/>
  <c r="Q126" i="14"/>
  <c r="P126" i="14"/>
  <c r="O126" i="14"/>
  <c r="N126" i="14"/>
  <c r="M126" i="14"/>
  <c r="L126" i="14"/>
  <c r="K126" i="14"/>
  <c r="J126" i="14"/>
  <c r="I126" i="14"/>
  <c r="H126" i="14"/>
  <c r="G126" i="14"/>
  <c r="F126" i="14"/>
  <c r="E126" i="14"/>
  <c r="D126" i="14"/>
  <c r="AO125" i="14"/>
  <c r="AJ125" i="14"/>
  <c r="AQ125" i="14" s="1"/>
  <c r="AI125" i="14"/>
  <c r="AH125" i="14"/>
  <c r="AG125" i="14"/>
  <c r="AF125" i="14"/>
  <c r="AE125" i="14"/>
  <c r="AD125" i="14"/>
  <c r="AC125" i="14"/>
  <c r="AB125" i="14"/>
  <c r="AL125" i="14" s="1"/>
  <c r="AA125" i="14"/>
  <c r="Z125" i="14"/>
  <c r="Y125" i="14"/>
  <c r="X125" i="14"/>
  <c r="W125" i="14"/>
  <c r="V125" i="14"/>
  <c r="U125" i="14"/>
  <c r="T125" i="14"/>
  <c r="AM125" i="14" s="1"/>
  <c r="S125" i="14"/>
  <c r="R125" i="14"/>
  <c r="Q125" i="14"/>
  <c r="P125" i="14"/>
  <c r="O125" i="14"/>
  <c r="N125" i="14"/>
  <c r="M125" i="14"/>
  <c r="L125" i="14"/>
  <c r="AN125" i="14" s="1"/>
  <c r="K125" i="14"/>
  <c r="J125" i="14"/>
  <c r="I125" i="14"/>
  <c r="H125" i="14"/>
  <c r="G125" i="14"/>
  <c r="F125" i="14"/>
  <c r="E125" i="14"/>
  <c r="D125" i="14"/>
  <c r="AJ124" i="14"/>
  <c r="AQ124" i="14" s="1"/>
  <c r="AI124" i="14"/>
  <c r="AH124" i="14"/>
  <c r="AG124" i="14"/>
  <c r="AF124" i="14"/>
  <c r="AE124" i="14"/>
  <c r="AL124" i="14" s="1"/>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O124" i="14" s="1"/>
  <c r="AO123" i="14"/>
  <c r="AJ123" i="14"/>
  <c r="AQ123" i="14" s="1"/>
  <c r="AI123" i="14"/>
  <c r="AH123" i="14"/>
  <c r="AG123" i="14"/>
  <c r="AF123" i="14"/>
  <c r="AE123" i="14"/>
  <c r="AD123" i="14"/>
  <c r="AC123" i="14"/>
  <c r="AB123" i="14"/>
  <c r="AL123" i="14" s="1"/>
  <c r="AA123" i="14"/>
  <c r="Z123" i="14"/>
  <c r="Y123" i="14"/>
  <c r="X123" i="14"/>
  <c r="W123" i="14"/>
  <c r="V123" i="14"/>
  <c r="U123" i="14"/>
  <c r="T123" i="14"/>
  <c r="AM123" i="14" s="1"/>
  <c r="S123" i="14"/>
  <c r="R123" i="14"/>
  <c r="Q123" i="14"/>
  <c r="P123" i="14"/>
  <c r="O123" i="14"/>
  <c r="N123" i="14"/>
  <c r="M123" i="14"/>
  <c r="L123" i="14"/>
  <c r="K123" i="14"/>
  <c r="J123" i="14"/>
  <c r="I123" i="14"/>
  <c r="H123" i="14"/>
  <c r="G123" i="14"/>
  <c r="F123" i="14"/>
  <c r="E123" i="14"/>
  <c r="D123" i="14"/>
  <c r="AJ122" i="14"/>
  <c r="AQ122" i="14" s="1"/>
  <c r="AI122" i="14"/>
  <c r="AH122" i="14"/>
  <c r="AG122" i="14"/>
  <c r="AF122" i="14"/>
  <c r="AE122" i="14"/>
  <c r="AL122" i="14" s="1"/>
  <c r="AD122" i="14"/>
  <c r="AC122" i="14"/>
  <c r="AB122" i="14"/>
  <c r="AA122" i="14"/>
  <c r="Z122" i="14"/>
  <c r="Y122" i="14"/>
  <c r="X122" i="14"/>
  <c r="W122" i="14"/>
  <c r="V122" i="14"/>
  <c r="U122" i="14"/>
  <c r="T122" i="14"/>
  <c r="AM122" i="14" s="1"/>
  <c r="S122" i="14"/>
  <c r="R122" i="14"/>
  <c r="Q122" i="14"/>
  <c r="P122" i="14"/>
  <c r="O122" i="14"/>
  <c r="N122" i="14"/>
  <c r="M122" i="14"/>
  <c r="L122" i="14"/>
  <c r="AN122" i="14" s="1"/>
  <c r="K122" i="14"/>
  <c r="J122" i="14"/>
  <c r="I122" i="14"/>
  <c r="H122" i="14"/>
  <c r="G122" i="14"/>
  <c r="F122" i="14"/>
  <c r="E122" i="14"/>
  <c r="D122" i="14"/>
  <c r="AJ121" i="14"/>
  <c r="AQ121" i="14" s="1"/>
  <c r="AI121" i="14"/>
  <c r="AH121" i="14"/>
  <c r="AG121" i="14"/>
  <c r="AF121" i="14"/>
  <c r="AE121" i="14"/>
  <c r="AD121" i="14"/>
  <c r="AC121" i="14"/>
  <c r="AB121" i="14"/>
  <c r="AL121" i="14" s="1"/>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O121" i="14" s="1"/>
  <c r="AJ120" i="14"/>
  <c r="AQ120" i="14" s="1"/>
  <c r="AI120" i="14"/>
  <c r="AH120" i="14"/>
  <c r="AG120" i="14"/>
  <c r="AF120" i="14"/>
  <c r="AE120" i="14"/>
  <c r="AL120" i="14" s="1"/>
  <c r="AD120" i="14"/>
  <c r="AC120" i="14"/>
  <c r="AB120" i="14"/>
  <c r="AA120" i="14"/>
  <c r="Z120" i="14"/>
  <c r="Y120" i="14"/>
  <c r="X120" i="14"/>
  <c r="W120" i="14"/>
  <c r="V120" i="14"/>
  <c r="U120" i="14"/>
  <c r="T120" i="14"/>
  <c r="AM120" i="14" s="1"/>
  <c r="S120" i="14"/>
  <c r="R120" i="14"/>
  <c r="Q120" i="14"/>
  <c r="P120" i="14"/>
  <c r="O120" i="14"/>
  <c r="N120" i="14"/>
  <c r="M120" i="14"/>
  <c r="L120" i="14"/>
  <c r="K120" i="14"/>
  <c r="J120" i="14"/>
  <c r="I120" i="14"/>
  <c r="H120" i="14"/>
  <c r="G120" i="14"/>
  <c r="F120" i="14"/>
  <c r="E120" i="14"/>
  <c r="D120" i="14"/>
  <c r="AO119" i="14"/>
  <c r="AJ119" i="14"/>
  <c r="AQ119" i="14" s="1"/>
  <c r="AI119" i="14"/>
  <c r="AH119" i="14"/>
  <c r="AG119" i="14"/>
  <c r="AF119" i="14"/>
  <c r="AE119" i="14"/>
  <c r="AD119" i="14"/>
  <c r="AC119" i="14"/>
  <c r="AB119" i="14"/>
  <c r="AL119" i="14" s="1"/>
  <c r="AA119" i="14"/>
  <c r="Z119" i="14"/>
  <c r="Y119" i="14"/>
  <c r="X119" i="14"/>
  <c r="W119" i="14"/>
  <c r="V119" i="14"/>
  <c r="U119" i="14"/>
  <c r="T119" i="14"/>
  <c r="AM119" i="14" s="1"/>
  <c r="S119" i="14"/>
  <c r="R119" i="14"/>
  <c r="Q119" i="14"/>
  <c r="P119" i="14"/>
  <c r="O119" i="14"/>
  <c r="N119" i="14"/>
  <c r="M119" i="14"/>
  <c r="L119" i="14"/>
  <c r="AN119" i="14" s="1"/>
  <c r="K119" i="14"/>
  <c r="J119" i="14"/>
  <c r="I119" i="14"/>
  <c r="H119" i="14"/>
  <c r="G119" i="14"/>
  <c r="F119" i="14"/>
  <c r="E119" i="14"/>
  <c r="D119" i="14"/>
  <c r="AJ118" i="14"/>
  <c r="AQ118" i="14" s="1"/>
  <c r="AI118" i="14"/>
  <c r="AH118" i="14"/>
  <c r="AG118" i="14"/>
  <c r="AF118" i="14"/>
  <c r="AE118" i="14"/>
  <c r="AL118" i="14" s="1"/>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O118" i="14" s="1"/>
  <c r="AO117" i="14"/>
  <c r="AJ117" i="14"/>
  <c r="AQ117" i="14" s="1"/>
  <c r="AI117" i="14"/>
  <c r="AH117" i="14"/>
  <c r="AG117" i="14"/>
  <c r="AF117" i="14"/>
  <c r="AE117" i="14"/>
  <c r="AD117" i="14"/>
  <c r="AC117" i="14"/>
  <c r="AB117" i="14"/>
  <c r="AL117" i="14" s="1"/>
  <c r="AA117" i="14"/>
  <c r="Z117" i="14"/>
  <c r="Y117" i="14"/>
  <c r="X117" i="14"/>
  <c r="W117" i="14"/>
  <c r="V117" i="14"/>
  <c r="U117" i="14"/>
  <c r="T117" i="14"/>
  <c r="AM117" i="14" s="1"/>
  <c r="S117" i="14"/>
  <c r="R117" i="14"/>
  <c r="Q117" i="14"/>
  <c r="P117" i="14"/>
  <c r="O117" i="14"/>
  <c r="N117" i="14"/>
  <c r="M117" i="14"/>
  <c r="L117" i="14"/>
  <c r="K117" i="14"/>
  <c r="J117" i="14"/>
  <c r="I117" i="14"/>
  <c r="H117" i="14"/>
  <c r="G117" i="14"/>
  <c r="F117" i="14"/>
  <c r="E117" i="14"/>
  <c r="D117" i="14"/>
  <c r="AJ116" i="14"/>
  <c r="AQ116" i="14" s="1"/>
  <c r="AI116" i="14"/>
  <c r="AH116" i="14"/>
  <c r="AG116" i="14"/>
  <c r="AF116" i="14"/>
  <c r="AE116" i="14"/>
  <c r="AL116" i="14" s="1"/>
  <c r="AD116" i="14"/>
  <c r="AC116" i="14"/>
  <c r="AB116" i="14"/>
  <c r="AA116" i="14"/>
  <c r="Z116" i="14"/>
  <c r="Y116" i="14"/>
  <c r="X116" i="14"/>
  <c r="W116" i="14"/>
  <c r="V116" i="14"/>
  <c r="U116" i="14"/>
  <c r="T116" i="14"/>
  <c r="AM116" i="14" s="1"/>
  <c r="S116" i="14"/>
  <c r="R116" i="14"/>
  <c r="Q116" i="14"/>
  <c r="P116" i="14"/>
  <c r="O116" i="14"/>
  <c r="N116" i="14"/>
  <c r="M116" i="14"/>
  <c r="L116" i="14"/>
  <c r="AN116" i="14" s="1"/>
  <c r="K116" i="14"/>
  <c r="J116" i="14"/>
  <c r="I116" i="14"/>
  <c r="H116" i="14"/>
  <c r="G116" i="14"/>
  <c r="F116" i="14"/>
  <c r="E116" i="14"/>
  <c r="D116" i="14"/>
  <c r="AJ115" i="14"/>
  <c r="AQ115" i="14" s="1"/>
  <c r="AI115" i="14"/>
  <c r="AH115" i="14"/>
  <c r="AG115" i="14"/>
  <c r="AF115" i="14"/>
  <c r="AE115" i="14"/>
  <c r="AD115" i="14"/>
  <c r="AC115" i="14"/>
  <c r="AB115" i="14"/>
  <c r="AL115" i="14" s="1"/>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O115" i="14" s="1"/>
  <c r="C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AJ113" i="14"/>
  <c r="AQ113" i="14" s="1"/>
  <c r="AR48"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AN113" i="14" s="1"/>
  <c r="K113" i="14"/>
  <c r="J113" i="14"/>
  <c r="I113" i="14"/>
  <c r="H113" i="14"/>
  <c r="G113" i="14"/>
  <c r="F113" i="14"/>
  <c r="E113" i="14"/>
  <c r="D113" i="14"/>
  <c r="AJ112" i="14"/>
  <c r="AQ112" i="14" s="1"/>
  <c r="AI112" i="14"/>
  <c r="AH112" i="14"/>
  <c r="AG112" i="14"/>
  <c r="AF112" i="14"/>
  <c r="AE112" i="14"/>
  <c r="AD112" i="14"/>
  <c r="AC112" i="14"/>
  <c r="AB112" i="14"/>
  <c r="AL112" i="14" s="1"/>
  <c r="AA112" i="14"/>
  <c r="Z112" i="14"/>
  <c r="Y112" i="14"/>
  <c r="X112" i="14"/>
  <c r="W112" i="14"/>
  <c r="V112" i="14"/>
  <c r="U112" i="14"/>
  <c r="T112" i="14"/>
  <c r="AM112" i="14" s="1"/>
  <c r="S112" i="14"/>
  <c r="R112" i="14"/>
  <c r="Q112" i="14"/>
  <c r="P112" i="14"/>
  <c r="O112" i="14"/>
  <c r="AN112" i="14" s="1"/>
  <c r="N112" i="14"/>
  <c r="M112" i="14"/>
  <c r="L112" i="14"/>
  <c r="K112" i="14"/>
  <c r="J112" i="14"/>
  <c r="I112" i="14"/>
  <c r="H112" i="14"/>
  <c r="G112" i="14"/>
  <c r="F112" i="14"/>
  <c r="E112" i="14"/>
  <c r="D112" i="14"/>
  <c r="AO112" i="14" s="1"/>
  <c r="C112" i="14"/>
  <c r="AJ111" i="14"/>
  <c r="AQ111" i="14" s="1"/>
  <c r="AI111" i="14"/>
  <c r="AH111" i="14"/>
  <c r="AG111" i="14"/>
  <c r="AF111" i="14"/>
  <c r="AE111" i="14"/>
  <c r="AD111" i="14"/>
  <c r="AC111" i="14"/>
  <c r="AB111" i="14"/>
  <c r="AA111" i="14"/>
  <c r="Z111" i="14"/>
  <c r="Y111" i="14"/>
  <c r="X111" i="14"/>
  <c r="W111" i="14"/>
  <c r="V111" i="14"/>
  <c r="U111" i="14"/>
  <c r="T111" i="14"/>
  <c r="AM111" i="14" s="1"/>
  <c r="S111" i="14"/>
  <c r="R111" i="14"/>
  <c r="Q111" i="14"/>
  <c r="P111" i="14"/>
  <c r="O111" i="14"/>
  <c r="N111" i="14"/>
  <c r="M111" i="14"/>
  <c r="L111" i="14"/>
  <c r="AN111" i="14" s="1"/>
  <c r="K111" i="14"/>
  <c r="J111" i="14"/>
  <c r="I111" i="14"/>
  <c r="H111" i="14"/>
  <c r="G111" i="14"/>
  <c r="F111" i="14"/>
  <c r="E111" i="14"/>
  <c r="D111" i="14"/>
  <c r="AJ110" i="14"/>
  <c r="AQ110" i="14" s="1"/>
  <c r="AR45" i="14" s="1"/>
  <c r="AI110" i="14"/>
  <c r="AH110" i="14"/>
  <c r="AG110" i="14"/>
  <c r="AF110" i="14"/>
  <c r="AE110" i="14"/>
  <c r="AD110" i="14"/>
  <c r="AC110" i="14"/>
  <c r="AB110" i="14"/>
  <c r="AL110" i="14" s="1"/>
  <c r="AA110" i="14"/>
  <c r="Z110" i="14"/>
  <c r="Y110" i="14"/>
  <c r="X110" i="14"/>
  <c r="W110" i="14"/>
  <c r="V110" i="14"/>
  <c r="U110" i="14"/>
  <c r="T110" i="14"/>
  <c r="S110" i="14"/>
  <c r="R110" i="14"/>
  <c r="Q110" i="14"/>
  <c r="P110" i="14"/>
  <c r="O110" i="14"/>
  <c r="AN110" i="14" s="1"/>
  <c r="N110" i="14"/>
  <c r="M110" i="14"/>
  <c r="L110" i="14"/>
  <c r="K110" i="14"/>
  <c r="J110" i="14"/>
  <c r="I110" i="14"/>
  <c r="H110" i="14"/>
  <c r="G110" i="14"/>
  <c r="F110" i="14"/>
  <c r="E110" i="14"/>
  <c r="D110" i="14"/>
  <c r="AO110" i="14" s="1"/>
  <c r="AJ109" i="14"/>
  <c r="AQ109" i="14" s="1"/>
  <c r="AI109" i="14"/>
  <c r="AH109" i="14"/>
  <c r="AG109" i="14"/>
  <c r="AF109" i="14"/>
  <c r="AE109" i="14"/>
  <c r="AD109" i="14"/>
  <c r="AC109" i="14"/>
  <c r="AB109" i="14"/>
  <c r="AA109" i="14"/>
  <c r="Z109" i="14"/>
  <c r="Y109" i="14"/>
  <c r="X109" i="14"/>
  <c r="W109" i="14"/>
  <c r="V109" i="14"/>
  <c r="U109" i="14"/>
  <c r="T109" i="14"/>
  <c r="AM109" i="14" s="1"/>
  <c r="S109" i="14"/>
  <c r="R109" i="14"/>
  <c r="Q109" i="14"/>
  <c r="P109" i="14"/>
  <c r="O109" i="14"/>
  <c r="N109" i="14"/>
  <c r="M109" i="14"/>
  <c r="L109" i="14"/>
  <c r="AN109" i="14" s="1"/>
  <c r="K109" i="14"/>
  <c r="J109" i="14"/>
  <c r="I109" i="14"/>
  <c r="H109" i="14"/>
  <c r="G109" i="14"/>
  <c r="F109" i="14"/>
  <c r="E109" i="14"/>
  <c r="D109" i="14"/>
  <c r="AO109" i="14" s="1"/>
  <c r="C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AN108" i="14" s="1"/>
  <c r="N108" i="14"/>
  <c r="M108" i="14"/>
  <c r="L108" i="14"/>
  <c r="K108" i="14"/>
  <c r="J108" i="14"/>
  <c r="I108" i="14"/>
  <c r="H108" i="14"/>
  <c r="G108" i="14"/>
  <c r="F108" i="14"/>
  <c r="E108" i="14"/>
  <c r="D108" i="14"/>
  <c r="C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AN107" i="14" s="1"/>
  <c r="K107" i="14"/>
  <c r="J107" i="14"/>
  <c r="I107" i="14"/>
  <c r="H107" i="14"/>
  <c r="G107" i="14"/>
  <c r="F107" i="14"/>
  <c r="E107" i="14"/>
  <c r="D107" i="14"/>
  <c r="AJ106" i="14"/>
  <c r="AQ106" i="14" s="1"/>
  <c r="AI106" i="14"/>
  <c r="AH106" i="14"/>
  <c r="AG106" i="14"/>
  <c r="AF106" i="14"/>
  <c r="AE106" i="14"/>
  <c r="AD106" i="14"/>
  <c r="AC106" i="14"/>
  <c r="AB106" i="14"/>
  <c r="AL106" i="14" s="1"/>
  <c r="AA106" i="14"/>
  <c r="Z106" i="14"/>
  <c r="Y106" i="14"/>
  <c r="X106" i="14"/>
  <c r="W106" i="14"/>
  <c r="V106" i="14"/>
  <c r="U106" i="14"/>
  <c r="T106" i="14"/>
  <c r="S106" i="14"/>
  <c r="R106" i="14"/>
  <c r="Q106" i="14"/>
  <c r="P106" i="14"/>
  <c r="O106" i="14"/>
  <c r="AN106" i="14" s="1"/>
  <c r="N106" i="14"/>
  <c r="M106" i="14"/>
  <c r="L106" i="14"/>
  <c r="K106" i="14"/>
  <c r="J106" i="14"/>
  <c r="I106" i="14"/>
  <c r="H106" i="14"/>
  <c r="G106" i="14"/>
  <c r="F106" i="14"/>
  <c r="E106" i="14"/>
  <c r="D106" i="14"/>
  <c r="AO106" i="14" s="1"/>
  <c r="C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AN105" i="14" s="1"/>
  <c r="K105" i="14"/>
  <c r="J105" i="14"/>
  <c r="I105" i="14"/>
  <c r="H105" i="14"/>
  <c r="G105" i="14"/>
  <c r="F105" i="14"/>
  <c r="E105" i="14"/>
  <c r="D105" i="14"/>
  <c r="C105" i="14"/>
  <c r="AJ104" i="14"/>
  <c r="AQ104" i="14" s="1"/>
  <c r="AI104" i="14"/>
  <c r="AH104" i="14"/>
  <c r="AG104" i="14"/>
  <c r="AF104" i="14"/>
  <c r="AE104" i="14"/>
  <c r="AD104" i="14"/>
  <c r="AC104" i="14"/>
  <c r="AB104" i="14"/>
  <c r="AA104" i="14"/>
  <c r="Z104" i="14"/>
  <c r="Y104" i="14"/>
  <c r="X104" i="14"/>
  <c r="W104" i="14"/>
  <c r="V104" i="14"/>
  <c r="U104" i="14"/>
  <c r="T104" i="14"/>
  <c r="AM104" i="14" s="1"/>
  <c r="S104" i="14"/>
  <c r="R104" i="14"/>
  <c r="Q104" i="14"/>
  <c r="P104" i="14"/>
  <c r="O104" i="14"/>
  <c r="N104" i="14"/>
  <c r="M104" i="14"/>
  <c r="L104" i="14"/>
  <c r="AN104" i="14" s="1"/>
  <c r="K104" i="14"/>
  <c r="J104" i="14"/>
  <c r="I104" i="14"/>
  <c r="H104" i="14"/>
  <c r="G104" i="14"/>
  <c r="F104" i="14"/>
  <c r="E104" i="14"/>
  <c r="D104" i="14"/>
  <c r="AN103"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AJ102" i="14"/>
  <c r="AQ102" i="14" s="1"/>
  <c r="AR37"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AN102" i="14" s="1"/>
  <c r="K102" i="14"/>
  <c r="J102" i="14"/>
  <c r="I102" i="14"/>
  <c r="H102" i="14"/>
  <c r="G102" i="14"/>
  <c r="F102" i="14"/>
  <c r="E102" i="14"/>
  <c r="D102" i="14"/>
  <c r="C102" i="14"/>
  <c r="AJ101" i="14"/>
  <c r="AQ101" i="14" s="1"/>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Q100" i="14" s="1"/>
  <c r="AI100" i="14"/>
  <c r="AH100" i="14"/>
  <c r="AG100" i="14"/>
  <c r="AF100" i="14"/>
  <c r="AE100" i="14"/>
  <c r="AD100" i="14"/>
  <c r="AC100" i="14"/>
  <c r="AB100" i="14"/>
  <c r="AL100" i="14" s="1"/>
  <c r="AA100" i="14"/>
  <c r="Z100" i="14"/>
  <c r="Y100" i="14"/>
  <c r="X100" i="14"/>
  <c r="W100" i="14"/>
  <c r="V100" i="14"/>
  <c r="U100" i="14"/>
  <c r="T100" i="14"/>
  <c r="S100" i="14"/>
  <c r="R100" i="14"/>
  <c r="Q100" i="14"/>
  <c r="P100" i="14"/>
  <c r="O100" i="14"/>
  <c r="N100" i="14"/>
  <c r="M100" i="14"/>
  <c r="L100" i="14"/>
  <c r="AN100" i="14" s="1"/>
  <c r="K100" i="14"/>
  <c r="J100" i="14"/>
  <c r="I100" i="14"/>
  <c r="H100" i="14"/>
  <c r="G100" i="14"/>
  <c r="F100" i="14"/>
  <c r="E100" i="14"/>
  <c r="D100" i="14"/>
  <c r="AO100" i="14" s="1"/>
  <c r="C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AN99" i="14" s="1"/>
  <c r="K99" i="14"/>
  <c r="J99" i="14"/>
  <c r="I99" i="14"/>
  <c r="H99" i="14"/>
  <c r="G99" i="14"/>
  <c r="F99" i="14"/>
  <c r="E99" i="14"/>
  <c r="D99" i="14"/>
  <c r="C99" i="14"/>
  <c r="AJ98" i="14"/>
  <c r="AQ98" i="14" s="1"/>
  <c r="AI98" i="14"/>
  <c r="AH98" i="14"/>
  <c r="AG98" i="14"/>
  <c r="AF98" i="14"/>
  <c r="AE98" i="14"/>
  <c r="AD98" i="14"/>
  <c r="AC98" i="14"/>
  <c r="AB98" i="14"/>
  <c r="AA98" i="14"/>
  <c r="Z98" i="14"/>
  <c r="Y98" i="14"/>
  <c r="X98" i="14"/>
  <c r="W98" i="14"/>
  <c r="V98" i="14"/>
  <c r="U98" i="14"/>
  <c r="T98" i="14"/>
  <c r="AM98" i="14" s="1"/>
  <c r="S98" i="14"/>
  <c r="R98" i="14"/>
  <c r="Q98" i="14"/>
  <c r="P98" i="14"/>
  <c r="O98" i="14"/>
  <c r="N98" i="14"/>
  <c r="M98" i="14"/>
  <c r="L98" i="14"/>
  <c r="AN98" i="14" s="1"/>
  <c r="K98" i="14"/>
  <c r="J98" i="14"/>
  <c r="I98" i="14"/>
  <c r="H98" i="14"/>
  <c r="G98" i="14"/>
  <c r="F98" i="14"/>
  <c r="E98" i="14"/>
  <c r="D98" i="14"/>
  <c r="AN97"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C97" i="14"/>
  <c r="AJ96" i="14"/>
  <c r="AQ96" i="14" s="1"/>
  <c r="AI96" i="14"/>
  <c r="AH96" i="14"/>
  <c r="AG96" i="14"/>
  <c r="AF96" i="14"/>
  <c r="AE96" i="14"/>
  <c r="AD96" i="14"/>
  <c r="AC96" i="14"/>
  <c r="AB96" i="14"/>
  <c r="AA96" i="14"/>
  <c r="Z96" i="14"/>
  <c r="Y96" i="14"/>
  <c r="X96" i="14"/>
  <c r="W96" i="14"/>
  <c r="V96" i="14"/>
  <c r="U96" i="14"/>
  <c r="T96" i="14"/>
  <c r="S96" i="14"/>
  <c r="R96" i="14"/>
  <c r="Q96" i="14"/>
  <c r="P96" i="14"/>
  <c r="O96" i="14"/>
  <c r="N96" i="14"/>
  <c r="M96" i="14"/>
  <c r="L96" i="14"/>
  <c r="AN96" i="14" s="1"/>
  <c r="K96" i="14"/>
  <c r="J96" i="14"/>
  <c r="I96" i="14"/>
  <c r="H96" i="14"/>
  <c r="G96" i="14"/>
  <c r="F96" i="14"/>
  <c r="E96" i="14"/>
  <c r="D96" i="14"/>
  <c r="C96" i="14"/>
  <c r="AJ95" i="14"/>
  <c r="AQ95" i="14" s="1"/>
  <c r="AI95" i="14"/>
  <c r="AH95" i="14"/>
  <c r="AG95" i="14"/>
  <c r="AF95" i="14"/>
  <c r="AE95" i="14"/>
  <c r="AD95" i="14"/>
  <c r="AC95" i="14"/>
  <c r="AB95" i="14"/>
  <c r="AA95" i="14"/>
  <c r="Z95" i="14"/>
  <c r="Y95" i="14"/>
  <c r="X95" i="14"/>
  <c r="W95" i="14"/>
  <c r="V95" i="14"/>
  <c r="U95" i="14"/>
  <c r="T95" i="14"/>
  <c r="S95" i="14"/>
  <c r="R95" i="14"/>
  <c r="Q95" i="14"/>
  <c r="P95" i="14"/>
  <c r="O95" i="14"/>
  <c r="N95" i="14"/>
  <c r="M95" i="14"/>
  <c r="L95" i="14"/>
  <c r="AN95" i="14" s="1"/>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AN94" i="14" s="1"/>
  <c r="K94" i="14"/>
  <c r="J94" i="14"/>
  <c r="I94" i="14"/>
  <c r="H94" i="14"/>
  <c r="G94" i="14"/>
  <c r="F94" i="14"/>
  <c r="E94" i="14"/>
  <c r="D94" i="14"/>
  <c r="AO94" i="14" s="1"/>
  <c r="C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AN93" i="14" s="1"/>
  <c r="K93" i="14"/>
  <c r="J93" i="14"/>
  <c r="I93" i="14"/>
  <c r="H93" i="14"/>
  <c r="G93" i="14"/>
  <c r="F93" i="14"/>
  <c r="E93" i="14"/>
  <c r="D93" i="14"/>
  <c r="AJ92" i="14"/>
  <c r="AQ92" i="14" s="1"/>
  <c r="AI92" i="14"/>
  <c r="AH92" i="14"/>
  <c r="AG92" i="14"/>
  <c r="AF92" i="14"/>
  <c r="AE92" i="14"/>
  <c r="AD92" i="14"/>
  <c r="AC92" i="14"/>
  <c r="AB92" i="14"/>
  <c r="AA92" i="14"/>
  <c r="Z92" i="14"/>
  <c r="Y92" i="14"/>
  <c r="X92" i="14"/>
  <c r="W92" i="14"/>
  <c r="V92" i="14"/>
  <c r="U92" i="14"/>
  <c r="T92" i="14"/>
  <c r="AM92" i="14" s="1"/>
  <c r="S92" i="14"/>
  <c r="R92" i="14"/>
  <c r="Q92" i="14"/>
  <c r="P92" i="14"/>
  <c r="O92" i="14"/>
  <c r="N92" i="14"/>
  <c r="M92" i="14"/>
  <c r="L92" i="14"/>
  <c r="AN92" i="14" s="1"/>
  <c r="K92" i="14"/>
  <c r="J92" i="14"/>
  <c r="I92" i="14"/>
  <c r="H92" i="14"/>
  <c r="G92" i="14"/>
  <c r="F92" i="14"/>
  <c r="E92" i="14"/>
  <c r="D92" i="14"/>
  <c r="AO92" i="14" s="1"/>
  <c r="AN91" i="14"/>
  <c r="AJ91" i="14"/>
  <c r="AQ91" i="14" s="1"/>
  <c r="AI91" i="14"/>
  <c r="AH91" i="14"/>
  <c r="AG91" i="14"/>
  <c r="AF91" i="14"/>
  <c r="AE91" i="14"/>
  <c r="AD91" i="14"/>
  <c r="AC91" i="14"/>
  <c r="AB91" i="14"/>
  <c r="AA91" i="14"/>
  <c r="Z91" i="14"/>
  <c r="Y91" i="14"/>
  <c r="X91" i="14"/>
  <c r="W91" i="14"/>
  <c r="V91" i="14"/>
  <c r="U91" i="14"/>
  <c r="T91" i="14"/>
  <c r="AM91" i="14" s="1"/>
  <c r="S91" i="14"/>
  <c r="R91" i="14"/>
  <c r="Q91" i="14"/>
  <c r="P91" i="14"/>
  <c r="O91" i="14"/>
  <c r="N91" i="14"/>
  <c r="M91" i="14"/>
  <c r="L91" i="14"/>
  <c r="K91" i="14"/>
  <c r="J91" i="14"/>
  <c r="I91" i="14"/>
  <c r="H91" i="14"/>
  <c r="G91" i="14"/>
  <c r="F91" i="14"/>
  <c r="E91" i="14"/>
  <c r="D91" i="14"/>
  <c r="AO91" i="14" s="1"/>
  <c r="C91" i="14"/>
  <c r="AJ90" i="14"/>
  <c r="AQ90" i="14" s="1"/>
  <c r="AR25" i="14" s="1"/>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C90" i="14"/>
  <c r="AJ89" i="14"/>
  <c r="AI89" i="14"/>
  <c r="AH89" i="14"/>
  <c r="AG89" i="14"/>
  <c r="AF89" i="14"/>
  <c r="AE89" i="14"/>
  <c r="AD89" i="14"/>
  <c r="AC89" i="14"/>
  <c r="AB89" i="14"/>
  <c r="AA89" i="14"/>
  <c r="Z89" i="14"/>
  <c r="Y89" i="14"/>
  <c r="X89" i="14"/>
  <c r="W89" i="14"/>
  <c r="V89" i="14"/>
  <c r="U89" i="14"/>
  <c r="T89" i="14"/>
  <c r="AM89" i="14" s="1"/>
  <c r="S89" i="14"/>
  <c r="R89" i="14"/>
  <c r="Q89" i="14"/>
  <c r="P89" i="14"/>
  <c r="O89" i="14"/>
  <c r="N89" i="14"/>
  <c r="M89" i="14"/>
  <c r="L89" i="14"/>
  <c r="AN89" i="14" s="1"/>
  <c r="K89" i="14"/>
  <c r="J89" i="14"/>
  <c r="I89" i="14"/>
  <c r="H89" i="14"/>
  <c r="G89" i="14"/>
  <c r="F89" i="14"/>
  <c r="E89" i="14"/>
  <c r="D89" i="14"/>
  <c r="AN88" i="14"/>
  <c r="AJ88" i="14"/>
  <c r="AQ88" i="14" s="1"/>
  <c r="AI88" i="14"/>
  <c r="AH88" i="14"/>
  <c r="AG88" i="14"/>
  <c r="AF88" i="14"/>
  <c r="AE88" i="14"/>
  <c r="AD88" i="14"/>
  <c r="AC88" i="14"/>
  <c r="AB88" i="14"/>
  <c r="AA88" i="14"/>
  <c r="Z88" i="14"/>
  <c r="Y88" i="14"/>
  <c r="X88" i="14"/>
  <c r="W88" i="14"/>
  <c r="V88" i="14"/>
  <c r="U88" i="14"/>
  <c r="T88" i="14"/>
  <c r="AM88" i="14" s="1"/>
  <c r="S88" i="14"/>
  <c r="R88" i="14"/>
  <c r="Q88" i="14"/>
  <c r="P88" i="14"/>
  <c r="O88" i="14"/>
  <c r="N88" i="14"/>
  <c r="M88" i="14"/>
  <c r="L88" i="14"/>
  <c r="K88" i="14"/>
  <c r="J88" i="14"/>
  <c r="I88" i="14"/>
  <c r="H88" i="14"/>
  <c r="G88" i="14"/>
  <c r="F88" i="14"/>
  <c r="E88" i="14"/>
  <c r="D88" i="14"/>
  <c r="AO88" i="14" s="1"/>
  <c r="C88" i="14"/>
  <c r="AJ87" i="14"/>
  <c r="AQ87" i="14" s="1"/>
  <c r="AR22" i="14" s="1"/>
  <c r="AI87" i="14"/>
  <c r="AH87" i="14"/>
  <c r="AG87" i="14"/>
  <c r="AF87" i="14"/>
  <c r="AE87" i="14"/>
  <c r="AD87" i="14"/>
  <c r="AC87" i="14"/>
  <c r="AB87" i="14"/>
  <c r="AA87" i="14"/>
  <c r="Z87" i="14"/>
  <c r="Y87" i="14"/>
  <c r="X87" i="14"/>
  <c r="W87" i="14"/>
  <c r="V87" i="14"/>
  <c r="U87" i="14"/>
  <c r="T87" i="14"/>
  <c r="S87" i="14"/>
  <c r="R87" i="14"/>
  <c r="Q87" i="14"/>
  <c r="P87" i="14"/>
  <c r="O87" i="14"/>
  <c r="N87" i="14"/>
  <c r="M87" i="14"/>
  <c r="L87" i="14"/>
  <c r="AN87" i="14" s="1"/>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AM86" i="14" s="1"/>
  <c r="S86" i="14"/>
  <c r="R86" i="14"/>
  <c r="Q86" i="14"/>
  <c r="P86" i="14"/>
  <c r="O86" i="14"/>
  <c r="N86" i="14"/>
  <c r="M86" i="14"/>
  <c r="L86" i="14"/>
  <c r="AN86" i="14" s="1"/>
  <c r="K86" i="14"/>
  <c r="J86" i="14"/>
  <c r="I86" i="14"/>
  <c r="H86" i="14"/>
  <c r="G86" i="14"/>
  <c r="F86" i="14"/>
  <c r="E86" i="14"/>
  <c r="D86" i="14"/>
  <c r="AN85" i="14"/>
  <c r="AJ85" i="14"/>
  <c r="AQ85" i="14" s="1"/>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O85" i="14" s="1"/>
  <c r="C85" i="14"/>
  <c r="AJ84" i="14"/>
  <c r="AQ84" i="14" s="1"/>
  <c r="AR19" i="14" s="1"/>
  <c r="AI84" i="14"/>
  <c r="AH84" i="14"/>
  <c r="AG84" i="14"/>
  <c r="AF84" i="14"/>
  <c r="AE84" i="14"/>
  <c r="AD84" i="14"/>
  <c r="AC84" i="14"/>
  <c r="AB84" i="14"/>
  <c r="AA84" i="14"/>
  <c r="Z84" i="14"/>
  <c r="Y84" i="14"/>
  <c r="X84" i="14"/>
  <c r="W84" i="14"/>
  <c r="V84" i="14"/>
  <c r="U84" i="14"/>
  <c r="T84" i="14"/>
  <c r="S84" i="14"/>
  <c r="R84" i="14"/>
  <c r="Q84" i="14"/>
  <c r="P84" i="14"/>
  <c r="O84" i="14"/>
  <c r="N84" i="14"/>
  <c r="M84" i="14"/>
  <c r="L84" i="14"/>
  <c r="AN84" i="14" s="1"/>
  <c r="K84" i="14"/>
  <c r="J84" i="14"/>
  <c r="I84" i="14"/>
  <c r="H84" i="14"/>
  <c r="G84" i="14"/>
  <c r="F84" i="14"/>
  <c r="E84" i="14"/>
  <c r="D84" i="14"/>
  <c r="C84" i="14"/>
  <c r="AJ83" i="14"/>
  <c r="AI83" i="14"/>
  <c r="AH83" i="14"/>
  <c r="AG83" i="14"/>
  <c r="AF83" i="14"/>
  <c r="AE83" i="14"/>
  <c r="AD83" i="14"/>
  <c r="AC83" i="14"/>
  <c r="AB83" i="14"/>
  <c r="AA83" i="14"/>
  <c r="Z83" i="14"/>
  <c r="Y83" i="14"/>
  <c r="X83" i="14"/>
  <c r="W83" i="14"/>
  <c r="V83" i="14"/>
  <c r="U83" i="14"/>
  <c r="T83" i="14"/>
  <c r="AM83" i="14" s="1"/>
  <c r="S83" i="14"/>
  <c r="R83" i="14"/>
  <c r="Q83" i="14"/>
  <c r="P83" i="14"/>
  <c r="O83" i="14"/>
  <c r="N83" i="14"/>
  <c r="M83" i="14"/>
  <c r="L83" i="14"/>
  <c r="AN83" i="14" s="1"/>
  <c r="K83" i="14"/>
  <c r="J83" i="14"/>
  <c r="I83" i="14"/>
  <c r="H83" i="14"/>
  <c r="G83" i="14"/>
  <c r="F83" i="14"/>
  <c r="E83" i="14"/>
  <c r="D83" i="14"/>
  <c r="AN82" i="14"/>
  <c r="AJ82" i="14"/>
  <c r="AQ82" i="14" s="1"/>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O82" i="14" s="1"/>
  <c r="AJ81" i="14"/>
  <c r="AQ81" i="14" s="1"/>
  <c r="AI81" i="14"/>
  <c r="AH81" i="14"/>
  <c r="AG81" i="14"/>
  <c r="AF81" i="14"/>
  <c r="AE81" i="14"/>
  <c r="AD81" i="14"/>
  <c r="AC81" i="14"/>
  <c r="AB81" i="14"/>
  <c r="AA81" i="14"/>
  <c r="Z81" i="14"/>
  <c r="Y81" i="14"/>
  <c r="X81" i="14"/>
  <c r="W81" i="14"/>
  <c r="V81" i="14"/>
  <c r="U81" i="14"/>
  <c r="T81" i="14"/>
  <c r="S81" i="14"/>
  <c r="R81" i="14"/>
  <c r="Q81" i="14"/>
  <c r="P81" i="14"/>
  <c r="O81" i="14"/>
  <c r="N81" i="14"/>
  <c r="M81" i="14"/>
  <c r="L81" i="14"/>
  <c r="AN81" i="14" s="1"/>
  <c r="K81" i="14"/>
  <c r="J81" i="14"/>
  <c r="I81" i="14"/>
  <c r="H81" i="14"/>
  <c r="G81" i="14"/>
  <c r="F81" i="14"/>
  <c r="E81" i="14"/>
  <c r="D81" i="14"/>
  <c r="AJ80" i="14"/>
  <c r="AQ80" i="14" s="1"/>
  <c r="AI80" i="14"/>
  <c r="AH80" i="14"/>
  <c r="AG80" i="14"/>
  <c r="AF80" i="14"/>
  <c r="AE80" i="14"/>
  <c r="AD80" i="14"/>
  <c r="AC80" i="14"/>
  <c r="AB80" i="14"/>
  <c r="AA80" i="14"/>
  <c r="Z80" i="14"/>
  <c r="Y80" i="14"/>
  <c r="X80" i="14"/>
  <c r="W80" i="14"/>
  <c r="V80" i="14"/>
  <c r="U80" i="14"/>
  <c r="T80" i="14"/>
  <c r="AM80" i="14" s="1"/>
  <c r="S80" i="14"/>
  <c r="R80" i="14"/>
  <c r="Q80" i="14"/>
  <c r="P80" i="14"/>
  <c r="O80" i="14"/>
  <c r="N80" i="14"/>
  <c r="M80" i="14"/>
  <c r="L80" i="14"/>
  <c r="AN80" i="14" s="1"/>
  <c r="K80" i="14"/>
  <c r="J80" i="14"/>
  <c r="I80" i="14"/>
  <c r="H80" i="14"/>
  <c r="G80" i="14"/>
  <c r="F80" i="14"/>
  <c r="E80" i="14"/>
  <c r="D80" i="14"/>
  <c r="C80" i="14"/>
  <c r="AN79" i="14"/>
  <c r="AJ79" i="14"/>
  <c r="AQ79" i="14" s="1"/>
  <c r="AI79" i="14"/>
  <c r="AH79" i="14"/>
  <c r="AG79" i="14"/>
  <c r="AF79" i="14"/>
  <c r="AE79" i="14"/>
  <c r="AD79" i="14"/>
  <c r="AC79" i="14"/>
  <c r="AB79" i="14"/>
  <c r="AA79" i="14"/>
  <c r="Z79" i="14"/>
  <c r="Y79" i="14"/>
  <c r="X79" i="14"/>
  <c r="W79" i="14"/>
  <c r="V79" i="14"/>
  <c r="U79" i="14"/>
  <c r="T79" i="14"/>
  <c r="AM79" i="14" s="1"/>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AN78" i="14" s="1"/>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AN77" i="14" s="1"/>
  <c r="K77" i="14"/>
  <c r="J77" i="14"/>
  <c r="I77" i="14"/>
  <c r="H77" i="14"/>
  <c r="G77" i="14"/>
  <c r="F77" i="14"/>
  <c r="E77" i="14"/>
  <c r="D77" i="14"/>
  <c r="AJ76" i="14"/>
  <c r="AI76" i="14"/>
  <c r="AH76" i="14"/>
  <c r="AG76" i="14"/>
  <c r="AF76" i="14"/>
  <c r="AE76" i="14"/>
  <c r="AD76" i="14"/>
  <c r="AC76" i="14"/>
  <c r="AB76" i="14"/>
  <c r="AL76" i="14" s="1"/>
  <c r="AA76" i="14"/>
  <c r="Z76" i="14"/>
  <c r="Y76" i="14"/>
  <c r="X76" i="14"/>
  <c r="W76" i="14"/>
  <c r="V76" i="14"/>
  <c r="U76" i="14"/>
  <c r="T76" i="14"/>
  <c r="S76" i="14"/>
  <c r="R76" i="14"/>
  <c r="Q76" i="14"/>
  <c r="P76" i="14"/>
  <c r="O76" i="14"/>
  <c r="N76" i="14"/>
  <c r="M76" i="14"/>
  <c r="L76" i="14"/>
  <c r="AN76" i="14" s="1"/>
  <c r="K76" i="14"/>
  <c r="J76" i="14"/>
  <c r="I76" i="14"/>
  <c r="H76" i="14"/>
  <c r="G76" i="14"/>
  <c r="F76" i="14"/>
  <c r="E76" i="14"/>
  <c r="D76" i="14"/>
  <c r="AO76" i="14" s="1"/>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AN75" i="14" s="1"/>
  <c r="K75" i="14"/>
  <c r="J75" i="14"/>
  <c r="I75" i="14"/>
  <c r="H75" i="14"/>
  <c r="G75" i="14"/>
  <c r="F75" i="14"/>
  <c r="E75" i="14"/>
  <c r="D75" i="14"/>
  <c r="C75" i="14"/>
  <c r="AJ74" i="14"/>
  <c r="AI74" i="14"/>
  <c r="AH74" i="14"/>
  <c r="AG74" i="14"/>
  <c r="AF74" i="14"/>
  <c r="AE74" i="14"/>
  <c r="AD74" i="14"/>
  <c r="AC74" i="14"/>
  <c r="AB74" i="14"/>
  <c r="AA74" i="14"/>
  <c r="Z74" i="14"/>
  <c r="Y74" i="14"/>
  <c r="X74" i="14"/>
  <c r="W74" i="14"/>
  <c r="V74" i="14"/>
  <c r="U74" i="14"/>
  <c r="T74" i="14"/>
  <c r="AM74" i="14" s="1"/>
  <c r="S74" i="14"/>
  <c r="R74" i="14"/>
  <c r="Q74" i="14"/>
  <c r="P74" i="14"/>
  <c r="O74" i="14"/>
  <c r="N74" i="14"/>
  <c r="M74" i="14"/>
  <c r="L74" i="14"/>
  <c r="AN74" i="14" s="1"/>
  <c r="K74" i="14"/>
  <c r="J74" i="14"/>
  <c r="I74" i="14"/>
  <c r="H74" i="14"/>
  <c r="G74" i="14"/>
  <c r="F74" i="14"/>
  <c r="E74" i="14"/>
  <c r="D74" i="14"/>
  <c r="C74" i="14"/>
  <c r="AN73"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O73" i="14" s="1"/>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AN72" i="14" s="1"/>
  <c r="K72" i="14"/>
  <c r="J72" i="14"/>
  <c r="I72" i="14"/>
  <c r="H72" i="14"/>
  <c r="G72" i="14"/>
  <c r="F72" i="14"/>
  <c r="E72" i="14"/>
  <c r="D72" i="14"/>
  <c r="C72" i="14"/>
  <c r="AJ71" i="14"/>
  <c r="AI71" i="14"/>
  <c r="AH71" i="14"/>
  <c r="AG71" i="14"/>
  <c r="AF71" i="14"/>
  <c r="AE71" i="14"/>
  <c r="AD71" i="14"/>
  <c r="AC71" i="14"/>
  <c r="AB71" i="14"/>
  <c r="AA71" i="14"/>
  <c r="Z71" i="14"/>
  <c r="Y71" i="14"/>
  <c r="X71" i="14"/>
  <c r="W71" i="14"/>
  <c r="V71" i="14"/>
  <c r="U71" i="14"/>
  <c r="T71" i="14"/>
  <c r="AM71" i="14" s="1"/>
  <c r="S71" i="14"/>
  <c r="R71" i="14"/>
  <c r="Q71" i="14"/>
  <c r="P71" i="14"/>
  <c r="O71" i="14"/>
  <c r="N71" i="14"/>
  <c r="M71" i="14"/>
  <c r="L71" i="14"/>
  <c r="AN71" i="14" s="1"/>
  <c r="K71" i="14"/>
  <c r="J71" i="14"/>
  <c r="I71" i="14"/>
  <c r="H71" i="14"/>
  <c r="G71" i="14"/>
  <c r="F71" i="14"/>
  <c r="E71" i="14"/>
  <c r="D71" i="14"/>
  <c r="AO71" i="14" s="1"/>
  <c r="C71" i="14"/>
  <c r="AT70" i="14"/>
  <c r="AS70" i="14"/>
  <c r="AT69" i="14"/>
  <c r="AS69" i="14"/>
  <c r="C69" i="14"/>
  <c r="AT68" i="14"/>
  <c r="AS68" i="14"/>
  <c r="AR68" i="14"/>
  <c r="C68" i="14"/>
  <c r="C133" i="14" s="1"/>
  <c r="AT67" i="14"/>
  <c r="AS67" i="14"/>
  <c r="C67" i="14"/>
  <c r="AT66" i="14"/>
  <c r="AS66" i="14"/>
  <c r="C66" i="14"/>
  <c r="AT65" i="14"/>
  <c r="AS65" i="14"/>
  <c r="AR65" i="14"/>
  <c r="C65" i="14"/>
  <c r="AT64" i="14"/>
  <c r="AS64" i="14"/>
  <c r="C64" i="14"/>
  <c r="C129" i="14" s="1"/>
  <c r="AT63" i="14"/>
  <c r="AS63" i="14"/>
  <c r="C63" i="14"/>
  <c r="AT62" i="14"/>
  <c r="AS62" i="14"/>
  <c r="AR62" i="14"/>
  <c r="C62" i="14"/>
  <c r="C127" i="14" s="1"/>
  <c r="AT61" i="14"/>
  <c r="AS61" i="14"/>
  <c r="C61" i="14"/>
  <c r="AT60" i="14"/>
  <c r="AS60" i="14"/>
  <c r="C60" i="14"/>
  <c r="AT59" i="14"/>
  <c r="AS59" i="14"/>
  <c r="AR59" i="14"/>
  <c r="C59" i="14"/>
  <c r="AT58" i="14"/>
  <c r="AS58" i="14"/>
  <c r="C58" i="14"/>
  <c r="C123" i="14" s="1"/>
  <c r="AT57" i="14"/>
  <c r="AS57" i="14"/>
  <c r="C57" i="14"/>
  <c r="AT56" i="14"/>
  <c r="AS56" i="14"/>
  <c r="AR56" i="14"/>
  <c r="C56" i="14"/>
  <c r="C121" i="14" s="1"/>
  <c r="AT55" i="14"/>
  <c r="AS55" i="14"/>
  <c r="C55" i="14"/>
  <c r="AT54" i="14"/>
  <c r="AS54" i="14"/>
  <c r="C54" i="14"/>
  <c r="AT53" i="14"/>
  <c r="AS53" i="14"/>
  <c r="AR53" i="14"/>
  <c r="C53" i="14"/>
  <c r="AT52" i="14"/>
  <c r="AS52" i="14"/>
  <c r="C52" i="14"/>
  <c r="C117" i="14" s="1"/>
  <c r="AT51" i="14"/>
  <c r="AS51" i="14"/>
  <c r="C51" i="14"/>
  <c r="AT50" i="14"/>
  <c r="AS50" i="14"/>
  <c r="AR50" i="14"/>
  <c r="C50" i="14"/>
  <c r="C180" i="14" s="1"/>
  <c r="AT49" i="14"/>
  <c r="AS49" i="14"/>
  <c r="C49" i="14"/>
  <c r="C179" i="14" s="1"/>
  <c r="AT48" i="14"/>
  <c r="AS48" i="14"/>
  <c r="C48" i="14"/>
  <c r="AT47" i="14"/>
  <c r="AS47" i="14"/>
  <c r="AR47" i="14"/>
  <c r="C47" i="14"/>
  <c r="C177" i="14" s="1"/>
  <c r="AT46" i="14"/>
  <c r="AS46" i="14"/>
  <c r="C46" i="14"/>
  <c r="C111" i="14" s="1"/>
  <c r="AT45" i="14"/>
  <c r="AS45" i="14"/>
  <c r="C45" i="14"/>
  <c r="C175" i="14" s="1"/>
  <c r="AT44" i="14"/>
  <c r="AS44" i="14"/>
  <c r="AR44" i="14"/>
  <c r="C44" i="14"/>
  <c r="C174" i="14" s="1"/>
  <c r="AT43" i="14"/>
  <c r="AS43" i="14"/>
  <c r="C43" i="14"/>
  <c r="C173" i="14" s="1"/>
  <c r="AT42" i="14"/>
  <c r="AS42" i="14"/>
  <c r="C42" i="14"/>
  <c r="AT41" i="14"/>
  <c r="AS41" i="14"/>
  <c r="AR41" i="14"/>
  <c r="C41" i="14"/>
  <c r="C171" i="14" s="1"/>
  <c r="AT40" i="14"/>
  <c r="AS40" i="14"/>
  <c r="C40" i="14"/>
  <c r="AT39" i="14"/>
  <c r="AS39" i="14"/>
  <c r="C39" i="14"/>
  <c r="C169" i="14" s="1"/>
  <c r="AT38" i="14"/>
  <c r="AR38" i="14"/>
  <c r="C38" i="14"/>
  <c r="C168" i="14" s="1"/>
  <c r="C37" i="14"/>
  <c r="C167" i="14" s="1"/>
  <c r="C36" i="14"/>
  <c r="C166" i="14" s="1"/>
  <c r="AR35" i="14"/>
  <c r="C35" i="14"/>
  <c r="C165" i="14" s="1"/>
  <c r="C34" i="14"/>
  <c r="C33" i="14"/>
  <c r="C163" i="14" s="1"/>
  <c r="C32" i="14"/>
  <c r="C162" i="14" s="1"/>
  <c r="C31" i="14"/>
  <c r="C161" i="14" s="1"/>
  <c r="C30" i="14"/>
  <c r="C160" i="14" s="1"/>
  <c r="C29" i="14"/>
  <c r="C159" i="14" s="1"/>
  <c r="C28" i="14"/>
  <c r="C158" i="14" s="1"/>
  <c r="C27" i="14"/>
  <c r="C157" i="14" s="1"/>
  <c r="AR26" i="14"/>
  <c r="C26" i="14"/>
  <c r="C156" i="14" s="1"/>
  <c r="AS25" i="14"/>
  <c r="C25" i="14"/>
  <c r="C155" i="14" s="1"/>
  <c r="AS24" i="14"/>
  <c r="C24" i="14"/>
  <c r="C154" i="14" s="1"/>
  <c r="C23" i="14"/>
  <c r="C153" i="14" s="1"/>
  <c r="C22" i="14"/>
  <c r="C87" i="14" s="1"/>
  <c r="AS21" i="14"/>
  <c r="C21" i="14"/>
  <c r="C151" i="14" s="1"/>
  <c r="C20" i="14"/>
  <c r="C150" i="14" s="1"/>
  <c r="C19" i="14"/>
  <c r="C149" i="14" s="1"/>
  <c r="C18" i="14"/>
  <c r="C148" i="14" s="1"/>
  <c r="AS17" i="14"/>
  <c r="AR17" i="14"/>
  <c r="C17" i="14"/>
  <c r="C147" i="14" s="1"/>
  <c r="AS16" i="14"/>
  <c r="AR16" i="14"/>
  <c r="C16" i="14"/>
  <c r="C146" i="14" s="1"/>
  <c r="C15" i="14"/>
  <c r="C145" i="14" s="1"/>
  <c r="C14" i="14"/>
  <c r="C144" i="14" s="1"/>
  <c r="AW13" i="14"/>
  <c r="AL13" i="14"/>
  <c r="AT13" i="14" s="1"/>
  <c r="C13" i="14"/>
  <c r="C143" i="14" s="1"/>
  <c r="AL12" i="14"/>
  <c r="AT12" i="14" s="1"/>
  <c r="C12" i="14"/>
  <c r="C142" i="14" s="1"/>
  <c r="AL11" i="14"/>
  <c r="AT11" i="14" s="1"/>
  <c r="C11" i="14"/>
  <c r="C141" i="14" s="1"/>
  <c r="AL10" i="14"/>
  <c r="AT10" i="14" s="1"/>
  <c r="C10" i="14"/>
  <c r="AL9" i="14"/>
  <c r="AT9" i="14" s="1"/>
  <c r="C9" i="14"/>
  <c r="C139" i="14" s="1"/>
  <c r="C8" i="14"/>
  <c r="C7" i="14"/>
  <c r="C137" i="14" s="1"/>
  <c r="AW6" i="14"/>
  <c r="B6" i="14" s="1"/>
  <c r="B136" i="14" s="1"/>
  <c r="AT6" i="14"/>
  <c r="AL6" i="14"/>
  <c r="C6" i="14"/>
  <c r="C136" i="14" s="1"/>
  <c r="B3" i="14"/>
  <c r="AW7" i="14" s="1"/>
  <c r="AU11" i="14" s="1"/>
  <c r="AO138" i="14" l="1"/>
  <c r="AS37" i="14"/>
  <c r="AQ89" i="14"/>
  <c r="AR24" i="14" s="1"/>
  <c r="AQ97" i="14"/>
  <c r="AR32" i="14" s="1"/>
  <c r="AQ148" i="14"/>
  <c r="AS18" i="14" s="1"/>
  <c r="AQ83" i="14"/>
  <c r="AR18" i="14" s="1"/>
  <c r="AQ86" i="14"/>
  <c r="AQ94" i="14"/>
  <c r="AR29" i="14" s="1"/>
  <c r="AQ150" i="14"/>
  <c r="AS20" i="14" s="1"/>
  <c r="AQ157" i="14"/>
  <c r="AS27" i="14" s="1"/>
  <c r="AQ159" i="14"/>
  <c r="AS29" i="14" s="1"/>
  <c r="AQ164" i="14"/>
  <c r="AS34" i="14" s="1"/>
  <c r="AQ166" i="14"/>
  <c r="AQ152" i="14"/>
  <c r="AS22" i="14" s="1"/>
  <c r="AQ161" i="14"/>
  <c r="AS31" i="14" s="1"/>
  <c r="AQ156" i="14"/>
  <c r="AS26" i="14" s="1"/>
  <c r="AQ163" i="14"/>
  <c r="AS33" i="14" s="1"/>
  <c r="AL94" i="14"/>
  <c r="AL153" i="14"/>
  <c r="AL159" i="14"/>
  <c r="AS30" i="14"/>
  <c r="AL83" i="14"/>
  <c r="AL88" i="14"/>
  <c r="AL138" i="14"/>
  <c r="AL154" i="14"/>
  <c r="AL136" i="14"/>
  <c r="AL150" i="14"/>
  <c r="AL166" i="14"/>
  <c r="AR20" i="14"/>
  <c r="AL82" i="14"/>
  <c r="AL145" i="14"/>
  <c r="AL147" i="14"/>
  <c r="AL156" i="14"/>
  <c r="AL163" i="14"/>
  <c r="AS28" i="14"/>
  <c r="AL141" i="14"/>
  <c r="AL167" i="14"/>
  <c r="AS36" i="14"/>
  <c r="AL77" i="14"/>
  <c r="AR31" i="14"/>
  <c r="AL101" i="14"/>
  <c r="AL142" i="14"/>
  <c r="AL160" i="14"/>
  <c r="AL165" i="14"/>
  <c r="AR23" i="14"/>
  <c r="AL89" i="14"/>
  <c r="AL157" i="14"/>
  <c r="AL79" i="14"/>
  <c r="AL95" i="14"/>
  <c r="AL144" i="14"/>
  <c r="AL151" i="14"/>
  <c r="AL162" i="14"/>
  <c r="C187" i="14"/>
  <c r="C122" i="14"/>
  <c r="AM77" i="14"/>
  <c r="C78" i="14"/>
  <c r="AO79" i="14"/>
  <c r="AR28" i="14"/>
  <c r="AM95" i="14"/>
  <c r="AO97" i="14"/>
  <c r="AR34" i="14"/>
  <c r="AM101" i="14"/>
  <c r="AO103" i="14"/>
  <c r="AR40" i="14"/>
  <c r="AM110" i="14"/>
  <c r="AO111" i="14"/>
  <c r="AM113" i="14"/>
  <c r="AL114" i="14"/>
  <c r="C152" i="14"/>
  <c r="C119" i="14"/>
  <c r="C184" i="14"/>
  <c r="AO72" i="14"/>
  <c r="AL72" i="14"/>
  <c r="AL73" i="14"/>
  <c r="AM76" i="14"/>
  <c r="C77" i="14"/>
  <c r="AO78" i="14"/>
  <c r="AL78" i="14"/>
  <c r="AR15" i="14"/>
  <c r="AM82" i="14"/>
  <c r="C83" i="14"/>
  <c r="AO84" i="14"/>
  <c r="AL84" i="14"/>
  <c r="AL85" i="14"/>
  <c r="AR21" i="14"/>
  <c r="C89" i="14"/>
  <c r="AO90" i="14"/>
  <c r="AL90" i="14"/>
  <c r="AL91" i="14"/>
  <c r="AR27" i="14"/>
  <c r="AM94" i="14"/>
  <c r="C95" i="14"/>
  <c r="AO96" i="14"/>
  <c r="AL96" i="14"/>
  <c r="AL97" i="14"/>
  <c r="AR33" i="14"/>
  <c r="AM100" i="14"/>
  <c r="C101" i="14"/>
  <c r="AO102" i="14"/>
  <c r="AL102" i="14"/>
  <c r="AL103" i="14"/>
  <c r="AR39" i="14"/>
  <c r="AM106" i="14"/>
  <c r="AO107" i="14"/>
  <c r="AR43" i="14"/>
  <c r="C110" i="14"/>
  <c r="AL111" i="14"/>
  <c r="AR54" i="14"/>
  <c r="AR55" i="14"/>
  <c r="AR63" i="14"/>
  <c r="AR64" i="14"/>
  <c r="C181" i="14"/>
  <c r="C116" i="14"/>
  <c r="C199" i="14"/>
  <c r="C134" i="14"/>
  <c r="AL71" i="14"/>
  <c r="AQ71" i="14" s="1"/>
  <c r="AR6" i="14" s="1"/>
  <c r="AM75" i="14"/>
  <c r="C76" i="14"/>
  <c r="AO77" i="14"/>
  <c r="AM81" i="14"/>
  <c r="C82" i="14"/>
  <c r="AO83" i="14"/>
  <c r="AM87" i="14"/>
  <c r="AO89" i="14"/>
  <c r="AM93" i="14"/>
  <c r="AO95" i="14"/>
  <c r="AM99" i="14"/>
  <c r="AO101" i="14"/>
  <c r="AM105" i="14"/>
  <c r="AL107" i="14"/>
  <c r="AR46" i="14"/>
  <c r="AO113" i="14"/>
  <c r="AR49" i="14"/>
  <c r="C138" i="14"/>
  <c r="AU10" i="14"/>
  <c r="C113" i="14"/>
  <c r="C178" i="14"/>
  <c r="C131" i="14"/>
  <c r="C196" i="14"/>
  <c r="C81" i="14"/>
  <c r="C93" i="14"/>
  <c r="AR42" i="14"/>
  <c r="AM108" i="14"/>
  <c r="AL113" i="14"/>
  <c r="AR51" i="14"/>
  <c r="AR52" i="14"/>
  <c r="AR60" i="14"/>
  <c r="AR61" i="14"/>
  <c r="AR70" i="14"/>
  <c r="AR69" i="14"/>
  <c r="C193" i="14"/>
  <c r="C128" i="14"/>
  <c r="AM73" i="14"/>
  <c r="AQ73" i="14" s="1"/>
  <c r="AR8" i="14" s="1"/>
  <c r="AO75" i="14"/>
  <c r="AQ77" i="14"/>
  <c r="AR12" i="14" s="1"/>
  <c r="AO81" i="14"/>
  <c r="AM85" i="14"/>
  <c r="C86" i="14"/>
  <c r="AO87" i="14"/>
  <c r="C92" i="14"/>
  <c r="AO93" i="14"/>
  <c r="AR30" i="14"/>
  <c r="AM97" i="14"/>
  <c r="C98" i="14"/>
  <c r="AO99" i="14"/>
  <c r="AR36" i="14"/>
  <c r="AM103" i="14"/>
  <c r="C104" i="14"/>
  <c r="AO105" i="14"/>
  <c r="C107" i="14"/>
  <c r="C172" i="14"/>
  <c r="C125" i="14"/>
  <c r="C190" i="14"/>
  <c r="AM72" i="14"/>
  <c r="AQ72" i="14" s="1"/>
  <c r="AR7" i="14" s="1"/>
  <c r="C73" i="14"/>
  <c r="AO74" i="14"/>
  <c r="AL74" i="14"/>
  <c r="AL75" i="14"/>
  <c r="AQ76" i="14"/>
  <c r="AR11" i="14" s="1"/>
  <c r="AM78" i="14"/>
  <c r="AO80" i="14"/>
  <c r="AL80" i="14"/>
  <c r="AL81" i="14"/>
  <c r="AM84" i="14"/>
  <c r="AO86" i="14"/>
  <c r="AL86" i="14"/>
  <c r="AL87" i="14"/>
  <c r="AM90" i="14"/>
  <c r="AL92" i="14"/>
  <c r="AL93" i="14"/>
  <c r="AM96" i="14"/>
  <c r="AO98" i="14"/>
  <c r="AL98" i="14"/>
  <c r="AL99" i="14"/>
  <c r="AM102" i="14"/>
  <c r="AO104" i="14"/>
  <c r="AL104" i="14"/>
  <c r="AL105" i="14"/>
  <c r="AM107" i="14"/>
  <c r="AO108" i="14"/>
  <c r="AL108" i="14"/>
  <c r="AL109" i="14"/>
  <c r="AR57" i="14"/>
  <c r="AR58" i="14"/>
  <c r="AR66" i="14"/>
  <c r="AR67" i="14"/>
  <c r="AO114" i="14"/>
  <c r="AN117" i="14"/>
  <c r="AM136" i="14"/>
  <c r="AO137" i="14"/>
  <c r="AL137" i="14"/>
  <c r="AM139" i="14"/>
  <c r="AQ139" i="14" s="1"/>
  <c r="AS9" i="14" s="1"/>
  <c r="AO140" i="14"/>
  <c r="AL140" i="14"/>
  <c r="AQ141" i="14"/>
  <c r="AS11" i="14" s="1"/>
  <c r="AM142" i="14"/>
  <c r="AO143" i="14"/>
  <c r="AL143" i="14"/>
  <c r="AM145" i="14"/>
  <c r="AO146" i="14"/>
  <c r="AL146" i="14"/>
  <c r="AM148" i="14"/>
  <c r="AO149" i="14"/>
  <c r="AL149" i="14"/>
  <c r="AM151" i="14"/>
  <c r="AO152" i="14"/>
  <c r="AL152" i="14"/>
  <c r="AM154" i="14"/>
  <c r="AO155" i="14"/>
  <c r="AL155" i="14"/>
  <c r="AM157" i="14"/>
  <c r="AO158" i="14"/>
  <c r="AL158" i="14"/>
  <c r="AM160" i="14"/>
  <c r="AO161" i="14"/>
  <c r="AL161" i="14"/>
  <c r="AM163" i="14"/>
  <c r="AO164" i="14"/>
  <c r="AL164" i="14"/>
  <c r="AM166" i="14"/>
  <c r="AO167" i="14"/>
  <c r="AM169" i="14"/>
  <c r="AO170" i="14"/>
  <c r="AL170" i="14"/>
  <c r="AM172" i="14"/>
  <c r="AO173" i="14"/>
  <c r="AM175" i="14"/>
  <c r="AO176" i="14"/>
  <c r="AL176" i="14"/>
  <c r="AM178" i="14"/>
  <c r="AO179" i="14"/>
  <c r="AM181" i="14"/>
  <c r="AO182" i="14"/>
  <c r="AL182" i="14"/>
  <c r="AM184" i="14"/>
  <c r="AO185" i="14"/>
  <c r="AL185" i="14"/>
  <c r="AM187" i="14"/>
  <c r="AO188" i="14"/>
  <c r="AL188" i="14"/>
  <c r="AM190" i="14"/>
  <c r="AO191" i="14"/>
  <c r="AL191" i="14"/>
  <c r="AM193" i="14"/>
  <c r="AO194" i="14"/>
  <c r="AM196" i="14"/>
  <c r="AO197" i="14"/>
  <c r="AL197" i="14"/>
  <c r="AM199" i="14"/>
  <c r="C185" i="14"/>
  <c r="C120" i="14"/>
  <c r="C191" i="14"/>
  <c r="C126" i="14"/>
  <c r="C197" i="14"/>
  <c r="C132" i="14"/>
  <c r="B71" i="14"/>
  <c r="AN115" i="14"/>
  <c r="AN118" i="14"/>
  <c r="AO120" i="14"/>
  <c r="AN121" i="14"/>
  <c r="AN124" i="14"/>
  <c r="AO126" i="14"/>
  <c r="AN127" i="14"/>
  <c r="AN130" i="14"/>
  <c r="AO132" i="14"/>
  <c r="AN133" i="14"/>
  <c r="AL179" i="14"/>
  <c r="AL194" i="14"/>
  <c r="AN114" i="14"/>
  <c r="AQ140" i="14"/>
  <c r="AS10" i="14" s="1"/>
  <c r="C183" i="14"/>
  <c r="C118" i="14"/>
  <c r="C189" i="14"/>
  <c r="C124" i="14"/>
  <c r="C195" i="14"/>
  <c r="C130" i="14"/>
  <c r="AM115" i="14"/>
  <c r="AO116" i="14"/>
  <c r="AM118" i="14"/>
  <c r="AN120" i="14"/>
  <c r="AM121" i="14"/>
  <c r="AO122" i="14"/>
  <c r="AN123" i="14"/>
  <c r="AM124" i="14"/>
  <c r="AN126" i="14"/>
  <c r="AM127" i="14"/>
  <c r="AO128" i="14"/>
  <c r="AN129" i="14"/>
  <c r="AM130" i="14"/>
  <c r="AN132" i="14"/>
  <c r="AM133" i="14"/>
  <c r="AO134" i="14"/>
  <c r="C186" i="14"/>
  <c r="C192" i="14"/>
  <c r="AL196" i="14"/>
  <c r="C198" i="14"/>
  <c r="AM114" i="14"/>
  <c r="AQ136" i="14"/>
  <c r="AS6" i="14" s="1"/>
  <c r="AM137" i="14"/>
  <c r="AM140" i="14"/>
  <c r="AQ142" i="14"/>
  <c r="AS12" i="14" s="1"/>
  <c r="AM143" i="14"/>
  <c r="AM146" i="14"/>
  <c r="AM149" i="14"/>
  <c r="AM152" i="14"/>
  <c r="AM155" i="14"/>
  <c r="AM158" i="14"/>
  <c r="AM161" i="14"/>
  <c r="AM164" i="14"/>
  <c r="AM167" i="14"/>
  <c r="AM170" i="14"/>
  <c r="AM173" i="14"/>
  <c r="AM176" i="14"/>
  <c r="AM179" i="14"/>
  <c r="AM182" i="14"/>
  <c r="AM185" i="14"/>
  <c r="AM188" i="14"/>
  <c r="AM191" i="14"/>
  <c r="AM194" i="14"/>
  <c r="AM197" i="14"/>
  <c r="AQ138" i="14" l="1"/>
  <c r="AS8" i="14" s="1"/>
  <c r="AQ137" i="14"/>
  <c r="AS7" i="14" s="1"/>
  <c r="AQ74" i="14"/>
  <c r="AR9" i="14" s="1"/>
  <c r="AQ75" i="14"/>
  <c r="AR10" i="14" s="1"/>
  <c r="AQ78" i="14"/>
  <c r="AQ143" i="14"/>
  <c r="AS14" i="14" s="1"/>
  <c r="AR13" i="14"/>
  <c r="AR14" i="14"/>
  <c r="AS13" i="14" l="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AN196" i="9" s="1"/>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S65"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S50"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S48"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S40"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T163" i="9"/>
  <c r="S163" i="9"/>
  <c r="R163" i="9"/>
  <c r="Q163" i="9"/>
  <c r="P163" i="9"/>
  <c r="O163" i="9"/>
  <c r="N163" i="9"/>
  <c r="AN163" i="9" s="1"/>
  <c r="M163" i="9"/>
  <c r="L163" i="9"/>
  <c r="K163" i="9"/>
  <c r="J163" i="9"/>
  <c r="I163" i="9"/>
  <c r="H163" i="9"/>
  <c r="G163" i="9"/>
  <c r="F163" i="9"/>
  <c r="E163" i="9"/>
  <c r="D163" i="9"/>
  <c r="AJ162" i="9"/>
  <c r="AQ162" i="9" s="1"/>
  <c r="AS3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R48"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Q105" i="9"/>
  <c r="AJ105" i="9"/>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AO105" i="9" s="1"/>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R29"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Q92"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C65" i="9"/>
  <c r="AT64" i="9"/>
  <c r="C64" i="9"/>
  <c r="AT63" i="9"/>
  <c r="AR63" i="9"/>
  <c r="C63" i="9"/>
  <c r="AT62" i="9"/>
  <c r="C62" i="9"/>
  <c r="AT61" i="9"/>
  <c r="C61" i="9"/>
  <c r="AT60" i="9"/>
  <c r="C60" i="9"/>
  <c r="C190" i="9" s="1"/>
  <c r="AT59" i="9"/>
  <c r="C59" i="9"/>
  <c r="C189" i="9" s="1"/>
  <c r="AT58" i="9"/>
  <c r="AR58" i="9"/>
  <c r="C58" i="9"/>
  <c r="AT57" i="9"/>
  <c r="C57" i="9"/>
  <c r="AT56" i="9"/>
  <c r="AS56" i="9"/>
  <c r="C56" i="9"/>
  <c r="AT55" i="9"/>
  <c r="AS55" i="9"/>
  <c r="C55" i="9"/>
  <c r="AT54" i="9"/>
  <c r="AS54" i="9"/>
  <c r="C54" i="9"/>
  <c r="AT53" i="9"/>
  <c r="C53" i="9"/>
  <c r="C183" i="9" s="1"/>
  <c r="AT52" i="9"/>
  <c r="C52" i="9"/>
  <c r="AT51" i="9"/>
  <c r="C51" i="9"/>
  <c r="AT50" i="9"/>
  <c r="C50" i="9"/>
  <c r="AT49" i="9"/>
  <c r="C49" i="9"/>
  <c r="AT48" i="9"/>
  <c r="C48" i="9"/>
  <c r="AT47" i="9"/>
  <c r="C47" i="9"/>
  <c r="AT46" i="9"/>
  <c r="C46" i="9"/>
  <c r="AT45" i="9"/>
  <c r="C45" i="9"/>
  <c r="C175" i="9" s="1"/>
  <c r="AT44" i="9"/>
  <c r="C44" i="9"/>
  <c r="AT43" i="9"/>
  <c r="C43" i="9"/>
  <c r="C173" i="9" s="1"/>
  <c r="AT42" i="9"/>
  <c r="C42" i="9"/>
  <c r="AT41" i="9"/>
  <c r="C41" i="9"/>
  <c r="AT40" i="9"/>
  <c r="C40" i="9"/>
  <c r="AT39" i="9"/>
  <c r="C39" i="9"/>
  <c r="AT38" i="9"/>
  <c r="C38" i="9"/>
  <c r="C37" i="9"/>
  <c r="C167" i="9" s="1"/>
  <c r="C36" i="9"/>
  <c r="C166" i="9" s="1"/>
  <c r="AS35" i="9"/>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Q93" i="9" l="1"/>
  <c r="AQ95" i="9"/>
  <c r="AR30" i="9" s="1"/>
  <c r="AQ99" i="9"/>
  <c r="AR35" i="9" s="1"/>
  <c r="AQ80" i="9"/>
  <c r="AQ101" i="9"/>
  <c r="AR36" i="9" s="1"/>
  <c r="AQ145" i="9"/>
  <c r="AS16" i="9" s="1"/>
  <c r="AQ147" i="9"/>
  <c r="AS17" i="9" s="1"/>
  <c r="AR19" i="9"/>
  <c r="AQ97" i="9"/>
  <c r="AQ166" i="9"/>
  <c r="AQ84" i="9"/>
  <c r="AQ86" i="9"/>
  <c r="AR21" i="9" s="1"/>
  <c r="AQ88" i="9"/>
  <c r="AQ90" i="9"/>
  <c r="AQ149" i="9"/>
  <c r="AQ151" i="9"/>
  <c r="AQ153" i="9"/>
  <c r="AS23" i="9" s="1"/>
  <c r="AQ155" i="9"/>
  <c r="AS25" i="9" s="1"/>
  <c r="AQ157" i="9"/>
  <c r="AS27" i="9" s="1"/>
  <c r="AQ159" i="9"/>
  <c r="AS30" i="9" s="1"/>
  <c r="AQ161" i="9"/>
  <c r="AS31" i="9" s="1"/>
  <c r="AR28" i="9"/>
  <c r="AS37" i="9"/>
  <c r="AL83" i="9"/>
  <c r="AR37" i="9"/>
  <c r="AS18" i="9"/>
  <c r="AS22" i="9"/>
  <c r="AS24" i="9"/>
  <c r="AS26" i="9"/>
  <c r="AO77" i="9"/>
  <c r="AR15" i="9"/>
  <c r="AO129" i="9"/>
  <c r="AO163" i="9"/>
  <c r="AO173" i="9"/>
  <c r="AL196" i="9"/>
  <c r="AS19" i="9"/>
  <c r="AO75" i="9"/>
  <c r="AN75" i="9"/>
  <c r="AO81" i="9"/>
  <c r="AN86" i="9"/>
  <c r="AR32" i="9"/>
  <c r="AN106" i="9"/>
  <c r="AR41" i="9"/>
  <c r="AL110" i="9"/>
  <c r="AR51" i="9"/>
  <c r="AR56" i="9"/>
  <c r="AR61" i="9"/>
  <c r="AM147" i="9"/>
  <c r="AM168" i="9"/>
  <c r="AO181" i="9"/>
  <c r="AL181" i="9"/>
  <c r="AM195" i="9"/>
  <c r="AS68" i="9"/>
  <c r="C80" i="9"/>
  <c r="AM86" i="9"/>
  <c r="C102" i="9"/>
  <c r="AM106" i="9"/>
  <c r="AN129" i="9"/>
  <c r="AM138" i="9"/>
  <c r="AL147" i="9"/>
  <c r="AO156" i="9"/>
  <c r="AM163" i="9"/>
  <c r="AO168" i="9"/>
  <c r="AL168" i="9"/>
  <c r="AM82" i="9"/>
  <c r="C93" i="9"/>
  <c r="AS15" i="9"/>
  <c r="AM196" i="9"/>
  <c r="AU10" i="9"/>
  <c r="AU11" i="9"/>
  <c r="AS63" i="9"/>
  <c r="AM75" i="9"/>
  <c r="AM81" i="9"/>
  <c r="AO84" i="9"/>
  <c r="AO86" i="9"/>
  <c r="AL86" i="9"/>
  <c r="AL106" i="9"/>
  <c r="AR44" i="9"/>
  <c r="AO121" i="9"/>
  <c r="AN156" i="9"/>
  <c r="AN168" i="9"/>
  <c r="AS38" i="9"/>
  <c r="AS42" i="9"/>
  <c r="AS46" i="9"/>
  <c r="AS49" i="9"/>
  <c r="AS64"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Q73" i="9" s="1"/>
  <c r="AL73" i="9"/>
  <c r="AL77" i="9"/>
  <c r="AO78" i="9"/>
  <c r="AN78" i="9"/>
  <c r="AM78" i="9"/>
  <c r="AN81" i="9"/>
  <c r="AN82" i="9"/>
  <c r="AL82" i="9"/>
  <c r="AR18" i="9"/>
  <c r="AL85" i="9"/>
  <c r="AR20" i="9"/>
  <c r="AO95" i="9"/>
  <c r="AN95" i="9"/>
  <c r="AM95" i="9"/>
  <c r="AL95" i="9"/>
  <c r="AN98" i="9"/>
  <c r="AL104" i="9"/>
  <c r="AO108" i="9"/>
  <c r="AN108" i="9"/>
  <c r="AM108" i="9"/>
  <c r="AL108" i="9"/>
  <c r="AO113" i="9"/>
  <c r="AN113" i="9"/>
  <c r="AM113" i="9"/>
  <c r="AN128" i="9"/>
  <c r="AM128" i="9"/>
  <c r="AL128" i="9"/>
  <c r="AO131" i="9"/>
  <c r="AO139" i="9"/>
  <c r="AQ139" i="9" s="1"/>
  <c r="AS9" i="9" s="1"/>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AR17" i="9"/>
  <c r="AR16"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Q76" i="9" s="1"/>
  <c r="AR11" i="9" s="1"/>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R10"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71" i="9" l="1"/>
  <c r="AR6" i="9" s="1"/>
  <c r="AQ143" i="9"/>
  <c r="AS13" i="9" s="1"/>
  <c r="AQ78" i="9"/>
  <c r="AR13" i="9" s="1"/>
  <c r="AQ140" i="9"/>
  <c r="AS10" i="9" s="1"/>
  <c r="AQ142" i="9"/>
  <c r="AS12" i="9" s="1"/>
  <c r="AQ138" i="9"/>
  <c r="AS8" i="9" s="1"/>
  <c r="AQ77" i="9"/>
  <c r="AR12" i="9" s="1"/>
  <c r="AQ74" i="9"/>
  <c r="AR9" i="9" s="1"/>
  <c r="AQ141" i="9"/>
  <c r="AS11" i="9" s="1"/>
  <c r="AQ72" i="9"/>
  <c r="AR7" i="9" s="1"/>
  <c r="AQ137" i="9"/>
  <c r="AS7" i="9" s="1"/>
  <c r="AQ136" i="9"/>
  <c r="AS6" i="9" s="1"/>
  <c r="AR8" i="9"/>
  <c r="B136" i="9"/>
  <c r="B71" i="9"/>
  <c r="D7" i="4"/>
  <c r="M13" i="4"/>
  <c r="N13" i="4" s="1"/>
  <c r="AS14" i="9" l="1"/>
  <c r="AR14" i="9"/>
  <c r="D3" i="1"/>
  <c r="D5" i="4" s="1"/>
  <c r="D4" i="4" l="1"/>
  <c r="D6" i="4" s="1"/>
  <c r="AW17" i="15" s="1"/>
  <c r="AL8" i="15" s="1"/>
  <c r="AT8" i="15" s="1"/>
  <c r="AL65" i="15" l="1"/>
  <c r="AL59" i="15"/>
  <c r="AL67" i="15"/>
  <c r="AL61" i="15"/>
  <c r="AL55" i="15"/>
  <c r="AL68" i="15"/>
  <c r="AL62" i="15"/>
  <c r="AL56" i="15"/>
  <c r="AL69" i="15"/>
  <c r="AL66" i="15"/>
  <c r="AL52" i="15"/>
  <c r="AL46" i="15"/>
  <c r="AL40" i="15"/>
  <c r="AL34" i="15"/>
  <c r="AL28" i="15"/>
  <c r="AL22" i="15"/>
  <c r="AL37" i="15"/>
  <c r="AL15" i="15"/>
  <c r="AT15" i="15" s="1"/>
  <c r="AL63" i="15"/>
  <c r="AL60" i="15"/>
  <c r="AL53" i="15"/>
  <c r="AL47" i="15"/>
  <c r="AL41" i="15"/>
  <c r="AL35" i="15"/>
  <c r="AL29" i="15"/>
  <c r="AL23" i="15"/>
  <c r="AL54" i="15"/>
  <c r="AL48" i="15"/>
  <c r="AL42" i="15"/>
  <c r="AL36" i="15"/>
  <c r="AL17" i="15"/>
  <c r="AT17" i="15" s="1"/>
  <c r="AL64" i="15"/>
  <c r="AL25" i="15"/>
  <c r="AL7" i="15"/>
  <c r="AT7" i="15" s="1"/>
  <c r="AL21" i="15"/>
  <c r="AT21" i="15" s="1"/>
  <c r="AL57" i="15"/>
  <c r="AL30" i="15"/>
  <c r="AL24" i="15"/>
  <c r="AL18" i="15"/>
  <c r="AT18" i="15" s="1"/>
  <c r="AL16" i="15"/>
  <c r="AT16" i="15" s="1"/>
  <c r="AL49" i="15"/>
  <c r="AL45" i="15"/>
  <c r="AL43" i="15"/>
  <c r="AL31" i="15"/>
  <c r="AL19" i="15"/>
  <c r="AT19" i="15" s="1"/>
  <c r="AL27" i="15"/>
  <c r="AL58" i="15"/>
  <c r="AL50" i="15"/>
  <c r="AL44" i="15"/>
  <c r="AL38" i="15"/>
  <c r="AL32" i="15"/>
  <c r="AL26" i="15"/>
  <c r="AL20" i="15"/>
  <c r="AT20" i="15" s="1"/>
  <c r="AL14" i="15"/>
  <c r="AT14" i="15" s="1"/>
  <c r="AL51" i="15"/>
  <c r="AL39" i="15"/>
  <c r="AL33" i="15"/>
  <c r="AW9" i="15"/>
  <c r="AW11" i="15"/>
  <c r="AW10" i="15"/>
  <c r="AW16" i="15"/>
  <c r="AU15" i="15" s="1"/>
  <c r="AW8" i="15"/>
  <c r="AW17" i="14"/>
  <c r="AL8" i="14" s="1"/>
  <c r="AT8" i="14"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5" s="1"/>
  <c r="AU5" i="15" s="1"/>
  <c r="AW17" i="9"/>
  <c r="AL35" i="9" s="1"/>
  <c r="AT35" i="9" s="1"/>
  <c r="AL9" i="9"/>
  <c r="AT9" i="9" s="1"/>
  <c r="AL10" i="9"/>
  <c r="AT10" i="9" s="1"/>
  <c r="AL11" i="9"/>
  <c r="AT11" i="9" s="1"/>
  <c r="AL12" i="9"/>
  <c r="AT12" i="9" s="1"/>
  <c r="AL6" i="9"/>
  <c r="AT6" i="9" s="1"/>
  <c r="AL13" i="9"/>
  <c r="AT13" i="9" s="1"/>
  <c r="AL8" i="9" l="1"/>
  <c r="AT8" i="9" s="1"/>
  <c r="AT5" i="15"/>
  <c r="AU13" i="15"/>
  <c r="AS5" i="15"/>
  <c r="AU14" i="15"/>
  <c r="AV5" i="15"/>
  <c r="AR5" i="15"/>
  <c r="AW12" i="14"/>
  <c r="AU5" i="14" s="1"/>
  <c r="AL65" i="14"/>
  <c r="AL59" i="14"/>
  <c r="AL53" i="14"/>
  <c r="AL47" i="14"/>
  <c r="AL41" i="14"/>
  <c r="AL35" i="14"/>
  <c r="AT35" i="14" s="1"/>
  <c r="AL66" i="14"/>
  <c r="AL60" i="14"/>
  <c r="AL54" i="14"/>
  <c r="AL48" i="14"/>
  <c r="AL42" i="14"/>
  <c r="AL36" i="14"/>
  <c r="AT36" i="14" s="1"/>
  <c r="AL30" i="14"/>
  <c r="AT30" i="14" s="1"/>
  <c r="AL24" i="14"/>
  <c r="AT24" i="14" s="1"/>
  <c r="AL18" i="14"/>
  <c r="AT18" i="14" s="1"/>
  <c r="AL17" i="14"/>
  <c r="AT17" i="14" s="1"/>
  <c r="AL16" i="14"/>
  <c r="AT16" i="14" s="1"/>
  <c r="AL68" i="14"/>
  <c r="AL62" i="14"/>
  <c r="AL56" i="14"/>
  <c r="AL50" i="14"/>
  <c r="AL44" i="14"/>
  <c r="AL38" i="14"/>
  <c r="AL32" i="14"/>
  <c r="AT32" i="14" s="1"/>
  <c r="AL26" i="14"/>
  <c r="AT26" i="14" s="1"/>
  <c r="AL20" i="14"/>
  <c r="AT20" i="14" s="1"/>
  <c r="AL14" i="14"/>
  <c r="AT14" i="14" s="1"/>
  <c r="AL69" i="14"/>
  <c r="AL63" i="14"/>
  <c r="AL57" i="14"/>
  <c r="AL51" i="14"/>
  <c r="AL45" i="14"/>
  <c r="AL39" i="14"/>
  <c r="AL33" i="14"/>
  <c r="AT33" i="14" s="1"/>
  <c r="AL27" i="14"/>
  <c r="AT27" i="14" s="1"/>
  <c r="AL21" i="14"/>
  <c r="AT21" i="14" s="1"/>
  <c r="AL55" i="14"/>
  <c r="AL37" i="14"/>
  <c r="AT37" i="14" s="1"/>
  <c r="AL29" i="14"/>
  <c r="AT29" i="14" s="1"/>
  <c r="AL23" i="14"/>
  <c r="AT23" i="14" s="1"/>
  <c r="AW9" i="14"/>
  <c r="AL58" i="14"/>
  <c r="AL40" i="14"/>
  <c r="AL15" i="14"/>
  <c r="AT15" i="14" s="1"/>
  <c r="AL61" i="14"/>
  <c r="AL43" i="14"/>
  <c r="AL64" i="14"/>
  <c r="AL46" i="14"/>
  <c r="AL25" i="14"/>
  <c r="AT25" i="14" s="1"/>
  <c r="AL19" i="14"/>
  <c r="AT19" i="14" s="1"/>
  <c r="AL67" i="14"/>
  <c r="AL49" i="14"/>
  <c r="AL31" i="14"/>
  <c r="AT31" i="14" s="1"/>
  <c r="AL28" i="14"/>
  <c r="AT28" i="14" s="1"/>
  <c r="AL22" i="14"/>
  <c r="AT22" i="14" s="1"/>
  <c r="AW11" i="14"/>
  <c r="AW8" i="14"/>
  <c r="AL52" i="14"/>
  <c r="AL34" i="14"/>
  <c r="AT34" i="14" s="1"/>
  <c r="AL7" i="14"/>
  <c r="AT7" i="14" s="1"/>
  <c r="AW16" i="14"/>
  <c r="AU15" i="14" s="1"/>
  <c r="AW10" i="14"/>
  <c r="AW12" i="9"/>
  <c r="AU5" i="9" s="1"/>
  <c r="AL66" i="9"/>
  <c r="AL24" i="9"/>
  <c r="AT24" i="9" s="1"/>
  <c r="AL36" i="9"/>
  <c r="AT36" i="9" s="1"/>
  <c r="AL38" i="9"/>
  <c r="AL17" i="9"/>
  <c r="AT17" i="9" s="1"/>
  <c r="AL65" i="9"/>
  <c r="AL22" i="9"/>
  <c r="AT22" i="9" s="1"/>
  <c r="AL57" i="9"/>
  <c r="AL53" i="9"/>
  <c r="AL29" i="9"/>
  <c r="AT29" i="9" s="1"/>
  <c r="AL14" i="9"/>
  <c r="AT14" i="9" s="1"/>
  <c r="AL23" i="9"/>
  <c r="AT23" i="9" s="1"/>
  <c r="AL54" i="9"/>
  <c r="AL58" i="9"/>
  <c r="AL7" i="9"/>
  <c r="AT7" i="9" s="1"/>
  <c r="AL40" i="9"/>
  <c r="AL61" i="9"/>
  <c r="AL51" i="9"/>
  <c r="AW11" i="9"/>
  <c r="AU13" i="9" s="1"/>
  <c r="AL28" i="9"/>
  <c r="AT28" i="9" s="1"/>
  <c r="AL39" i="9"/>
  <c r="AW10" i="9"/>
  <c r="AU14" i="9" s="1"/>
  <c r="AL33" i="9"/>
  <c r="AT33" i="9" s="1"/>
  <c r="AL30" i="9"/>
  <c r="AT30" i="9" s="1"/>
  <c r="AL44" i="9"/>
  <c r="AL59" i="9"/>
  <c r="AL18" i="9"/>
  <c r="AT18" i="9" s="1"/>
  <c r="AL25" i="9"/>
  <c r="AT25" i="9" s="1"/>
  <c r="AL49" i="9"/>
  <c r="AW9" i="9"/>
  <c r="AL26" i="9"/>
  <c r="AT26" i="9" s="1"/>
  <c r="AL62" i="9"/>
  <c r="AL64" i="9"/>
  <c r="AL20" i="9"/>
  <c r="AT20" i="9" s="1"/>
  <c r="AL56" i="9"/>
  <c r="AL27" i="9"/>
  <c r="AT27" i="9" s="1"/>
  <c r="AW16" i="9"/>
  <c r="AU15" i="9" s="1"/>
  <c r="AL55" i="9"/>
  <c r="AL19" i="9"/>
  <c r="AT19" i="9" s="1"/>
  <c r="AL32" i="9"/>
  <c r="AT32" i="9" s="1"/>
  <c r="AL68" i="9"/>
  <c r="AL43" i="9"/>
  <c r="AL31" i="9"/>
  <c r="AT31" i="9" s="1"/>
  <c r="AL21" i="9"/>
  <c r="AT21" i="9" s="1"/>
  <c r="AL45" i="9"/>
  <c r="AL16" i="9"/>
  <c r="AT16" i="9" s="1"/>
  <c r="AL67" i="9"/>
  <c r="AL15" i="9"/>
  <c r="AT15" i="9" s="1"/>
  <c r="AL48" i="9"/>
  <c r="AL50" i="9"/>
  <c r="AL69" i="9"/>
  <c r="AL47" i="9"/>
  <c r="AL37" i="9"/>
  <c r="AT37" i="9" s="1"/>
  <c r="AL63" i="9"/>
  <c r="AL34" i="9"/>
  <c r="AT34" i="9" s="1"/>
  <c r="AW8" i="9"/>
  <c r="AL46" i="9"/>
  <c r="AL41" i="9"/>
  <c r="AL52" i="9"/>
  <c r="AL42" i="9"/>
  <c r="AL60" i="9"/>
  <c r="L14" i="4"/>
  <c r="AV5" i="14" l="1"/>
  <c r="AU14" i="14"/>
  <c r="AR5" i="14"/>
  <c r="AT5" i="14"/>
  <c r="AU13" i="14"/>
  <c r="AS5" i="14"/>
  <c r="AS5" i="9"/>
  <c r="AR5" i="9"/>
  <c r="AT5" i="9"/>
  <c r="AV5" i="9"/>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4" l="1"/>
  <c r="AU7" i="14" s="1"/>
  <c r="F16" i="4"/>
  <c r="AW14" i="15" s="1"/>
  <c r="AU7" i="15" s="1"/>
  <c r="G15" i="4"/>
  <c r="AW15" i="14" s="1"/>
  <c r="AU8" i="14" s="1"/>
  <c r="AW15" i="15" l="1"/>
  <c r="AU8" i="15" s="1"/>
  <c r="G13" i="4"/>
  <c r="AW15" i="9" s="1"/>
  <c r="AU8" i="9" s="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9" authorId="0" shapeId="0" xr:uid="{1B1E7A61-8D84-42E8-AB09-3BD753795CB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2" authorId="1" shapeId="0" xr:uid="{74D5C4FA-39FF-4DB4-AC37-A80E2F04D736}">
      <text>
        <r>
          <rPr>
            <b/>
            <sz val="9"/>
            <color indexed="81"/>
            <rFont val="MS P ゴシック"/>
            <family val="3"/>
            <charset val="128"/>
          </rPr>
          <t xml:space="preserve">リモート送信条件成立：IG ON 且つ PTS ONが15[s]以上
</t>
        </r>
      </text>
    </comment>
    <comment ref="E72" authorId="1" shapeId="0" xr:uid="{AC02A874-E6E8-4E09-ABD8-841328222888}">
      <text>
        <r>
          <rPr>
            <b/>
            <sz val="9"/>
            <color indexed="81"/>
            <rFont val="MS P ゴシック"/>
            <family val="3"/>
            <charset val="128"/>
          </rPr>
          <t xml:space="preserve">IG ON 且つ ST OFF
</t>
        </r>
      </text>
    </comment>
    <comment ref="F72" authorId="1" shapeId="0" xr:uid="{B173D1C5-8D3F-4182-BDDD-FB2E5262CF2D}">
      <text>
        <r>
          <rPr>
            <b/>
            <sz val="9"/>
            <color indexed="81"/>
            <rFont val="MS P ゴシック"/>
            <family val="3"/>
            <charset val="128"/>
          </rPr>
          <t>IG ON</t>
        </r>
      </text>
    </comment>
    <comment ref="G72" authorId="1" shapeId="0" xr:uid="{46C12966-68FD-4ED3-9583-9B486ED7B0FF}">
      <text>
        <r>
          <rPr>
            <b/>
            <sz val="9"/>
            <color indexed="81"/>
            <rFont val="MS P ゴシック"/>
            <family val="3"/>
            <charset val="128"/>
          </rPr>
          <t xml:space="preserve">IG OFF 且つ IG OFF後25[m]未満
</t>
        </r>
      </text>
    </comment>
    <comment ref="H72" authorId="1" shapeId="0" xr:uid="{77039323-94F3-42D0-8F01-38DE7A0FBFF6}">
      <text>
        <r>
          <rPr>
            <b/>
            <sz val="9"/>
            <color indexed="81"/>
            <rFont val="MS P ゴシック"/>
            <family val="3"/>
            <charset val="128"/>
          </rPr>
          <t xml:space="preserve">IG OFF
</t>
        </r>
      </text>
    </comment>
    <comment ref="I72" authorId="1" shapeId="0" xr:uid="{7ED24792-4784-41A8-996D-89BBC433BE7B}">
      <text>
        <r>
          <rPr>
            <b/>
            <sz val="9"/>
            <color indexed="81"/>
            <rFont val="MS P ゴシック"/>
            <family val="3"/>
            <charset val="128"/>
          </rPr>
          <t xml:space="preserve">IG ON 又は IG OFF後25[m]未満
</t>
        </r>
      </text>
    </comment>
    <comment ref="J72" authorId="1" shapeId="0" xr:uid="{C1C7EB66-1397-4BD0-A8E4-85811852D8DE}">
      <text>
        <r>
          <rPr>
            <b/>
            <sz val="9"/>
            <color indexed="81"/>
            <rFont val="MS P ゴシック"/>
            <family val="3"/>
            <charset val="128"/>
          </rPr>
          <t>+B ON 又は ACC ON</t>
        </r>
      </text>
    </comment>
    <comment ref="B188" authorId="0" shapeId="0" xr:uid="{682F0A8D-B62C-45C7-8207-85A5608D65A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91" authorId="1" shapeId="0" xr:uid="{4BB34089-C10A-4014-9CF4-468F67CE2820}">
      <text>
        <r>
          <rPr>
            <b/>
            <sz val="9"/>
            <color indexed="81"/>
            <rFont val="MS P ゴシック"/>
            <family val="3"/>
            <charset val="128"/>
          </rPr>
          <t xml:space="preserve">リモート送信条件成立：IG ON 且つ PTS ONが15[s]以上
</t>
        </r>
      </text>
    </comment>
    <comment ref="E191" authorId="1" shapeId="0" xr:uid="{35EA61F4-77A2-4CD1-95EE-CBE0969AD27B}">
      <text>
        <r>
          <rPr>
            <b/>
            <sz val="9"/>
            <color indexed="81"/>
            <rFont val="MS P ゴシック"/>
            <family val="3"/>
            <charset val="128"/>
          </rPr>
          <t xml:space="preserve">IG ON 且つ ST OFF
</t>
        </r>
      </text>
    </comment>
    <comment ref="F191" authorId="1" shapeId="0" xr:uid="{525C3055-A808-43EE-ACF2-82F1A1BE1C82}">
      <text>
        <r>
          <rPr>
            <b/>
            <sz val="9"/>
            <color indexed="81"/>
            <rFont val="MS P ゴシック"/>
            <family val="3"/>
            <charset val="128"/>
          </rPr>
          <t>IG ON</t>
        </r>
      </text>
    </comment>
    <comment ref="G191" authorId="1" shapeId="0" xr:uid="{DA2EFD82-BCCC-43F0-B1FF-0145809267E8}">
      <text>
        <r>
          <rPr>
            <b/>
            <sz val="9"/>
            <color indexed="81"/>
            <rFont val="MS P ゴシック"/>
            <family val="3"/>
            <charset val="128"/>
          </rPr>
          <t xml:space="preserve">IG OFF 且つ IG OFF後25[m]未満
</t>
        </r>
      </text>
    </comment>
    <comment ref="H191" authorId="1" shapeId="0" xr:uid="{195062BC-F24F-425F-9383-C6906867BFF2}">
      <text>
        <r>
          <rPr>
            <b/>
            <sz val="9"/>
            <color indexed="81"/>
            <rFont val="MS P ゴシック"/>
            <family val="3"/>
            <charset val="128"/>
          </rPr>
          <t xml:space="preserve">IG OFF
</t>
        </r>
      </text>
    </comment>
    <comment ref="I191" authorId="1" shapeId="0" xr:uid="{DA349B7A-57B7-4DE6-A598-2129C9A0057D}">
      <text>
        <r>
          <rPr>
            <b/>
            <sz val="9"/>
            <color indexed="81"/>
            <rFont val="MS P ゴシック"/>
            <family val="3"/>
            <charset val="128"/>
          </rPr>
          <t xml:space="preserve">IG ON 又は IG OFF後25[m]未満
</t>
        </r>
      </text>
    </comment>
    <comment ref="J191" authorId="1" shapeId="0" xr:uid="{D68EA753-95F0-40E3-A908-54C4628ADC20}">
      <text>
        <r>
          <rPr>
            <b/>
            <sz val="9"/>
            <color indexed="81"/>
            <rFont val="MS P ゴシック"/>
            <family val="3"/>
            <charset val="128"/>
          </rPr>
          <t>+B ON 又は ACC ON</t>
        </r>
      </text>
    </comment>
    <comment ref="B238" authorId="0" shapeId="0" xr:uid="{74AC128F-2119-48DD-A4E4-280618DB378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41" authorId="1" shapeId="0" xr:uid="{AA04D426-7E9D-4786-B327-B6A0AF0700E4}">
      <text>
        <r>
          <rPr>
            <b/>
            <sz val="9"/>
            <color indexed="81"/>
            <rFont val="MS P ゴシック"/>
            <family val="3"/>
            <charset val="128"/>
          </rPr>
          <t xml:space="preserve">リモート送信条件成立：IG ON 且つ PTS ONが15[s]以上
</t>
        </r>
      </text>
    </comment>
    <comment ref="E241" authorId="1" shapeId="0" xr:uid="{290E3CAE-FE36-4B5D-AF5A-DA26E67CF52C}">
      <text>
        <r>
          <rPr>
            <b/>
            <sz val="9"/>
            <color indexed="81"/>
            <rFont val="MS P ゴシック"/>
            <family val="3"/>
            <charset val="128"/>
          </rPr>
          <t xml:space="preserve">IG ON 且つ ST OFF
</t>
        </r>
      </text>
    </comment>
    <comment ref="F241" authorId="1" shapeId="0" xr:uid="{B1970754-2FEA-48BC-ABE5-FECB4E644810}">
      <text>
        <r>
          <rPr>
            <b/>
            <sz val="9"/>
            <color indexed="81"/>
            <rFont val="MS P ゴシック"/>
            <family val="3"/>
            <charset val="128"/>
          </rPr>
          <t>IG ON</t>
        </r>
      </text>
    </comment>
    <comment ref="G241" authorId="1" shapeId="0" xr:uid="{3284189B-E7BF-4CB7-A1C0-2F6A47D088E9}">
      <text>
        <r>
          <rPr>
            <b/>
            <sz val="9"/>
            <color indexed="81"/>
            <rFont val="MS P ゴシック"/>
            <family val="3"/>
            <charset val="128"/>
          </rPr>
          <t xml:space="preserve">IG OFF 且つ IG OFF後25[m]未満
</t>
        </r>
      </text>
    </comment>
    <comment ref="H241" authorId="1" shapeId="0" xr:uid="{106C5730-6AF7-4323-AD37-8BA01C5D6AC6}">
      <text>
        <r>
          <rPr>
            <b/>
            <sz val="9"/>
            <color indexed="81"/>
            <rFont val="MS P ゴシック"/>
            <family val="3"/>
            <charset val="128"/>
          </rPr>
          <t xml:space="preserve">IG OFF
</t>
        </r>
      </text>
    </comment>
    <comment ref="I241" authorId="1" shapeId="0" xr:uid="{A68709CC-9323-4003-BD6F-8579E426BF38}">
      <text>
        <r>
          <rPr>
            <b/>
            <sz val="9"/>
            <color indexed="81"/>
            <rFont val="MS P ゴシック"/>
            <family val="3"/>
            <charset val="128"/>
          </rPr>
          <t xml:space="preserve">IG ON 又は IG OFF後25[m]未満
</t>
        </r>
      </text>
    </comment>
    <comment ref="J241" authorId="1" shapeId="0" xr:uid="{E4F11FE8-F741-421F-B99B-12C68F13D4DF}">
      <text>
        <r>
          <rPr>
            <b/>
            <sz val="9"/>
            <color indexed="81"/>
            <rFont val="MS P ゴシック"/>
            <family val="3"/>
            <charset val="128"/>
          </rPr>
          <t>+B ON 又は ACC ON</t>
        </r>
      </text>
    </comment>
  </commentList>
</comments>
</file>

<file path=xl/sharedStrings.xml><?xml version="1.0" encoding="utf-8"?>
<sst xmlns="http://schemas.openxmlformats.org/spreadsheetml/2006/main" count="6843" uniqueCount="338">
  <si>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</si>
  <si>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</si>
  <si>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</si>
  <si>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</si>
  <si>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</si>
  <si>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</si>
  <si>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</si>
  <si>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</si>
  <si>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</si>
  <si>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</si>
  <si>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</si>
  <si>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</si>
  <si>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</si>
  <si>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</si>
  <si>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</si>
  <si>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</si>
  <si>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</si>
  <si>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</si>
  <si>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</si>
  <si>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</si>
  <si>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</si>
  <si>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</si>
  <si>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</si>
  <si>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</si>
  <si>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</si>
  <si>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</si>
  <si>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</si>
  <si>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</si>
  <si>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</si>
  <si>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</si>
  <si>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</si>
  <si>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</si>
  <si>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</si>
  <si>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</si>
  <si>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</si>
  <si>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</si>
  <si>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</si>
  <si>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</si>
  <si>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</si>
  <si>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</si>
  <si>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</si>
  <si>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</si>
  <si>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</si>
  <si>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</si>
  <si>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</si>
  <si>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</si>
  <si>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</si>
  <si>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</si>
  <si>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</si>
  <si>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</si>
  <si>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</si>
  <si>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</si>
  <si>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</si>
  <si>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</si>
  <si>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</si>
  <si>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</si>
  <si>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</si>
  <si>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</si>
  <si>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</si>
  <si>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</si>
  <si>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</si>
  <si>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</si>
  <si>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</si>
  <si>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</si>
  <si>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</si>
  <si>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</si>
  <si>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</si>
  <si>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</si>
  <si>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</si>
  <si>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</si>
  <si>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</si>
  <si>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</si>
  <si>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</si>
  <si>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</si>
  <si>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</si>
  <si>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</si>
  <si>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</si>
  <si>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</si>
  <si>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</si>
  <si>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</si>
  <si>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</si>
  <si>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</si>
  <si>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</si>
  <si>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</si>
  <si>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</si>
  <si>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</si>
  <si>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</si>
  <si>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</si>
  <si>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</si>
  <si>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</si>
  <si>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</si>
  <si>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</si>
  <si>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</si>
  <si>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</si>
  <si>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</si>
  <si>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</si>
  <si>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</si>
  <si>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</si>
  <si>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</si>
  <si>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</si>
  <si>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</si>
  <si>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</si>
  <si>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</si>
  <si>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</si>
  <si>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</si>
  <si>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</si>
  <si>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</si>
  <si>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</si>
  <si>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</si>
  <si>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</si>
  <si>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</si>
  <si>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</si>
  <si>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</si>
  <si>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</si>
  <si>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</si>
  <si>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</si>
  <si>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</si>
  <si>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</si>
  <si>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</si>
  <si>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</si>
  <si>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</si>
  <si>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</si>
  <si>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</si>
  <si>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</si>
  <si>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</si>
  <si>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</si>
  <si>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</si>
  <si>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</si>
  <si>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</si>
  <si>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</si>
  <si>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</si>
  <si>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</si>
  <si>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</si>
  <si>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</si>
  <si>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</si>
  <si>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</si>
  <si>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</si>
  <si>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</si>
  <si>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</si>
  <si>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</si>
  <si>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ON</t>
    <phoneticPr fontId="2"/>
  </si>
  <si>
    <t>-</t>
    <phoneticPr fontId="2"/>
  </si>
  <si>
    <t>SINGLE</t>
    <phoneticPr fontId="2"/>
  </si>
  <si>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</si>
  <si>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</si>
  <si>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</si>
  <si>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</si>
  <si>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</si>
  <si>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</si>
  <si>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</si>
  <si>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</si>
  <si>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</si>
  <si>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</si>
  <si>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</si>
  <si>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</si>
  <si>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</si>
  <si>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</si>
  <si>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</si>
  <si>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</si>
  <si>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</si>
  <si>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</si>
  <si>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</si>
  <si>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</si>
  <si>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</si>
  <si>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</si>
  <si>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</si>
  <si>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</si>
  <si>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</si>
  <si>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</si>
  <si>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</si>
  <si>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</si>
  <si>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</si>
  <si>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</si>
  <si>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</si>
  <si>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</si>
  <si>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</si>
  <si>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</si>
  <si>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</si>
  <si>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</si>
  <si>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</si>
  <si>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</si>
  <si>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</si>
  <si>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</si>
  <si>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</si>
  <si>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</si>
  <si>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</si>
  <si>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</si>
  <si>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</si>
  <si>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</si>
  <si>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</si>
  <si>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</si>
  <si>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</si>
  <si>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</si>
  <si>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</si>
  <si>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</si>
  <si>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</si>
  <si>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</si>
  <si>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</si>
  <si>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</si>
  <si>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</si>
  <si>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</si>
  <si>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</si>
  <si>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</si>
  <si>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</si>
  <si>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</si>
  <si>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</si>
  <si>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</si>
  <si>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</si>
  <si>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</si>
  <si>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</si>
  <si>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</si>
  <si>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</si>
  <si>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</si>
  <si>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</si>
  <si>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</si>
  <si>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</si>
  <si>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</si>
  <si>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</si>
  <si>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</si>
  <si>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</si>
  <si>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</si>
  <si>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</si>
  <si>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</si>
  <si>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</si>
  <si>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</si>
  <si>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</si>
  <si>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</si>
  <si>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</si>
  <si>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</si>
  <si>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</si>
  <si>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</si>
  <si>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</si>
  <si>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</si>
  <si>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</si>
  <si>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</si>
  <si>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</si>
  <si>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</si>
  <si>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</si>
  <si>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</si>
  <si>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</si>
  <si>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</si>
  <si>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</si>
  <si>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</si>
  <si>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</si>
  <si>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</si>
  <si>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5.0.0</t>
  </si>
  <si>
    <t>https://aip01.dndev.net/svn/met/toyota/std/rd/spec/19PFver3/tags/00.Product/v0.0.d/制御仕様/</t>
    <phoneticPr fontId="2"/>
  </si>
  <si>
    <t>NULL</t>
  </si>
  <si>
    <t>TT_IND</t>
    <phoneticPr fontId="2"/>
  </si>
  <si>
    <t>ALERT_CH_H_XMGRIP_TT_IND</t>
  </si>
  <si>
    <t>ON</t>
  </si>
  <si>
    <t>STNDBY</t>
  </si>
  <si>
    <t>STNDBY</t>
    <phoneticPr fontId="2"/>
  </si>
  <si>
    <t>OPRTNG</t>
  </si>
  <si>
    <t>OPRTNG</t>
    <phoneticPr fontId="2"/>
  </si>
  <si>
    <t>ALERT_CH_H_XMGRIP_PD</t>
  </si>
  <si>
    <t>UNAVLBL</t>
  </si>
  <si>
    <t>UNAVLBL</t>
    <phoneticPr fontId="2"/>
  </si>
  <si>
    <t>DEACTIV</t>
  </si>
  <si>
    <t>DEACTIV</t>
    <phoneticPr fontId="2"/>
  </si>
  <si>
    <t>ALERT_CH_H_XMGRIP_BC</t>
  </si>
  <si>
    <t>DOUBLE</t>
  </si>
  <si>
    <t>DOUBLE</t>
    <phoneticPr fontId="2"/>
  </si>
  <si>
    <t>ACSCIND_SIG</t>
    <phoneticPr fontId="2"/>
  </si>
  <si>
    <t>EHV1E00_STS</t>
    <phoneticPr fontId="2"/>
  </si>
  <si>
    <t>ACSCINFO_SIG</t>
    <phoneticPr fontId="2"/>
  </si>
  <si>
    <t>ACSCBZR_SIG</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</si>
  <si>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</si>
  <si>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</si>
  <si>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</si>
  <si>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</si>
  <si>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</si>
  <si>
    <t>Index</t>
  </si>
  <si>
    <t>CAN</t>
    <phoneticPr fontId="2"/>
  </si>
  <si>
    <t>IG-ON</t>
  </si>
  <si>
    <t>ALERT_VOM_IGN_ON</t>
    <phoneticPr fontId="2"/>
  </si>
  <si>
    <t>通常(00b)/
未受信(01b)/
通信途絶(10b)/
未受信通信途絶(11b)</t>
  </si>
  <si>
    <t>IG-ON + 通常 + 未定義</t>
    <phoneticPr fontId="2"/>
  </si>
  <si>
    <t>IG-ON + 未受信 + *</t>
  </si>
  <si>
    <t>IG-ON + 通信途絶 + *</t>
  </si>
  <si>
    <t>IG-ON + 未受信通信途絶 + *</t>
  </si>
  <si>
    <t>IG-OFF + * + *</t>
  </si>
  <si>
    <t>ALERT_CH_H_XMGRIP_TT_IND</t>
    <phoneticPr fontId="2"/>
  </si>
  <si>
    <t>EHV1E00</t>
    <phoneticPr fontId="2"/>
  </si>
  <si>
    <t>***b</t>
  </si>
  <si>
    <t>***b</t>
    <phoneticPr fontId="2"/>
  </si>
  <si>
    <t>000b</t>
    <phoneticPr fontId="2"/>
  </si>
  <si>
    <t>001b</t>
    <phoneticPr fontId="2"/>
  </si>
  <si>
    <t>010b</t>
    <phoneticPr fontId="2"/>
  </si>
  <si>
    <t>011b</t>
    <phoneticPr fontId="2"/>
  </si>
  <si>
    <t>1**b</t>
    <phoneticPr fontId="2"/>
  </si>
  <si>
    <t>UNKNOWN/
STNDBY/
OPRTNG</t>
    <phoneticPr fontId="2"/>
  </si>
  <si>
    <t>TT_IND判定</t>
    <phoneticPr fontId="2"/>
  </si>
  <si>
    <t>IG-ON + 通常 + Grip OFF</t>
    <phoneticPr fontId="2"/>
  </si>
  <si>
    <t>IG-ON + 通常 + Grip 制御中</t>
    <phoneticPr fontId="2"/>
  </si>
  <si>
    <t>IG-ON + 通常 + Grip スタンバイ中</t>
    <phoneticPr fontId="2"/>
  </si>
  <si>
    <t>通常(00b)/
未受信(01b)/
通信途絶(10b)/
未受信通信途絶(11b)</t>
    <phoneticPr fontId="2"/>
  </si>
  <si>
    <t>Grip OFF(000b)/
Grip スタンバイ中(001b)/
Grip 制御中(010b)/
未定義(上記以外)</t>
    <rPh sb="26" eb="27">
      <t>チュウ</t>
    </rPh>
    <rPh sb="51" eb="54">
      <t>ミテイギ</t>
    </rPh>
    <rPh sb="55" eb="59">
      <t>ジョウキイガイ</t>
    </rPh>
    <phoneticPr fontId="2"/>
  </si>
  <si>
    <t>BC判定</t>
    <phoneticPr fontId="2"/>
  </si>
  <si>
    <t>単発/
2連発/
-</t>
    <phoneticPr fontId="2"/>
  </si>
  <si>
    <t>UNKNOWN/
SINGLE/
DOUBLE</t>
    <phoneticPr fontId="2"/>
  </si>
  <si>
    <t>IG-ON + 通常 + Grip ON</t>
    <phoneticPr fontId="2"/>
  </si>
  <si>
    <t>IG-ON + 通常 + 吹鳴なし</t>
    <phoneticPr fontId="2"/>
  </si>
  <si>
    <t>IG-ON + 通常 + Grip リジェクト・自動解除</t>
    <phoneticPr fontId="2"/>
  </si>
  <si>
    <t>吹鳴なし(000b)/
Grip ON1(001b)/
Grip リジェクト・自動解除(010b)/
未定義(上記以外)</t>
    <rPh sb="0" eb="2">
      <t>スイメイ</t>
    </rPh>
    <rPh sb="4" eb="6">
      <t>シャソク</t>
    </rPh>
    <rPh sb="25" eb="27">
      <t>テントウ</t>
    </rPh>
    <rPh sb="48" eb="50">
      <t>テンメツ</t>
    </rPh>
    <rPh sb="57" eb="60">
      <t>ミテイギジョウキイガイ</t>
    </rPh>
    <phoneticPr fontId="2"/>
  </si>
  <si>
    <t>単発</t>
    <phoneticPr fontId="2"/>
  </si>
  <si>
    <t>2連発</t>
    <phoneticPr fontId="2"/>
  </si>
  <si>
    <t>通常(0b)/
未受信(1b)</t>
    <phoneticPr fontId="2"/>
  </si>
  <si>
    <t>0b</t>
  </si>
  <si>
    <t>0b</t>
    <phoneticPr fontId="2"/>
  </si>
  <si>
    <t>1b</t>
    <phoneticPr fontId="2"/>
  </si>
  <si>
    <t>*b</t>
    <phoneticPr fontId="2"/>
  </si>
  <si>
    <t>ALERT_CH_H_XMGRIP_BC</t>
    <phoneticPr fontId="2"/>
  </si>
  <si>
    <t>PD判定</t>
    <phoneticPr fontId="2"/>
  </si>
  <si>
    <t>ALERT_CH_H_XMGRIP_PD</t>
    <phoneticPr fontId="2"/>
  </si>
  <si>
    <t>IG-ON + 通常 + 表示なし</t>
    <phoneticPr fontId="2"/>
  </si>
  <si>
    <t>IG-ON + 通常 + Grip 制御解除</t>
    <phoneticPr fontId="2"/>
  </si>
  <si>
    <t>REQ04</t>
    <phoneticPr fontId="2"/>
  </si>
  <si>
    <t>REQ05</t>
    <phoneticPr fontId="2"/>
  </si>
  <si>
    <t>IG-ON + 通常 + Grip リジェクト</t>
    <phoneticPr fontId="2"/>
  </si>
  <si>
    <t>H_XMGRIP-CSTD-0-MEF01-REQ04/
H_XMGRIP-CSTD-0-MEF01-REQ05/
-</t>
    <phoneticPr fontId="2"/>
  </si>
  <si>
    <t>目標車速設定なし(000b)/
Grip 制御解除(001b)/
Grip リジェクト(010b)/
未定義(上記以外)</t>
    <rPh sb="0" eb="2">
      <t>モクヒョウ</t>
    </rPh>
    <rPh sb="2" eb="4">
      <t>シャソク</t>
    </rPh>
    <rPh sb="4" eb="6">
      <t>セッテイ</t>
    </rPh>
    <rPh sb="8" eb="10">
      <t>シャソク</t>
    </rPh>
    <rPh sb="30" eb="32">
      <t>テントウ</t>
    </rPh>
    <rPh sb="48" eb="50">
      <t>テンメツ</t>
    </rPh>
    <rPh sb="57" eb="60">
      <t>ミテイギジョウキイガイ</t>
    </rPh>
    <phoneticPr fontId="2"/>
  </si>
  <si>
    <t>UNKNOWN/
DEACTIV/
UNAVLBL</t>
    <phoneticPr fontId="2"/>
  </si>
  <si>
    <t>1.0.1</t>
    <phoneticPr fontId="2"/>
  </si>
  <si>
    <t>設計ピアレビューの指摘修正
.・Reference</t>
    <rPh sb="0" eb="2">
      <t>セッケイ</t>
    </rPh>
    <rPh sb="9" eb="13">
      <t>シテキシュウセイ</t>
    </rPh>
    <phoneticPr fontId="2"/>
  </si>
  <si>
    <t>点灯(スタンバイ中)</t>
    <phoneticPr fontId="2"/>
  </si>
  <si>
    <t>点灯(スタンバイ中)/
点灯(制御中)/
-</t>
    <phoneticPr fontId="2"/>
  </si>
  <si>
    <t>点灯(制御中)</t>
    <phoneticPr fontId="2"/>
  </si>
  <si>
    <t>DTPH Kiko</t>
  </si>
  <si>
    <t>1.1.0</t>
    <phoneticPr fontId="2"/>
  </si>
  <si>
    <t>5.1.0</t>
    <phoneticPr fontId="2"/>
  </si>
  <si>
    <t>DTPH Patrick</t>
    <phoneticPr fontId="2"/>
  </si>
  <si>
    <t>MET-H_XMGRIP-CSTD-0-03-A-C0.xlsm</t>
    <phoneticPr fontId="2"/>
  </si>
  <si>
    <t>H_XMGRIP-CSTD-0-MEF01-REQ04</t>
  </si>
  <si>
    <t>H_XMGRIP-CSTD-0-MEF01-REQ05</t>
  </si>
  <si>
    <t>H_XMGRIP-CSTD-0-BZR01-REQ04</t>
  </si>
  <si>
    <t>H_XMGRIP-CSTD-0-BZR01-REQ05</t>
  </si>
  <si>
    <t>19PFv3 R2小
目標車速レベルのTTを削除
【Matrix】
・TT_SPDのCHを削除
【CH_Design】
・TT_SPDのREQ_IDを削除
【TT_SPD】
・Matrixシートを削除
【Reference】
・TT_SPD判定を削除
・TT_INDの制御仕様書の内容を更新</t>
    <rPh sb="9" eb="10">
      <t>ショウ</t>
    </rPh>
    <rPh sb="45" eb="47">
      <t>サクジョ</t>
    </rPh>
    <rPh sb="98" eb="100">
      <t>サクジョ</t>
    </rPh>
    <rPh sb="120" eb="122">
      <t>ハンテイ</t>
    </rPh>
    <rPh sb="134" eb="139">
      <t>セイギョシヨウショ</t>
    </rPh>
    <rPh sb="140" eb="142">
      <t>ナイヨウ</t>
    </rPh>
    <rPh sb="143" eb="145">
      <t>コウシン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</si>
</sst>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theme="0" tint="-0.2499465926084170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double">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22" borderId="27" xfId="0" applyFill="1" applyBorder="1" applyAlignment="1">
      <alignment vertical="center" textRotation="90" wrapText="1"/>
    </xf>
    <xf numFmtId="0" fontId="0" fillId="25" borderId="0" xfId="0" applyFill="1">
      <alignment vertical="center"/>
    </xf>
    <xf numFmtId="0" fontId="0" fillId="26" borderId="2" xfId="0" applyFill="1" applyBorder="1">
      <alignment vertical="center"/>
    </xf>
    <xf numFmtId="0" fontId="0" fillId="27" borderId="2" xfId="0" applyFill="1" applyBorder="1">
      <alignment vertical="center"/>
    </xf>
    <xf numFmtId="0" fontId="0" fillId="15" borderId="7" xfId="0" applyFill="1" applyBorder="1" applyAlignment="1">
      <alignment vertical="center" wrapText="1"/>
    </xf>
    <xf numFmtId="0" fontId="0" fillId="18" borderId="31" xfId="0" applyFill="1" applyBorder="1" applyAlignment="1">
      <alignment vertical="center" textRotation="90"/>
    </xf>
    <xf numFmtId="0" fontId="0" fillId="26" borderId="16" xfId="0" quotePrefix="1" applyFill="1" applyBorder="1" applyAlignment="1">
      <alignment vertical="center" wrapText="1"/>
    </xf>
    <xf numFmtId="0" fontId="0" fillId="0" borderId="2" xfId="0" applyBorder="1" applyAlignment="1">
      <alignment horizontal="center" vertical="center" wrapText="1"/>
    </xf>
    <xf numFmtId="0" fontId="0" fillId="24" borderId="2" xfId="0" applyFill="1" applyBorder="1">
      <alignment vertical="center"/>
    </xf>
    <xf numFmtId="0" fontId="0" fillId="24" borderId="9" xfId="0" applyFill="1" applyBorder="1">
      <alignment vertical="center"/>
    </xf>
    <xf numFmtId="0" fontId="0" fillId="12" borderId="36" xfId="0" applyFill="1" applyBorder="1">
      <alignment vertical="center"/>
    </xf>
    <xf numFmtId="0" fontId="0" fillId="0" borderId="79" xfId="0" applyBorder="1">
      <alignment vertical="center"/>
    </xf>
    <xf numFmtId="0" fontId="0" fillId="14" borderId="79" xfId="0" applyFill="1" applyBorder="1">
      <alignment vertical="center"/>
    </xf>
    <xf numFmtId="0" fontId="0" fillId="0" borderId="80" xfId="0" applyBorder="1" applyAlignment="1">
      <alignment vertical="center" wrapText="1"/>
    </xf>
    <xf numFmtId="0" fontId="0" fillId="0" borderId="81" xfId="0" applyBorder="1" applyAlignment="1">
      <alignment horizontal="center" vertical="center"/>
    </xf>
    <xf numFmtId="0" fontId="0" fillId="0" borderId="79" xfId="0" applyBorder="1" applyAlignment="1">
      <alignment horizontal="center" vertical="center"/>
    </xf>
    <xf numFmtId="0" fontId="0" fillId="0" borderId="82" xfId="0" applyBorder="1" applyAlignment="1">
      <alignment horizontal="center" vertical="center"/>
    </xf>
    <xf numFmtId="0" fontId="0" fillId="15" borderId="6" xfId="0" applyFill="1" applyBorder="1">
      <alignment vertical="center"/>
    </xf>
    <xf numFmtId="0" fontId="0" fillId="20" borderId="79" xfId="0" applyFill="1" applyBorder="1">
      <alignment vertical="center"/>
    </xf>
    <xf numFmtId="0" fontId="0" fillId="15" borderId="1" xfId="0" applyFill="1" applyBorder="1" applyAlignment="1">
      <alignment vertical="center" wrapText="1"/>
    </xf>
    <xf numFmtId="0" fontId="0" fillId="15" borderId="13" xfId="0" applyFill="1" applyBorder="1" applyAlignment="1">
      <alignment horizontal="center" vertical="center"/>
    </xf>
    <xf numFmtId="0" fontId="0" fillId="15" borderId="6" xfId="0" applyFill="1" applyBorder="1" applyAlignment="1">
      <alignment horizontal="center" vertical="center"/>
    </xf>
    <xf numFmtId="0" fontId="0" fillId="15" borderId="8" xfId="0" applyFill="1" applyBorder="1" applyAlignment="1">
      <alignment horizontal="center" vertical="center"/>
    </xf>
    <xf numFmtId="0" fontId="0" fillId="14" borderId="2" xfId="0" applyFill="1" applyBorder="1">
      <alignment vertical="center"/>
    </xf>
    <xf numFmtId="0" fontId="0" fillId="13" borderId="45" xfId="0" applyFill="1" applyBorder="1">
      <alignment vertical="center"/>
    </xf>
    <xf numFmtId="0" fontId="0" fillId="13" borderId="51" xfId="0" applyFill="1" applyBorder="1">
      <alignment vertical="center"/>
    </xf>
    <xf numFmtId="0" fontId="0" fillId="13" borderId="46" xfId="0" applyFill="1" applyBorder="1">
      <alignment vertical="center"/>
    </xf>
    <xf numFmtId="0" fontId="0" fillId="15" borderId="3" xfId="0" applyFill="1" applyBorder="1">
      <alignment vertical="center"/>
    </xf>
    <xf numFmtId="0" fontId="0" fillId="15" borderId="4" xfId="0" applyFill="1" applyBorder="1">
      <alignment vertical="center"/>
    </xf>
    <xf numFmtId="0" fontId="0" fillId="15" borderId="5" xfId="0" applyFill="1" applyBorder="1">
      <alignment vertical="center"/>
    </xf>
    <xf numFmtId="0" fontId="0" fillId="0" borderId="16" xfId="0" quotePrefix="1" applyBorder="1" applyAlignment="1">
      <alignment vertical="center" wrapText="1"/>
    </xf>
    <xf numFmtId="0" fontId="0" fillId="0" borderId="4" xfId="0" applyBorder="1">
      <alignment vertical="center"/>
    </xf>
    <xf numFmtId="0" fontId="0" fillId="0" borderId="2" xfId="0"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0" borderId="12" xfId="0" applyBorder="1" applyAlignment="1">
      <alignment horizontal="center" vertical="center" textRotation="90"/>
    </xf>
    <xf numFmtId="0" fontId="0" fillId="0" borderId="31" xfId="0" applyBorder="1" applyAlignment="1">
      <alignment horizontal="center" vertical="center" textRotation="90"/>
    </xf>
    <xf numFmtId="0" fontId="0" fillId="22" borderId="1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Hyperlink" xfId="1" builtinId="8"/>
    <cellStyle name="Normal" xfId="0" builtinId="0"/>
    <cellStyle name="標準 3 3 4 3" xfId="2" xr:uid="{83E8B55D-84C4-4626-8865-E424FDB369F7}"/>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27E3AF1-0F05-4113-A632-B38998A2307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B4F0CD83-18C4-44FE-B600-F766FA047216}"/>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FBE0F064-3BD3-40CE-971B-31A65033EE4D}"/>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E7CBC5F1-A800-4B8C-9D86-FF14F859829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AA36586F-0BF9-46FB-9C44-0B9FB619DB1D}"/>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125506</xdr:colOff>
      <xdr:row>52</xdr:row>
      <xdr:rowOff>17930</xdr:rowOff>
    </xdr:from>
    <xdr:to>
      <xdr:col>38</xdr:col>
      <xdr:colOff>119231</xdr:colOff>
      <xdr:row>55</xdr:row>
      <xdr:rowOff>86509</xdr:rowOff>
    </xdr:to>
    <xdr:pic>
      <xdr:nvPicPr>
        <xdr:cNvPr id="8" name="Picture 7">
          <a:extLst>
            <a:ext uri="{FF2B5EF4-FFF2-40B4-BE49-F238E27FC236}">
              <a16:creationId xmlns:a16="http://schemas.microsoft.com/office/drawing/2014/main" id="{BA9D47C3-5A3C-96C2-BC7D-69E1103097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02306" y="8875059"/>
          <a:ext cx="567466" cy="579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24008D2A-6D31-4792-A2D6-01C9868D0ED1}"/>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99698AF7-434B-4F68-A018-4A5B3A77B9EC}"/>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21</xdr:col>
      <xdr:colOff>0</xdr:colOff>
      <xdr:row>4</xdr:row>
      <xdr:rowOff>0</xdr:rowOff>
    </xdr:from>
    <xdr:to>
      <xdr:col>50</xdr:col>
      <xdr:colOff>464820</xdr:colOff>
      <xdr:row>62</xdr:row>
      <xdr:rowOff>129540</xdr:rowOff>
    </xdr:to>
    <xdr:pic>
      <xdr:nvPicPr>
        <xdr:cNvPr id="3" name="Picture 2">
          <a:extLst>
            <a:ext uri="{FF2B5EF4-FFF2-40B4-BE49-F238E27FC236}">
              <a16:creationId xmlns:a16="http://schemas.microsoft.com/office/drawing/2014/main" id="{769B991E-CCC1-CD73-EA83-B448F3704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53660" y="670560"/>
          <a:ext cx="18143220" cy="9852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114</xdr:row>
      <xdr:rowOff>0</xdr:rowOff>
    </xdr:from>
    <xdr:to>
      <xdr:col>59</xdr:col>
      <xdr:colOff>201930</xdr:colOff>
      <xdr:row>155</xdr:row>
      <xdr:rowOff>106680</xdr:rowOff>
    </xdr:to>
    <xdr:pic>
      <xdr:nvPicPr>
        <xdr:cNvPr id="9" name="Picture 8">
          <a:extLst>
            <a:ext uri="{FF2B5EF4-FFF2-40B4-BE49-F238E27FC236}">
              <a16:creationId xmlns:a16="http://schemas.microsoft.com/office/drawing/2014/main" id="{E60AD59D-F322-4AC9-8EC9-80E128A406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874343" y="19997057"/>
          <a:ext cx="23366730" cy="680139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65</xdr:row>
      <xdr:rowOff>0</xdr:rowOff>
    </xdr:from>
    <xdr:to>
      <xdr:col>62</xdr:col>
      <xdr:colOff>525780</xdr:colOff>
      <xdr:row>108</xdr:row>
      <xdr:rowOff>110490</xdr:rowOff>
    </xdr:to>
    <xdr:pic>
      <xdr:nvPicPr>
        <xdr:cNvPr id="4" name="Picture 3">
          <a:extLst>
            <a:ext uri="{FF2B5EF4-FFF2-40B4-BE49-F238E27FC236}">
              <a16:creationId xmlns:a16="http://schemas.microsoft.com/office/drawing/2014/main" id="{072411D5-E540-45CE-92A4-B6DE3D10E1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874343" y="10646229"/>
          <a:ext cx="25519380" cy="8481604"/>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168419</xdr:colOff>
      <xdr:row>34</xdr:row>
      <xdr:rowOff>103785</xdr:rowOff>
    </xdr:from>
    <xdr:to>
      <xdr:col>35</xdr:col>
      <xdr:colOff>97254</xdr:colOff>
      <xdr:row>36</xdr:row>
      <xdr:rowOff>45577</xdr:rowOff>
    </xdr:to>
    <xdr:sp macro="" textlink="">
      <xdr:nvSpPr>
        <xdr:cNvPr id="15" name="正方形/長方形 14">
          <a:extLst>
            <a:ext uri="{FF2B5EF4-FFF2-40B4-BE49-F238E27FC236}">
              <a16:creationId xmlns:a16="http://schemas.microsoft.com/office/drawing/2014/main" id="{31AE89E9-568E-44DA-9E51-6C1D7AC24D45}"/>
            </a:ext>
          </a:extLst>
        </xdr:cNvPr>
        <xdr:cNvSpPr/>
      </xdr:nvSpPr>
      <xdr:spPr>
        <a:xfrm>
          <a:off x="26007146" y="5756440"/>
          <a:ext cx="538435" cy="2743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103662</xdr:colOff>
      <xdr:row>35</xdr:row>
      <xdr:rowOff>74524</xdr:rowOff>
    </xdr:from>
    <xdr:to>
      <xdr:col>39</xdr:col>
      <xdr:colOff>320831</xdr:colOff>
      <xdr:row>39</xdr:row>
      <xdr:rowOff>95746</xdr:rowOff>
    </xdr:to>
    <xdr:sp macro="" textlink="">
      <xdr:nvSpPr>
        <xdr:cNvPr id="16" name="線吹き出し 2 (枠付き) 99">
          <a:extLst>
            <a:ext uri="{FF2B5EF4-FFF2-40B4-BE49-F238E27FC236}">
              <a16:creationId xmlns:a16="http://schemas.microsoft.com/office/drawing/2014/main" id="{E5B392D5-503A-4C5A-9C63-9F0EE11F82C7}"/>
            </a:ext>
          </a:extLst>
        </xdr:cNvPr>
        <xdr:cNvSpPr/>
      </xdr:nvSpPr>
      <xdr:spPr>
        <a:xfrm>
          <a:off x="27161589" y="5893433"/>
          <a:ext cx="2045969" cy="686240"/>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REMWAR</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仕様でまとめて確認するため対象外とする</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172130</xdr:colOff>
      <xdr:row>66</xdr:row>
      <xdr:rowOff>158522</xdr:rowOff>
    </xdr:from>
    <xdr:to>
      <xdr:col>24</xdr:col>
      <xdr:colOff>217713</xdr:colOff>
      <xdr:row>69</xdr:row>
      <xdr:rowOff>43541</xdr:rowOff>
    </xdr:to>
    <xdr:sp macro="" textlink="">
      <xdr:nvSpPr>
        <xdr:cNvPr id="17" name="正方形/長方形 16">
          <a:extLst>
            <a:ext uri="{FF2B5EF4-FFF2-40B4-BE49-F238E27FC236}">
              <a16:creationId xmlns:a16="http://schemas.microsoft.com/office/drawing/2014/main" id="{0E457C6C-0FC5-47B9-8820-ABBC15842515}"/>
            </a:ext>
          </a:extLst>
        </xdr:cNvPr>
        <xdr:cNvSpPr/>
      </xdr:nvSpPr>
      <xdr:spPr>
        <a:xfrm>
          <a:off x="18656073" y="11000693"/>
          <a:ext cx="1264783" cy="37487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219360</xdr:colOff>
      <xdr:row>67</xdr:row>
      <xdr:rowOff>119584</xdr:rowOff>
    </xdr:from>
    <xdr:to>
      <xdr:col>26</xdr:col>
      <xdr:colOff>549141</xdr:colOff>
      <xdr:row>69</xdr:row>
      <xdr:rowOff>203811</xdr:rowOff>
    </xdr:to>
    <xdr:sp macro="" textlink="">
      <xdr:nvSpPr>
        <xdr:cNvPr id="18" name="線吹き出し 2 (枠付き) 210">
          <a:extLst>
            <a:ext uri="{FF2B5EF4-FFF2-40B4-BE49-F238E27FC236}">
              <a16:creationId xmlns:a16="http://schemas.microsoft.com/office/drawing/2014/main" id="{C1A6F099-B650-4379-81DA-32BB829A0FF8}"/>
            </a:ext>
          </a:extLst>
        </xdr:cNvPr>
        <xdr:cNvSpPr/>
      </xdr:nvSpPr>
      <xdr:spPr>
        <a:xfrm>
          <a:off x="20532103" y="11125041"/>
          <a:ext cx="939381" cy="410799"/>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要求有り</a:t>
          </a:r>
        </a:p>
      </xdr:txBody>
    </xdr:sp>
    <xdr:clientData/>
  </xdr:twoCellAnchor>
  <xdr:twoCellAnchor>
    <xdr:from>
      <xdr:col>36</xdr:col>
      <xdr:colOff>717</xdr:colOff>
      <xdr:row>77</xdr:row>
      <xdr:rowOff>45583</xdr:rowOff>
    </xdr:from>
    <xdr:to>
      <xdr:col>38</xdr:col>
      <xdr:colOff>176893</xdr:colOff>
      <xdr:row>80</xdr:row>
      <xdr:rowOff>73107</xdr:rowOff>
    </xdr:to>
    <xdr:sp macro="" textlink="">
      <xdr:nvSpPr>
        <xdr:cNvPr id="20" name="線吹き出し 1 (枠付き) 51">
          <a:extLst>
            <a:ext uri="{FF2B5EF4-FFF2-40B4-BE49-F238E27FC236}">
              <a16:creationId xmlns:a16="http://schemas.microsoft.com/office/drawing/2014/main" id="{D660D50B-4F35-49C1-B35A-AD2ADCEB450C}"/>
            </a:ext>
          </a:extLst>
        </xdr:cNvPr>
        <xdr:cNvSpPr/>
      </xdr:nvSpPr>
      <xdr:spPr>
        <a:xfrm>
          <a:off x="27019060" y="13990183"/>
          <a:ext cx="1395376" cy="517381"/>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189820</xdr:colOff>
      <xdr:row>85</xdr:row>
      <xdr:rowOff>76200</xdr:rowOff>
    </xdr:from>
    <xdr:to>
      <xdr:col>36</xdr:col>
      <xdr:colOff>555171</xdr:colOff>
      <xdr:row>94</xdr:row>
      <xdr:rowOff>141514</xdr:rowOff>
    </xdr:to>
    <xdr:sp macro="" textlink="">
      <xdr:nvSpPr>
        <xdr:cNvPr id="21" name="正方形/長方形 20">
          <a:extLst>
            <a:ext uri="{FF2B5EF4-FFF2-40B4-BE49-F238E27FC236}">
              <a16:creationId xmlns:a16="http://schemas.microsoft.com/office/drawing/2014/main" id="{6376A51A-4226-4AB9-BC92-F2C40403005D}"/>
            </a:ext>
          </a:extLst>
        </xdr:cNvPr>
        <xdr:cNvSpPr/>
      </xdr:nvSpPr>
      <xdr:spPr>
        <a:xfrm>
          <a:off x="25988963" y="15337971"/>
          <a:ext cx="1584551" cy="15348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128450</xdr:colOff>
      <xdr:row>86</xdr:row>
      <xdr:rowOff>145798</xdr:rowOff>
    </xdr:from>
    <xdr:to>
      <xdr:col>39</xdr:col>
      <xdr:colOff>380999</xdr:colOff>
      <xdr:row>94</xdr:row>
      <xdr:rowOff>141513</xdr:rowOff>
    </xdr:to>
    <xdr:sp macro="" textlink="">
      <xdr:nvSpPr>
        <xdr:cNvPr id="22" name="正方形/長方形 21">
          <a:extLst>
            <a:ext uri="{FF2B5EF4-FFF2-40B4-BE49-F238E27FC236}">
              <a16:creationId xmlns:a16="http://schemas.microsoft.com/office/drawing/2014/main" id="{E0CF6CB5-DB93-45A6-9ABC-67658707E2BC}"/>
            </a:ext>
          </a:extLst>
        </xdr:cNvPr>
        <xdr:cNvSpPr/>
      </xdr:nvSpPr>
      <xdr:spPr>
        <a:xfrm>
          <a:off x="27756393" y="15570855"/>
          <a:ext cx="1471749" cy="13020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462195</xdr:colOff>
      <xdr:row>74</xdr:row>
      <xdr:rowOff>6804</xdr:rowOff>
    </xdr:from>
    <xdr:to>
      <xdr:col>42</xdr:col>
      <xdr:colOff>59872</xdr:colOff>
      <xdr:row>84</xdr:row>
      <xdr:rowOff>27212</xdr:rowOff>
    </xdr:to>
    <xdr:sp macro="" textlink="">
      <xdr:nvSpPr>
        <xdr:cNvPr id="23" name="線吹き出し 2 (枠付き) 214">
          <a:extLst>
            <a:ext uri="{FF2B5EF4-FFF2-40B4-BE49-F238E27FC236}">
              <a16:creationId xmlns:a16="http://schemas.microsoft.com/office/drawing/2014/main" id="{825368D5-641A-48CB-BF30-098DAE052D4E}"/>
            </a:ext>
          </a:extLst>
        </xdr:cNvPr>
        <xdr:cNvSpPr/>
      </xdr:nvSpPr>
      <xdr:spPr>
        <a:xfrm>
          <a:off x="29309338" y="13461547"/>
          <a:ext cx="1426477" cy="1664151"/>
        </a:xfrm>
        <a:prstGeom prst="borderCallout2">
          <a:avLst>
            <a:gd name="adj1" fmla="val 18750"/>
            <a:gd name="adj2" fmla="val -8333"/>
            <a:gd name="adj3" fmla="val 18750"/>
            <a:gd name="adj4" fmla="val -16667"/>
            <a:gd name="adj5" fmla="val 126069"/>
            <a:gd name="adj6" fmla="val -550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消灯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010b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上記以外：消灯</a:t>
          </a:r>
        </a:p>
      </xdr:txBody>
    </xdr:sp>
    <xdr:clientData/>
  </xdr:twoCellAnchor>
  <xdr:twoCellAnchor>
    <xdr:from>
      <xdr:col>42</xdr:col>
      <xdr:colOff>187036</xdr:colOff>
      <xdr:row>85</xdr:row>
      <xdr:rowOff>132113</xdr:rowOff>
    </xdr:from>
    <xdr:to>
      <xdr:col>46</xdr:col>
      <xdr:colOff>0</xdr:colOff>
      <xdr:row>95</xdr:row>
      <xdr:rowOff>54428</xdr:rowOff>
    </xdr:to>
    <xdr:sp macro="" textlink="">
      <xdr:nvSpPr>
        <xdr:cNvPr id="24" name="正方形/長方形 23">
          <a:extLst>
            <a:ext uri="{FF2B5EF4-FFF2-40B4-BE49-F238E27FC236}">
              <a16:creationId xmlns:a16="http://schemas.microsoft.com/office/drawing/2014/main" id="{DFC70EA7-06A4-4298-856A-801C6D4A2CD9}"/>
            </a:ext>
          </a:extLst>
        </xdr:cNvPr>
        <xdr:cNvSpPr/>
      </xdr:nvSpPr>
      <xdr:spPr>
        <a:xfrm>
          <a:off x="30862979" y="15393884"/>
          <a:ext cx="2251364" cy="15551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73230</xdr:colOff>
      <xdr:row>90</xdr:row>
      <xdr:rowOff>125679</xdr:rowOff>
    </xdr:from>
    <xdr:to>
      <xdr:col>50</xdr:col>
      <xdr:colOff>55913</xdr:colOff>
      <xdr:row>94</xdr:row>
      <xdr:rowOff>21770</xdr:rowOff>
    </xdr:to>
    <xdr:sp macro="" textlink="">
      <xdr:nvSpPr>
        <xdr:cNvPr id="26" name="正方形/長方形 25">
          <a:extLst>
            <a:ext uri="{FF2B5EF4-FFF2-40B4-BE49-F238E27FC236}">
              <a16:creationId xmlns:a16="http://schemas.microsoft.com/office/drawing/2014/main" id="{DEEC1A5A-0515-C141-0FEB-82F275834FC8}"/>
            </a:ext>
          </a:extLst>
        </xdr:cNvPr>
        <xdr:cNvSpPr/>
      </xdr:nvSpPr>
      <xdr:spPr>
        <a:xfrm>
          <a:off x="35016373" y="16203879"/>
          <a:ext cx="592283" cy="5492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270083</xdr:colOff>
      <xdr:row>96</xdr:row>
      <xdr:rowOff>79282</xdr:rowOff>
    </xdr:from>
    <xdr:to>
      <xdr:col>52</xdr:col>
      <xdr:colOff>416429</xdr:colOff>
      <xdr:row>99</xdr:row>
      <xdr:rowOff>32657</xdr:rowOff>
    </xdr:to>
    <xdr:sp macro="" textlink="">
      <xdr:nvSpPr>
        <xdr:cNvPr id="27" name="線吹き出し 1 (枠付き) 59">
          <a:extLst>
            <a:ext uri="{FF2B5EF4-FFF2-40B4-BE49-F238E27FC236}">
              <a16:creationId xmlns:a16="http://schemas.microsoft.com/office/drawing/2014/main" id="{D7DA0D8B-E8E1-5200-7270-4FAB1D476998}"/>
            </a:ext>
          </a:extLst>
        </xdr:cNvPr>
        <xdr:cNvSpPr/>
      </xdr:nvSpPr>
      <xdr:spPr>
        <a:xfrm>
          <a:off x="35822826" y="17137196"/>
          <a:ext cx="1365546" cy="44323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37</xdr:col>
      <xdr:colOff>112222</xdr:colOff>
      <xdr:row>106</xdr:row>
      <xdr:rowOff>46263</xdr:rowOff>
    </xdr:from>
    <xdr:to>
      <xdr:col>38</xdr:col>
      <xdr:colOff>23132</xdr:colOff>
      <xdr:row>108</xdr:row>
      <xdr:rowOff>8351</xdr:rowOff>
    </xdr:to>
    <xdr:sp macro="" textlink="">
      <xdr:nvSpPr>
        <xdr:cNvPr id="41" name="正方形/長方形 40">
          <a:extLst>
            <a:ext uri="{FF2B5EF4-FFF2-40B4-BE49-F238E27FC236}">
              <a16:creationId xmlns:a16="http://schemas.microsoft.com/office/drawing/2014/main" id="{2C2F1806-8265-4D14-A56F-2B111488B767}"/>
            </a:ext>
          </a:extLst>
        </xdr:cNvPr>
        <xdr:cNvSpPr/>
      </xdr:nvSpPr>
      <xdr:spPr>
        <a:xfrm>
          <a:off x="27740165" y="18737034"/>
          <a:ext cx="520510" cy="2886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122464</xdr:colOff>
      <xdr:row>109</xdr:row>
      <xdr:rowOff>159599</xdr:rowOff>
    </xdr:from>
    <xdr:to>
      <xdr:col>36</xdr:col>
      <xdr:colOff>403126</xdr:colOff>
      <xdr:row>112</xdr:row>
      <xdr:rowOff>141514</xdr:rowOff>
    </xdr:to>
    <xdr:sp macro="" textlink="">
      <xdr:nvSpPr>
        <xdr:cNvPr id="42" name="線吹き出し 1 (枠付き) 55">
          <a:extLst>
            <a:ext uri="{FF2B5EF4-FFF2-40B4-BE49-F238E27FC236}">
              <a16:creationId xmlns:a16="http://schemas.microsoft.com/office/drawing/2014/main" id="{932E2B20-7DD6-4A5E-AD48-02AE7AC2E127}"/>
            </a:ext>
          </a:extLst>
        </xdr:cNvPr>
        <xdr:cNvSpPr/>
      </xdr:nvSpPr>
      <xdr:spPr>
        <a:xfrm>
          <a:off x="25921607" y="19340228"/>
          <a:ext cx="1499862" cy="471772"/>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491924</xdr:colOff>
      <xdr:row>106</xdr:row>
      <xdr:rowOff>90225</xdr:rowOff>
    </xdr:from>
    <xdr:to>
      <xdr:col>47</xdr:col>
      <xdr:colOff>435219</xdr:colOff>
      <xdr:row>107</xdr:row>
      <xdr:rowOff>158833</xdr:rowOff>
    </xdr:to>
    <xdr:sp macro="" textlink="">
      <xdr:nvSpPr>
        <xdr:cNvPr id="45" name="正方形/長方形 44">
          <a:extLst>
            <a:ext uri="{FF2B5EF4-FFF2-40B4-BE49-F238E27FC236}">
              <a16:creationId xmlns:a16="http://schemas.microsoft.com/office/drawing/2014/main" id="{D610A020-835C-3CB1-3BF1-C4080A0380DB}"/>
            </a:ext>
          </a:extLst>
        </xdr:cNvPr>
        <xdr:cNvSpPr/>
      </xdr:nvSpPr>
      <xdr:spPr>
        <a:xfrm>
          <a:off x="31167867" y="18780996"/>
          <a:ext cx="2991295" cy="2318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159491</xdr:colOff>
      <xdr:row>109</xdr:row>
      <xdr:rowOff>122959</xdr:rowOff>
    </xdr:from>
    <xdr:to>
      <xdr:col>47</xdr:col>
      <xdr:colOff>329069</xdr:colOff>
      <xdr:row>112</xdr:row>
      <xdr:rowOff>123826</xdr:rowOff>
    </xdr:to>
    <xdr:sp macro="" textlink="">
      <xdr:nvSpPr>
        <xdr:cNvPr id="44" name="線吹き出し 2 (枠付き) 175">
          <a:extLst>
            <a:ext uri="{FF2B5EF4-FFF2-40B4-BE49-F238E27FC236}">
              <a16:creationId xmlns:a16="http://schemas.microsoft.com/office/drawing/2014/main" id="{29ACD805-4FAB-458A-9773-83AFA3FE9878}"/>
            </a:ext>
          </a:extLst>
        </xdr:cNvPr>
        <xdr:cNvSpPr/>
      </xdr:nvSpPr>
      <xdr:spPr>
        <a:xfrm>
          <a:off x="32664234" y="19303588"/>
          <a:ext cx="1388778" cy="490724"/>
        </a:xfrm>
        <a:prstGeom prst="borderCallout2">
          <a:avLst>
            <a:gd name="adj1" fmla="val 18750"/>
            <a:gd name="adj2" fmla="val -8333"/>
            <a:gd name="adj3" fmla="val 18750"/>
            <a:gd name="adj4" fmla="val -16667"/>
            <a:gd name="adj5" fmla="val -54878"/>
            <a:gd name="adj6" fmla="val -37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通信途絶時は消灯</a:t>
          </a:r>
        </a:p>
      </xdr:txBody>
    </xdr:sp>
    <xdr:clientData/>
  </xdr:twoCellAnchor>
  <xdr:twoCellAnchor>
    <xdr:from>
      <xdr:col>36</xdr:col>
      <xdr:colOff>479688</xdr:colOff>
      <xdr:row>124</xdr:row>
      <xdr:rowOff>50346</xdr:rowOff>
    </xdr:from>
    <xdr:to>
      <xdr:col>39</xdr:col>
      <xdr:colOff>46264</xdr:colOff>
      <xdr:row>127</xdr:row>
      <xdr:rowOff>77869</xdr:rowOff>
    </xdr:to>
    <xdr:sp macro="" textlink="">
      <xdr:nvSpPr>
        <xdr:cNvPr id="50" name="線吹き出し 1 (枠付き) 51">
          <a:extLst>
            <a:ext uri="{FF2B5EF4-FFF2-40B4-BE49-F238E27FC236}">
              <a16:creationId xmlns:a16="http://schemas.microsoft.com/office/drawing/2014/main" id="{E61865CA-59AC-973B-B712-BC7320EBFDFC}"/>
            </a:ext>
          </a:extLst>
        </xdr:cNvPr>
        <xdr:cNvSpPr/>
      </xdr:nvSpPr>
      <xdr:spPr>
        <a:xfrm>
          <a:off x="27498031" y="21680260"/>
          <a:ext cx="1395376" cy="517380"/>
        </a:xfrm>
        <a:prstGeom prst="borderCallout1">
          <a:avLst>
            <a:gd name="adj1" fmla="val 44823"/>
            <a:gd name="adj2" fmla="val -3207"/>
            <a:gd name="adj3" fmla="val 311056"/>
            <a:gd name="adj4" fmla="val -311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309562</xdr:colOff>
      <xdr:row>134</xdr:row>
      <xdr:rowOff>31976</xdr:rowOff>
    </xdr:from>
    <xdr:to>
      <xdr:col>36</xdr:col>
      <xdr:colOff>435428</xdr:colOff>
      <xdr:row>142</xdr:row>
      <xdr:rowOff>31976</xdr:rowOff>
    </xdr:to>
    <xdr:sp macro="" textlink="">
      <xdr:nvSpPr>
        <xdr:cNvPr id="51" name="正方形/長方形 50">
          <a:extLst>
            <a:ext uri="{FF2B5EF4-FFF2-40B4-BE49-F238E27FC236}">
              <a16:creationId xmlns:a16="http://schemas.microsoft.com/office/drawing/2014/main" id="{60A20052-824E-ADA1-1B2B-74AC1B5F9296}"/>
            </a:ext>
          </a:extLst>
        </xdr:cNvPr>
        <xdr:cNvSpPr/>
      </xdr:nvSpPr>
      <xdr:spPr>
        <a:xfrm>
          <a:off x="26108705" y="23294747"/>
          <a:ext cx="1345066" cy="1306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161107</xdr:colOff>
      <xdr:row>134</xdr:row>
      <xdr:rowOff>36259</xdr:rowOff>
    </xdr:from>
    <xdr:to>
      <xdr:col>39</xdr:col>
      <xdr:colOff>402770</xdr:colOff>
      <xdr:row>142</xdr:row>
      <xdr:rowOff>31976</xdr:rowOff>
    </xdr:to>
    <xdr:sp macro="" textlink="">
      <xdr:nvSpPr>
        <xdr:cNvPr id="52" name="正方形/長方形 51">
          <a:extLst>
            <a:ext uri="{FF2B5EF4-FFF2-40B4-BE49-F238E27FC236}">
              <a16:creationId xmlns:a16="http://schemas.microsoft.com/office/drawing/2014/main" id="{32934CE4-D67B-6A5E-CD77-6C981F1E7439}"/>
            </a:ext>
          </a:extLst>
        </xdr:cNvPr>
        <xdr:cNvSpPr/>
      </xdr:nvSpPr>
      <xdr:spPr>
        <a:xfrm>
          <a:off x="27789050" y="23299030"/>
          <a:ext cx="1460863" cy="13020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407766</xdr:colOff>
      <xdr:row>123</xdr:row>
      <xdr:rowOff>58510</xdr:rowOff>
    </xdr:from>
    <xdr:to>
      <xdr:col>42</xdr:col>
      <xdr:colOff>5443</xdr:colOff>
      <xdr:row>133</xdr:row>
      <xdr:rowOff>102732</xdr:rowOff>
    </xdr:to>
    <xdr:sp macro="" textlink="">
      <xdr:nvSpPr>
        <xdr:cNvPr id="53" name="線吹き出し 2 (枠付き) 214">
          <a:extLst>
            <a:ext uri="{FF2B5EF4-FFF2-40B4-BE49-F238E27FC236}">
              <a16:creationId xmlns:a16="http://schemas.microsoft.com/office/drawing/2014/main" id="{BA3A52BF-C8C7-1986-34E9-988C9AAFA3F5}"/>
            </a:ext>
          </a:extLst>
        </xdr:cNvPr>
        <xdr:cNvSpPr/>
      </xdr:nvSpPr>
      <xdr:spPr>
        <a:xfrm>
          <a:off x="29254909" y="21525139"/>
          <a:ext cx="1426477" cy="1677079"/>
        </a:xfrm>
        <a:prstGeom prst="borderCallout2">
          <a:avLst>
            <a:gd name="adj1" fmla="val 18750"/>
            <a:gd name="adj2" fmla="val -8333"/>
            <a:gd name="adj3" fmla="val 18750"/>
            <a:gd name="adj4" fmla="val -16667"/>
            <a:gd name="adj5" fmla="val 104483"/>
            <a:gd name="adj6" fmla="val -389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消灯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010b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上記以外：消灯</a:t>
          </a:r>
        </a:p>
      </xdr:txBody>
    </xdr:sp>
    <xdr:clientData/>
  </xdr:twoCellAnchor>
  <xdr:twoCellAnchor>
    <xdr:from>
      <xdr:col>42</xdr:col>
      <xdr:colOff>197921</xdr:colOff>
      <xdr:row>133</xdr:row>
      <xdr:rowOff>155600</xdr:rowOff>
    </xdr:from>
    <xdr:to>
      <xdr:col>46</xdr:col>
      <xdr:colOff>21770</xdr:colOff>
      <xdr:row>142</xdr:row>
      <xdr:rowOff>119742</xdr:rowOff>
    </xdr:to>
    <xdr:sp macro="" textlink="">
      <xdr:nvSpPr>
        <xdr:cNvPr id="54" name="正方形/長方形 53">
          <a:extLst>
            <a:ext uri="{FF2B5EF4-FFF2-40B4-BE49-F238E27FC236}">
              <a16:creationId xmlns:a16="http://schemas.microsoft.com/office/drawing/2014/main" id="{5FA8E8F4-474D-246A-F4DF-BB76F1941220}"/>
            </a:ext>
          </a:extLst>
        </xdr:cNvPr>
        <xdr:cNvSpPr/>
      </xdr:nvSpPr>
      <xdr:spPr>
        <a:xfrm>
          <a:off x="30873864" y="23255086"/>
          <a:ext cx="2262249" cy="14337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345787</xdr:colOff>
      <xdr:row>124</xdr:row>
      <xdr:rowOff>124123</xdr:rowOff>
    </xdr:from>
    <xdr:to>
      <xdr:col>51</xdr:col>
      <xdr:colOff>429491</xdr:colOff>
      <xdr:row>128</xdr:row>
      <xdr:rowOff>138545</xdr:rowOff>
    </xdr:to>
    <xdr:sp macro="" textlink="">
      <xdr:nvSpPr>
        <xdr:cNvPr id="55" name="線吹き出し 1 (枠付き) 59">
          <a:extLst>
            <a:ext uri="{FF2B5EF4-FFF2-40B4-BE49-F238E27FC236}">
              <a16:creationId xmlns:a16="http://schemas.microsoft.com/office/drawing/2014/main" id="{937151A2-8D4E-3305-A8A6-9E4A26207D74}"/>
            </a:ext>
          </a:extLst>
        </xdr:cNvPr>
        <xdr:cNvSpPr/>
      </xdr:nvSpPr>
      <xdr:spPr>
        <a:xfrm>
          <a:off x="32890114" y="22111287"/>
          <a:ext cx="3741304" cy="679440"/>
        </a:xfrm>
        <a:prstGeom prst="borderCallout1">
          <a:avLst>
            <a:gd name="adj1" fmla="val 22557"/>
            <a:gd name="adj2" fmla="val 478"/>
            <a:gd name="adj3" fmla="val 212720"/>
            <a:gd name="adj4" fmla="val -242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19Pfv3R2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小に変更されたが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側に未対応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51458</xdr:colOff>
      <xdr:row>139</xdr:row>
      <xdr:rowOff>12742</xdr:rowOff>
    </xdr:from>
    <xdr:to>
      <xdr:col>50</xdr:col>
      <xdr:colOff>34141</xdr:colOff>
      <xdr:row>142</xdr:row>
      <xdr:rowOff>75521</xdr:rowOff>
    </xdr:to>
    <xdr:sp macro="" textlink="">
      <xdr:nvSpPr>
        <xdr:cNvPr id="56" name="正方形/長方形 55">
          <a:extLst>
            <a:ext uri="{FF2B5EF4-FFF2-40B4-BE49-F238E27FC236}">
              <a16:creationId xmlns:a16="http://schemas.microsoft.com/office/drawing/2014/main" id="{38EF9648-EDA5-DDB4-452D-F8F2B0B02A24}"/>
            </a:ext>
          </a:extLst>
        </xdr:cNvPr>
        <xdr:cNvSpPr/>
      </xdr:nvSpPr>
      <xdr:spPr>
        <a:xfrm>
          <a:off x="34994601" y="24091942"/>
          <a:ext cx="592283" cy="5526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161225</xdr:colOff>
      <xdr:row>144</xdr:row>
      <xdr:rowOff>78602</xdr:rowOff>
    </xdr:from>
    <xdr:to>
      <xdr:col>52</xdr:col>
      <xdr:colOff>307571</xdr:colOff>
      <xdr:row>147</xdr:row>
      <xdr:rowOff>31978</xdr:rowOff>
    </xdr:to>
    <xdr:sp macro="" textlink="">
      <xdr:nvSpPr>
        <xdr:cNvPr id="57" name="線吹き出し 1 (枠付き) 59">
          <a:extLst>
            <a:ext uri="{FF2B5EF4-FFF2-40B4-BE49-F238E27FC236}">
              <a16:creationId xmlns:a16="http://schemas.microsoft.com/office/drawing/2014/main" id="{76C13BD5-05AA-E463-C2BB-27D48ED59470}"/>
            </a:ext>
          </a:extLst>
        </xdr:cNvPr>
        <xdr:cNvSpPr/>
      </xdr:nvSpPr>
      <xdr:spPr>
        <a:xfrm>
          <a:off x="35713968" y="24974231"/>
          <a:ext cx="1365546" cy="443233"/>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37</xdr:col>
      <xdr:colOff>101336</xdr:colOff>
      <xdr:row>153</xdr:row>
      <xdr:rowOff>121262</xdr:rowOff>
    </xdr:from>
    <xdr:to>
      <xdr:col>38</xdr:col>
      <xdr:colOff>12246</xdr:colOff>
      <xdr:row>155</xdr:row>
      <xdr:rowOff>81950</xdr:rowOff>
    </xdr:to>
    <xdr:sp macro="" textlink="">
      <xdr:nvSpPr>
        <xdr:cNvPr id="58" name="正方形/長方形 57">
          <a:extLst>
            <a:ext uri="{FF2B5EF4-FFF2-40B4-BE49-F238E27FC236}">
              <a16:creationId xmlns:a16="http://schemas.microsoft.com/office/drawing/2014/main" id="{E1C8AE71-EA2B-100D-A5BE-30BEBFEF05C3}"/>
            </a:ext>
          </a:extLst>
        </xdr:cNvPr>
        <xdr:cNvSpPr/>
      </xdr:nvSpPr>
      <xdr:spPr>
        <a:xfrm>
          <a:off x="27729279" y="26486462"/>
          <a:ext cx="520510" cy="2872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187779</xdr:colOff>
      <xdr:row>157</xdr:row>
      <xdr:rowOff>71315</xdr:rowOff>
    </xdr:from>
    <xdr:to>
      <xdr:col>36</xdr:col>
      <xdr:colOff>468441</xdr:colOff>
      <xdr:row>160</xdr:row>
      <xdr:rowOff>53228</xdr:rowOff>
    </xdr:to>
    <xdr:sp macro="" textlink="">
      <xdr:nvSpPr>
        <xdr:cNvPr id="59" name="線吹き出し 1 (枠付き) 55">
          <a:extLst>
            <a:ext uri="{FF2B5EF4-FFF2-40B4-BE49-F238E27FC236}">
              <a16:creationId xmlns:a16="http://schemas.microsoft.com/office/drawing/2014/main" id="{3F35948A-D722-7A65-23E0-ED1B626DFD0B}"/>
            </a:ext>
          </a:extLst>
        </xdr:cNvPr>
        <xdr:cNvSpPr/>
      </xdr:nvSpPr>
      <xdr:spPr>
        <a:xfrm>
          <a:off x="25986922" y="27089658"/>
          <a:ext cx="1499862" cy="471770"/>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535467</xdr:colOff>
      <xdr:row>153</xdr:row>
      <xdr:rowOff>77177</xdr:rowOff>
    </xdr:from>
    <xdr:to>
      <xdr:col>47</xdr:col>
      <xdr:colOff>478762</xdr:colOff>
      <xdr:row>155</xdr:row>
      <xdr:rowOff>39266</xdr:rowOff>
    </xdr:to>
    <xdr:sp macro="" textlink="">
      <xdr:nvSpPr>
        <xdr:cNvPr id="60" name="正方形/長方形 59">
          <a:extLst>
            <a:ext uri="{FF2B5EF4-FFF2-40B4-BE49-F238E27FC236}">
              <a16:creationId xmlns:a16="http://schemas.microsoft.com/office/drawing/2014/main" id="{6B73C3BD-EB6D-E0FA-63DF-D3AC02568123}"/>
            </a:ext>
          </a:extLst>
        </xdr:cNvPr>
        <xdr:cNvSpPr/>
      </xdr:nvSpPr>
      <xdr:spPr>
        <a:xfrm>
          <a:off x="31211410" y="26442377"/>
          <a:ext cx="2991295" cy="2886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301004</xdr:colOff>
      <xdr:row>157</xdr:row>
      <xdr:rowOff>10541</xdr:rowOff>
    </xdr:from>
    <xdr:to>
      <xdr:col>46</xdr:col>
      <xdr:colOff>470582</xdr:colOff>
      <xdr:row>160</xdr:row>
      <xdr:rowOff>12807</xdr:rowOff>
    </xdr:to>
    <xdr:sp macro="" textlink="">
      <xdr:nvSpPr>
        <xdr:cNvPr id="64" name="線吹き出し 2 (枠付き) 175">
          <a:extLst>
            <a:ext uri="{FF2B5EF4-FFF2-40B4-BE49-F238E27FC236}">
              <a16:creationId xmlns:a16="http://schemas.microsoft.com/office/drawing/2014/main" id="{5EF344BC-BF25-F41E-B028-487930AFDA38}"/>
            </a:ext>
          </a:extLst>
        </xdr:cNvPr>
        <xdr:cNvSpPr/>
      </xdr:nvSpPr>
      <xdr:spPr>
        <a:xfrm>
          <a:off x="32196147" y="27028884"/>
          <a:ext cx="1388778" cy="492123"/>
        </a:xfrm>
        <a:prstGeom prst="borderCallout2">
          <a:avLst>
            <a:gd name="adj1" fmla="val 18750"/>
            <a:gd name="adj2" fmla="val -8333"/>
            <a:gd name="adj3" fmla="val 18750"/>
            <a:gd name="adj4" fmla="val -16667"/>
            <a:gd name="adj5" fmla="val -54878"/>
            <a:gd name="adj6" fmla="val -37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通信途絶時は消灯</a:t>
          </a:r>
        </a:p>
      </xdr:txBody>
    </xdr:sp>
    <xdr:clientData/>
  </xdr:twoCellAnchor>
  <xdr:twoCellAnchor editAs="oneCell">
    <xdr:from>
      <xdr:col>21</xdr:col>
      <xdr:colOff>0</xdr:colOff>
      <xdr:row>165</xdr:row>
      <xdr:rowOff>0</xdr:rowOff>
    </xdr:from>
    <xdr:to>
      <xdr:col>34</xdr:col>
      <xdr:colOff>19050</xdr:colOff>
      <xdr:row>171</xdr:row>
      <xdr:rowOff>123825</xdr:rowOff>
    </xdr:to>
    <xdr:pic>
      <xdr:nvPicPr>
        <xdr:cNvPr id="66" name="図 65">
          <a:extLst>
            <a:ext uri="{FF2B5EF4-FFF2-40B4-BE49-F238E27FC236}">
              <a16:creationId xmlns:a16="http://schemas.microsoft.com/office/drawing/2014/main" id="{18478B18-9CEE-FE76-6E2C-D50D9DF0C23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678150" y="90354150"/>
          <a:ext cx="893445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174</xdr:row>
      <xdr:rowOff>0</xdr:rowOff>
    </xdr:from>
    <xdr:to>
      <xdr:col>34</xdr:col>
      <xdr:colOff>19050</xdr:colOff>
      <xdr:row>180</xdr:row>
      <xdr:rowOff>123826</xdr:rowOff>
    </xdr:to>
    <xdr:pic>
      <xdr:nvPicPr>
        <xdr:cNvPr id="67" name="図 66">
          <a:extLst>
            <a:ext uri="{FF2B5EF4-FFF2-40B4-BE49-F238E27FC236}">
              <a16:creationId xmlns:a16="http://schemas.microsoft.com/office/drawing/2014/main" id="{21885716-EBE7-B58C-90E0-E93D14473F4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678150" y="91897200"/>
          <a:ext cx="893445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363682</xdr:colOff>
      <xdr:row>167</xdr:row>
      <xdr:rowOff>86591</xdr:rowOff>
    </xdr:from>
    <xdr:to>
      <xdr:col>23</xdr:col>
      <xdr:colOff>631184</xdr:colOff>
      <xdr:row>169</xdr:row>
      <xdr:rowOff>67964</xdr:rowOff>
    </xdr:to>
    <xdr:sp macro="" textlink="">
      <xdr:nvSpPr>
        <xdr:cNvPr id="141" name="正方形/長方形 140">
          <a:extLst>
            <a:ext uri="{FF2B5EF4-FFF2-40B4-BE49-F238E27FC236}">
              <a16:creationId xmlns:a16="http://schemas.microsoft.com/office/drawing/2014/main" id="{4830EA50-2250-427B-B02A-7B8B49BAB3B4}"/>
            </a:ext>
          </a:extLst>
        </xdr:cNvPr>
        <xdr:cNvSpPr/>
      </xdr:nvSpPr>
      <xdr:spPr>
        <a:xfrm>
          <a:off x="16815955" y="91699773"/>
          <a:ext cx="960229" cy="3277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563312</xdr:colOff>
      <xdr:row>168</xdr:row>
      <xdr:rowOff>36766</xdr:rowOff>
    </xdr:from>
    <xdr:to>
      <xdr:col>26</xdr:col>
      <xdr:colOff>283493</xdr:colOff>
      <xdr:row>170</xdr:row>
      <xdr:rowOff>120993</xdr:rowOff>
    </xdr:to>
    <xdr:sp macro="" textlink="">
      <xdr:nvSpPr>
        <xdr:cNvPr id="142" name="線吹き出し 2 (枠付き) 210">
          <a:extLst>
            <a:ext uri="{FF2B5EF4-FFF2-40B4-BE49-F238E27FC236}">
              <a16:creationId xmlns:a16="http://schemas.microsoft.com/office/drawing/2014/main" id="{F229BF5B-9A91-4E50-B64A-B1289D98F257}"/>
            </a:ext>
          </a:extLst>
        </xdr:cNvPr>
        <xdr:cNvSpPr/>
      </xdr:nvSpPr>
      <xdr:spPr>
        <a:xfrm>
          <a:off x="18401039" y="91823130"/>
          <a:ext cx="1105636" cy="430590"/>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要求無し</a:t>
          </a:r>
        </a:p>
      </xdr:txBody>
    </xdr:sp>
    <xdr:clientData/>
  </xdr:twoCellAnchor>
  <xdr:twoCellAnchor>
    <xdr:from>
      <xdr:col>22</xdr:col>
      <xdr:colOff>363682</xdr:colOff>
      <xdr:row>176</xdr:row>
      <xdr:rowOff>86591</xdr:rowOff>
    </xdr:from>
    <xdr:to>
      <xdr:col>23</xdr:col>
      <xdr:colOff>631184</xdr:colOff>
      <xdr:row>178</xdr:row>
      <xdr:rowOff>67963</xdr:rowOff>
    </xdr:to>
    <xdr:sp macro="" textlink="">
      <xdr:nvSpPr>
        <xdr:cNvPr id="143" name="正方形/長方形 142">
          <a:extLst>
            <a:ext uri="{FF2B5EF4-FFF2-40B4-BE49-F238E27FC236}">
              <a16:creationId xmlns:a16="http://schemas.microsoft.com/office/drawing/2014/main" id="{76F2B2EF-839C-D3AD-6E6B-692F02E2C551}"/>
            </a:ext>
          </a:extLst>
        </xdr:cNvPr>
        <xdr:cNvSpPr/>
      </xdr:nvSpPr>
      <xdr:spPr>
        <a:xfrm>
          <a:off x="16815955" y="93258409"/>
          <a:ext cx="960229" cy="3277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563312</xdr:colOff>
      <xdr:row>177</xdr:row>
      <xdr:rowOff>36766</xdr:rowOff>
    </xdr:from>
    <xdr:to>
      <xdr:col>26</xdr:col>
      <xdr:colOff>283493</xdr:colOff>
      <xdr:row>179</xdr:row>
      <xdr:rowOff>120992</xdr:rowOff>
    </xdr:to>
    <xdr:sp macro="" textlink="">
      <xdr:nvSpPr>
        <xdr:cNvPr id="144" name="線吹き出し 2 (枠付き) 210">
          <a:extLst>
            <a:ext uri="{FF2B5EF4-FFF2-40B4-BE49-F238E27FC236}">
              <a16:creationId xmlns:a16="http://schemas.microsoft.com/office/drawing/2014/main" id="{7E1BB5F4-953D-4E54-2399-7E12E87B7478}"/>
            </a:ext>
          </a:extLst>
        </xdr:cNvPr>
        <xdr:cNvSpPr/>
      </xdr:nvSpPr>
      <xdr:spPr>
        <a:xfrm>
          <a:off x="18401039" y="93381766"/>
          <a:ext cx="1105636" cy="430590"/>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要求無し</a:t>
          </a:r>
        </a:p>
      </xdr:txBody>
    </xdr:sp>
    <xdr:clientData/>
  </xdr:twoCellAnchor>
  <xdr:twoCellAnchor editAs="oneCell">
    <xdr:from>
      <xdr:col>21</xdr:col>
      <xdr:colOff>0</xdr:colOff>
      <xdr:row>186</xdr:row>
      <xdr:rowOff>0</xdr:rowOff>
    </xdr:from>
    <xdr:to>
      <xdr:col>61</xdr:col>
      <xdr:colOff>152401</xdr:colOff>
      <xdr:row>226</xdr:row>
      <xdr:rowOff>70076</xdr:rowOff>
    </xdr:to>
    <xdr:pic>
      <xdr:nvPicPr>
        <xdr:cNvPr id="145" name="図 144">
          <a:extLst>
            <a:ext uri="{FF2B5EF4-FFF2-40B4-BE49-F238E27FC236}">
              <a16:creationId xmlns:a16="http://schemas.microsoft.com/office/drawing/2014/main" id="{5692FB24-22FA-04CF-BE34-A600FF1DDCD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678150" y="93954600"/>
          <a:ext cx="27584400" cy="85153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661280</xdr:colOff>
      <xdr:row>190</xdr:row>
      <xdr:rowOff>201633</xdr:rowOff>
    </xdr:from>
    <xdr:to>
      <xdr:col>40</xdr:col>
      <xdr:colOff>144729</xdr:colOff>
      <xdr:row>190</xdr:row>
      <xdr:rowOff>733549</xdr:rowOff>
    </xdr:to>
    <xdr:sp macro="" textlink="">
      <xdr:nvSpPr>
        <xdr:cNvPr id="146" name="線吹き出し 1 (枠付き) 51">
          <a:extLst>
            <a:ext uri="{FF2B5EF4-FFF2-40B4-BE49-F238E27FC236}">
              <a16:creationId xmlns:a16="http://schemas.microsoft.com/office/drawing/2014/main" id="{97B90253-FB4B-E05C-4506-53C00AF54876}"/>
            </a:ext>
          </a:extLst>
        </xdr:cNvPr>
        <xdr:cNvSpPr/>
      </xdr:nvSpPr>
      <xdr:spPr>
        <a:xfrm>
          <a:off x="28630144" y="100023633"/>
          <a:ext cx="1561630" cy="531916"/>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37</xdr:col>
      <xdr:colOff>222970</xdr:colOff>
      <xdr:row>193</xdr:row>
      <xdr:rowOff>18926</xdr:rowOff>
    </xdr:from>
    <xdr:to>
      <xdr:col>39</xdr:col>
      <xdr:colOff>144962</xdr:colOff>
      <xdr:row>212</xdr:row>
      <xdr:rowOff>125556</xdr:rowOff>
    </xdr:to>
    <xdr:sp macro="" textlink="">
      <xdr:nvSpPr>
        <xdr:cNvPr id="147" name="正方形/長方形 146">
          <a:extLst>
            <a:ext uri="{FF2B5EF4-FFF2-40B4-BE49-F238E27FC236}">
              <a16:creationId xmlns:a16="http://schemas.microsoft.com/office/drawing/2014/main" id="{37954286-D789-66B6-025C-6700CF9C3231}"/>
            </a:ext>
          </a:extLst>
        </xdr:cNvPr>
        <xdr:cNvSpPr/>
      </xdr:nvSpPr>
      <xdr:spPr>
        <a:xfrm>
          <a:off x="28191834" y="101018562"/>
          <a:ext cx="1307446" cy="33970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566551</xdr:colOff>
      <xdr:row>193</xdr:row>
      <xdr:rowOff>13685</xdr:rowOff>
    </xdr:from>
    <xdr:to>
      <xdr:col>42</xdr:col>
      <xdr:colOff>155864</xdr:colOff>
      <xdr:row>212</xdr:row>
      <xdr:rowOff>136381</xdr:rowOff>
    </xdr:to>
    <xdr:sp macro="" textlink="">
      <xdr:nvSpPr>
        <xdr:cNvPr id="148" name="正方形/長方形 147">
          <a:extLst>
            <a:ext uri="{FF2B5EF4-FFF2-40B4-BE49-F238E27FC236}">
              <a16:creationId xmlns:a16="http://schemas.microsoft.com/office/drawing/2014/main" id="{E0FAC2A6-666B-67A2-E1B8-F8B37696B64C}"/>
            </a:ext>
          </a:extLst>
        </xdr:cNvPr>
        <xdr:cNvSpPr/>
      </xdr:nvSpPr>
      <xdr:spPr>
        <a:xfrm>
          <a:off x="29920869" y="101013321"/>
          <a:ext cx="1667495" cy="34131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247217</xdr:colOff>
      <xdr:row>189</xdr:row>
      <xdr:rowOff>184007</xdr:rowOff>
    </xdr:from>
    <xdr:to>
      <xdr:col>44</xdr:col>
      <xdr:colOff>27215</xdr:colOff>
      <xdr:row>192</xdr:row>
      <xdr:rowOff>68828</xdr:rowOff>
    </xdr:to>
    <xdr:sp macro="" textlink="">
      <xdr:nvSpPr>
        <xdr:cNvPr id="149" name="線吹き出し 2 (枠付き) 214">
          <a:extLst>
            <a:ext uri="{FF2B5EF4-FFF2-40B4-BE49-F238E27FC236}">
              <a16:creationId xmlns:a16="http://schemas.microsoft.com/office/drawing/2014/main" id="{85129398-6EFE-2F3C-802C-2EC6C5FDEA48}"/>
            </a:ext>
          </a:extLst>
        </xdr:cNvPr>
        <xdr:cNvSpPr/>
      </xdr:nvSpPr>
      <xdr:spPr>
        <a:xfrm>
          <a:off x="30986990" y="99192052"/>
          <a:ext cx="1858180" cy="1703231"/>
        </a:xfrm>
        <a:prstGeom prst="borderCallout2">
          <a:avLst>
            <a:gd name="adj1" fmla="val 18750"/>
            <a:gd name="adj2" fmla="val -8333"/>
            <a:gd name="adj3" fmla="val 18750"/>
            <a:gd name="adj4" fmla="val -16667"/>
            <a:gd name="adj5" fmla="val 118774"/>
            <a:gd name="adj6" fmla="val -28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ブザー表示条件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非吹鳴</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吹鳴</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010b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吹鳴</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上記以外：非吹鳴</a:t>
          </a:r>
        </a:p>
      </xdr:txBody>
    </xdr:sp>
    <xdr:clientData/>
  </xdr:twoCellAnchor>
  <xdr:twoCellAnchor>
    <xdr:from>
      <xdr:col>45</xdr:col>
      <xdr:colOff>145966</xdr:colOff>
      <xdr:row>193</xdr:row>
      <xdr:rowOff>34641</xdr:rowOff>
    </xdr:from>
    <xdr:to>
      <xdr:col>46</xdr:col>
      <xdr:colOff>252350</xdr:colOff>
      <xdr:row>212</xdr:row>
      <xdr:rowOff>136381</xdr:rowOff>
    </xdr:to>
    <xdr:sp macro="" textlink="">
      <xdr:nvSpPr>
        <xdr:cNvPr id="150" name="正方形/長方形 149">
          <a:extLst>
            <a:ext uri="{FF2B5EF4-FFF2-40B4-BE49-F238E27FC236}">
              <a16:creationId xmlns:a16="http://schemas.microsoft.com/office/drawing/2014/main" id="{EF7E59DA-4AB0-B7BC-407D-39AAF4EE91C4}"/>
            </a:ext>
          </a:extLst>
        </xdr:cNvPr>
        <xdr:cNvSpPr/>
      </xdr:nvSpPr>
      <xdr:spPr>
        <a:xfrm>
          <a:off x="33656648" y="101034277"/>
          <a:ext cx="799111" cy="33921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431389</xdr:colOff>
      <xdr:row>214</xdr:row>
      <xdr:rowOff>83425</xdr:rowOff>
    </xdr:from>
    <xdr:to>
      <xdr:col>48</xdr:col>
      <xdr:colOff>294409</xdr:colOff>
      <xdr:row>217</xdr:row>
      <xdr:rowOff>36803</xdr:rowOff>
    </xdr:to>
    <xdr:sp macro="" textlink="">
      <xdr:nvSpPr>
        <xdr:cNvPr id="151" name="線吹き出し 1 (枠付き) 59">
          <a:extLst>
            <a:ext uri="{FF2B5EF4-FFF2-40B4-BE49-F238E27FC236}">
              <a16:creationId xmlns:a16="http://schemas.microsoft.com/office/drawing/2014/main" id="{8286AE60-CC12-4491-6A38-D087BFC09EE2}"/>
            </a:ext>
          </a:extLst>
        </xdr:cNvPr>
        <xdr:cNvSpPr/>
      </xdr:nvSpPr>
      <xdr:spPr>
        <a:xfrm>
          <a:off x="34634798" y="104719880"/>
          <a:ext cx="1248475" cy="472923"/>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579714</xdr:colOff>
      <xdr:row>224</xdr:row>
      <xdr:rowOff>87552</xdr:rowOff>
    </xdr:from>
    <xdr:to>
      <xdr:col>40</xdr:col>
      <xdr:colOff>437283</xdr:colOff>
      <xdr:row>225</xdr:row>
      <xdr:rowOff>163595</xdr:rowOff>
    </xdr:to>
    <xdr:sp macro="" textlink="">
      <xdr:nvSpPr>
        <xdr:cNvPr id="154" name="正方形/長方形 153">
          <a:extLst>
            <a:ext uri="{FF2B5EF4-FFF2-40B4-BE49-F238E27FC236}">
              <a16:creationId xmlns:a16="http://schemas.microsoft.com/office/drawing/2014/main" id="{EFFA2CE2-537F-5975-4488-2E7687822D12}"/>
            </a:ext>
          </a:extLst>
        </xdr:cNvPr>
        <xdr:cNvSpPr/>
      </xdr:nvSpPr>
      <xdr:spPr>
        <a:xfrm>
          <a:off x="29934032" y="106455825"/>
          <a:ext cx="550296" cy="2492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90301</xdr:colOff>
      <xdr:row>227</xdr:row>
      <xdr:rowOff>78121</xdr:rowOff>
    </xdr:from>
    <xdr:to>
      <xdr:col>39</xdr:col>
      <xdr:colOff>370964</xdr:colOff>
      <xdr:row>230</xdr:row>
      <xdr:rowOff>60031</xdr:rowOff>
    </xdr:to>
    <xdr:sp macro="" textlink="">
      <xdr:nvSpPr>
        <xdr:cNvPr id="155" name="線吹き出し 1 (枠付き) 55">
          <a:extLst>
            <a:ext uri="{FF2B5EF4-FFF2-40B4-BE49-F238E27FC236}">
              <a16:creationId xmlns:a16="http://schemas.microsoft.com/office/drawing/2014/main" id="{FC1FDE90-F63F-A39E-C6F6-49E2670127ED}"/>
            </a:ext>
          </a:extLst>
        </xdr:cNvPr>
        <xdr:cNvSpPr/>
      </xdr:nvSpPr>
      <xdr:spPr>
        <a:xfrm>
          <a:off x="28059165" y="106965939"/>
          <a:ext cx="1666117" cy="501456"/>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初期値は、非吹鳴</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44</xdr:col>
      <xdr:colOff>268518</xdr:colOff>
      <xdr:row>224</xdr:row>
      <xdr:rowOff>83181</xdr:rowOff>
    </xdr:from>
    <xdr:to>
      <xdr:col>49</xdr:col>
      <xdr:colOff>211814</xdr:colOff>
      <xdr:row>225</xdr:row>
      <xdr:rowOff>149988</xdr:rowOff>
    </xdr:to>
    <xdr:sp macro="" textlink="">
      <xdr:nvSpPr>
        <xdr:cNvPr id="156" name="正方形/長方形 155">
          <a:extLst>
            <a:ext uri="{FF2B5EF4-FFF2-40B4-BE49-F238E27FC236}">
              <a16:creationId xmlns:a16="http://schemas.microsoft.com/office/drawing/2014/main" id="{A9763A68-808B-ED6E-78A7-D9DC27681701}"/>
            </a:ext>
          </a:extLst>
        </xdr:cNvPr>
        <xdr:cNvSpPr/>
      </xdr:nvSpPr>
      <xdr:spPr>
        <a:xfrm>
          <a:off x="33086473" y="106451454"/>
          <a:ext cx="3406932" cy="2399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9564</xdr:colOff>
      <xdr:row>227</xdr:row>
      <xdr:rowOff>17347</xdr:rowOff>
    </xdr:from>
    <xdr:to>
      <xdr:col>51</xdr:col>
      <xdr:colOff>163285</xdr:colOff>
      <xdr:row>231</xdr:row>
      <xdr:rowOff>132981</xdr:rowOff>
    </xdr:to>
    <xdr:sp macro="" textlink="">
      <xdr:nvSpPr>
        <xdr:cNvPr id="157" name="線吹き出し 2 (枠付き) 175">
          <a:extLst>
            <a:ext uri="{FF2B5EF4-FFF2-40B4-BE49-F238E27FC236}">
              <a16:creationId xmlns:a16="http://schemas.microsoft.com/office/drawing/2014/main" id="{A9813322-7087-F6BE-08E2-4EEF5329E50A}"/>
            </a:ext>
          </a:extLst>
        </xdr:cNvPr>
        <xdr:cNvSpPr/>
      </xdr:nvSpPr>
      <xdr:spPr>
        <a:xfrm>
          <a:off x="34212973" y="106905165"/>
          <a:ext cx="3617357" cy="808361"/>
        </a:xfrm>
        <a:prstGeom prst="borderCallout2">
          <a:avLst>
            <a:gd name="adj1" fmla="val 18750"/>
            <a:gd name="adj2" fmla="val -8333"/>
            <a:gd name="adj3" fmla="val 18750"/>
            <a:gd name="adj4" fmla="val -16667"/>
            <a:gd name="adj5" fmla="val -35043"/>
            <a:gd name="adj6" fmla="val -20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通信途絶時は最終信号値によって非吹鳴</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吹鳴</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最終信号値は通信ソフトが保持する</a:t>
          </a:r>
        </a:p>
      </xdr:txBody>
    </xdr:sp>
    <xdr:clientData/>
  </xdr:twoCellAnchor>
  <xdr:twoCellAnchor>
    <xdr:from>
      <xdr:col>22</xdr:col>
      <xdr:colOff>294410</xdr:colOff>
      <xdr:row>188</xdr:row>
      <xdr:rowOff>69273</xdr:rowOff>
    </xdr:from>
    <xdr:to>
      <xdr:col>23</xdr:col>
      <xdr:colOff>561912</xdr:colOff>
      <xdr:row>189</xdr:row>
      <xdr:rowOff>50645</xdr:rowOff>
    </xdr:to>
    <xdr:sp macro="" textlink="">
      <xdr:nvSpPr>
        <xdr:cNvPr id="158" name="正方形/長方形 157">
          <a:extLst>
            <a:ext uri="{FF2B5EF4-FFF2-40B4-BE49-F238E27FC236}">
              <a16:creationId xmlns:a16="http://schemas.microsoft.com/office/drawing/2014/main" id="{65D7321C-1EFC-04B2-5782-17AF06477955}"/>
            </a:ext>
          </a:extLst>
        </xdr:cNvPr>
        <xdr:cNvSpPr/>
      </xdr:nvSpPr>
      <xdr:spPr>
        <a:xfrm>
          <a:off x="17844223" y="95295461"/>
          <a:ext cx="958064" cy="3147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494041</xdr:colOff>
      <xdr:row>188</xdr:row>
      <xdr:rowOff>186136</xdr:rowOff>
    </xdr:from>
    <xdr:to>
      <xdr:col>26</xdr:col>
      <xdr:colOff>353787</xdr:colOff>
      <xdr:row>189</xdr:row>
      <xdr:rowOff>270363</xdr:rowOff>
    </xdr:to>
    <xdr:sp macro="" textlink="">
      <xdr:nvSpPr>
        <xdr:cNvPr id="159" name="線吹き出し 2 (枠付き) 210">
          <a:extLst>
            <a:ext uri="{FF2B5EF4-FFF2-40B4-BE49-F238E27FC236}">
              <a16:creationId xmlns:a16="http://schemas.microsoft.com/office/drawing/2014/main" id="{4707273F-BD40-F9D1-575D-2A97649E6C14}"/>
            </a:ext>
          </a:extLst>
        </xdr:cNvPr>
        <xdr:cNvSpPr/>
      </xdr:nvSpPr>
      <xdr:spPr>
        <a:xfrm>
          <a:off x="19424979" y="95412324"/>
          <a:ext cx="1240871" cy="417602"/>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ブザー要求あり</a:t>
          </a:r>
        </a:p>
      </xdr:txBody>
    </xdr:sp>
    <xdr:clientData/>
  </xdr:twoCellAnchor>
  <xdr:twoCellAnchor editAs="oneCell">
    <xdr:from>
      <xdr:col>21</xdr:col>
      <xdr:colOff>0</xdr:colOff>
      <xdr:row>236</xdr:row>
      <xdr:rowOff>0</xdr:rowOff>
    </xdr:from>
    <xdr:to>
      <xdr:col>67</xdr:col>
      <xdr:colOff>438151</xdr:colOff>
      <xdr:row>279</xdr:row>
      <xdr:rowOff>115981</xdr:rowOff>
    </xdr:to>
    <xdr:pic>
      <xdr:nvPicPr>
        <xdr:cNvPr id="160" name="図 159">
          <a:extLst>
            <a:ext uri="{FF2B5EF4-FFF2-40B4-BE49-F238E27FC236}">
              <a16:creationId xmlns:a16="http://schemas.microsoft.com/office/drawing/2014/main" id="{2D2C5086-7880-DD58-2D12-7AD04A85671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759545" y="105121364"/>
          <a:ext cx="32303605" cy="901497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470780</xdr:colOff>
      <xdr:row>241</xdr:row>
      <xdr:rowOff>10207</xdr:rowOff>
    </xdr:from>
    <xdr:to>
      <xdr:col>39</xdr:col>
      <xdr:colOff>646957</xdr:colOff>
      <xdr:row>243</xdr:row>
      <xdr:rowOff>126794</xdr:rowOff>
    </xdr:to>
    <xdr:sp macro="" textlink="">
      <xdr:nvSpPr>
        <xdr:cNvPr id="161" name="線吹き出し 1 (枠付き) 51">
          <a:extLst>
            <a:ext uri="{FF2B5EF4-FFF2-40B4-BE49-F238E27FC236}">
              <a16:creationId xmlns:a16="http://schemas.microsoft.com/office/drawing/2014/main" id="{34877A5E-A636-769D-9A58-63EED5E2D5F7}"/>
            </a:ext>
          </a:extLst>
        </xdr:cNvPr>
        <xdr:cNvSpPr/>
      </xdr:nvSpPr>
      <xdr:spPr>
        <a:xfrm>
          <a:off x="30656371" y="110690707"/>
          <a:ext cx="1561631" cy="462951"/>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37</xdr:col>
      <xdr:colOff>32470</xdr:colOff>
      <xdr:row>246</xdr:row>
      <xdr:rowOff>33709</xdr:rowOff>
    </xdr:from>
    <xdr:to>
      <xdr:col>38</xdr:col>
      <xdr:colOff>647189</xdr:colOff>
      <xdr:row>266</xdr:row>
      <xdr:rowOff>61542</xdr:rowOff>
    </xdr:to>
    <xdr:sp macro="" textlink="">
      <xdr:nvSpPr>
        <xdr:cNvPr id="162" name="正方形/長方形 161">
          <a:extLst>
            <a:ext uri="{FF2B5EF4-FFF2-40B4-BE49-F238E27FC236}">
              <a16:creationId xmlns:a16="http://schemas.microsoft.com/office/drawing/2014/main" id="{4379ADDC-E11B-C16E-994C-8F1C8737D58F}"/>
            </a:ext>
          </a:extLst>
        </xdr:cNvPr>
        <xdr:cNvSpPr/>
      </xdr:nvSpPr>
      <xdr:spPr>
        <a:xfrm>
          <a:off x="30218061" y="111580118"/>
          <a:ext cx="1307446" cy="34914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376051</xdr:colOff>
      <xdr:row>246</xdr:row>
      <xdr:rowOff>37993</xdr:rowOff>
    </xdr:from>
    <xdr:to>
      <xdr:col>41</xdr:col>
      <xdr:colOff>658091</xdr:colOff>
      <xdr:row>266</xdr:row>
      <xdr:rowOff>78861</xdr:rowOff>
    </xdr:to>
    <xdr:sp macro="" textlink="">
      <xdr:nvSpPr>
        <xdr:cNvPr id="163" name="正方形/長方形 162">
          <a:extLst>
            <a:ext uri="{FF2B5EF4-FFF2-40B4-BE49-F238E27FC236}">
              <a16:creationId xmlns:a16="http://schemas.microsoft.com/office/drawing/2014/main" id="{4016E520-64A6-94E5-CD60-F6938839CD7F}"/>
            </a:ext>
          </a:extLst>
        </xdr:cNvPr>
        <xdr:cNvSpPr/>
      </xdr:nvSpPr>
      <xdr:spPr>
        <a:xfrm>
          <a:off x="31947096" y="111584402"/>
          <a:ext cx="1667495" cy="35045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56717</xdr:colOff>
      <xdr:row>239</xdr:row>
      <xdr:rowOff>804986</xdr:rowOff>
    </xdr:from>
    <xdr:to>
      <xdr:col>43</xdr:col>
      <xdr:colOff>517072</xdr:colOff>
      <xdr:row>244</xdr:row>
      <xdr:rowOff>158265</xdr:rowOff>
    </xdr:to>
    <xdr:sp macro="" textlink="">
      <xdr:nvSpPr>
        <xdr:cNvPr id="164" name="線吹き出し 2 (枠付き) 214">
          <a:extLst>
            <a:ext uri="{FF2B5EF4-FFF2-40B4-BE49-F238E27FC236}">
              <a16:creationId xmlns:a16="http://schemas.microsoft.com/office/drawing/2014/main" id="{FD93BEDA-8444-21F3-9851-EC0FE3E733F7}"/>
            </a:ext>
          </a:extLst>
        </xdr:cNvPr>
        <xdr:cNvSpPr/>
      </xdr:nvSpPr>
      <xdr:spPr>
        <a:xfrm>
          <a:off x="33013217" y="109978804"/>
          <a:ext cx="1845810" cy="1379506"/>
        </a:xfrm>
        <a:prstGeom prst="borderCallout2">
          <a:avLst>
            <a:gd name="adj1" fmla="val 18750"/>
            <a:gd name="adj2" fmla="val -8333"/>
            <a:gd name="adj3" fmla="val 18750"/>
            <a:gd name="adj4" fmla="val -16667"/>
            <a:gd name="adj5" fmla="val 118774"/>
            <a:gd name="adj6" fmla="val -28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非表示</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表示</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010b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表示</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上記以外：非表示</a:t>
          </a:r>
        </a:p>
      </xdr:txBody>
    </xdr:sp>
    <xdr:clientData/>
  </xdr:twoCellAnchor>
  <xdr:twoCellAnchor>
    <xdr:from>
      <xdr:col>44</xdr:col>
      <xdr:colOff>163284</xdr:colOff>
      <xdr:row>246</xdr:row>
      <xdr:rowOff>44224</xdr:rowOff>
    </xdr:from>
    <xdr:to>
      <xdr:col>45</xdr:col>
      <xdr:colOff>269668</xdr:colOff>
      <xdr:row>266</xdr:row>
      <xdr:rowOff>78861</xdr:rowOff>
    </xdr:to>
    <xdr:sp macro="" textlink="">
      <xdr:nvSpPr>
        <xdr:cNvPr id="165" name="正方形/長方形 164">
          <a:extLst>
            <a:ext uri="{FF2B5EF4-FFF2-40B4-BE49-F238E27FC236}">
              <a16:creationId xmlns:a16="http://schemas.microsoft.com/office/drawing/2014/main" id="{1DCA4FEE-601F-3C65-F396-A1BA0CB69408}"/>
            </a:ext>
          </a:extLst>
        </xdr:cNvPr>
        <xdr:cNvSpPr/>
      </xdr:nvSpPr>
      <xdr:spPr>
        <a:xfrm>
          <a:off x="35197966" y="111590633"/>
          <a:ext cx="799111" cy="34982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448707</xdr:colOff>
      <xdr:row>268</xdr:row>
      <xdr:rowOff>19411</xdr:rowOff>
    </xdr:from>
    <xdr:to>
      <xdr:col>47</xdr:col>
      <xdr:colOff>311727</xdr:colOff>
      <xdr:row>270</xdr:row>
      <xdr:rowOff>142258</xdr:rowOff>
    </xdr:to>
    <xdr:sp macro="" textlink="">
      <xdr:nvSpPr>
        <xdr:cNvPr id="166" name="線吹き出し 1 (枠付き) 59">
          <a:extLst>
            <a:ext uri="{FF2B5EF4-FFF2-40B4-BE49-F238E27FC236}">
              <a16:creationId xmlns:a16="http://schemas.microsoft.com/office/drawing/2014/main" id="{C9B23F18-6817-84E7-075F-1B10EAF92085}"/>
            </a:ext>
          </a:extLst>
        </xdr:cNvPr>
        <xdr:cNvSpPr/>
      </xdr:nvSpPr>
      <xdr:spPr>
        <a:xfrm>
          <a:off x="36176116" y="115375820"/>
          <a:ext cx="1248475" cy="469211"/>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527758</xdr:colOff>
      <xdr:row>277</xdr:row>
      <xdr:rowOff>131959</xdr:rowOff>
    </xdr:from>
    <xdr:to>
      <xdr:col>37</xdr:col>
      <xdr:colOff>385328</xdr:colOff>
      <xdr:row>279</xdr:row>
      <xdr:rowOff>42695</xdr:rowOff>
    </xdr:to>
    <xdr:sp macro="" textlink="">
      <xdr:nvSpPr>
        <xdr:cNvPr id="167" name="正方形/長方形 166">
          <a:extLst>
            <a:ext uri="{FF2B5EF4-FFF2-40B4-BE49-F238E27FC236}">
              <a16:creationId xmlns:a16="http://schemas.microsoft.com/office/drawing/2014/main" id="{6EF66785-4AD2-892B-9023-0635B11FF7A5}"/>
            </a:ext>
          </a:extLst>
        </xdr:cNvPr>
        <xdr:cNvSpPr/>
      </xdr:nvSpPr>
      <xdr:spPr>
        <a:xfrm>
          <a:off x="29797523" y="114017341"/>
          <a:ext cx="541129" cy="2469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38346</xdr:colOff>
      <xdr:row>280</xdr:row>
      <xdr:rowOff>117412</xdr:rowOff>
    </xdr:from>
    <xdr:to>
      <xdr:col>36</xdr:col>
      <xdr:colOff>319008</xdr:colOff>
      <xdr:row>283</xdr:row>
      <xdr:rowOff>99326</xdr:rowOff>
    </xdr:to>
    <xdr:sp macro="" textlink="">
      <xdr:nvSpPr>
        <xdr:cNvPr id="168" name="線吹き出し 1 (枠付き) 55">
          <a:extLst>
            <a:ext uri="{FF2B5EF4-FFF2-40B4-BE49-F238E27FC236}">
              <a16:creationId xmlns:a16="http://schemas.microsoft.com/office/drawing/2014/main" id="{4C70CD22-ACA8-3946-33D4-395FC6CD022C}"/>
            </a:ext>
          </a:extLst>
        </xdr:cNvPr>
        <xdr:cNvSpPr/>
      </xdr:nvSpPr>
      <xdr:spPr>
        <a:xfrm>
          <a:off x="27940993" y="114507059"/>
          <a:ext cx="1647780" cy="486179"/>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初期値は、非表示</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40</xdr:col>
      <xdr:colOff>3797</xdr:colOff>
      <xdr:row>277</xdr:row>
      <xdr:rowOff>95578</xdr:rowOff>
    </xdr:from>
    <xdr:to>
      <xdr:col>45</xdr:col>
      <xdr:colOff>121227</xdr:colOff>
      <xdr:row>279</xdr:row>
      <xdr:rowOff>50117</xdr:rowOff>
    </xdr:to>
    <xdr:sp macro="" textlink="">
      <xdr:nvSpPr>
        <xdr:cNvPr id="169" name="正方形/長方形 168">
          <a:extLst>
            <a:ext uri="{FF2B5EF4-FFF2-40B4-BE49-F238E27FC236}">
              <a16:creationId xmlns:a16="http://schemas.microsoft.com/office/drawing/2014/main" id="{03BA826B-1D40-2C0F-EA28-69E3FAA8A129}"/>
            </a:ext>
          </a:extLst>
        </xdr:cNvPr>
        <xdr:cNvSpPr/>
      </xdr:nvSpPr>
      <xdr:spPr>
        <a:xfrm>
          <a:off x="32007797" y="113980960"/>
          <a:ext cx="3535224" cy="2907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138545</xdr:colOff>
      <xdr:row>280</xdr:row>
      <xdr:rowOff>112895</xdr:rowOff>
    </xdr:from>
    <xdr:to>
      <xdr:col>43</xdr:col>
      <xdr:colOff>435428</xdr:colOff>
      <xdr:row>283</xdr:row>
      <xdr:rowOff>115162</xdr:rowOff>
    </xdr:to>
    <xdr:sp macro="" textlink="">
      <xdr:nvSpPr>
        <xdr:cNvPr id="171" name="線吹き出し 2 (枠付き) 175">
          <a:extLst>
            <a:ext uri="{FF2B5EF4-FFF2-40B4-BE49-F238E27FC236}">
              <a16:creationId xmlns:a16="http://schemas.microsoft.com/office/drawing/2014/main" id="{AB2E30D7-E42C-4BFB-AEAC-D2D1273652A3}"/>
            </a:ext>
          </a:extLst>
        </xdr:cNvPr>
        <xdr:cNvSpPr/>
      </xdr:nvSpPr>
      <xdr:spPr>
        <a:xfrm>
          <a:off x="32826104" y="114502542"/>
          <a:ext cx="1664000" cy="506532"/>
        </a:xfrm>
        <a:prstGeom prst="borderCallout2">
          <a:avLst>
            <a:gd name="adj1" fmla="val 18750"/>
            <a:gd name="adj2" fmla="val -8333"/>
            <a:gd name="adj3" fmla="val 18750"/>
            <a:gd name="adj4" fmla="val -16667"/>
            <a:gd name="adj5" fmla="val -70197"/>
            <a:gd name="adj6" fmla="val -361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通信途絶時は非表示</a:t>
          </a:r>
        </a:p>
      </xdr:txBody>
    </xdr:sp>
    <xdr:clientData/>
  </xdr:twoCellAnchor>
  <xdr:twoCellAnchor>
    <xdr:from>
      <xdr:col>57</xdr:col>
      <xdr:colOff>17319</xdr:colOff>
      <xdr:row>247</xdr:row>
      <xdr:rowOff>175347</xdr:rowOff>
    </xdr:from>
    <xdr:to>
      <xdr:col>58</xdr:col>
      <xdr:colOff>1</xdr:colOff>
      <xdr:row>264</xdr:row>
      <xdr:rowOff>15773</xdr:rowOff>
    </xdr:to>
    <xdr:sp macro="" textlink="">
      <xdr:nvSpPr>
        <xdr:cNvPr id="175" name="正方形/長方形 174">
          <a:extLst>
            <a:ext uri="{FF2B5EF4-FFF2-40B4-BE49-F238E27FC236}">
              <a16:creationId xmlns:a16="http://schemas.microsoft.com/office/drawing/2014/main" id="{848DA820-658C-458F-8D2A-03928C43BF16}"/>
            </a:ext>
          </a:extLst>
        </xdr:cNvPr>
        <xdr:cNvSpPr/>
      </xdr:nvSpPr>
      <xdr:spPr>
        <a:xfrm>
          <a:off x="41777640" y="114584204"/>
          <a:ext cx="663040" cy="28476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656527</xdr:colOff>
      <xdr:row>265</xdr:row>
      <xdr:rowOff>139709</xdr:rowOff>
    </xdr:from>
    <xdr:to>
      <xdr:col>60</xdr:col>
      <xdr:colOff>155866</xdr:colOff>
      <xdr:row>268</xdr:row>
      <xdr:rowOff>82880</xdr:rowOff>
    </xdr:to>
    <xdr:sp macro="" textlink="">
      <xdr:nvSpPr>
        <xdr:cNvPr id="176" name="線吹き出し 1 (枠付き) 59">
          <a:extLst>
            <a:ext uri="{FF2B5EF4-FFF2-40B4-BE49-F238E27FC236}">
              <a16:creationId xmlns:a16="http://schemas.microsoft.com/office/drawing/2014/main" id="{5B078CB9-DDDF-4D7D-8887-A18E4A19AAF1}"/>
            </a:ext>
          </a:extLst>
        </xdr:cNvPr>
        <xdr:cNvSpPr/>
      </xdr:nvSpPr>
      <xdr:spPr>
        <a:xfrm>
          <a:off x="42416848" y="117732638"/>
          <a:ext cx="1540411" cy="473849"/>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22</xdr:col>
      <xdr:colOff>272143</xdr:colOff>
      <xdr:row>238</xdr:row>
      <xdr:rowOff>71438</xdr:rowOff>
    </xdr:from>
    <xdr:to>
      <xdr:col>23</xdr:col>
      <xdr:colOff>554614</xdr:colOff>
      <xdr:row>239</xdr:row>
      <xdr:rowOff>25594</xdr:rowOff>
    </xdr:to>
    <xdr:sp macro="" textlink="">
      <xdr:nvSpPr>
        <xdr:cNvPr id="177" name="正方形/長方形 176">
          <a:extLst>
            <a:ext uri="{FF2B5EF4-FFF2-40B4-BE49-F238E27FC236}">
              <a16:creationId xmlns:a16="http://schemas.microsoft.com/office/drawing/2014/main" id="{292548D6-C523-413B-A6B6-E7EF462CDB7C}"/>
            </a:ext>
          </a:extLst>
        </xdr:cNvPr>
        <xdr:cNvSpPr/>
      </xdr:nvSpPr>
      <xdr:spPr>
        <a:xfrm>
          <a:off x="18219964" y="111051295"/>
          <a:ext cx="962829" cy="2943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501708</xdr:colOff>
      <xdr:row>238</xdr:row>
      <xdr:rowOff>194485</xdr:rowOff>
    </xdr:from>
    <xdr:to>
      <xdr:col>26</xdr:col>
      <xdr:colOff>312963</xdr:colOff>
      <xdr:row>239</xdr:row>
      <xdr:rowOff>237889</xdr:rowOff>
    </xdr:to>
    <xdr:sp macro="" textlink="">
      <xdr:nvSpPr>
        <xdr:cNvPr id="178" name="線吹き出し 2 (枠付き) 210">
          <a:extLst>
            <a:ext uri="{FF2B5EF4-FFF2-40B4-BE49-F238E27FC236}">
              <a16:creationId xmlns:a16="http://schemas.microsoft.com/office/drawing/2014/main" id="{25E7CC89-2533-4706-9654-88E06CFE41E7}"/>
            </a:ext>
          </a:extLst>
        </xdr:cNvPr>
        <xdr:cNvSpPr/>
      </xdr:nvSpPr>
      <xdr:spPr>
        <a:xfrm>
          <a:off x="19810244" y="111174342"/>
          <a:ext cx="1171969" cy="383583"/>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要求有り</a:t>
          </a:r>
        </a:p>
      </xdr:txBody>
    </xdr:sp>
    <xdr:clientData/>
  </xdr:twoCellAnchor>
  <xdr:twoCellAnchor>
    <xdr:from>
      <xdr:col>9</xdr:col>
      <xdr:colOff>0</xdr:colOff>
      <xdr:row>63</xdr:row>
      <xdr:rowOff>95251</xdr:rowOff>
    </xdr:from>
    <xdr:to>
      <xdr:col>11</xdr:col>
      <xdr:colOff>1714501</xdr:colOff>
      <xdr:row>65</xdr:row>
      <xdr:rowOff>85877</xdr:rowOff>
    </xdr:to>
    <xdr:sp macro="" textlink="">
      <xdr:nvSpPr>
        <xdr:cNvPr id="189" name="線吹き出し 1 (枠付き) 2">
          <a:extLst>
            <a:ext uri="{FF2B5EF4-FFF2-40B4-BE49-F238E27FC236}">
              <a16:creationId xmlns:a16="http://schemas.microsoft.com/office/drawing/2014/main" id="{2B92543A-5669-42FD-A73F-8A0BFF9B8918}"/>
            </a:ext>
          </a:extLst>
        </xdr:cNvPr>
        <xdr:cNvSpPr/>
      </xdr:nvSpPr>
      <xdr:spPr>
        <a:xfrm>
          <a:off x="5181600" y="95251"/>
          <a:ext cx="3476626" cy="352576"/>
        </a:xfrm>
        <a:prstGeom prst="borderCallout1">
          <a:avLst>
            <a:gd name="adj1" fmla="val 38295"/>
            <a:gd name="adj2" fmla="val -1002"/>
            <a:gd name="adj3" fmla="val 110088"/>
            <a:gd name="adj4" fmla="val -138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2008655</xdr:colOff>
      <xdr:row>81</xdr:row>
      <xdr:rowOff>165287</xdr:rowOff>
    </xdr:from>
    <xdr:to>
      <xdr:col>9</xdr:col>
      <xdr:colOff>139246</xdr:colOff>
      <xdr:row>83</xdr:row>
      <xdr:rowOff>162077</xdr:rowOff>
    </xdr:to>
    <xdr:sp macro="" textlink="">
      <xdr:nvSpPr>
        <xdr:cNvPr id="190" name="線吹き出し 1 (枠付き) 3">
          <a:extLst>
            <a:ext uri="{FF2B5EF4-FFF2-40B4-BE49-F238E27FC236}">
              <a16:creationId xmlns:a16="http://schemas.microsoft.com/office/drawing/2014/main" id="{7D8B141F-2599-4D15-AF97-70C1294CBD6C}"/>
            </a:ext>
          </a:extLst>
        </xdr:cNvPr>
        <xdr:cNvSpPr/>
      </xdr:nvSpPr>
      <xdr:spPr>
        <a:xfrm>
          <a:off x="2692214" y="15371669"/>
          <a:ext cx="2635356" cy="332967"/>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0</xdr:colOff>
      <xdr:row>182</xdr:row>
      <xdr:rowOff>95251</xdr:rowOff>
    </xdr:from>
    <xdr:to>
      <xdr:col>11</xdr:col>
      <xdr:colOff>1714501</xdr:colOff>
      <xdr:row>184</xdr:row>
      <xdr:rowOff>85877</xdr:rowOff>
    </xdr:to>
    <xdr:sp macro="" textlink="">
      <xdr:nvSpPr>
        <xdr:cNvPr id="198" name="線吹き出し 1 (枠付き) 2">
          <a:extLst>
            <a:ext uri="{FF2B5EF4-FFF2-40B4-BE49-F238E27FC236}">
              <a16:creationId xmlns:a16="http://schemas.microsoft.com/office/drawing/2014/main" id="{8FC0FFEC-145C-41D6-8871-6E4E72D4754B}"/>
            </a:ext>
          </a:extLst>
        </xdr:cNvPr>
        <xdr:cNvSpPr/>
      </xdr:nvSpPr>
      <xdr:spPr>
        <a:xfrm>
          <a:off x="5214938" y="48529876"/>
          <a:ext cx="3476626" cy="347814"/>
        </a:xfrm>
        <a:prstGeom prst="borderCallout1">
          <a:avLst>
            <a:gd name="adj1" fmla="val 38295"/>
            <a:gd name="adj2" fmla="val -1002"/>
            <a:gd name="adj3" fmla="val 110088"/>
            <a:gd name="adj4" fmla="val -138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1974274</xdr:colOff>
      <xdr:row>200</xdr:row>
      <xdr:rowOff>32599</xdr:rowOff>
    </xdr:from>
    <xdr:to>
      <xdr:col>9</xdr:col>
      <xdr:colOff>104865</xdr:colOff>
      <xdr:row>202</xdr:row>
      <xdr:rowOff>33100</xdr:rowOff>
    </xdr:to>
    <xdr:sp macro="" textlink="">
      <xdr:nvSpPr>
        <xdr:cNvPr id="199" name="線吹き出し 1 (枠付き) 3">
          <a:extLst>
            <a:ext uri="{FF2B5EF4-FFF2-40B4-BE49-F238E27FC236}">
              <a16:creationId xmlns:a16="http://schemas.microsoft.com/office/drawing/2014/main" id="{77458094-C0A8-4D8D-B11D-2975A9061836}"/>
            </a:ext>
          </a:extLst>
        </xdr:cNvPr>
        <xdr:cNvSpPr/>
      </xdr:nvSpPr>
      <xdr:spPr>
        <a:xfrm>
          <a:off x="2657833" y="99540834"/>
          <a:ext cx="2635356" cy="336678"/>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1266265</xdr:colOff>
      <xdr:row>198</xdr:row>
      <xdr:rowOff>168087</xdr:rowOff>
    </xdr:from>
    <xdr:to>
      <xdr:col>12</xdr:col>
      <xdr:colOff>1828801</xdr:colOff>
      <xdr:row>207</xdr:row>
      <xdr:rowOff>67394</xdr:rowOff>
    </xdr:to>
    <xdr:sp macro="" textlink="">
      <xdr:nvSpPr>
        <xdr:cNvPr id="200" name="線吹き出し 1 (枠付き) 3">
          <a:extLst>
            <a:ext uri="{FF2B5EF4-FFF2-40B4-BE49-F238E27FC236}">
              <a16:creationId xmlns:a16="http://schemas.microsoft.com/office/drawing/2014/main" id="{91F9D617-8778-41D3-867A-DA3245978735}"/>
            </a:ext>
          </a:extLst>
        </xdr:cNvPr>
        <xdr:cNvSpPr/>
      </xdr:nvSpPr>
      <xdr:spPr>
        <a:xfrm>
          <a:off x="6712324" y="99340146"/>
          <a:ext cx="4260477" cy="1412101"/>
        </a:xfrm>
        <a:prstGeom prst="borderCallout1">
          <a:avLst>
            <a:gd name="adj1" fmla="val 48645"/>
            <a:gd name="adj2" fmla="val -635"/>
            <a:gd name="adj3" fmla="val -16623"/>
            <a:gd name="adj4" fmla="val -12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p>
      </xdr:txBody>
    </xdr:sp>
    <xdr:clientData/>
  </xdr:twoCellAnchor>
  <xdr:twoCellAnchor>
    <xdr:from>
      <xdr:col>9</xdr:col>
      <xdr:colOff>0</xdr:colOff>
      <xdr:row>232</xdr:row>
      <xdr:rowOff>95251</xdr:rowOff>
    </xdr:from>
    <xdr:to>
      <xdr:col>11</xdr:col>
      <xdr:colOff>1714501</xdr:colOff>
      <xdr:row>234</xdr:row>
      <xdr:rowOff>85877</xdr:rowOff>
    </xdr:to>
    <xdr:sp macro="" textlink="">
      <xdr:nvSpPr>
        <xdr:cNvPr id="201" name="線吹き出し 1 (枠付き) 2">
          <a:extLst>
            <a:ext uri="{FF2B5EF4-FFF2-40B4-BE49-F238E27FC236}">
              <a16:creationId xmlns:a16="http://schemas.microsoft.com/office/drawing/2014/main" id="{AB61BC8B-4E29-4409-95F5-F6DDD354E78A}"/>
            </a:ext>
          </a:extLst>
        </xdr:cNvPr>
        <xdr:cNvSpPr/>
      </xdr:nvSpPr>
      <xdr:spPr>
        <a:xfrm>
          <a:off x="5214938" y="48529876"/>
          <a:ext cx="3476626" cy="347814"/>
        </a:xfrm>
        <a:prstGeom prst="borderCallout1">
          <a:avLst>
            <a:gd name="adj1" fmla="val 38295"/>
            <a:gd name="adj2" fmla="val -1002"/>
            <a:gd name="adj3" fmla="val 110088"/>
            <a:gd name="adj4" fmla="val -138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2008655</xdr:colOff>
      <xdr:row>251</xdr:row>
      <xdr:rowOff>147677</xdr:rowOff>
    </xdr:from>
    <xdr:to>
      <xdr:col>9</xdr:col>
      <xdr:colOff>139246</xdr:colOff>
      <xdr:row>253</xdr:row>
      <xdr:rowOff>153272</xdr:rowOff>
    </xdr:to>
    <xdr:sp macro="" textlink="">
      <xdr:nvSpPr>
        <xdr:cNvPr id="202" name="線吹き出し 1 (枠付き) 3">
          <a:extLst>
            <a:ext uri="{FF2B5EF4-FFF2-40B4-BE49-F238E27FC236}">
              <a16:creationId xmlns:a16="http://schemas.microsoft.com/office/drawing/2014/main" id="{03AFDFC2-21A4-4265-996E-B439A4C59BF8}"/>
            </a:ext>
          </a:extLst>
        </xdr:cNvPr>
        <xdr:cNvSpPr/>
      </xdr:nvSpPr>
      <xdr:spPr>
        <a:xfrm>
          <a:off x="2692214" y="110178236"/>
          <a:ext cx="2635356" cy="341771"/>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296</xdr:row>
      <xdr:rowOff>0</xdr:rowOff>
    </xdr:from>
    <xdr:to>
      <xdr:col>28</xdr:col>
      <xdr:colOff>419100</xdr:colOff>
      <xdr:row>305</xdr:row>
      <xdr:rowOff>4041</xdr:rowOff>
    </xdr:to>
    <xdr:pic>
      <xdr:nvPicPr>
        <xdr:cNvPr id="203" name="図 202">
          <a:extLst>
            <a:ext uri="{FF2B5EF4-FFF2-40B4-BE49-F238E27FC236}">
              <a16:creationId xmlns:a16="http://schemas.microsoft.com/office/drawing/2014/main" id="{87D74C41-5153-40F1-A27F-AB7EA27738F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7267464" y="123076607"/>
          <a:ext cx="5181600" cy="158727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173182</xdr:colOff>
      <xdr:row>299</xdr:row>
      <xdr:rowOff>131430</xdr:rowOff>
    </xdr:from>
    <xdr:to>
      <xdr:col>23</xdr:col>
      <xdr:colOff>455653</xdr:colOff>
      <xdr:row>301</xdr:row>
      <xdr:rowOff>71981</xdr:rowOff>
    </xdr:to>
    <xdr:sp macro="" textlink="">
      <xdr:nvSpPr>
        <xdr:cNvPr id="204" name="正方形/長方形 203">
          <a:extLst>
            <a:ext uri="{FF2B5EF4-FFF2-40B4-BE49-F238E27FC236}">
              <a16:creationId xmlns:a16="http://schemas.microsoft.com/office/drawing/2014/main" id="{DE5A99FB-FDEC-440F-907A-54E756FD0FED}"/>
            </a:ext>
          </a:extLst>
        </xdr:cNvPr>
        <xdr:cNvSpPr/>
      </xdr:nvSpPr>
      <xdr:spPr>
        <a:xfrm>
          <a:off x="18121003" y="123738716"/>
          <a:ext cx="962829" cy="2943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420064</xdr:colOff>
      <xdr:row>297</xdr:row>
      <xdr:rowOff>96795</xdr:rowOff>
    </xdr:from>
    <xdr:to>
      <xdr:col>27</xdr:col>
      <xdr:colOff>346363</xdr:colOff>
      <xdr:row>303</xdr:row>
      <xdr:rowOff>0</xdr:rowOff>
    </xdr:to>
    <xdr:sp macro="" textlink="">
      <xdr:nvSpPr>
        <xdr:cNvPr id="205" name="線吹き出し 2 (枠付き) 210">
          <a:extLst>
            <a:ext uri="{FF2B5EF4-FFF2-40B4-BE49-F238E27FC236}">
              <a16:creationId xmlns:a16="http://schemas.microsoft.com/office/drawing/2014/main" id="{ED3D7DB3-B249-407A-8F44-E3A7F5922ADE}"/>
            </a:ext>
          </a:extLst>
        </xdr:cNvPr>
        <xdr:cNvSpPr/>
      </xdr:nvSpPr>
      <xdr:spPr>
        <a:xfrm>
          <a:off x="19728600" y="123350295"/>
          <a:ext cx="1967370" cy="964562"/>
        </a:xfrm>
        <a:prstGeom prst="borderCallout2">
          <a:avLst>
            <a:gd name="adj1" fmla="val 18750"/>
            <a:gd name="adj2" fmla="val -8333"/>
            <a:gd name="adj3" fmla="val 18750"/>
            <a:gd name="adj4" fmla="val -16667"/>
            <a:gd name="adj5" fmla="val 47756"/>
            <a:gd name="adj6" fmla="val -37936"/>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要求有り</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※SoC</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側で実施するため、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MCU</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側で対応不要</a:t>
          </a:r>
        </a:p>
      </xdr:txBody>
    </xdr:sp>
    <xdr:clientData/>
  </xdr:twoCellAnchor>
  <xdr:twoCellAnchor editAs="oneCell">
    <xdr:from>
      <xdr:col>21</xdr:col>
      <xdr:colOff>0</xdr:colOff>
      <xdr:row>310</xdr:row>
      <xdr:rowOff>0</xdr:rowOff>
    </xdr:from>
    <xdr:to>
      <xdr:col>27</xdr:col>
      <xdr:colOff>209550</xdr:colOff>
      <xdr:row>316</xdr:row>
      <xdr:rowOff>134030</xdr:rowOff>
    </xdr:to>
    <xdr:pic>
      <xdr:nvPicPr>
        <xdr:cNvPr id="206" name="図 205">
          <a:extLst>
            <a:ext uri="{FF2B5EF4-FFF2-40B4-BE49-F238E27FC236}">
              <a16:creationId xmlns:a16="http://schemas.microsoft.com/office/drawing/2014/main" id="{24D267FE-F2F8-4495-B7D9-7C9C3E48E1C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7267464" y="125553107"/>
          <a:ext cx="4291693" cy="119538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450273</xdr:colOff>
      <xdr:row>312</xdr:row>
      <xdr:rowOff>114112</xdr:rowOff>
    </xdr:from>
    <xdr:to>
      <xdr:col>24</xdr:col>
      <xdr:colOff>40017</xdr:colOff>
      <xdr:row>314</xdr:row>
      <xdr:rowOff>54663</xdr:rowOff>
    </xdr:to>
    <xdr:sp macro="" textlink="">
      <xdr:nvSpPr>
        <xdr:cNvPr id="207" name="正方形/長方形 206">
          <a:extLst>
            <a:ext uri="{FF2B5EF4-FFF2-40B4-BE49-F238E27FC236}">
              <a16:creationId xmlns:a16="http://schemas.microsoft.com/office/drawing/2014/main" id="{DA34B1C0-350F-4586-A676-425C9EE3D1E3}"/>
            </a:ext>
          </a:extLst>
        </xdr:cNvPr>
        <xdr:cNvSpPr/>
      </xdr:nvSpPr>
      <xdr:spPr>
        <a:xfrm>
          <a:off x="18398094" y="126021005"/>
          <a:ext cx="950459" cy="29433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679838</xdr:colOff>
      <xdr:row>313</xdr:row>
      <xdr:rowOff>60267</xdr:rowOff>
    </xdr:from>
    <xdr:to>
      <xdr:col>26</xdr:col>
      <xdr:colOff>491093</xdr:colOff>
      <xdr:row>315</xdr:row>
      <xdr:rowOff>90066</xdr:rowOff>
    </xdr:to>
    <xdr:sp macro="" textlink="">
      <xdr:nvSpPr>
        <xdr:cNvPr id="208" name="線吹き出し 2 (枠付き) 210">
          <a:extLst>
            <a:ext uri="{FF2B5EF4-FFF2-40B4-BE49-F238E27FC236}">
              <a16:creationId xmlns:a16="http://schemas.microsoft.com/office/drawing/2014/main" id="{2A2E539A-587D-44F2-A203-7A69567E0816}"/>
            </a:ext>
          </a:extLst>
        </xdr:cNvPr>
        <xdr:cNvSpPr/>
      </xdr:nvSpPr>
      <xdr:spPr>
        <a:xfrm>
          <a:off x="19988374" y="126144053"/>
          <a:ext cx="1171969" cy="383584"/>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要求無し</a:t>
          </a:r>
        </a:p>
      </xdr:txBody>
    </xdr:sp>
    <xdr:clientData/>
  </xdr:twoCellAnchor>
  <xdr:twoCellAnchor>
    <xdr:from>
      <xdr:col>21</xdr:col>
      <xdr:colOff>19792</xdr:colOff>
      <xdr:row>116</xdr:row>
      <xdr:rowOff>7159</xdr:rowOff>
    </xdr:from>
    <xdr:to>
      <xdr:col>25</xdr:col>
      <xdr:colOff>415637</xdr:colOff>
      <xdr:row>123</xdr:row>
      <xdr:rowOff>55418</xdr:rowOff>
    </xdr:to>
    <xdr:sp macro="" textlink="">
      <xdr:nvSpPr>
        <xdr:cNvPr id="10" name="正方形/長方形 53">
          <a:extLst>
            <a:ext uri="{FF2B5EF4-FFF2-40B4-BE49-F238E27FC236}">
              <a16:creationId xmlns:a16="http://schemas.microsoft.com/office/drawing/2014/main" id="{9B04298F-5F85-4122-85AE-1FB0C71719CF}"/>
            </a:ext>
          </a:extLst>
        </xdr:cNvPr>
        <xdr:cNvSpPr/>
      </xdr:nvSpPr>
      <xdr:spPr>
        <a:xfrm>
          <a:off x="17933719" y="20664286"/>
          <a:ext cx="2834245" cy="12120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221673</xdr:colOff>
      <xdr:row>123</xdr:row>
      <xdr:rowOff>152400</xdr:rowOff>
    </xdr:from>
    <xdr:to>
      <xdr:col>31</xdr:col>
      <xdr:colOff>305377</xdr:colOff>
      <xdr:row>128</xdr:row>
      <xdr:rowOff>567</xdr:rowOff>
    </xdr:to>
    <xdr:sp macro="" textlink="">
      <xdr:nvSpPr>
        <xdr:cNvPr id="11" name="線吹き出し 1 (枠付き) 59">
          <a:extLst>
            <a:ext uri="{FF2B5EF4-FFF2-40B4-BE49-F238E27FC236}">
              <a16:creationId xmlns:a16="http://schemas.microsoft.com/office/drawing/2014/main" id="{76C89D57-B919-4D9D-8001-08CDA391AD38}"/>
            </a:ext>
          </a:extLst>
        </xdr:cNvPr>
        <xdr:cNvSpPr/>
      </xdr:nvSpPr>
      <xdr:spPr>
        <a:xfrm>
          <a:off x="20574000" y="21973309"/>
          <a:ext cx="3741304" cy="679440"/>
        </a:xfrm>
        <a:prstGeom prst="borderCallout1">
          <a:avLst>
            <a:gd name="adj1" fmla="val 22557"/>
            <a:gd name="adj2" fmla="val 478"/>
            <a:gd name="adj3" fmla="val -9543"/>
            <a:gd name="adj4" fmla="val -64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19Pfv3R2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小に変更されたが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側に未対応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41564</xdr:colOff>
      <xdr:row>75</xdr:row>
      <xdr:rowOff>96983</xdr:rowOff>
    </xdr:from>
    <xdr:to>
      <xdr:col>31</xdr:col>
      <xdr:colOff>125268</xdr:colOff>
      <xdr:row>79</xdr:row>
      <xdr:rowOff>111404</xdr:rowOff>
    </xdr:to>
    <xdr:sp macro="" textlink="">
      <xdr:nvSpPr>
        <xdr:cNvPr id="12" name="線吹き出し 1 (枠付き) 59">
          <a:extLst>
            <a:ext uri="{FF2B5EF4-FFF2-40B4-BE49-F238E27FC236}">
              <a16:creationId xmlns:a16="http://schemas.microsoft.com/office/drawing/2014/main" id="{4E02E832-A565-4FAE-AF91-6B5D1C8A3B20}"/>
            </a:ext>
          </a:extLst>
        </xdr:cNvPr>
        <xdr:cNvSpPr/>
      </xdr:nvSpPr>
      <xdr:spPr>
        <a:xfrm>
          <a:off x="20393891" y="13923819"/>
          <a:ext cx="3741304" cy="679440"/>
        </a:xfrm>
        <a:prstGeom prst="borderCallout1">
          <a:avLst>
            <a:gd name="adj1" fmla="val 22557"/>
            <a:gd name="adj2" fmla="val 478"/>
            <a:gd name="adj3" fmla="val -9543"/>
            <a:gd name="adj4" fmla="val -64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19Pfv3R2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小に変更されたが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側に未対応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19792</xdr:colOff>
      <xdr:row>71</xdr:row>
      <xdr:rowOff>48723</xdr:rowOff>
    </xdr:from>
    <xdr:to>
      <xdr:col>25</xdr:col>
      <xdr:colOff>415637</xdr:colOff>
      <xdr:row>75</xdr:row>
      <xdr:rowOff>69273</xdr:rowOff>
    </xdr:to>
    <xdr:sp macro="" textlink="">
      <xdr:nvSpPr>
        <xdr:cNvPr id="13" name="正方形/長方形 53">
          <a:extLst>
            <a:ext uri="{FF2B5EF4-FFF2-40B4-BE49-F238E27FC236}">
              <a16:creationId xmlns:a16="http://schemas.microsoft.com/office/drawing/2014/main" id="{245403FC-41B7-46EF-9889-97D149BE98E6}"/>
            </a:ext>
          </a:extLst>
        </xdr:cNvPr>
        <xdr:cNvSpPr/>
      </xdr:nvSpPr>
      <xdr:spPr>
        <a:xfrm>
          <a:off x="17933719" y="12684068"/>
          <a:ext cx="2834245" cy="12120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304224</xdr:colOff>
      <xdr:row>77</xdr:row>
      <xdr:rowOff>27142</xdr:rowOff>
    </xdr:from>
    <xdr:to>
      <xdr:col>52</xdr:col>
      <xdr:colOff>387928</xdr:colOff>
      <xdr:row>81</xdr:row>
      <xdr:rowOff>27709</xdr:rowOff>
    </xdr:to>
    <xdr:sp macro="" textlink="">
      <xdr:nvSpPr>
        <xdr:cNvPr id="14" name="線吹き出し 1 (枠付き) 59">
          <a:extLst>
            <a:ext uri="{FF2B5EF4-FFF2-40B4-BE49-F238E27FC236}">
              <a16:creationId xmlns:a16="http://schemas.microsoft.com/office/drawing/2014/main" id="{85506FC5-FA19-523B-7558-26413386A68E}"/>
            </a:ext>
          </a:extLst>
        </xdr:cNvPr>
        <xdr:cNvSpPr/>
      </xdr:nvSpPr>
      <xdr:spPr>
        <a:xfrm>
          <a:off x="33458151" y="14186487"/>
          <a:ext cx="3741304" cy="679440"/>
        </a:xfrm>
        <a:prstGeom prst="borderCallout1">
          <a:avLst>
            <a:gd name="adj1" fmla="val 22557"/>
            <a:gd name="adj2" fmla="val 478"/>
            <a:gd name="adj3" fmla="val 212720"/>
            <a:gd name="adj4" fmla="val -242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19Pfv3R2</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小に変更されたが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側に未対応</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mapReg(4)"/>
      <sheetName val="４．ナビモデル"/>
      <sheetName val="３．サウンドモデル"/>
      <sheetName val="２．ラジオモデル"/>
      <sheetName val="For legend, note"/>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sheetData sheetId="753"/>
      <sheetData sheetId="754">
        <row r="1">
          <cell r="B1" t="str">
            <v>1</v>
          </cell>
        </row>
      </sheetData>
      <sheetData sheetId="755"/>
      <sheetData sheetId="756">
        <row r="1">
          <cell r="B1" t="str">
            <v>1</v>
          </cell>
        </row>
      </sheetData>
      <sheetData sheetId="757"/>
      <sheetData sheetId="758"/>
      <sheetData sheetId="759"/>
      <sheetData sheetId="760"/>
      <sheetData sheetId="761"/>
      <sheetData sheetId="762"/>
      <sheetData sheetId="763">
        <row r="1">
          <cell r="B1" t="str">
            <v>1</v>
          </cell>
        </row>
      </sheetData>
      <sheetData sheetId="764"/>
      <sheetData sheetId="765">
        <row r="1">
          <cell r="B1" t="str">
            <v>1</v>
          </cell>
        </row>
      </sheetData>
      <sheetData sheetId="766"/>
      <sheetData sheetId="767">
        <row r="1">
          <cell r="B1" t="str">
            <v>1</v>
          </cell>
        </row>
      </sheetData>
      <sheetData sheetId="768"/>
      <sheetData sheetId="769"/>
      <sheetData sheetId="770"/>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sheetData sheetId="782">
        <row r="1">
          <cell r="B1" t="str">
            <v>1</v>
          </cell>
        </row>
      </sheetData>
      <sheetData sheetId="783">
        <row r="1">
          <cell r="B1" t="str">
            <v>1</v>
          </cell>
        </row>
      </sheetData>
      <sheetData sheetId="784">
        <row r="1">
          <cell r="B1" t="str">
            <v>1</v>
          </cell>
        </row>
      </sheetData>
      <sheetData sheetId="785"/>
      <sheetData sheetId="786">
        <row r="1">
          <cell r="B1" t="str">
            <v>1</v>
          </cell>
        </row>
      </sheetData>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sheetData sheetId="865">
        <row r="1">
          <cell r="B1" t="str">
            <v>1</v>
          </cell>
        </row>
      </sheetData>
      <sheetData sheetId="866"/>
      <sheetData sheetId="867">
        <row r="3">
          <cell r="B3" t="str">
            <v>TOYOTA   TSUSHO  PHILIPPINES CORPORATION</v>
          </cell>
        </row>
      </sheetData>
      <sheetData sheetId="868"/>
      <sheetData sheetId="869"/>
      <sheetData sheetId="870"/>
      <sheetData sheetId="871"/>
      <sheetData sheetId="872"/>
      <sheetData sheetId="873">
        <row r="3">
          <cell r="B3" t="str">
            <v>TOYOTA   TSUSHO  PHILIPPINES CORPORATION</v>
          </cell>
        </row>
      </sheetData>
      <sheetData sheetId="874"/>
      <sheetData sheetId="875"/>
      <sheetData sheetId="876"/>
      <sheetData sheetId="877">
        <row r="3">
          <cell r="B3" t="str">
            <v>TOYOTA   TSUSHO  PHILIPPINES CORPORATION</v>
          </cell>
        </row>
      </sheetData>
      <sheetData sheetId="878">
        <row r="1">
          <cell r="B1" t="str">
            <v>1</v>
          </cell>
        </row>
      </sheetData>
      <sheetData sheetId="879">
        <row r="3">
          <cell r="B3" t="str">
            <v>TOYOTA   TSUSHO  PHILIPPINES CORPORATION</v>
          </cell>
        </row>
      </sheetData>
      <sheetData sheetId="880"/>
      <sheetData sheetId="881">
        <row r="3">
          <cell r="B3" t="str">
            <v>TOYOTA   TSUSHO  PHILIPPINES CORPORATION</v>
          </cell>
        </row>
      </sheetData>
      <sheetData sheetId="882">
        <row r="1">
          <cell r="B1" t="str">
            <v>1</v>
          </cell>
        </row>
      </sheetData>
      <sheetData sheetId="883">
        <row r="1">
          <cell r="B1" t="str">
            <v>1</v>
          </cell>
        </row>
      </sheetData>
      <sheetData sheetId="884"/>
      <sheetData sheetId="885">
        <row r="1">
          <cell r="B1" t="str">
            <v>1</v>
          </cell>
        </row>
      </sheetData>
      <sheetData sheetId="886">
        <row r="1">
          <cell r="B1" t="str">
            <v>1</v>
          </cell>
        </row>
      </sheetData>
      <sheetData sheetId="887"/>
      <sheetData sheetId="888">
        <row r="3">
          <cell r="B3" t="str">
            <v>TOYOTA   TSUSHO  PHILIPPINES CORPORATION</v>
          </cell>
        </row>
      </sheetData>
      <sheetData sheetId="889">
        <row r="3">
          <cell r="B3" t="str">
            <v>TOYOTA   TSUSHO  PHILIPPINES CORPORATION</v>
          </cell>
        </row>
      </sheetData>
      <sheetData sheetId="890"/>
      <sheetData sheetId="891">
        <row r="1">
          <cell r="B1" t="str">
            <v>1</v>
          </cell>
        </row>
      </sheetData>
      <sheetData sheetId="892">
        <row r="1">
          <cell r="B1" t="str">
            <v>1</v>
          </cell>
        </row>
      </sheetData>
      <sheetData sheetId="893"/>
      <sheetData sheetId="894">
        <row r="3">
          <cell r="B3" t="str">
            <v>TOYOTA   TSUSHO  PHILIPPINES CORPORATION</v>
          </cell>
        </row>
      </sheetData>
      <sheetData sheetId="895">
        <row r="1">
          <cell r="B1" t="str">
            <v>1</v>
          </cell>
        </row>
      </sheetData>
      <sheetData sheetId="896">
        <row r="3">
          <cell r="B3" t="str">
            <v>TOYOTA   TSUSHO  PHILIPPINES CORPORATION</v>
          </cell>
        </row>
      </sheetData>
      <sheetData sheetId="897"/>
      <sheetData sheetId="898">
        <row r="1">
          <cell r="B1" t="str">
            <v>1</v>
          </cell>
        </row>
      </sheetData>
      <sheetData sheetId="899">
        <row r="1">
          <cell r="B1" t="str">
            <v>1</v>
          </cell>
        </row>
      </sheetData>
      <sheetData sheetId="900"/>
      <sheetData sheetId="901">
        <row r="1">
          <cell r="B1" t="str">
            <v>1</v>
          </cell>
        </row>
      </sheetData>
      <sheetData sheetId="902"/>
      <sheetData sheetId="903"/>
      <sheetData sheetId="904">
        <row r="1">
          <cell r="B1" t="str">
            <v>1</v>
          </cell>
        </row>
      </sheetData>
      <sheetData sheetId="905">
        <row r="1">
          <cell r="B1" t="str">
            <v>1</v>
          </cell>
        </row>
      </sheetData>
      <sheetData sheetId="906"/>
      <sheetData sheetId="907"/>
      <sheetData sheetId="908">
        <row r="1">
          <cell r="B1" t="str">
            <v>1</v>
          </cell>
        </row>
      </sheetData>
      <sheetData sheetId="909">
        <row r="1">
          <cell r="B1" t="str">
            <v>1</v>
          </cell>
        </row>
      </sheetData>
      <sheetData sheetId="910">
        <row r="1">
          <cell r="B1" t="str">
            <v>1</v>
          </cell>
        </row>
      </sheetData>
      <sheetData sheetId="911"/>
      <sheetData sheetId="912"/>
      <sheetData sheetId="913">
        <row r="1">
          <cell r="B1" t="str">
            <v>1</v>
          </cell>
        </row>
      </sheetData>
      <sheetData sheetId="914">
        <row r="1">
          <cell r="B1" t="str">
            <v>1</v>
          </cell>
        </row>
      </sheetData>
      <sheetData sheetId="915">
        <row r="3">
          <cell r="B3" t="str">
            <v>TOYOTA   TSUSHO  PHILIPPINES CORPORATION</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sheetData sheetId="922">
        <row r="1">
          <cell r="B1" t="str">
            <v>1</v>
          </cell>
        </row>
      </sheetData>
      <sheetData sheetId="923"/>
      <sheetData sheetId="924">
        <row r="1">
          <cell r="B1" t="str">
            <v>1</v>
          </cell>
        </row>
      </sheetData>
      <sheetData sheetId="925">
        <row r="1">
          <cell r="B1" t="str">
            <v>1</v>
          </cell>
        </row>
      </sheetData>
      <sheetData sheetId="926"/>
      <sheetData sheetId="927">
        <row r="3">
          <cell r="B3" t="str">
            <v>TOYOTA   TSUSHO  PHILIPPINES CORPORATION</v>
          </cell>
        </row>
      </sheetData>
      <sheetData sheetId="928">
        <row r="3">
          <cell r="B3" t="str">
            <v>TOYOTA   TSUSHO  PHILIPPINES CORPORATION</v>
          </cell>
        </row>
      </sheetData>
      <sheetData sheetId="929"/>
      <sheetData sheetId="930">
        <row r="3">
          <cell r="B3" t="str">
            <v>TOYOTA   TSUSHO  PHILIPPINES CORPORATION</v>
          </cell>
        </row>
      </sheetData>
      <sheetData sheetId="931">
        <row r="3">
          <cell r="B3" t="str">
            <v>TOYOTA   TSUSHO  PHILIPPINES CORPORATION</v>
          </cell>
        </row>
      </sheetData>
      <sheetData sheetId="932">
        <row r="3">
          <cell r="B3" t="str">
            <v>TOYOTA   TSUSHO  PHILIPPINES CORPORATION</v>
          </cell>
        </row>
      </sheetData>
      <sheetData sheetId="933">
        <row r="3">
          <cell r="B3" t="str">
            <v>TOYOTA   TSUSHO  PHILIPPINES CORPORATION</v>
          </cell>
        </row>
      </sheetData>
      <sheetData sheetId="934">
        <row r="3">
          <cell r="B3" t="str">
            <v>TOYOTA   TSUSHO  PHILIPPINES CORPORATION</v>
          </cell>
        </row>
      </sheetData>
      <sheetData sheetId="935"/>
      <sheetData sheetId="936">
        <row r="3">
          <cell r="B3" t="str">
            <v>TOYOTA   TSUSHO  PHILIPPINES CORPORATION</v>
          </cell>
        </row>
      </sheetData>
      <sheetData sheetId="937">
        <row r="3">
          <cell r="B3" t="str">
            <v>TOYOTA   TSUSHO  PHILIPPINES CORPORATION</v>
          </cell>
        </row>
      </sheetData>
      <sheetData sheetId="938"/>
      <sheetData sheetId="939">
        <row r="3">
          <cell r="B3" t="str">
            <v>TOYOTA   TSUSHO  PHILIPPINES CORPORATION</v>
          </cell>
        </row>
      </sheetData>
      <sheetData sheetId="940">
        <row r="1">
          <cell r="B1" t="str">
            <v>1</v>
          </cell>
        </row>
      </sheetData>
      <sheetData sheetId="941"/>
      <sheetData sheetId="942">
        <row r="1">
          <cell r="B1" t="str">
            <v>1</v>
          </cell>
        </row>
      </sheetData>
      <sheetData sheetId="943">
        <row r="1">
          <cell r="B1" t="str">
            <v>1</v>
          </cell>
        </row>
      </sheetData>
      <sheetData sheetId="944">
        <row r="1">
          <cell r="B1" t="str">
            <v>1</v>
          </cell>
        </row>
      </sheetData>
      <sheetData sheetId="945"/>
      <sheetData sheetId="946"/>
      <sheetData sheetId="947"/>
      <sheetData sheetId="948">
        <row r="3">
          <cell r="B3" t="str">
            <v>TOYOTA   TSUSHO  PHILIPPINES CORPORATION</v>
          </cell>
        </row>
      </sheetData>
      <sheetData sheetId="949">
        <row r="3">
          <cell r="B3" t="str">
            <v>TOYOTA   TSUSHO  PHILIPPINES CORPORATION</v>
          </cell>
        </row>
      </sheetData>
      <sheetData sheetId="950"/>
      <sheetData sheetId="951">
        <row r="1">
          <cell r="B1" t="str">
            <v>1</v>
          </cell>
        </row>
      </sheetData>
      <sheetData sheetId="952"/>
      <sheetData sheetId="953"/>
      <sheetData sheetId="954">
        <row r="3">
          <cell r="B3" t="str">
            <v>TOYOTA   TSUSHO  PHILIPPINES CORPORATION</v>
          </cell>
        </row>
      </sheetData>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row r="3">
          <cell r="B3" t="str">
            <v>TOYOTA   TSUSHO  PHILIPPINES CORPORATION</v>
          </cell>
        </row>
      </sheetData>
      <sheetData sheetId="1055">
        <row r="3">
          <cell r="B3" t="str">
            <v>TOYOTA   TSUSHO  PHILIPPINES CORPORATION</v>
          </cell>
        </row>
      </sheetData>
      <sheetData sheetId="1056"/>
      <sheetData sheetId="1057">
        <row r="3">
          <cell r="B3" t="str">
            <v>TOYOTA   TSUSHO  PHILIPPINES CORPORATION</v>
          </cell>
        </row>
      </sheetData>
      <sheetData sheetId="1058">
        <row r="1">
          <cell r="B1" t="str">
            <v>1</v>
          </cell>
        </row>
      </sheetData>
      <sheetData sheetId="1059">
        <row r="1">
          <cell r="B1" t="str">
            <v>1</v>
          </cell>
        </row>
      </sheetData>
      <sheetData sheetId="1060">
        <row r="3">
          <cell r="B3" t="str">
            <v>TOYOTA   TSUSHO  PHILIPPINES CORPORATION</v>
          </cell>
        </row>
      </sheetData>
      <sheetData sheetId="1061">
        <row r="1">
          <cell r="B1" t="str">
            <v>1</v>
          </cell>
        </row>
      </sheetData>
      <sheetData sheetId="1062">
        <row r="1">
          <cell r="B1" t="str">
            <v>1</v>
          </cell>
        </row>
      </sheetData>
      <sheetData sheetId="1063"/>
      <sheetData sheetId="1064"/>
      <sheetData sheetId="1065">
        <row r="1">
          <cell r="B1" t="str">
            <v>1</v>
          </cell>
        </row>
      </sheetData>
      <sheetData sheetId="1066">
        <row r="3">
          <cell r="B3" t="str">
            <v>TOYOTA   TSUSHO  PHILIPPINES CORPORATION</v>
          </cell>
        </row>
      </sheetData>
      <sheetData sheetId="1067">
        <row r="3">
          <cell r="B3" t="str">
            <v>TOYOTA   TSUSHO  PHILIPPINES CORPORATION</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3">
          <cell r="B3" t="str">
            <v>TOYOTA   TSUSHO  PHILIPPINES CORPORATION</v>
          </cell>
        </row>
      </sheetData>
      <sheetData sheetId="1074">
        <row r="3">
          <cell r="B3" t="str">
            <v>TOYOTA   TSUSHO  PHILIPPINES CORPORATION</v>
          </cell>
        </row>
      </sheetData>
      <sheetData sheetId="1075"/>
      <sheetData sheetId="1076">
        <row r="3">
          <cell r="B3" t="str">
            <v>TOYOTA   TSUSHO  PHILIPPINES CORPORATION</v>
          </cell>
        </row>
      </sheetData>
      <sheetData sheetId="1077">
        <row r="3">
          <cell r="B3" t="str">
            <v>TOYOTA   TSUSHO  PHILIPPINES CORPORATION</v>
          </cell>
        </row>
      </sheetData>
      <sheetData sheetId="1078"/>
      <sheetData sheetId="1079"/>
      <sheetData sheetId="1080">
        <row r="3">
          <cell r="B3" t="str">
            <v>TOYOTA   TSUSHO  PHILIPPINES CORPORATION</v>
          </cell>
        </row>
      </sheetData>
      <sheetData sheetId="1081">
        <row r="3">
          <cell r="B3" t="str">
            <v>TOYOTA   TSUSHO  PHILIPPINES CORPORATION</v>
          </cell>
        </row>
      </sheetData>
      <sheetData sheetId="1082">
        <row r="3">
          <cell r="B3" t="str">
            <v>TOYOTA   TSUSHO  PHILIPPINES CORPORATION</v>
          </cell>
        </row>
      </sheetData>
      <sheetData sheetId="1083">
        <row r="3">
          <cell r="B3" t="str">
            <v>TOYOTA   TSUSHO  PHILIPPINES CORPORATION</v>
          </cell>
        </row>
      </sheetData>
      <sheetData sheetId="1084"/>
      <sheetData sheetId="1085">
        <row r="3">
          <cell r="B3" t="str">
            <v>TOYOTA   TSUSHO  PHILIPPINES CORPORATION</v>
          </cell>
        </row>
      </sheetData>
      <sheetData sheetId="1086">
        <row r="3">
          <cell r="B3" t="str">
            <v>TOYOTA   TSUSHO  PHILIPPINES CORPORATION</v>
          </cell>
        </row>
      </sheetData>
      <sheetData sheetId="1087"/>
      <sheetData sheetId="1088"/>
      <sheetData sheetId="1089"/>
      <sheetData sheetId="1090">
        <row r="1">
          <cell r="B1" t="str">
            <v>1</v>
          </cell>
        </row>
      </sheetData>
      <sheetData sheetId="1091">
        <row r="1">
          <cell r="B1" t="str">
            <v>1</v>
          </cell>
        </row>
      </sheetData>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sheetData sheetId="1112">
        <row r="1">
          <cell r="B1" t="str">
            <v>1</v>
          </cell>
        </row>
      </sheetData>
      <sheetData sheetId="1113">
        <row r="3">
          <cell r="B3" t="str">
            <v>TOYOTA   TSUSHO  PHILIPPINES CORPORATION</v>
          </cell>
        </row>
      </sheetData>
      <sheetData sheetId="1114">
        <row r="3">
          <cell r="B3" t="str">
            <v>TOYOTA   TSUSHO  PHILIPPINES CORPORATION</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3">
          <cell r="B3" t="str">
            <v>TOYOTA   TSUSHO  PHILIPPINES CORPORATION</v>
          </cell>
        </row>
      </sheetData>
      <sheetData sheetId="1121">
        <row r="3">
          <cell r="B3" t="str">
            <v>TOYOTA   TSUSHO  PHILIPPINES CORPORATION</v>
          </cell>
        </row>
      </sheetData>
      <sheetData sheetId="1122"/>
      <sheetData sheetId="1123">
        <row r="3">
          <cell r="B3" t="str">
            <v>TOYOTA   TSUSHO  PHILIPPINES CORPORATION</v>
          </cell>
        </row>
      </sheetData>
      <sheetData sheetId="1124">
        <row r="3">
          <cell r="B3" t="str">
            <v>TOYOTA   TSUSHO  PHILIPPINES CORPORATION</v>
          </cell>
        </row>
      </sheetData>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row r="1">
          <cell r="B1" t="str">
            <v>1</v>
          </cell>
        </row>
      </sheetData>
      <sheetData sheetId="1138">
        <row r="1">
          <cell r="B1" t="str">
            <v>1</v>
          </cell>
        </row>
      </sheetData>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row r="3">
          <cell r="B3" t="str">
            <v>TOYOTA   TSUSHO  PHILIPPINES CORPORATION</v>
          </cell>
        </row>
      </sheetData>
      <sheetData sheetId="1178">
        <row r="3">
          <cell r="B3" t="str">
            <v>TOYOTA   TSUSHO  PHILIPPINES CORPORATION</v>
          </cell>
        </row>
      </sheetData>
      <sheetData sheetId="1179"/>
      <sheetData sheetId="1180"/>
      <sheetData sheetId="1181"/>
      <sheetData sheetId="1182"/>
      <sheetData sheetId="1183"/>
      <sheetData sheetId="1184"/>
      <sheetData sheetId="1185"/>
      <sheetData sheetId="1186"/>
      <sheetData sheetId="1187"/>
      <sheetData sheetId="1188">
        <row r="3">
          <cell r="B3" t="str">
            <v>TOYOTA   TSUSHO  PHILIPPINES CORPORATION</v>
          </cell>
        </row>
      </sheetData>
      <sheetData sheetId="1189">
        <row r="3">
          <cell r="B3" t="str">
            <v>TOYOTA   TSUSHO  PHILIPPINES CORPORATION</v>
          </cell>
        </row>
      </sheetData>
      <sheetData sheetId="1190">
        <row r="3">
          <cell r="B3" t="str">
            <v>TOYOTA   TSUSHO  PHILIPPINES CORPORATION</v>
          </cell>
        </row>
      </sheetData>
      <sheetData sheetId="1191">
        <row r="3">
          <cell r="B3" t="str">
            <v>TOYOTA   TSUSHO  PHILIPPINES CORPORATION</v>
          </cell>
        </row>
      </sheetData>
      <sheetData sheetId="1192"/>
      <sheetData sheetId="1193">
        <row r="3">
          <cell r="B3" t="str">
            <v>TOYOTA   TSUSHO  PHILIPPINES CORPORATION</v>
          </cell>
        </row>
      </sheetData>
      <sheetData sheetId="1194">
        <row r="3">
          <cell r="B3" t="str">
            <v>TOYOTA   TSUSHO  PHILIPPINES CORPORATION</v>
          </cell>
        </row>
      </sheetData>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ow r="3">
          <cell r="B3" t="str">
            <v>TOYOTA   TSUSHO  PHILIPPINES CORPORATION</v>
          </cell>
        </row>
      </sheetData>
      <sheetData sheetId="1210">
        <row r="3">
          <cell r="B3" t="str">
            <v>TOYOTA   TSUSHO  PHILIPPINES CORPORATION</v>
          </cell>
        </row>
      </sheetData>
      <sheetData sheetId="1211"/>
      <sheetData sheetId="1212">
        <row r="3">
          <cell r="B3" t="str">
            <v>TOYOTA   TSUSHO  PHILIPPINES CORPORATION</v>
          </cell>
        </row>
      </sheetData>
      <sheetData sheetId="1213">
        <row r="3">
          <cell r="B3" t="str">
            <v>TOYOTA   TSUSHO  PHILIPPINES CORPORATION</v>
          </cell>
        </row>
      </sheetData>
      <sheetData sheetId="1214"/>
      <sheetData sheetId="1215">
        <row r="3">
          <cell r="B3" t="str">
            <v>TOYOTA   TSUSHO  PHILIPPINES CORPORATION</v>
          </cell>
        </row>
      </sheetData>
      <sheetData sheetId="1216">
        <row r="3">
          <cell r="B3" t="str">
            <v>TOYOTA   TSUSHO  PHILIPPINES CORPORATION</v>
          </cell>
        </row>
      </sheetData>
      <sheetData sheetId="1217"/>
      <sheetData sheetId="1218"/>
      <sheetData sheetId="1219"/>
      <sheetData sheetId="1220">
        <row r="3">
          <cell r="B3" t="str">
            <v>TOYOTA   TSUSHO  PHILIPPINES CORPORATION</v>
          </cell>
        </row>
      </sheetData>
      <sheetData sheetId="1221">
        <row r="3">
          <cell r="B3" t="str">
            <v>TOYOTA   TSUSHO  PHILIPPINES CORPORATION</v>
          </cell>
        </row>
      </sheetData>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row r="3">
          <cell r="B3" t="str">
            <v>TOYOTA   TSUSHO  PHILIPPINES CORPORATION</v>
          </cell>
        </row>
      </sheetData>
      <sheetData sheetId="1228">
        <row r="3">
          <cell r="B3" t="str">
            <v>TOYOTA   TSUSHO  PHILIPPINES CORPORATION</v>
          </cell>
        </row>
      </sheetData>
      <sheetData sheetId="1229">
        <row r="3">
          <cell r="B3" t="str">
            <v>TOYOTA   TSUSHO  PHILIPPINES CORPORATION</v>
          </cell>
        </row>
      </sheetData>
      <sheetData sheetId="1230"/>
      <sheetData sheetId="1231">
        <row r="3">
          <cell r="B3" t="str">
            <v>TOYOTA   TSUSHO  PHILIPPINES CORPORATION</v>
          </cell>
        </row>
      </sheetData>
      <sheetData sheetId="1232">
        <row r="3">
          <cell r="B3" t="str">
            <v>TOYOTA   TSUSHO  PHILIPPINES CORPORATION</v>
          </cell>
        </row>
      </sheetData>
      <sheetData sheetId="1233"/>
      <sheetData sheetId="1234"/>
      <sheetData sheetId="1235">
        <row r="3">
          <cell r="B3" t="str">
            <v>TOYOTA   TSUSHO  PHILIPPINES CORPORATION</v>
          </cell>
        </row>
      </sheetData>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4EFC3-0E04-4AF3-982A-08D171C36E3A}">
  <sheetPr>
    <tabColor theme="5"/>
  </sheetPr>
  <dimension ref="C1:AM57"/>
  <sheetViews>
    <sheetView showGridLines="0" tabSelected="1" view="pageBreakPreview" zoomScale="85" zoomScaleNormal="100" zoomScaleSheetLayoutView="85" workbookViewId="0"/>
  </sheetViews>
  <sheetFormatPr defaultColWidth="8.109375" defaultRowHeight="15"/>
  <cols>
    <col min="1" max="52" width="2.109375" style="188" customWidth="1"/>
    <col min="53" max="16384" width="8.109375" style="188"/>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189"/>
    </row>
    <row r="11" spans="6:20" ht="13.2" customHeight="1"/>
    <row r="12" spans="6:20" ht="13.2" customHeight="1"/>
    <row r="13" spans="6:20" ht="13.2" customHeight="1">
      <c r="T13" s="190" t="str">
        <f ca="1">MID(CELL("filename",A1),FIND("[",CELL("filename",A1))+1,FIND("]",CELL("filename",A1))-FIND("[",CELL("filename",A1))-1)</f>
        <v>alert_H_XMGRIP-CSTD-0-03-A-C0.xlsx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191"/>
      <c r="V32" s="191"/>
    </row>
    <row r="33" spans="3:39" ht="13.2" customHeight="1">
      <c r="M33" s="192"/>
      <c r="N33" s="192"/>
      <c r="O33" s="192"/>
      <c r="P33" s="192"/>
      <c r="Q33" s="192"/>
      <c r="AF33" s="192"/>
      <c r="AG33" s="192"/>
      <c r="AH33" s="192"/>
      <c r="AI33" s="192"/>
      <c r="AJ33" s="192"/>
    </row>
    <row r="34" spans="3:39" ht="13.2" customHeight="1">
      <c r="Y34" s="191" t="s">
        <v>227</v>
      </c>
    </row>
    <row r="35" spans="3:39" ht="13.2" customHeight="1">
      <c r="Y35" s="242" t="s">
        <v>228</v>
      </c>
      <c r="Z35" s="243"/>
      <c r="AA35" s="243"/>
      <c r="AB35" s="243"/>
      <c r="AC35" s="244"/>
      <c r="AD35" s="242" t="s">
        <v>229</v>
      </c>
      <c r="AE35" s="243"/>
      <c r="AF35" s="243"/>
      <c r="AG35" s="243"/>
      <c r="AH35" s="244"/>
      <c r="AI35" s="242" t="s">
        <v>230</v>
      </c>
      <c r="AJ35" s="243"/>
      <c r="AK35" s="243"/>
      <c r="AL35" s="243"/>
      <c r="AM35" s="244"/>
    </row>
    <row r="36" spans="3:39" ht="13.2" customHeight="1">
      <c r="D36" s="192"/>
      <c r="E36" s="193"/>
      <c r="F36" s="192"/>
      <c r="G36" s="192"/>
      <c r="I36" s="192"/>
      <c r="J36" s="193"/>
      <c r="K36" s="192"/>
      <c r="L36" s="192"/>
      <c r="M36" s="192"/>
      <c r="N36" s="192"/>
      <c r="O36" s="193"/>
      <c r="P36" s="192"/>
      <c r="Q36" s="192"/>
      <c r="W36" s="192"/>
      <c r="X36" s="193"/>
      <c r="Y36" s="194"/>
      <c r="Z36" s="195"/>
      <c r="AA36" s="195"/>
      <c r="AB36" s="195"/>
      <c r="AC36" s="196"/>
      <c r="AD36" s="194"/>
      <c r="AE36" s="195"/>
      <c r="AF36" s="195"/>
      <c r="AG36" s="195"/>
      <c r="AH36" s="196"/>
      <c r="AI36" s="194"/>
      <c r="AJ36" s="195"/>
      <c r="AK36" s="195"/>
      <c r="AL36" s="195"/>
      <c r="AM36" s="196"/>
    </row>
    <row r="37" spans="3:39" ht="13.2" customHeight="1">
      <c r="Y37" s="197"/>
      <c r="AC37" s="198"/>
      <c r="AD37" s="197"/>
      <c r="AH37" s="198"/>
      <c r="AI37" s="197"/>
      <c r="AM37" s="198"/>
    </row>
    <row r="38" spans="3:39" ht="13.2" customHeight="1">
      <c r="Y38" s="197"/>
      <c r="Z38" s="192"/>
      <c r="AA38" s="193" t="s">
        <v>231</v>
      </c>
      <c r="AB38" s="192"/>
      <c r="AC38" s="199"/>
      <c r="AD38" s="197"/>
      <c r="AE38" s="192"/>
      <c r="AF38" s="193" t="s">
        <v>232</v>
      </c>
      <c r="AG38" s="192"/>
      <c r="AH38" s="199"/>
      <c r="AI38" s="200"/>
      <c r="AJ38" s="192"/>
      <c r="AK38" s="193" t="s">
        <v>233</v>
      </c>
      <c r="AL38" s="192"/>
      <c r="AM38" s="199"/>
    </row>
    <row r="39" spans="3:39" ht="13.2" customHeight="1">
      <c r="Y39" s="197"/>
      <c r="AC39" s="198"/>
      <c r="AD39" s="197"/>
      <c r="AH39" s="198"/>
      <c r="AI39" s="197"/>
      <c r="AM39" s="198"/>
    </row>
    <row r="40" spans="3:39" ht="13.2" customHeight="1">
      <c r="C40" s="191"/>
      <c r="V40" s="191"/>
      <c r="Y40" s="201"/>
      <c r="Z40" s="202"/>
      <c r="AA40" s="202"/>
      <c r="AB40" s="202"/>
      <c r="AC40" s="203"/>
      <c r="AD40" s="201"/>
      <c r="AE40" s="202"/>
      <c r="AF40" s="202"/>
      <c r="AG40" s="202"/>
      <c r="AH40" s="203"/>
      <c r="AI40" s="201"/>
      <c r="AJ40" s="202"/>
      <c r="AK40" s="202"/>
      <c r="AL40" s="202"/>
      <c r="AM40" s="203"/>
    </row>
    <row r="41" spans="3:39" ht="13.2" customHeight="1"/>
    <row r="42" spans="3:39" ht="13.2" customHeight="1">
      <c r="Y42" s="191" t="s">
        <v>234</v>
      </c>
    </row>
    <row r="43" spans="3:39" ht="13.2" customHeight="1">
      <c r="Y43" s="242" t="s">
        <v>228</v>
      </c>
      <c r="Z43" s="243"/>
      <c r="AA43" s="243"/>
      <c r="AB43" s="243"/>
      <c r="AC43" s="244"/>
      <c r="AD43" s="242" t="s">
        <v>229</v>
      </c>
      <c r="AE43" s="243"/>
      <c r="AF43" s="243"/>
      <c r="AG43" s="243"/>
      <c r="AH43" s="244"/>
      <c r="AI43" s="242" t="s">
        <v>230</v>
      </c>
      <c r="AJ43" s="243"/>
      <c r="AK43" s="243"/>
      <c r="AL43" s="243"/>
      <c r="AM43" s="244"/>
    </row>
    <row r="44" spans="3:39" ht="13.2" customHeight="1">
      <c r="D44" s="192"/>
      <c r="E44" s="193"/>
      <c r="F44" s="192"/>
      <c r="G44" s="192"/>
      <c r="H44" s="192"/>
      <c r="I44" s="192"/>
      <c r="J44" s="193"/>
      <c r="K44" s="192"/>
      <c r="L44" s="192"/>
      <c r="M44" s="192"/>
      <c r="N44" s="192"/>
      <c r="O44" s="193"/>
      <c r="P44" s="192"/>
      <c r="Q44" s="192"/>
      <c r="W44" s="192"/>
      <c r="X44" s="193"/>
      <c r="Y44" s="194"/>
      <c r="Z44" s="195"/>
      <c r="AA44" s="195"/>
      <c r="AB44" s="195"/>
      <c r="AC44" s="196"/>
      <c r="AD44" s="195"/>
      <c r="AE44" s="195"/>
      <c r="AF44" s="195"/>
      <c r="AG44" s="195"/>
      <c r="AH44" s="196"/>
      <c r="AI44" s="194"/>
      <c r="AJ44" s="195"/>
      <c r="AK44" s="195"/>
      <c r="AL44" s="195"/>
      <c r="AM44" s="196"/>
    </row>
    <row r="45" spans="3:39" ht="13.2" customHeight="1">
      <c r="Y45" s="197"/>
      <c r="AC45" s="198"/>
      <c r="AH45" s="198"/>
      <c r="AI45" s="197"/>
      <c r="AM45" s="198"/>
    </row>
    <row r="46" spans="3:39" ht="13.2" customHeight="1">
      <c r="Y46" s="197"/>
      <c r="Z46" s="192"/>
      <c r="AA46" s="193" t="s">
        <v>235</v>
      </c>
      <c r="AB46" s="192"/>
      <c r="AC46" s="199"/>
      <c r="AD46" s="192"/>
      <c r="AE46" s="192"/>
      <c r="AF46" s="193" t="s">
        <v>236</v>
      </c>
      <c r="AG46" s="192"/>
      <c r="AH46" s="199"/>
      <c r="AI46" s="200"/>
      <c r="AJ46" s="192"/>
      <c r="AK46" s="193" t="s">
        <v>237</v>
      </c>
      <c r="AL46" s="192"/>
      <c r="AM46" s="199"/>
    </row>
    <row r="47" spans="3:39" ht="13.2" customHeight="1">
      <c r="Y47" s="197"/>
      <c r="AC47" s="198"/>
      <c r="AH47" s="198"/>
      <c r="AI47" s="197"/>
      <c r="AM47" s="198"/>
    </row>
    <row r="48" spans="3:39" ht="13.2" customHeight="1">
      <c r="C48" s="191"/>
      <c r="V48" s="191"/>
      <c r="Y48" s="201"/>
      <c r="Z48" s="202"/>
      <c r="AA48" s="202"/>
      <c r="AB48" s="202"/>
      <c r="AC48" s="203"/>
      <c r="AD48" s="202"/>
      <c r="AE48" s="202"/>
      <c r="AF48" s="202"/>
      <c r="AG48" s="202"/>
      <c r="AH48" s="203"/>
      <c r="AI48" s="201"/>
      <c r="AJ48" s="202"/>
      <c r="AK48" s="202"/>
      <c r="AL48" s="202"/>
      <c r="AM48" s="203"/>
    </row>
    <row r="49" spans="4:39" ht="13.2" customHeight="1"/>
    <row r="50" spans="4:39" ht="13.2" customHeight="1">
      <c r="Y50" s="191" t="s">
        <v>238</v>
      </c>
    </row>
    <row r="51" spans="4:39" ht="13.2" customHeight="1">
      <c r="Y51" s="242" t="s">
        <v>228</v>
      </c>
      <c r="Z51" s="243"/>
      <c r="AA51" s="243"/>
      <c r="AB51" s="243"/>
      <c r="AC51" s="244"/>
      <c r="AD51" s="242" t="s">
        <v>229</v>
      </c>
      <c r="AE51" s="243"/>
      <c r="AF51" s="243"/>
      <c r="AG51" s="243"/>
      <c r="AH51" s="244"/>
      <c r="AI51" s="242" t="s">
        <v>230</v>
      </c>
      <c r="AJ51" s="243"/>
      <c r="AK51" s="243"/>
      <c r="AL51" s="243"/>
      <c r="AM51" s="244"/>
    </row>
    <row r="52" spans="4:39" ht="13.2" customHeight="1">
      <c r="D52" s="192"/>
      <c r="E52" s="193"/>
      <c r="F52" s="192"/>
      <c r="G52" s="192"/>
      <c r="H52" s="192"/>
      <c r="I52" s="192"/>
      <c r="J52" s="193"/>
      <c r="K52" s="192"/>
      <c r="L52" s="192"/>
      <c r="M52" s="192"/>
      <c r="N52" s="192"/>
      <c r="O52" s="193"/>
      <c r="P52" s="192"/>
      <c r="Q52" s="192"/>
      <c r="W52" s="192"/>
      <c r="X52" s="193"/>
      <c r="Y52" s="194"/>
      <c r="Z52" s="195"/>
      <c r="AA52" s="195"/>
      <c r="AB52" s="195"/>
      <c r="AC52" s="196"/>
      <c r="AD52" s="195"/>
      <c r="AE52" s="195"/>
      <c r="AF52" s="195"/>
      <c r="AG52" s="195"/>
      <c r="AH52" s="196"/>
      <c r="AI52" s="194"/>
      <c r="AJ52" s="195"/>
      <c r="AK52" s="195"/>
      <c r="AL52" s="195"/>
      <c r="AM52" s="196"/>
    </row>
    <row r="53" spans="4:39" ht="13.2" customHeight="1">
      <c r="Y53" s="197"/>
      <c r="AC53" s="198"/>
      <c r="AH53" s="198"/>
      <c r="AI53" s="197"/>
      <c r="AM53" s="198"/>
    </row>
    <row r="54" spans="4:39" ht="13.2" customHeight="1">
      <c r="Y54" s="197"/>
      <c r="Z54" s="192"/>
      <c r="AA54" s="193" t="s">
        <v>239</v>
      </c>
      <c r="AB54" s="192"/>
      <c r="AC54" s="199"/>
      <c r="AD54" s="192"/>
      <c r="AE54" s="192"/>
      <c r="AF54" s="193" t="s">
        <v>240</v>
      </c>
      <c r="AG54" s="192"/>
      <c r="AH54" s="199"/>
      <c r="AI54" s="200"/>
      <c r="AJ54" s="192"/>
      <c r="AK54" s="193" t="s">
        <v>233</v>
      </c>
      <c r="AL54" s="192"/>
      <c r="AM54" s="199"/>
    </row>
    <row r="55" spans="4:39" ht="13.2" customHeight="1">
      <c r="Y55" s="197"/>
      <c r="AC55" s="198"/>
      <c r="AH55" s="198"/>
      <c r="AI55" s="197"/>
      <c r="AM55" s="198"/>
    </row>
    <row r="56" spans="4:39" ht="13.2" customHeight="1">
      <c r="Y56" s="201"/>
      <c r="Z56" s="202"/>
      <c r="AA56" s="202"/>
      <c r="AB56" s="202"/>
      <c r="AC56" s="203"/>
      <c r="AD56" s="202"/>
      <c r="AE56" s="202"/>
      <c r="AF56" s="202"/>
      <c r="AG56" s="202"/>
      <c r="AH56" s="203"/>
      <c r="AI56" s="201"/>
      <c r="AJ56" s="202"/>
      <c r="AK56" s="202"/>
      <c r="AL56" s="202"/>
      <c r="AM56" s="203"/>
    </row>
    <row r="57" spans="4:39" ht="13.2" customHeight="1">
      <c r="AK57" s="188" t="s">
        <v>241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2"/>
  <cols>
    <col min="1" max="1" width="4.44140625" customWidth="1"/>
    <col min="2" max="2" width="9" style="10" hidden="1" customWidth="1"/>
    <col min="4" max="4" width="69.44140625" customWidth="1"/>
    <col min="5" max="6" width="12.77734375" customWidth="1"/>
    <col min="7" max="18" width="13.109375" customWidth="1"/>
    <col min="23" max="23" width="14" bestFit="1" customWidth="1"/>
    <col min="24" max="24" width="10.44140625" bestFit="1" customWidth="1"/>
  </cols>
  <sheetData>
    <row r="2" spans="2:24" ht="25.5" customHeight="1">
      <c r="C2" s="7"/>
      <c r="D2" s="7"/>
      <c r="E2" s="7"/>
      <c r="F2" s="7"/>
      <c r="H2" s="8" t="s">
        <v>13</v>
      </c>
      <c r="I2" s="245" t="s">
        <v>14</v>
      </c>
      <c r="J2" s="245"/>
      <c r="K2" s="245"/>
      <c r="L2" s="245"/>
      <c r="M2" s="245"/>
      <c r="N2" s="245"/>
      <c r="O2" s="245"/>
      <c r="P2" s="245"/>
      <c r="Q2" s="245"/>
      <c r="R2" s="245"/>
    </row>
    <row r="3" spans="2:24" ht="25.5" customHeight="1">
      <c r="C3" s="7"/>
      <c r="D3" s="11" t="str">
        <f ca="1">REPLACE(LEFT(CELL("filename",$B$1),FIND(".xls",CELL("filename",$B$1))-1),1,FIND("[",CELL("filename",$B$1)),)</f>
        <v>alert_H_XMGRIP-CSTD-0-03-A-C0</v>
      </c>
      <c r="E3" s="7"/>
      <c r="F3" s="7"/>
      <c r="H3" s="9" t="s">
        <v>197</v>
      </c>
      <c r="I3" s="246" t="s">
        <v>196</v>
      </c>
      <c r="J3" s="247"/>
      <c r="K3" s="247"/>
      <c r="L3" s="247"/>
      <c r="M3" s="247"/>
      <c r="N3" s="247"/>
      <c r="O3" s="247"/>
      <c r="P3" s="247"/>
      <c r="Q3" s="247"/>
      <c r="R3" s="247"/>
    </row>
    <row r="4" spans="2:24" ht="25.5" customHeight="1">
      <c r="C4" s="7"/>
      <c r="D4" s="7"/>
      <c r="E4" s="24" t="str">
        <f>DGET(B8:C14,"Ver.",H4:H5)</f>
        <v>1.1.0</v>
      </c>
      <c r="F4" s="7"/>
      <c r="H4" s="10" t="s">
        <v>16</v>
      </c>
    </row>
    <row r="5" spans="2:24" ht="25.5" customHeight="1">
      <c r="C5" s="7"/>
      <c r="D5" s="7"/>
      <c r="E5" s="7"/>
      <c r="F5" s="7"/>
      <c r="H5" s="12">
        <f>MAX(B9:B14)</f>
        <v>3</v>
      </c>
    </row>
    <row r="6" spans="2:24" ht="13.8" thickBot="1"/>
    <row r="7" spans="2:24">
      <c r="C7" s="250" t="s">
        <v>0</v>
      </c>
      <c r="D7" s="251"/>
      <c r="E7" s="252" t="s">
        <v>2</v>
      </c>
      <c r="F7" s="252"/>
      <c r="G7" s="253" t="s">
        <v>5</v>
      </c>
      <c r="H7" s="253"/>
      <c r="I7" s="253"/>
      <c r="J7" s="253"/>
      <c r="K7" s="253"/>
      <c r="L7" s="253"/>
      <c r="M7" s="254" t="s">
        <v>12</v>
      </c>
      <c r="N7" s="254"/>
      <c r="O7" s="254"/>
      <c r="P7" s="254"/>
      <c r="Q7" s="254"/>
      <c r="R7" s="255"/>
      <c r="S7" s="248" t="s">
        <v>242</v>
      </c>
      <c r="T7" s="248"/>
      <c r="U7" s="248"/>
      <c r="V7" s="248"/>
      <c r="W7" s="248"/>
      <c r="X7" s="249"/>
    </row>
    <row r="8" spans="2:24" ht="27" thickBot="1">
      <c r="B8" s="10" t="s">
        <v>97</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04" t="s">
        <v>11</v>
      </c>
      <c r="S8" s="17" t="s">
        <v>243</v>
      </c>
      <c r="T8" s="17" t="s">
        <v>7</v>
      </c>
      <c r="U8" s="17" t="s">
        <v>8</v>
      </c>
      <c r="V8" s="17" t="s">
        <v>9</v>
      </c>
      <c r="W8" s="17" t="s">
        <v>10</v>
      </c>
      <c r="X8" s="205" t="s">
        <v>11</v>
      </c>
    </row>
    <row r="9" spans="2:24" ht="13.8" thickTop="1">
      <c r="B9" s="10">
        <f>IF(C9=0,0,ROW()-ROW($B$8))</f>
        <v>1</v>
      </c>
      <c r="C9" s="13" t="s">
        <v>15</v>
      </c>
      <c r="D9" s="14" t="s">
        <v>20</v>
      </c>
      <c r="E9" s="14" t="s">
        <v>31</v>
      </c>
      <c r="F9" s="14" t="s">
        <v>245</v>
      </c>
      <c r="G9" s="14" t="s">
        <v>31</v>
      </c>
      <c r="H9" s="14" t="s">
        <v>31</v>
      </c>
      <c r="I9" s="14" t="s">
        <v>31</v>
      </c>
      <c r="J9" s="14" t="s">
        <v>31</v>
      </c>
      <c r="K9" s="14" t="s">
        <v>31</v>
      </c>
      <c r="L9" s="14" t="s">
        <v>31</v>
      </c>
      <c r="M9" s="14"/>
      <c r="N9" s="14"/>
      <c r="O9" s="14"/>
      <c r="P9" s="14"/>
      <c r="Q9" s="14"/>
      <c r="R9" s="206"/>
      <c r="S9" s="1"/>
      <c r="T9" s="206"/>
      <c r="U9" s="1"/>
      <c r="V9" s="206"/>
      <c r="W9" s="1" t="s">
        <v>244</v>
      </c>
      <c r="X9" s="207">
        <v>45335</v>
      </c>
    </row>
    <row r="10" spans="2:24" ht="26.4">
      <c r="B10" s="10">
        <f t="shared" ref="B10:B13" si="0">IF(C10=0,0,ROW()-ROW($B$8))</f>
        <v>2</v>
      </c>
      <c r="C10" s="2" t="s">
        <v>323</v>
      </c>
      <c r="D10" s="241" t="s">
        <v>324</v>
      </c>
      <c r="E10" s="1" t="s">
        <v>31</v>
      </c>
      <c r="F10" s="1" t="s">
        <v>245</v>
      </c>
      <c r="G10" s="1" t="s">
        <v>31</v>
      </c>
      <c r="H10" s="1" t="s">
        <v>31</v>
      </c>
      <c r="I10" s="1" t="s">
        <v>31</v>
      </c>
      <c r="J10" s="1" t="s">
        <v>31</v>
      </c>
      <c r="K10" s="1" t="s">
        <v>31</v>
      </c>
      <c r="L10" s="1" t="s">
        <v>31</v>
      </c>
      <c r="M10" s="1"/>
      <c r="N10" s="1"/>
      <c r="O10" s="1"/>
      <c r="P10" s="1"/>
      <c r="Q10" s="1"/>
      <c r="R10" s="206"/>
      <c r="S10" s="1"/>
      <c r="T10" s="206"/>
      <c r="U10" s="1"/>
      <c r="V10" s="206"/>
      <c r="W10" s="1" t="s">
        <v>328</v>
      </c>
      <c r="X10" s="207">
        <v>45336</v>
      </c>
    </row>
    <row r="11" spans="2:24" ht="159" customHeight="1">
      <c r="B11" s="10">
        <f t="shared" si="0"/>
        <v>3</v>
      </c>
      <c r="C11" s="2" t="s">
        <v>329</v>
      </c>
      <c r="D11" s="241" t="s">
        <v>337</v>
      </c>
      <c r="E11" s="1" t="s">
        <v>31</v>
      </c>
      <c r="F11" s="1" t="s">
        <v>330</v>
      </c>
      <c r="G11" s="1"/>
      <c r="H11" s="1"/>
      <c r="I11" s="1"/>
      <c r="J11" s="1"/>
      <c r="K11" s="1"/>
      <c r="L11" s="1"/>
      <c r="M11" s="1"/>
      <c r="N11" s="1"/>
      <c r="O11" s="1"/>
      <c r="P11" s="1"/>
      <c r="Q11" s="1"/>
      <c r="R11" s="1"/>
      <c r="S11" s="1"/>
      <c r="T11" s="206"/>
      <c r="U11" s="1"/>
      <c r="V11" s="206"/>
      <c r="W11" s="1" t="s">
        <v>331</v>
      </c>
      <c r="X11" s="207">
        <v>45573</v>
      </c>
    </row>
    <row r="12" spans="2:24">
      <c r="B12" s="10">
        <f t="shared" si="0"/>
        <v>0</v>
      </c>
      <c r="C12" s="2"/>
      <c r="D12" s="1"/>
      <c r="E12" s="1"/>
      <c r="F12" s="1"/>
      <c r="G12" s="1"/>
      <c r="H12" s="1"/>
      <c r="I12" s="1"/>
      <c r="J12" s="1"/>
      <c r="K12" s="1"/>
      <c r="L12" s="1"/>
      <c r="M12" s="1"/>
      <c r="N12" s="1"/>
      <c r="O12" s="1"/>
      <c r="P12" s="1"/>
      <c r="Q12" s="1"/>
      <c r="R12" s="1"/>
      <c r="S12" s="1"/>
      <c r="T12" s="206"/>
      <c r="U12" s="1"/>
      <c r="V12" s="206"/>
      <c r="W12" s="1"/>
      <c r="X12" s="207"/>
    </row>
    <row r="13" spans="2:24" ht="13.8" thickBot="1">
      <c r="B13" s="10">
        <f t="shared" si="0"/>
        <v>0</v>
      </c>
      <c r="C13" s="4"/>
      <c r="D13" s="5"/>
      <c r="E13" s="5"/>
      <c r="F13" s="5"/>
      <c r="G13" s="5"/>
      <c r="H13" s="5"/>
      <c r="I13" s="5"/>
      <c r="J13" s="5"/>
      <c r="K13" s="5"/>
      <c r="L13" s="5"/>
      <c r="M13" s="5"/>
      <c r="N13" s="5"/>
      <c r="O13" s="5"/>
      <c r="P13" s="5"/>
      <c r="Q13" s="5"/>
      <c r="R13" s="5"/>
      <c r="S13" s="5"/>
      <c r="T13" s="5"/>
      <c r="U13" s="5"/>
      <c r="V13" s="5"/>
      <c r="W13" s="5"/>
      <c r="X13" s="20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52" t="s">
        <v>145</v>
      </c>
    </row>
    <row r="3" spans="2:5">
      <c r="C3" t="s">
        <v>155</v>
      </c>
    </row>
    <row r="6" spans="2:5" ht="13.8" thickBot="1">
      <c r="B6" s="152" t="s">
        <v>146</v>
      </c>
      <c r="C6" s="152"/>
    </row>
    <row r="7" spans="2:5" ht="13.8" thickBot="1">
      <c r="C7" s="79" t="s">
        <v>148</v>
      </c>
      <c r="D7" s="87"/>
      <c r="E7" s="80" t="s">
        <v>156</v>
      </c>
    </row>
    <row r="8" spans="2:5" ht="20.25" customHeight="1" thickTop="1">
      <c r="C8" s="155">
        <v>0</v>
      </c>
      <c r="D8" s="88" t="s">
        <v>157</v>
      </c>
      <c r="E8" s="154" t="s">
        <v>226</v>
      </c>
    </row>
    <row r="9" spans="2:5">
      <c r="C9" s="161"/>
      <c r="D9" s="163"/>
      <c r="E9" s="162"/>
    </row>
    <row r="10" spans="2:5" ht="13.8" thickBot="1">
      <c r="C10" s="159"/>
      <c r="D10" s="90"/>
      <c r="E10" s="6"/>
    </row>
    <row r="11" spans="2:5">
      <c r="C11" s="157"/>
    </row>
    <row r="12" spans="2:5" ht="13.8" thickBot="1">
      <c r="B12" s="152" t="s">
        <v>147</v>
      </c>
      <c r="C12" s="86"/>
      <c r="D12" s="86"/>
    </row>
    <row r="13" spans="2:5" ht="13.8" thickBot="1">
      <c r="B13" s="153"/>
      <c r="C13" s="158" t="s">
        <v>148</v>
      </c>
      <c r="D13" s="87" t="s">
        <v>149</v>
      </c>
      <c r="E13" s="80" t="s">
        <v>150</v>
      </c>
    </row>
    <row r="14" spans="2:5" ht="13.8" thickTop="1">
      <c r="C14" s="155">
        <v>0</v>
      </c>
      <c r="D14" s="88" t="s">
        <v>162</v>
      </c>
      <c r="E14" s="160" t="s">
        <v>163</v>
      </c>
    </row>
    <row r="15" spans="2:5">
      <c r="C15" s="156">
        <v>1</v>
      </c>
      <c r="D15" s="89" t="s">
        <v>23</v>
      </c>
      <c r="E15" s="3" t="s">
        <v>151</v>
      </c>
    </row>
    <row r="16" spans="2:5">
      <c r="C16" s="156">
        <v>2</v>
      </c>
      <c r="D16" s="89" t="s">
        <v>24</v>
      </c>
      <c r="E16" s="3" t="s">
        <v>152</v>
      </c>
    </row>
    <row r="17" spans="2:5">
      <c r="C17" s="156">
        <v>3</v>
      </c>
      <c r="D17" s="89" t="s">
        <v>25</v>
      </c>
      <c r="E17" s="3" t="s">
        <v>153</v>
      </c>
    </row>
    <row r="18" spans="2:5">
      <c r="C18" s="156">
        <v>4</v>
      </c>
      <c r="D18" s="89" t="s">
        <v>26</v>
      </c>
      <c r="E18" s="3" t="s">
        <v>154</v>
      </c>
    </row>
    <row r="19" spans="2:5">
      <c r="C19" s="156">
        <v>5</v>
      </c>
      <c r="D19" s="89" t="s">
        <v>164</v>
      </c>
      <c r="E19" s="3" t="s">
        <v>166</v>
      </c>
    </row>
    <row r="20" spans="2:5">
      <c r="C20" s="156">
        <v>6</v>
      </c>
      <c r="D20" s="89" t="s">
        <v>170</v>
      </c>
      <c r="E20" s="3" t="s">
        <v>191</v>
      </c>
    </row>
    <row r="21" spans="2:5" ht="13.8" thickBot="1">
      <c r="C21" s="159"/>
      <c r="D21" s="90"/>
      <c r="E21" s="6"/>
    </row>
    <row r="24" spans="2:5" ht="13.8" thickBot="1">
      <c r="B24" s="152" t="s">
        <v>158</v>
      </c>
    </row>
    <row r="25" spans="2:5" ht="13.8" thickBot="1">
      <c r="C25" s="158" t="s">
        <v>148</v>
      </c>
      <c r="D25" s="87" t="s">
        <v>149</v>
      </c>
      <c r="E25" s="80" t="s">
        <v>150</v>
      </c>
    </row>
    <row r="26" spans="2:5" ht="30.75" customHeight="1" thickTop="1">
      <c r="C26" s="155">
        <v>0</v>
      </c>
      <c r="D26" s="88" t="s">
        <v>159</v>
      </c>
      <c r="E26" s="160" t="s">
        <v>167</v>
      </c>
    </row>
    <row r="27" spans="2:5" ht="120" customHeight="1">
      <c r="C27" s="156">
        <v>1</v>
      </c>
      <c r="D27" s="89" t="s">
        <v>193</v>
      </c>
      <c r="E27" s="91" t="s">
        <v>195</v>
      </c>
    </row>
    <row r="28" spans="2:5" ht="81" customHeight="1">
      <c r="C28" s="156">
        <v>2</v>
      </c>
      <c r="D28" s="89" t="s">
        <v>190</v>
      </c>
      <c r="E28" s="91" t="s">
        <v>201</v>
      </c>
    </row>
    <row r="29" spans="2:5" ht="45" customHeight="1">
      <c r="C29" s="156">
        <v>3</v>
      </c>
      <c r="D29" s="89" t="s">
        <v>165</v>
      </c>
      <c r="E29" s="91" t="s">
        <v>168</v>
      </c>
    </row>
    <row r="30" spans="2:5" ht="16.5" customHeight="1">
      <c r="C30" s="156">
        <v>4</v>
      </c>
      <c r="D30" s="89" t="s">
        <v>160</v>
      </c>
      <c r="E30" s="3" t="s">
        <v>173</v>
      </c>
    </row>
    <row r="31" spans="2:5" ht="16.5" customHeight="1">
      <c r="C31" s="156">
        <v>5</v>
      </c>
      <c r="D31" s="89" t="s">
        <v>161</v>
      </c>
      <c r="E31" s="3" t="s">
        <v>169</v>
      </c>
    </row>
    <row r="32" spans="2:5">
      <c r="C32" s="156"/>
      <c r="D32" s="89"/>
      <c r="E32" s="3"/>
    </row>
    <row r="33" spans="2:5">
      <c r="C33" s="156"/>
      <c r="D33" s="89"/>
      <c r="E33" s="3"/>
    </row>
    <row r="34" spans="2:5" ht="13.8" thickBot="1">
      <c r="C34" s="159"/>
      <c r="D34" s="90"/>
      <c r="E34" s="6"/>
    </row>
    <row r="37" spans="2:5" ht="13.8" thickBot="1">
      <c r="B37" s="152" t="s">
        <v>187</v>
      </c>
    </row>
    <row r="38" spans="2:5">
      <c r="C38" s="256"/>
      <c r="D38" s="257"/>
      <c r="E38" s="112" t="s">
        <v>128</v>
      </c>
    </row>
    <row r="39" spans="2:5" ht="13.8" thickBot="1">
      <c r="C39" s="258"/>
      <c r="D39" s="259"/>
      <c r="E39" s="6" t="s">
        <v>129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60" t="s">
        <v>19</v>
      </c>
      <c r="C2" s="261"/>
      <c r="D2" s="266" t="s">
        <v>332</v>
      </c>
      <c r="E2" s="267"/>
      <c r="F2" s="267"/>
      <c r="G2" s="267"/>
      <c r="H2" s="268"/>
    </row>
    <row r="3" spans="2:14">
      <c r="B3" s="262" t="s">
        <v>125</v>
      </c>
      <c r="C3" s="263"/>
      <c r="D3" s="269" t="s">
        <v>246</v>
      </c>
      <c r="E3" s="270"/>
      <c r="F3" s="270"/>
      <c r="G3" s="270"/>
      <c r="H3" s="271"/>
    </row>
    <row r="4" spans="2:14" ht="13.8" thickBot="1">
      <c r="B4" s="264" t="s">
        <v>18</v>
      </c>
      <c r="C4" s="265"/>
      <c r="D4" s="272" t="str">
        <f ca="1">表紙!D3&amp;".c"</f>
        <v>alert_H_XMGRIP-CSTD-0-03-A-C0.c</v>
      </c>
      <c r="E4" s="273"/>
      <c r="F4" s="273"/>
      <c r="G4" s="273"/>
      <c r="H4" s="274"/>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60" t="s">
        <v>40</v>
      </c>
      <c r="C6" s="261"/>
      <c r="D6" s="275" t="str">
        <f ca="1">MID(D4, LEN("alert_") + 1, FIND("-",D4,1) - LEN("alert_") - 1)</f>
        <v>H_XMGRIP</v>
      </c>
      <c r="E6" s="276"/>
      <c r="F6" s="276"/>
      <c r="G6" s="276"/>
      <c r="H6" s="277"/>
    </row>
    <row r="7" spans="2:14">
      <c r="B7" s="262" t="s">
        <v>41</v>
      </c>
      <c r="C7" s="263"/>
      <c r="D7" s="278">
        <f>COUNTA($D$13:$D$37)</f>
        <v>3</v>
      </c>
      <c r="E7" s="279"/>
      <c r="F7" s="279"/>
      <c r="G7" s="279"/>
      <c r="H7" s="280"/>
    </row>
    <row r="8" spans="2:14">
      <c r="B8" s="262" t="s">
        <v>101</v>
      </c>
      <c r="C8" s="263"/>
      <c r="D8" s="278" t="str">
        <f ca="1">"st_gp_ALERT_"&amp;UPPER(D6)&amp;"_MTRX"</f>
        <v>st_gp_ALERT_H_XMGRIP_MTRX</v>
      </c>
      <c r="E8" s="279"/>
      <c r="F8" s="279"/>
      <c r="G8" s="279"/>
      <c r="H8" s="280"/>
    </row>
    <row r="9" spans="2:14">
      <c r="B9" s="262" t="s">
        <v>42</v>
      </c>
      <c r="C9" s="263"/>
      <c r="D9" s="281" t="s">
        <v>247</v>
      </c>
      <c r="E9" s="282"/>
      <c r="F9" s="282"/>
      <c r="G9" s="282"/>
      <c r="H9" s="283"/>
    </row>
    <row r="10" spans="2:14" ht="13.8" thickBot="1">
      <c r="B10" s="264" t="s">
        <v>48</v>
      </c>
      <c r="C10" s="265"/>
      <c r="D10" s="284" t="s">
        <v>141</v>
      </c>
      <c r="E10" s="285"/>
      <c r="F10" s="285"/>
      <c r="G10" s="285"/>
      <c r="H10" s="286"/>
    </row>
    <row r="11" spans="2:14" ht="13.8" thickBot="1"/>
    <row r="12" spans="2:14" ht="13.8" thickBot="1">
      <c r="B12" s="143" t="s">
        <v>38</v>
      </c>
      <c r="C12" s="105" t="s">
        <v>47</v>
      </c>
      <c r="D12" s="106" t="s">
        <v>39</v>
      </c>
      <c r="E12" s="106" t="s">
        <v>43</v>
      </c>
      <c r="F12" s="106" t="s">
        <v>44</v>
      </c>
      <c r="G12" s="106" t="s">
        <v>45</v>
      </c>
      <c r="H12" s="107" t="s">
        <v>46</v>
      </c>
      <c r="I12" s="148" t="s">
        <v>55</v>
      </c>
      <c r="K12" t="s">
        <v>49</v>
      </c>
      <c r="L12" t="s">
        <v>42</v>
      </c>
      <c r="M12" t="s">
        <v>92</v>
      </c>
    </row>
    <row r="13" spans="2:14" ht="13.8" thickTop="1">
      <c r="B13" s="108">
        <v>1</v>
      </c>
      <c r="C13" s="110" t="s">
        <v>248</v>
      </c>
      <c r="D13" s="111" t="s">
        <v>52</v>
      </c>
      <c r="E13" s="111" t="s">
        <v>186</v>
      </c>
      <c r="F13" s="55" t="str">
        <f t="shared" ref="F13:F37" ca="1" si="0">IF($D13&lt;&gt;"","u4_s_Alert"&amp;UPPER(LEFT($D$6,1))&amp;LOWER(MID($D$6,2,100))&amp;IF($D$7=1,"",N13)&amp;"Srcchk","")</f>
        <v>u4_s_AlertH_xmgripTtIndSrcchk</v>
      </c>
      <c r="G13" s="55" t="str">
        <f t="shared" ref="G13:G37" si="1">IF($D13&lt;&gt;"",IF($E13="○","vd_s_Alert"&amp;UPPER(LEFT($D$6,1))&amp;LOWER(MID($D$6,2,100))&amp;IF($D$7=1,"",N13)&amp;"RwTx","NULL"),"")</f>
        <v>NULL</v>
      </c>
      <c r="H13" s="109" t="str">
        <f ca="1">IF($D13&lt;&gt;"","ALERT_CH_"&amp;UPPER($D$6)&amp;IF($D$7=1,"","_"&amp;UPPER($C13)),"")</f>
        <v>ALERT_CH_H_XMGRIP_TT_IND</v>
      </c>
      <c r="I13" s="149" t="str">
        <f ca="1">IF($D13&lt;&gt;"","ALERT_REQ_"&amp;UPPER($D$6)&amp;IF($D$7=1,"","_"&amp;UPPER($C13)),"")</f>
        <v>ALERT_REQ_H_XMGRIP_TT_IND</v>
      </c>
      <c r="K13" t="s">
        <v>50</v>
      </c>
      <c r="L13" t="s">
        <v>54</v>
      </c>
      <c r="M13">
        <f t="shared" ref="M13:M37" si="2">FIND("_",C13,1)</f>
        <v>3</v>
      </c>
      <c r="N13" t="str">
        <f t="shared" ref="N13:N37" si="3">IF(IFERROR(M13,0),UPPER(LEFT(C13,1))&amp;LOWER(MID(C13,2,M13-2))&amp;UPPER(MID(C13,M13+1,1))&amp;LOWER(MID(C13,M13+2,100)),UPPER(LEFT(C13,1))&amp;LOWER(MID(C13,2,100)))</f>
        <v>TtInd</v>
      </c>
    </row>
    <row r="14" spans="2:14">
      <c r="B14" s="98">
        <v>2</v>
      </c>
      <c r="C14" s="146" t="s">
        <v>24</v>
      </c>
      <c r="D14" s="147" t="s">
        <v>52</v>
      </c>
      <c r="E14" s="147" t="s">
        <v>186</v>
      </c>
      <c r="F14" s="50" t="str">
        <f t="shared" ca="1" si="0"/>
        <v>u4_s_AlertH_xmgripPdSrcchk</v>
      </c>
      <c r="G14" s="50" t="str">
        <f t="shared" si="1"/>
        <v>NULL</v>
      </c>
      <c r="H14" s="69" t="str">
        <f t="shared" ref="H14:H37" ca="1" si="4">IF($D14&lt;&gt;"","ALERT_CH_"&amp;UPPER($D$6)&amp;IF($D$7=1,"","_"&amp;UPPER($C14)),"")</f>
        <v>ALERT_CH_H_XMGRIP_PD</v>
      </c>
      <c r="I14" s="150" t="str">
        <f t="shared" ref="I14:I37" ca="1" si="5">IF($D14&lt;&gt;"","ALERT_REQ_"&amp;UPPER($D$6)&amp;IF($D$7=1,"","_"&amp;UPPER($C14)),"")</f>
        <v>ALERT_REQ_H_XMGRIP_PD</v>
      </c>
      <c r="K14" t="s">
        <v>51</v>
      </c>
      <c r="L14" t="str">
        <f ca="1">"vd_g_Alert"&amp;UPPER(LEFT(D6,1))&amp;LOWER(MID(D6,2,100))&amp;"Init"</f>
        <v>vd_g_AlertH_xmgripInit</v>
      </c>
      <c r="M14" t="e">
        <f t="shared" si="2"/>
        <v>#VALUE!</v>
      </c>
      <c r="N14" t="str">
        <f t="shared" si="3"/>
        <v>Pd</v>
      </c>
    </row>
    <row r="15" spans="2:14">
      <c r="B15" s="98">
        <v>3</v>
      </c>
      <c r="C15" s="146" t="s">
        <v>25</v>
      </c>
      <c r="D15" s="147" t="s">
        <v>52</v>
      </c>
      <c r="E15" s="147" t="s">
        <v>186</v>
      </c>
      <c r="F15" s="50" t="str">
        <f t="shared" ca="1" si="0"/>
        <v>u4_s_AlertH_xmgripBcSrcchk</v>
      </c>
      <c r="G15" s="50" t="str">
        <f t="shared" si="1"/>
        <v>NULL</v>
      </c>
      <c r="H15" s="69" t="str">
        <f t="shared" ca="1" si="4"/>
        <v>ALERT_CH_H_XMGRIP_BC</v>
      </c>
      <c r="I15" s="150" t="str">
        <f t="shared" ca="1" si="5"/>
        <v>ALERT_REQ_H_XMGRIP_BC</v>
      </c>
      <c r="K15" t="s">
        <v>130</v>
      </c>
      <c r="M15" t="e">
        <f t="shared" si="2"/>
        <v>#VALUE!</v>
      </c>
      <c r="N15" t="str">
        <f t="shared" si="3"/>
        <v>Bc</v>
      </c>
    </row>
    <row r="16" spans="2:14">
      <c r="B16" s="98">
        <v>4</v>
      </c>
      <c r="C16" s="146"/>
      <c r="D16" s="147"/>
      <c r="E16" s="147"/>
      <c r="F16" s="50" t="str">
        <f t="shared" si="0"/>
        <v/>
      </c>
      <c r="G16" s="50" t="str">
        <f t="shared" si="1"/>
        <v/>
      </c>
      <c r="H16" s="69" t="str">
        <f t="shared" si="4"/>
        <v/>
      </c>
      <c r="I16" s="150" t="str">
        <f t="shared" si="5"/>
        <v/>
      </c>
      <c r="K16" t="s">
        <v>131</v>
      </c>
      <c r="M16" t="e">
        <f t="shared" si="2"/>
        <v>#VALUE!</v>
      </c>
      <c r="N16" t="str">
        <f t="shared" si="3"/>
        <v/>
      </c>
    </row>
    <row r="17" spans="2:14">
      <c r="B17" s="98">
        <v>5</v>
      </c>
      <c r="C17" s="146"/>
      <c r="D17" s="147"/>
      <c r="E17" s="147"/>
      <c r="F17" s="50" t="str">
        <f t="shared" si="0"/>
        <v/>
      </c>
      <c r="G17" s="50" t="str">
        <f t="shared" si="1"/>
        <v/>
      </c>
      <c r="H17" s="69" t="str">
        <f t="shared" si="4"/>
        <v/>
      </c>
      <c r="I17" s="150" t="str">
        <f t="shared" si="5"/>
        <v/>
      </c>
      <c r="K17" t="s">
        <v>52</v>
      </c>
      <c r="M17" t="e">
        <f t="shared" si="2"/>
        <v>#VALUE!</v>
      </c>
      <c r="N17" t="str">
        <f t="shared" si="3"/>
        <v/>
      </c>
    </row>
    <row r="18" spans="2:14">
      <c r="B18" s="98">
        <v>6</v>
      </c>
      <c r="C18" s="146"/>
      <c r="D18" s="147"/>
      <c r="E18" s="147"/>
      <c r="F18" s="50" t="str">
        <f t="shared" si="0"/>
        <v/>
      </c>
      <c r="G18" s="50" t="str">
        <f t="shared" si="1"/>
        <v/>
      </c>
      <c r="H18" s="69" t="str">
        <f t="shared" si="4"/>
        <v/>
      </c>
      <c r="I18" s="150" t="str">
        <f t="shared" si="5"/>
        <v/>
      </c>
      <c r="K18" t="s">
        <v>53</v>
      </c>
      <c r="M18" t="e">
        <f t="shared" si="2"/>
        <v>#VALUE!</v>
      </c>
      <c r="N18" t="str">
        <f t="shared" si="3"/>
        <v/>
      </c>
    </row>
    <row r="19" spans="2:14">
      <c r="B19" s="98">
        <v>7</v>
      </c>
      <c r="C19" s="146"/>
      <c r="D19" s="147"/>
      <c r="E19" s="147"/>
      <c r="F19" s="50" t="str">
        <f t="shared" si="0"/>
        <v/>
      </c>
      <c r="G19" s="50" t="str">
        <f t="shared" si="1"/>
        <v/>
      </c>
      <c r="H19" s="69" t="str">
        <f t="shared" si="4"/>
        <v/>
      </c>
      <c r="I19" s="150" t="str">
        <f t="shared" si="5"/>
        <v/>
      </c>
      <c r="K19" t="s">
        <v>53</v>
      </c>
      <c r="M19" t="e">
        <f t="shared" si="2"/>
        <v>#VALUE!</v>
      </c>
      <c r="N19" t="str">
        <f t="shared" si="3"/>
        <v/>
      </c>
    </row>
    <row r="20" spans="2:14">
      <c r="B20" s="98">
        <v>8</v>
      </c>
      <c r="C20" s="146"/>
      <c r="D20" s="147"/>
      <c r="E20" s="147"/>
      <c r="F20" s="50" t="str">
        <f t="shared" si="0"/>
        <v/>
      </c>
      <c r="G20" s="50" t="str">
        <f t="shared" si="1"/>
        <v/>
      </c>
      <c r="H20" s="69" t="str">
        <f t="shared" si="4"/>
        <v/>
      </c>
      <c r="I20" s="150" t="str">
        <f t="shared" si="5"/>
        <v/>
      </c>
      <c r="K20" t="s">
        <v>53</v>
      </c>
      <c r="M20" t="e">
        <f t="shared" si="2"/>
        <v>#VALUE!</v>
      </c>
      <c r="N20" t="str">
        <f t="shared" si="3"/>
        <v/>
      </c>
    </row>
    <row r="21" spans="2:14">
      <c r="B21" s="98">
        <v>9</v>
      </c>
      <c r="C21" s="146"/>
      <c r="D21" s="147"/>
      <c r="E21" s="147"/>
      <c r="F21" s="50" t="str">
        <f t="shared" si="0"/>
        <v/>
      </c>
      <c r="G21" s="50" t="str">
        <f t="shared" si="1"/>
        <v/>
      </c>
      <c r="H21" s="69" t="str">
        <f t="shared" si="4"/>
        <v/>
      </c>
      <c r="I21" s="150" t="str">
        <f t="shared" si="5"/>
        <v/>
      </c>
      <c r="K21" t="s">
        <v>53</v>
      </c>
      <c r="M21" t="e">
        <f t="shared" si="2"/>
        <v>#VALUE!</v>
      </c>
      <c r="N21" t="str">
        <f t="shared" si="3"/>
        <v/>
      </c>
    </row>
    <row r="22" spans="2:14">
      <c r="B22" s="98">
        <v>10</v>
      </c>
      <c r="C22" s="146"/>
      <c r="D22" s="147"/>
      <c r="E22" s="147"/>
      <c r="F22" s="50" t="str">
        <f t="shared" si="0"/>
        <v/>
      </c>
      <c r="G22" s="50" t="str">
        <f t="shared" si="1"/>
        <v/>
      </c>
      <c r="H22" s="69" t="str">
        <f t="shared" si="4"/>
        <v/>
      </c>
      <c r="I22" s="150" t="str">
        <f t="shared" si="5"/>
        <v/>
      </c>
      <c r="K22" t="s">
        <v>53</v>
      </c>
      <c r="M22" t="e">
        <f t="shared" si="2"/>
        <v>#VALUE!</v>
      </c>
      <c r="N22" t="str">
        <f t="shared" si="3"/>
        <v/>
      </c>
    </row>
    <row r="23" spans="2:14">
      <c r="B23" s="98">
        <v>11</v>
      </c>
      <c r="C23" s="146"/>
      <c r="D23" s="147"/>
      <c r="E23" s="147"/>
      <c r="F23" s="50" t="str">
        <f t="shared" si="0"/>
        <v/>
      </c>
      <c r="G23" s="50" t="str">
        <f t="shared" si="1"/>
        <v/>
      </c>
      <c r="H23" s="69" t="str">
        <f t="shared" si="4"/>
        <v/>
      </c>
      <c r="I23" s="150" t="str">
        <f t="shared" si="5"/>
        <v/>
      </c>
      <c r="K23" t="s">
        <v>53</v>
      </c>
      <c r="M23" t="e">
        <f t="shared" si="2"/>
        <v>#VALUE!</v>
      </c>
      <c r="N23" t="str">
        <f t="shared" si="3"/>
        <v/>
      </c>
    </row>
    <row r="24" spans="2:14">
      <c r="B24" s="98">
        <v>12</v>
      </c>
      <c r="C24" s="146"/>
      <c r="D24" s="147"/>
      <c r="E24" s="147"/>
      <c r="F24" s="50" t="str">
        <f t="shared" si="0"/>
        <v/>
      </c>
      <c r="G24" s="50" t="str">
        <f t="shared" si="1"/>
        <v/>
      </c>
      <c r="H24" s="69" t="str">
        <f t="shared" si="4"/>
        <v/>
      </c>
      <c r="I24" s="150" t="str">
        <f t="shared" si="5"/>
        <v/>
      </c>
      <c r="K24" t="s">
        <v>53</v>
      </c>
      <c r="M24" t="e">
        <f t="shared" si="2"/>
        <v>#VALUE!</v>
      </c>
      <c r="N24" t="str">
        <f t="shared" si="3"/>
        <v/>
      </c>
    </row>
    <row r="25" spans="2:14">
      <c r="B25" s="98">
        <v>13</v>
      </c>
      <c r="C25" s="146"/>
      <c r="D25" s="147"/>
      <c r="E25" s="147"/>
      <c r="F25" s="50" t="str">
        <f t="shared" si="0"/>
        <v/>
      </c>
      <c r="G25" s="50" t="str">
        <f t="shared" si="1"/>
        <v/>
      </c>
      <c r="H25" s="69" t="str">
        <f t="shared" si="4"/>
        <v/>
      </c>
      <c r="I25" s="150" t="str">
        <f t="shared" si="5"/>
        <v/>
      </c>
      <c r="K25" t="s">
        <v>53</v>
      </c>
      <c r="M25" t="e">
        <f t="shared" si="2"/>
        <v>#VALUE!</v>
      </c>
      <c r="N25" t="str">
        <f t="shared" si="3"/>
        <v/>
      </c>
    </row>
    <row r="26" spans="2:14">
      <c r="B26" s="98">
        <v>14</v>
      </c>
      <c r="C26" s="146"/>
      <c r="D26" s="147"/>
      <c r="E26" s="147"/>
      <c r="F26" s="50" t="str">
        <f t="shared" si="0"/>
        <v/>
      </c>
      <c r="G26" s="50" t="str">
        <f t="shared" si="1"/>
        <v/>
      </c>
      <c r="H26" s="69" t="str">
        <f t="shared" si="4"/>
        <v/>
      </c>
      <c r="I26" s="150" t="str">
        <f t="shared" si="5"/>
        <v/>
      </c>
      <c r="K26" t="s">
        <v>53</v>
      </c>
      <c r="M26" t="e">
        <f t="shared" si="2"/>
        <v>#VALUE!</v>
      </c>
      <c r="N26" t="str">
        <f t="shared" si="3"/>
        <v/>
      </c>
    </row>
    <row r="27" spans="2:14">
      <c r="B27" s="98">
        <v>15</v>
      </c>
      <c r="C27" s="146"/>
      <c r="D27" s="147"/>
      <c r="E27" s="147"/>
      <c r="F27" s="50" t="str">
        <f t="shared" si="0"/>
        <v/>
      </c>
      <c r="G27" s="50" t="str">
        <f t="shared" si="1"/>
        <v/>
      </c>
      <c r="H27" s="69" t="str">
        <f t="shared" si="4"/>
        <v/>
      </c>
      <c r="I27" s="150" t="str">
        <f t="shared" si="5"/>
        <v/>
      </c>
      <c r="K27" t="s">
        <v>53</v>
      </c>
      <c r="M27" t="e">
        <f t="shared" si="2"/>
        <v>#VALUE!</v>
      </c>
      <c r="N27" t="str">
        <f t="shared" si="3"/>
        <v/>
      </c>
    </row>
    <row r="28" spans="2:14">
      <c r="B28" s="98">
        <v>16</v>
      </c>
      <c r="C28" s="146"/>
      <c r="D28" s="147"/>
      <c r="E28" s="147"/>
      <c r="F28" s="50" t="str">
        <f t="shared" si="0"/>
        <v/>
      </c>
      <c r="G28" s="50" t="str">
        <f t="shared" si="1"/>
        <v/>
      </c>
      <c r="H28" s="69" t="str">
        <f t="shared" si="4"/>
        <v/>
      </c>
      <c r="I28" s="150" t="str">
        <f t="shared" si="5"/>
        <v/>
      </c>
      <c r="K28" t="s">
        <v>53</v>
      </c>
      <c r="M28" t="e">
        <f t="shared" si="2"/>
        <v>#VALUE!</v>
      </c>
      <c r="N28" t="str">
        <f t="shared" si="3"/>
        <v/>
      </c>
    </row>
    <row r="29" spans="2:14">
      <c r="B29" s="98">
        <v>17</v>
      </c>
      <c r="C29" s="146"/>
      <c r="D29" s="147"/>
      <c r="E29" s="147"/>
      <c r="F29" s="50" t="str">
        <f t="shared" si="0"/>
        <v/>
      </c>
      <c r="G29" s="50" t="str">
        <f t="shared" si="1"/>
        <v/>
      </c>
      <c r="H29" s="69" t="str">
        <f t="shared" si="4"/>
        <v/>
      </c>
      <c r="I29" s="150" t="str">
        <f t="shared" si="5"/>
        <v/>
      </c>
      <c r="K29" t="s">
        <v>53</v>
      </c>
      <c r="M29" t="e">
        <f t="shared" si="2"/>
        <v>#VALUE!</v>
      </c>
      <c r="N29" t="str">
        <f t="shared" si="3"/>
        <v/>
      </c>
    </row>
    <row r="30" spans="2:14">
      <c r="B30" s="98">
        <v>18</v>
      </c>
      <c r="C30" s="146"/>
      <c r="D30" s="147"/>
      <c r="E30" s="147"/>
      <c r="F30" s="50" t="str">
        <f t="shared" si="0"/>
        <v/>
      </c>
      <c r="G30" s="50" t="str">
        <f t="shared" si="1"/>
        <v/>
      </c>
      <c r="H30" s="69" t="str">
        <f t="shared" si="4"/>
        <v/>
      </c>
      <c r="I30" s="150" t="str">
        <f t="shared" si="5"/>
        <v/>
      </c>
      <c r="K30" t="s">
        <v>53</v>
      </c>
      <c r="M30" t="e">
        <f t="shared" si="2"/>
        <v>#VALUE!</v>
      </c>
      <c r="N30" t="str">
        <f t="shared" si="3"/>
        <v/>
      </c>
    </row>
    <row r="31" spans="2:14">
      <c r="B31" s="98">
        <v>19</v>
      </c>
      <c r="C31" s="146"/>
      <c r="D31" s="147"/>
      <c r="E31" s="147"/>
      <c r="F31" s="50" t="str">
        <f t="shared" si="0"/>
        <v/>
      </c>
      <c r="G31" s="50" t="str">
        <f t="shared" si="1"/>
        <v/>
      </c>
      <c r="H31" s="69" t="str">
        <f t="shared" si="4"/>
        <v/>
      </c>
      <c r="I31" s="150" t="str">
        <f t="shared" si="5"/>
        <v/>
      </c>
      <c r="K31" t="s">
        <v>53</v>
      </c>
      <c r="M31" t="e">
        <f t="shared" si="2"/>
        <v>#VALUE!</v>
      </c>
      <c r="N31" t="str">
        <f t="shared" si="3"/>
        <v/>
      </c>
    </row>
    <row r="32" spans="2:14">
      <c r="B32" s="98">
        <v>20</v>
      </c>
      <c r="C32" s="146"/>
      <c r="D32" s="147"/>
      <c r="E32" s="147"/>
      <c r="F32" s="50" t="str">
        <f t="shared" si="0"/>
        <v/>
      </c>
      <c r="G32" s="50" t="str">
        <f t="shared" si="1"/>
        <v/>
      </c>
      <c r="H32" s="69" t="str">
        <f t="shared" si="4"/>
        <v/>
      </c>
      <c r="I32" s="150" t="str">
        <f t="shared" si="5"/>
        <v/>
      </c>
      <c r="K32" t="s">
        <v>53</v>
      </c>
      <c r="M32" t="e">
        <f t="shared" si="2"/>
        <v>#VALUE!</v>
      </c>
      <c r="N32" t="str">
        <f t="shared" si="3"/>
        <v/>
      </c>
    </row>
    <row r="33" spans="2:14">
      <c r="B33" s="98">
        <v>21</v>
      </c>
      <c r="C33" s="146"/>
      <c r="D33" s="147"/>
      <c r="E33" s="147"/>
      <c r="F33" s="50" t="str">
        <f t="shared" si="0"/>
        <v/>
      </c>
      <c r="G33" s="50" t="str">
        <f t="shared" si="1"/>
        <v/>
      </c>
      <c r="H33" s="69" t="str">
        <f t="shared" si="4"/>
        <v/>
      </c>
      <c r="I33" s="150" t="str">
        <f t="shared" si="5"/>
        <v/>
      </c>
      <c r="K33" t="s">
        <v>53</v>
      </c>
      <c r="M33" t="e">
        <f t="shared" si="2"/>
        <v>#VALUE!</v>
      </c>
      <c r="N33" t="str">
        <f t="shared" si="3"/>
        <v/>
      </c>
    </row>
    <row r="34" spans="2:14">
      <c r="B34" s="98">
        <v>22</v>
      </c>
      <c r="C34" s="146"/>
      <c r="D34" s="147"/>
      <c r="E34" s="147"/>
      <c r="F34" s="50" t="str">
        <f t="shared" si="0"/>
        <v/>
      </c>
      <c r="G34" s="50" t="str">
        <f t="shared" si="1"/>
        <v/>
      </c>
      <c r="H34" s="69" t="str">
        <f t="shared" si="4"/>
        <v/>
      </c>
      <c r="I34" s="150" t="str">
        <f t="shared" si="5"/>
        <v/>
      </c>
      <c r="K34" t="s">
        <v>53</v>
      </c>
      <c r="M34" t="e">
        <f t="shared" si="2"/>
        <v>#VALUE!</v>
      </c>
      <c r="N34" t="str">
        <f t="shared" si="3"/>
        <v/>
      </c>
    </row>
    <row r="35" spans="2:14">
      <c r="B35" s="98">
        <v>23</v>
      </c>
      <c r="C35" s="146"/>
      <c r="D35" s="147"/>
      <c r="E35" s="147"/>
      <c r="F35" s="50" t="str">
        <f t="shared" si="0"/>
        <v/>
      </c>
      <c r="G35" s="50" t="str">
        <f t="shared" si="1"/>
        <v/>
      </c>
      <c r="H35" s="69" t="str">
        <f t="shared" si="4"/>
        <v/>
      </c>
      <c r="I35" s="150" t="str">
        <f t="shared" si="5"/>
        <v/>
      </c>
      <c r="K35" t="s">
        <v>53</v>
      </c>
      <c r="M35" t="e">
        <f t="shared" si="2"/>
        <v>#VALUE!</v>
      </c>
      <c r="N35" t="str">
        <f t="shared" si="3"/>
        <v/>
      </c>
    </row>
    <row r="36" spans="2:14">
      <c r="B36" s="98">
        <v>24</v>
      </c>
      <c r="C36" s="146"/>
      <c r="D36" s="147"/>
      <c r="E36" s="147"/>
      <c r="F36" s="50" t="str">
        <f t="shared" si="0"/>
        <v/>
      </c>
      <c r="G36" s="50" t="str">
        <f t="shared" si="1"/>
        <v/>
      </c>
      <c r="H36" s="69" t="str">
        <f t="shared" si="4"/>
        <v/>
      </c>
      <c r="I36" s="150" t="str">
        <f t="shared" si="5"/>
        <v/>
      </c>
      <c r="K36" t="s">
        <v>53</v>
      </c>
      <c r="M36" t="e">
        <f t="shared" si="2"/>
        <v>#VALUE!</v>
      </c>
      <c r="N36" t="str">
        <f t="shared" si="3"/>
        <v/>
      </c>
    </row>
    <row r="37" spans="2:14" ht="13.8" thickBot="1">
      <c r="B37" s="99">
        <v>25</v>
      </c>
      <c r="C37" s="144"/>
      <c r="D37" s="145"/>
      <c r="E37" s="145"/>
      <c r="F37" s="58" t="str">
        <f t="shared" si="0"/>
        <v/>
      </c>
      <c r="G37" s="58" t="str">
        <f t="shared" si="1"/>
        <v/>
      </c>
      <c r="H37" s="70" t="str">
        <f t="shared" si="4"/>
        <v/>
      </c>
      <c r="I37" s="151"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2" priority="4">
      <formula>14&lt;LEN($D$6)+LEN($C13)</formula>
    </cfRule>
  </conditionalFormatting>
  <conditionalFormatting sqref="D5">
    <cfRule type="containsText" dxfId="11" priority="1" operator="containsText" text="NG">
      <formula>NOT(ISERROR(SEARCH("NG",D5)))</formula>
    </cfRule>
  </conditionalFormatting>
  <conditionalFormatting sqref="D6">
    <cfRule type="expression" dxfId="10"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214</v>
      </c>
      <c r="O2" t="s">
        <v>216</v>
      </c>
    </row>
    <row r="3" spans="2:18" ht="13.8" thickBot="1">
      <c r="B3" s="143" t="s">
        <v>38</v>
      </c>
      <c r="C3" s="106" t="s">
        <v>203</v>
      </c>
      <c r="D3" s="106" t="s">
        <v>209</v>
      </c>
      <c r="E3" s="107" t="s">
        <v>210</v>
      </c>
      <c r="F3" s="185" t="s">
        <v>205</v>
      </c>
      <c r="G3" s="182" t="s">
        <v>219</v>
      </c>
      <c r="O3" s="143" t="s">
        <v>38</v>
      </c>
      <c r="P3" s="181" t="s">
        <v>199</v>
      </c>
      <c r="Q3" s="181" t="s">
        <v>213</v>
      </c>
      <c r="R3" s="182" t="s">
        <v>205</v>
      </c>
    </row>
    <row r="4" spans="2:18" ht="13.8" hidden="1" thickTop="1">
      <c r="B4" s="173">
        <v>0</v>
      </c>
      <c r="C4" s="174" t="s">
        <v>188</v>
      </c>
      <c r="D4" s="174"/>
      <c r="E4" s="175"/>
      <c r="F4" s="186"/>
      <c r="G4" s="3"/>
      <c r="O4" s="183">
        <v>0</v>
      </c>
      <c r="P4" s="180" t="s">
        <v>188</v>
      </c>
      <c r="Q4" s="180" t="s">
        <v>188</v>
      </c>
      <c r="R4" s="138"/>
    </row>
    <row r="5" spans="2:18" ht="13.8" thickTop="1">
      <c r="B5" s="176">
        <v>1</v>
      </c>
      <c r="C5" s="147"/>
      <c r="D5" s="25"/>
      <c r="E5" s="69" t="str">
        <f>IF($C5&lt;&gt;"","ALERT_" &amp; D5 &amp; "_ID_"&amp;UPPER(Matrix!$D$6) &amp; "_" &amp; $C5,"")</f>
        <v/>
      </c>
      <c r="F5" s="116"/>
      <c r="G5" s="69" t="str">
        <f>IF(E5&lt;&gt;"",LEN(E5),"")</f>
        <v/>
      </c>
      <c r="O5" s="176">
        <v>1</v>
      </c>
      <c r="P5" s="147"/>
      <c r="Q5" s="147"/>
      <c r="R5" s="117"/>
    </row>
    <row r="6" spans="2:18">
      <c r="B6" s="176">
        <v>2</v>
      </c>
      <c r="C6" s="147"/>
      <c r="D6" s="25"/>
      <c r="E6" s="69" t="str">
        <f>IF($C6&lt;&gt;"","ALERT_" &amp; D6 &amp; "_ID_"&amp;UPPER(Matrix!$D$6) &amp; "_" &amp; $C6,"")</f>
        <v/>
      </c>
      <c r="F6" s="116"/>
      <c r="G6" s="69" t="str">
        <f t="shared" ref="G6:G29" si="0">IF(E6&lt;&gt;"",LEN(E6),"")</f>
        <v/>
      </c>
      <c r="O6" s="176">
        <v>2</v>
      </c>
      <c r="P6" s="147"/>
      <c r="Q6" s="147"/>
      <c r="R6" s="117"/>
    </row>
    <row r="7" spans="2:18">
      <c r="B7" s="176">
        <v>3</v>
      </c>
      <c r="C7" s="147"/>
      <c r="D7" s="25"/>
      <c r="E7" s="69" t="str">
        <f>IF($C7&lt;&gt;"","ALERT_" &amp; D7 &amp; "_ID_"&amp;UPPER(Matrix!$D$6) &amp; "_" &amp; $C7,"")</f>
        <v/>
      </c>
      <c r="F7" s="116"/>
      <c r="G7" s="69" t="str">
        <f t="shared" si="0"/>
        <v/>
      </c>
      <c r="O7" s="176">
        <v>3</v>
      </c>
      <c r="P7" s="147"/>
      <c r="Q7" s="147"/>
      <c r="R7" s="117"/>
    </row>
    <row r="8" spans="2:18">
      <c r="B8" s="176">
        <v>4</v>
      </c>
      <c r="C8" s="147"/>
      <c r="D8" s="25"/>
      <c r="E8" s="69" t="str">
        <f>IF($C8&lt;&gt;"","ALERT_" &amp; D8 &amp; "_ID_"&amp;UPPER(Matrix!$D$6) &amp; "_" &amp; $C8,"")</f>
        <v/>
      </c>
      <c r="F8" s="116"/>
      <c r="G8" s="69" t="str">
        <f t="shared" si="0"/>
        <v/>
      </c>
      <c r="O8" s="176">
        <v>4</v>
      </c>
      <c r="P8" s="147"/>
      <c r="Q8" s="147"/>
      <c r="R8" s="117"/>
    </row>
    <row r="9" spans="2:18">
      <c r="B9" s="176">
        <v>5</v>
      </c>
      <c r="C9" s="147"/>
      <c r="D9" s="25"/>
      <c r="E9" s="69" t="str">
        <f>IF($C9&lt;&gt;"","ALERT_" &amp; D9 &amp; "_ID_"&amp;UPPER(Matrix!$D$6) &amp; "_" &amp; $C9,"")</f>
        <v/>
      </c>
      <c r="F9" s="116"/>
      <c r="G9" s="69" t="str">
        <f t="shared" si="0"/>
        <v/>
      </c>
      <c r="O9" s="176">
        <v>5</v>
      </c>
      <c r="P9" s="147"/>
      <c r="Q9" s="147"/>
      <c r="R9" s="117"/>
    </row>
    <row r="10" spans="2:18">
      <c r="B10" s="176">
        <v>6</v>
      </c>
      <c r="C10" s="147"/>
      <c r="D10" s="25"/>
      <c r="E10" s="69" t="str">
        <f>IF($C10&lt;&gt;"","ALERT_" &amp; D10 &amp; "_ID_"&amp;UPPER(Matrix!$D$6) &amp; "_" &amp; $C10,"")</f>
        <v/>
      </c>
      <c r="F10" s="116"/>
      <c r="G10" s="69" t="str">
        <f t="shared" si="0"/>
        <v/>
      </c>
      <c r="O10" s="176">
        <v>6</v>
      </c>
      <c r="P10" s="147"/>
      <c r="Q10" s="147"/>
      <c r="R10" s="117"/>
    </row>
    <row r="11" spans="2:18">
      <c r="B11" s="176">
        <v>7</v>
      </c>
      <c r="C11" s="147"/>
      <c r="D11" s="25"/>
      <c r="E11" s="69" t="str">
        <f>IF($C11&lt;&gt;"","ALERT_" &amp; D11 &amp; "_ID_"&amp;UPPER(Matrix!$D$6) &amp; "_" &amp; $C11,"")</f>
        <v/>
      </c>
      <c r="F11" s="116"/>
      <c r="G11" s="69" t="str">
        <f t="shared" si="0"/>
        <v/>
      </c>
      <c r="O11" s="176">
        <v>7</v>
      </c>
      <c r="P11" s="147"/>
      <c r="Q11" s="147"/>
      <c r="R11" s="117"/>
    </row>
    <row r="12" spans="2:18">
      <c r="B12" s="176">
        <v>8</v>
      </c>
      <c r="C12" s="147"/>
      <c r="D12" s="25"/>
      <c r="E12" s="69" t="str">
        <f>IF($C12&lt;&gt;"","ALERT_" &amp; D12 &amp; "_ID_"&amp;UPPER(Matrix!$D$6) &amp; "_" &amp; $C12,"")</f>
        <v/>
      </c>
      <c r="F12" s="116"/>
      <c r="G12" s="69" t="str">
        <f t="shared" si="0"/>
        <v/>
      </c>
      <c r="O12" s="176">
        <v>8</v>
      </c>
      <c r="P12" s="147"/>
      <c r="Q12" s="147"/>
      <c r="R12" s="117"/>
    </row>
    <row r="13" spans="2:18">
      <c r="B13" s="176">
        <v>9</v>
      </c>
      <c r="C13" s="147"/>
      <c r="D13" s="25"/>
      <c r="E13" s="69" t="str">
        <f>IF($C13&lt;&gt;"","ALERT_" &amp; D13 &amp; "_ID_"&amp;UPPER(Matrix!$D$6) &amp; "_" &amp; $C13,"")</f>
        <v/>
      </c>
      <c r="F13" s="116"/>
      <c r="G13" s="69" t="str">
        <f t="shared" si="0"/>
        <v/>
      </c>
      <c r="O13" s="176">
        <v>9</v>
      </c>
      <c r="P13" s="147"/>
      <c r="Q13" s="147"/>
      <c r="R13" s="117"/>
    </row>
    <row r="14" spans="2:18">
      <c r="B14" s="176">
        <v>10</v>
      </c>
      <c r="C14" s="147"/>
      <c r="D14" s="25"/>
      <c r="E14" s="69" t="str">
        <f>IF($C14&lt;&gt;"","ALERT_" &amp; D14 &amp; "_ID_"&amp;UPPER(Matrix!$D$6) &amp; "_" &amp; $C14,"")</f>
        <v/>
      </c>
      <c r="F14" s="116"/>
      <c r="G14" s="69" t="str">
        <f t="shared" si="0"/>
        <v/>
      </c>
      <c r="O14" s="176">
        <v>10</v>
      </c>
      <c r="P14" s="147"/>
      <c r="Q14" s="147"/>
      <c r="R14" s="117"/>
    </row>
    <row r="15" spans="2:18">
      <c r="B15" s="176">
        <v>11</v>
      </c>
      <c r="C15" s="147"/>
      <c r="D15" s="25"/>
      <c r="E15" s="69" t="str">
        <f>IF($C15&lt;&gt;"","ALERT_" &amp; D15 &amp; "_ID_"&amp;UPPER(Matrix!$D$6) &amp; "_" &amp; $C15,"")</f>
        <v/>
      </c>
      <c r="F15" s="116"/>
      <c r="G15" s="69" t="str">
        <f t="shared" si="0"/>
        <v/>
      </c>
      <c r="O15" s="176">
        <v>11</v>
      </c>
      <c r="P15" s="147"/>
      <c r="Q15" s="147"/>
      <c r="R15" s="117"/>
    </row>
    <row r="16" spans="2:18">
      <c r="B16" s="176">
        <v>12</v>
      </c>
      <c r="C16" s="147"/>
      <c r="D16" s="25"/>
      <c r="E16" s="69" t="str">
        <f>IF($C16&lt;&gt;"","ALERT_" &amp; D16 &amp; "_ID_"&amp;UPPER(Matrix!$D$6) &amp; "_" &amp; $C16,"")</f>
        <v/>
      </c>
      <c r="F16" s="116"/>
      <c r="G16" s="69" t="str">
        <f t="shared" si="0"/>
        <v/>
      </c>
      <c r="O16" s="176">
        <v>12</v>
      </c>
      <c r="P16" s="147"/>
      <c r="Q16" s="147"/>
      <c r="R16" s="117"/>
    </row>
    <row r="17" spans="2:18">
      <c r="B17" s="176">
        <v>13</v>
      </c>
      <c r="C17" s="147"/>
      <c r="D17" s="25"/>
      <c r="E17" s="69" t="str">
        <f>IF($C17&lt;&gt;"","ALERT_" &amp; D17 &amp; "_ID_"&amp;UPPER(Matrix!$D$6) &amp; "_" &amp; $C17,"")</f>
        <v/>
      </c>
      <c r="F17" s="116"/>
      <c r="G17" s="69" t="str">
        <f t="shared" si="0"/>
        <v/>
      </c>
      <c r="O17" s="176">
        <v>13</v>
      </c>
      <c r="P17" s="147"/>
      <c r="Q17" s="147"/>
      <c r="R17" s="117"/>
    </row>
    <row r="18" spans="2:18">
      <c r="B18" s="176">
        <v>14</v>
      </c>
      <c r="C18" s="147"/>
      <c r="D18" s="25"/>
      <c r="E18" s="69" t="str">
        <f>IF($C18&lt;&gt;"","ALERT_" &amp; D18 &amp; "_ID_"&amp;UPPER(Matrix!$D$6) &amp; "_" &amp; $C18,"")</f>
        <v/>
      </c>
      <c r="F18" s="116"/>
      <c r="G18" s="69" t="str">
        <f t="shared" si="0"/>
        <v/>
      </c>
      <c r="O18" s="176">
        <v>14</v>
      </c>
      <c r="P18" s="147"/>
      <c r="Q18" s="147"/>
      <c r="R18" s="117"/>
    </row>
    <row r="19" spans="2:18">
      <c r="B19" s="176">
        <v>15</v>
      </c>
      <c r="C19" s="147"/>
      <c r="D19" s="25"/>
      <c r="E19" s="69" t="str">
        <f>IF($C19&lt;&gt;"","ALERT_" &amp; D19 &amp; "_ID_"&amp;UPPER(Matrix!$D$6) &amp; "_" &amp; $C19,"")</f>
        <v/>
      </c>
      <c r="F19" s="116"/>
      <c r="G19" s="69" t="str">
        <f t="shared" si="0"/>
        <v/>
      </c>
      <c r="O19" s="176">
        <v>15</v>
      </c>
      <c r="P19" s="147"/>
      <c r="Q19" s="147"/>
      <c r="R19" s="117"/>
    </row>
    <row r="20" spans="2:18">
      <c r="B20" s="176">
        <v>16</v>
      </c>
      <c r="C20" s="147"/>
      <c r="D20" s="25"/>
      <c r="E20" s="69" t="str">
        <f>IF($C20&lt;&gt;"","ALERT_" &amp; D20 &amp; "_ID_"&amp;UPPER(Matrix!$D$6) &amp; "_" &amp; $C20,"")</f>
        <v/>
      </c>
      <c r="F20" s="116"/>
      <c r="G20" s="69" t="str">
        <f t="shared" si="0"/>
        <v/>
      </c>
      <c r="O20" s="176">
        <v>16</v>
      </c>
      <c r="P20" s="147"/>
      <c r="Q20" s="147"/>
      <c r="R20" s="117"/>
    </row>
    <row r="21" spans="2:18">
      <c r="B21" s="176">
        <v>17</v>
      </c>
      <c r="C21" s="147"/>
      <c r="D21" s="25"/>
      <c r="E21" s="69" t="str">
        <f>IF($C21&lt;&gt;"","ALERT_" &amp; D21 &amp; "_ID_"&amp;UPPER(Matrix!$D$6) &amp; "_" &amp; $C21,"")</f>
        <v/>
      </c>
      <c r="F21" s="116"/>
      <c r="G21" s="69" t="str">
        <f t="shared" si="0"/>
        <v/>
      </c>
      <c r="O21" s="176">
        <v>17</v>
      </c>
      <c r="P21" s="147"/>
      <c r="Q21" s="147"/>
      <c r="R21" s="117"/>
    </row>
    <row r="22" spans="2:18">
      <c r="B22" s="176">
        <v>18</v>
      </c>
      <c r="C22" s="147"/>
      <c r="D22" s="25"/>
      <c r="E22" s="69" t="str">
        <f>IF($C22&lt;&gt;"","ALERT_" &amp; D22 &amp; "_ID_"&amp;UPPER(Matrix!$D$6) &amp; "_" &amp; $C22,"")</f>
        <v/>
      </c>
      <c r="F22" s="116"/>
      <c r="G22" s="69" t="str">
        <f t="shared" si="0"/>
        <v/>
      </c>
      <c r="O22" s="176">
        <v>18</v>
      </c>
      <c r="P22" s="147"/>
      <c r="Q22" s="147"/>
      <c r="R22" s="117"/>
    </row>
    <row r="23" spans="2:18">
      <c r="B23" s="176">
        <v>19</v>
      </c>
      <c r="C23" s="147"/>
      <c r="D23" s="25"/>
      <c r="E23" s="69" t="str">
        <f>IF($C23&lt;&gt;"","ALERT_" &amp; D23 &amp; "_ID_"&amp;UPPER(Matrix!$D$6) &amp; "_" &amp; $C23,"")</f>
        <v/>
      </c>
      <c r="F23" s="116"/>
      <c r="G23" s="69" t="str">
        <f t="shared" si="0"/>
        <v/>
      </c>
      <c r="O23" s="176">
        <v>19</v>
      </c>
      <c r="P23" s="147"/>
      <c r="Q23" s="147"/>
      <c r="R23" s="117"/>
    </row>
    <row r="24" spans="2:18">
      <c r="B24" s="176">
        <v>20</v>
      </c>
      <c r="C24" s="147"/>
      <c r="D24" s="25"/>
      <c r="E24" s="69" t="str">
        <f>IF($C24&lt;&gt;"","ALERT_" &amp; D24 &amp; "_ID_"&amp;UPPER(Matrix!$D$6) &amp; "_" &amp; $C24,"")</f>
        <v/>
      </c>
      <c r="F24" s="116"/>
      <c r="G24" s="69" t="str">
        <f t="shared" si="0"/>
        <v/>
      </c>
      <c r="O24" s="176">
        <v>20</v>
      </c>
      <c r="P24" s="147"/>
      <c r="Q24" s="147"/>
      <c r="R24" s="117"/>
    </row>
    <row r="25" spans="2:18">
      <c r="B25" s="176">
        <v>21</v>
      </c>
      <c r="C25" s="147"/>
      <c r="D25" s="25"/>
      <c r="E25" s="69" t="str">
        <f>IF($C25&lt;&gt;"","ALERT_" &amp; D25 &amp; "_ID_"&amp;UPPER(Matrix!$D$6) &amp; "_" &amp; $C25,"")</f>
        <v/>
      </c>
      <c r="F25" s="116"/>
      <c r="G25" s="69" t="str">
        <f t="shared" si="0"/>
        <v/>
      </c>
      <c r="O25" s="176">
        <v>21</v>
      </c>
      <c r="P25" s="147"/>
      <c r="Q25" s="147"/>
      <c r="R25" s="117"/>
    </row>
    <row r="26" spans="2:18">
      <c r="B26" s="176">
        <v>22</v>
      </c>
      <c r="C26" s="147"/>
      <c r="D26" s="25"/>
      <c r="E26" s="69" t="str">
        <f>IF($C26&lt;&gt;"","ALERT_" &amp; D26 &amp; "_ID_"&amp;UPPER(Matrix!$D$6) &amp; "_" &amp; $C26,"")</f>
        <v/>
      </c>
      <c r="F26" s="116"/>
      <c r="G26" s="69" t="str">
        <f t="shared" si="0"/>
        <v/>
      </c>
      <c r="O26" s="176">
        <v>22</v>
      </c>
      <c r="P26" s="147"/>
      <c r="Q26" s="147"/>
      <c r="R26" s="117"/>
    </row>
    <row r="27" spans="2:18">
      <c r="B27" s="176">
        <v>23</v>
      </c>
      <c r="C27" s="147"/>
      <c r="D27" s="25"/>
      <c r="E27" s="69" t="str">
        <f>IF($C27&lt;&gt;"","ALERT_" &amp; D27 &amp; "_ID_"&amp;UPPER(Matrix!$D$6) &amp; "_" &amp; $C27,"")</f>
        <v/>
      </c>
      <c r="F27" s="116"/>
      <c r="G27" s="69" t="str">
        <f t="shared" si="0"/>
        <v/>
      </c>
      <c r="O27" s="176">
        <v>23</v>
      </c>
      <c r="P27" s="147"/>
      <c r="Q27" s="147"/>
      <c r="R27" s="117"/>
    </row>
    <row r="28" spans="2:18">
      <c r="B28" s="176">
        <v>24</v>
      </c>
      <c r="C28" s="147"/>
      <c r="D28" s="25"/>
      <c r="E28" s="69" t="str">
        <f>IF($C28&lt;&gt;"","ALERT_" &amp; D28 &amp; "_ID_"&amp;UPPER(Matrix!$D$6) &amp; "_" &amp; $C28,"")</f>
        <v/>
      </c>
      <c r="F28" s="116"/>
      <c r="G28" s="69" t="str">
        <f t="shared" si="0"/>
        <v/>
      </c>
      <c r="O28" s="176">
        <v>24</v>
      </c>
      <c r="P28" s="147"/>
      <c r="Q28" s="147"/>
      <c r="R28" s="117"/>
    </row>
    <row r="29" spans="2:18" ht="13.8" thickBot="1">
      <c r="B29" s="177">
        <v>25</v>
      </c>
      <c r="C29" s="145"/>
      <c r="D29" s="57"/>
      <c r="E29" s="70" t="str">
        <f>IF($C29&lt;&gt;"","ALERT_" &amp; D29 &amp; "_ID_"&amp;UPPER(Matrix!$D$6) &amp; "_" &amp; $C29,"")</f>
        <v/>
      </c>
      <c r="F29" s="118"/>
      <c r="G29" s="70" t="str">
        <f t="shared" si="0"/>
        <v/>
      </c>
      <c r="O29" s="177">
        <v>25</v>
      </c>
      <c r="P29" s="145"/>
      <c r="Q29" s="145"/>
      <c r="R29" s="119"/>
    </row>
    <row r="32" spans="2:18" ht="13.8" thickBot="1">
      <c r="B32" t="s">
        <v>215</v>
      </c>
      <c r="O32" t="s">
        <v>212</v>
      </c>
    </row>
    <row r="33" spans="2:18" ht="13.8" thickBot="1">
      <c r="B33" s="143" t="s">
        <v>38</v>
      </c>
      <c r="C33" s="106" t="s">
        <v>203</v>
      </c>
      <c r="D33" s="106" t="s">
        <v>208</v>
      </c>
      <c r="E33" s="107" t="s">
        <v>206</v>
      </c>
      <c r="F33" s="182" t="s">
        <v>207</v>
      </c>
      <c r="G33" s="182" t="s">
        <v>219</v>
      </c>
      <c r="O33" s="143" t="s">
        <v>38</v>
      </c>
      <c r="P33" s="181" t="s">
        <v>200</v>
      </c>
      <c r="Q33" s="181" t="s">
        <v>217</v>
      </c>
      <c r="R33" s="182" t="s">
        <v>204</v>
      </c>
    </row>
    <row r="34" spans="2:18" ht="13.8" hidden="1" thickTop="1">
      <c r="B34" s="173">
        <v>0</v>
      </c>
      <c r="C34" s="174" t="s">
        <v>188</v>
      </c>
      <c r="D34" s="174"/>
      <c r="E34" s="175"/>
      <c r="F34" s="184" t="s">
        <v>188</v>
      </c>
      <c r="G34" s="3"/>
      <c r="O34" s="183">
        <v>0</v>
      </c>
      <c r="P34" s="180" t="s">
        <v>188</v>
      </c>
      <c r="Q34" s="180" t="s">
        <v>188</v>
      </c>
      <c r="R34" s="184" t="s">
        <v>188</v>
      </c>
    </row>
    <row r="35" spans="2:18" ht="13.8" thickTop="1">
      <c r="B35" s="176">
        <v>1</v>
      </c>
      <c r="C35" s="147"/>
      <c r="D35" s="25"/>
      <c r="E35" s="69" t="str">
        <f>IF($C35&lt;&gt;"","ALERT_" &amp; UPPER(Matrix!$D$6) &amp; "_" &amp; $C35,"")</f>
        <v/>
      </c>
      <c r="F35" s="178"/>
      <c r="G35" s="69" t="str">
        <f>IF(E35&lt;&gt;"",LEN(E35),"")</f>
        <v/>
      </c>
      <c r="O35" s="176">
        <v>1</v>
      </c>
      <c r="P35" s="147"/>
      <c r="Q35" s="147"/>
      <c r="R35" s="178"/>
    </row>
    <row r="36" spans="2:18">
      <c r="B36" s="176">
        <v>2</v>
      </c>
      <c r="C36" s="147"/>
      <c r="D36" s="25"/>
      <c r="E36" s="69" t="str">
        <f>IF($C36&lt;&gt;"","ALERT_" &amp; UPPER(Matrix!$D$6) &amp; "_" &amp; $C36,"")</f>
        <v/>
      </c>
      <c r="F36" s="178"/>
      <c r="G36" s="69" t="str">
        <f>IF(E36&lt;&gt;"",LEN(E36),"")</f>
        <v/>
      </c>
      <c r="O36" s="176">
        <v>2</v>
      </c>
      <c r="P36" s="147"/>
      <c r="Q36" s="147"/>
      <c r="R36" s="178"/>
    </row>
    <row r="37" spans="2:18">
      <c r="B37" s="176">
        <v>3</v>
      </c>
      <c r="C37" s="147"/>
      <c r="D37" s="25"/>
      <c r="E37" s="69" t="str">
        <f>IF($C37&lt;&gt;"","ALERT_" &amp; UPPER(Matrix!$D$6) &amp; "_" &amp; $C37,"")</f>
        <v/>
      </c>
      <c r="F37" s="178"/>
      <c r="G37" s="69" t="str">
        <f>IF(E37&lt;&gt;"",LEN(E37),"")</f>
        <v/>
      </c>
      <c r="O37" s="176">
        <v>3</v>
      </c>
      <c r="P37" s="147"/>
      <c r="Q37" s="147"/>
      <c r="R37" s="178"/>
    </row>
    <row r="38" spans="2:18">
      <c r="B38" s="176">
        <v>4</v>
      </c>
      <c r="C38" s="147"/>
      <c r="D38" s="25"/>
      <c r="E38" s="69" t="str">
        <f>IF($C38&lt;&gt;"","ALERT_" &amp; UPPER(Matrix!$D$6) &amp; "_" &amp; $C38,"")</f>
        <v/>
      </c>
      <c r="F38" s="178"/>
      <c r="G38" s="69" t="str">
        <f t="shared" ref="G38:G59" si="1">IF(E38&lt;&gt;"",LEN(E38),"")</f>
        <v/>
      </c>
      <c r="O38" s="176">
        <v>4</v>
      </c>
      <c r="P38" s="147"/>
      <c r="Q38" s="147"/>
      <c r="R38" s="178"/>
    </row>
    <row r="39" spans="2:18">
      <c r="B39" s="176">
        <v>5</v>
      </c>
      <c r="C39" s="147"/>
      <c r="D39" s="25"/>
      <c r="E39" s="69" t="str">
        <f>IF($C39&lt;&gt;"","ALERT_" &amp; UPPER(Matrix!$D$6) &amp; "_" &amp; $C39,"")</f>
        <v/>
      </c>
      <c r="F39" s="178"/>
      <c r="G39" s="69" t="str">
        <f t="shared" si="1"/>
        <v/>
      </c>
      <c r="O39" s="176">
        <v>5</v>
      </c>
      <c r="P39" s="147"/>
      <c r="Q39" s="147"/>
      <c r="R39" s="178"/>
    </row>
    <row r="40" spans="2:18">
      <c r="B40" s="176">
        <v>6</v>
      </c>
      <c r="C40" s="147"/>
      <c r="D40" s="25"/>
      <c r="E40" s="69" t="str">
        <f>IF($C40&lt;&gt;"","ALERT_" &amp; UPPER(Matrix!$D$6) &amp; "_" &amp; $C40,"")</f>
        <v/>
      </c>
      <c r="F40" s="178"/>
      <c r="G40" s="69" t="str">
        <f t="shared" si="1"/>
        <v/>
      </c>
      <c r="O40" s="176">
        <v>6</v>
      </c>
      <c r="P40" s="147"/>
      <c r="Q40" s="147"/>
      <c r="R40" s="178"/>
    </row>
    <row r="41" spans="2:18">
      <c r="B41" s="176">
        <v>7</v>
      </c>
      <c r="C41" s="147"/>
      <c r="D41" s="25"/>
      <c r="E41" s="69" t="str">
        <f>IF($C41&lt;&gt;"","ALERT_" &amp; UPPER(Matrix!$D$6) &amp; "_" &amp; $C41,"")</f>
        <v/>
      </c>
      <c r="F41" s="178"/>
      <c r="G41" s="69" t="str">
        <f t="shared" si="1"/>
        <v/>
      </c>
      <c r="O41" s="176">
        <v>7</v>
      </c>
      <c r="P41" s="147"/>
      <c r="Q41" s="147"/>
      <c r="R41" s="178"/>
    </row>
    <row r="42" spans="2:18">
      <c r="B42" s="176">
        <v>8</v>
      </c>
      <c r="C42" s="147"/>
      <c r="D42" s="25"/>
      <c r="E42" s="69" t="str">
        <f>IF($C42&lt;&gt;"","ALERT_" &amp; UPPER(Matrix!$D$6) &amp; "_" &amp; $C42,"")</f>
        <v/>
      </c>
      <c r="F42" s="178"/>
      <c r="G42" s="69" t="str">
        <f t="shared" si="1"/>
        <v/>
      </c>
      <c r="O42" s="176">
        <v>8</v>
      </c>
      <c r="P42" s="147"/>
      <c r="Q42" s="147"/>
      <c r="R42" s="178"/>
    </row>
    <row r="43" spans="2:18">
      <c r="B43" s="176">
        <v>9</v>
      </c>
      <c r="C43" s="147"/>
      <c r="D43" s="25"/>
      <c r="E43" s="69" t="str">
        <f>IF($C43&lt;&gt;"","ALERT_" &amp; UPPER(Matrix!$D$6) &amp; "_" &amp; $C43,"")</f>
        <v/>
      </c>
      <c r="F43" s="178"/>
      <c r="G43" s="69" t="str">
        <f t="shared" si="1"/>
        <v/>
      </c>
      <c r="O43" s="176">
        <v>9</v>
      </c>
      <c r="P43" s="147"/>
      <c r="Q43" s="147"/>
      <c r="R43" s="178"/>
    </row>
    <row r="44" spans="2:18">
      <c r="B44" s="176">
        <v>10</v>
      </c>
      <c r="C44" s="147"/>
      <c r="D44" s="25"/>
      <c r="E44" s="69" t="str">
        <f>IF($C44&lt;&gt;"","ALERT_" &amp; UPPER(Matrix!$D$6) &amp; "_" &amp; $C44,"")</f>
        <v/>
      </c>
      <c r="F44" s="178"/>
      <c r="G44" s="69" t="str">
        <f t="shared" si="1"/>
        <v/>
      </c>
      <c r="O44" s="176">
        <v>10</v>
      </c>
      <c r="P44" s="147"/>
      <c r="Q44" s="147"/>
      <c r="R44" s="178"/>
    </row>
    <row r="45" spans="2:18">
      <c r="B45" s="176">
        <v>11</v>
      </c>
      <c r="C45" s="147"/>
      <c r="D45" s="25"/>
      <c r="E45" s="69" t="str">
        <f>IF($C45&lt;&gt;"","ALERT_" &amp; UPPER(Matrix!$D$6) &amp; "_" &amp; $C45,"")</f>
        <v/>
      </c>
      <c r="F45" s="178"/>
      <c r="G45" s="69" t="str">
        <f t="shared" si="1"/>
        <v/>
      </c>
      <c r="O45" s="176">
        <v>11</v>
      </c>
      <c r="P45" s="147"/>
      <c r="Q45" s="147"/>
      <c r="R45" s="178"/>
    </row>
    <row r="46" spans="2:18">
      <c r="B46" s="176">
        <v>12</v>
      </c>
      <c r="C46" s="147"/>
      <c r="D46" s="25"/>
      <c r="E46" s="69" t="str">
        <f>IF($C46&lt;&gt;"","ALERT_" &amp; UPPER(Matrix!$D$6) &amp; "_" &amp; $C46,"")</f>
        <v/>
      </c>
      <c r="F46" s="178"/>
      <c r="G46" s="69" t="str">
        <f t="shared" si="1"/>
        <v/>
      </c>
      <c r="O46" s="176">
        <v>12</v>
      </c>
      <c r="P46" s="147"/>
      <c r="Q46" s="147"/>
      <c r="R46" s="178"/>
    </row>
    <row r="47" spans="2:18">
      <c r="B47" s="176">
        <v>13</v>
      </c>
      <c r="C47" s="147"/>
      <c r="D47" s="25"/>
      <c r="E47" s="69" t="str">
        <f>IF($C47&lt;&gt;"","ALERT_" &amp; UPPER(Matrix!$D$6) &amp; "_" &amp; $C47,"")</f>
        <v/>
      </c>
      <c r="F47" s="178"/>
      <c r="G47" s="69" t="str">
        <f t="shared" si="1"/>
        <v/>
      </c>
      <c r="O47" s="176">
        <v>13</v>
      </c>
      <c r="P47" s="147"/>
      <c r="Q47" s="147"/>
      <c r="R47" s="178"/>
    </row>
    <row r="48" spans="2:18">
      <c r="B48" s="176">
        <v>14</v>
      </c>
      <c r="C48" s="147"/>
      <c r="D48" s="25"/>
      <c r="E48" s="69" t="str">
        <f>IF($C48&lt;&gt;"","ALERT_" &amp; UPPER(Matrix!$D$6) &amp; "_" &amp; $C48,"")</f>
        <v/>
      </c>
      <c r="F48" s="178"/>
      <c r="G48" s="69" t="str">
        <f t="shared" si="1"/>
        <v/>
      </c>
      <c r="O48" s="176">
        <v>14</v>
      </c>
      <c r="P48" s="147"/>
      <c r="Q48" s="147"/>
      <c r="R48" s="178"/>
    </row>
    <row r="49" spans="2:18">
      <c r="B49" s="176">
        <v>15</v>
      </c>
      <c r="C49" s="147"/>
      <c r="D49" s="25"/>
      <c r="E49" s="69" t="str">
        <f>IF($C49&lt;&gt;"","ALERT_" &amp; UPPER(Matrix!$D$6) &amp; "_" &amp; $C49,"")</f>
        <v/>
      </c>
      <c r="F49" s="178"/>
      <c r="G49" s="69" t="str">
        <f t="shared" si="1"/>
        <v/>
      </c>
      <c r="O49" s="176">
        <v>15</v>
      </c>
      <c r="P49" s="147"/>
      <c r="Q49" s="147"/>
      <c r="R49" s="178"/>
    </row>
    <row r="50" spans="2:18">
      <c r="B50" s="176">
        <v>16</v>
      </c>
      <c r="C50" s="147"/>
      <c r="D50" s="25"/>
      <c r="E50" s="69" t="str">
        <f>IF($C50&lt;&gt;"","ALERT_" &amp; UPPER(Matrix!$D$6) &amp; "_" &amp; $C50,"")</f>
        <v/>
      </c>
      <c r="F50" s="178"/>
      <c r="G50" s="69" t="str">
        <f t="shared" si="1"/>
        <v/>
      </c>
      <c r="O50" s="176">
        <v>16</v>
      </c>
      <c r="P50" s="147"/>
      <c r="Q50" s="147"/>
      <c r="R50" s="178"/>
    </row>
    <row r="51" spans="2:18">
      <c r="B51" s="176">
        <v>17</v>
      </c>
      <c r="C51" s="147"/>
      <c r="D51" s="25"/>
      <c r="E51" s="69" t="str">
        <f>IF($C51&lt;&gt;"","ALERT_" &amp; UPPER(Matrix!$D$6) &amp; "_" &amp; $C51,"")</f>
        <v/>
      </c>
      <c r="F51" s="178"/>
      <c r="G51" s="69" t="str">
        <f t="shared" si="1"/>
        <v/>
      </c>
      <c r="O51" s="176">
        <v>17</v>
      </c>
      <c r="P51" s="147"/>
      <c r="Q51" s="147"/>
      <c r="R51" s="178"/>
    </row>
    <row r="52" spans="2:18">
      <c r="B52" s="176">
        <v>18</v>
      </c>
      <c r="C52" s="147"/>
      <c r="D52" s="25"/>
      <c r="E52" s="69" t="str">
        <f>IF($C52&lt;&gt;"","ALERT_" &amp; UPPER(Matrix!$D$6) &amp; "_" &amp; $C52,"")</f>
        <v/>
      </c>
      <c r="F52" s="178"/>
      <c r="G52" s="69" t="str">
        <f t="shared" si="1"/>
        <v/>
      </c>
      <c r="O52" s="176">
        <v>18</v>
      </c>
      <c r="P52" s="147"/>
      <c r="Q52" s="147"/>
      <c r="R52" s="178"/>
    </row>
    <row r="53" spans="2:18">
      <c r="B53" s="176">
        <v>19</v>
      </c>
      <c r="C53" s="147"/>
      <c r="D53" s="25"/>
      <c r="E53" s="69" t="str">
        <f>IF($C53&lt;&gt;"","ALERT_" &amp; UPPER(Matrix!$D$6) &amp; "_" &amp; $C53,"")</f>
        <v/>
      </c>
      <c r="F53" s="178"/>
      <c r="G53" s="69" t="str">
        <f t="shared" si="1"/>
        <v/>
      </c>
      <c r="O53" s="176">
        <v>19</v>
      </c>
      <c r="P53" s="147"/>
      <c r="Q53" s="147"/>
      <c r="R53" s="178"/>
    </row>
    <row r="54" spans="2:18">
      <c r="B54" s="176">
        <v>20</v>
      </c>
      <c r="C54" s="147"/>
      <c r="D54" s="25"/>
      <c r="E54" s="69" t="str">
        <f>IF($C54&lt;&gt;"","ALERT_" &amp; UPPER(Matrix!$D$6) &amp; "_" &amp; $C54,"")</f>
        <v/>
      </c>
      <c r="F54" s="178"/>
      <c r="G54" s="69" t="str">
        <f t="shared" si="1"/>
        <v/>
      </c>
      <c r="O54" s="176">
        <v>20</v>
      </c>
      <c r="P54" s="147"/>
      <c r="Q54" s="147"/>
      <c r="R54" s="178"/>
    </row>
    <row r="55" spans="2:18">
      <c r="B55" s="176">
        <v>21</v>
      </c>
      <c r="C55" s="147"/>
      <c r="D55" s="25"/>
      <c r="E55" s="69" t="str">
        <f>IF($C55&lt;&gt;"","ALERT_" &amp; UPPER(Matrix!$D$6) &amp; "_" &amp; $C55,"")</f>
        <v/>
      </c>
      <c r="F55" s="178"/>
      <c r="G55" s="69" t="str">
        <f t="shared" si="1"/>
        <v/>
      </c>
      <c r="O55" s="176">
        <v>21</v>
      </c>
      <c r="P55" s="147"/>
      <c r="Q55" s="147"/>
      <c r="R55" s="178"/>
    </row>
    <row r="56" spans="2:18">
      <c r="B56" s="176">
        <v>22</v>
      </c>
      <c r="C56" s="147"/>
      <c r="D56" s="25"/>
      <c r="E56" s="69" t="str">
        <f>IF($C56&lt;&gt;"","ALERT_" &amp; UPPER(Matrix!$D$6) &amp; "_" &amp; $C56,"")</f>
        <v/>
      </c>
      <c r="F56" s="178"/>
      <c r="G56" s="69" t="str">
        <f t="shared" si="1"/>
        <v/>
      </c>
      <c r="O56" s="176">
        <v>22</v>
      </c>
      <c r="P56" s="147"/>
      <c r="Q56" s="147"/>
      <c r="R56" s="178"/>
    </row>
    <row r="57" spans="2:18">
      <c r="B57" s="176">
        <v>23</v>
      </c>
      <c r="C57" s="147"/>
      <c r="D57" s="25"/>
      <c r="E57" s="69" t="str">
        <f>IF($C57&lt;&gt;"","ALERT_" &amp; UPPER(Matrix!$D$6) &amp; "_" &amp; $C57,"")</f>
        <v/>
      </c>
      <c r="F57" s="178"/>
      <c r="G57" s="69" t="str">
        <f t="shared" si="1"/>
        <v/>
      </c>
      <c r="O57" s="176">
        <v>23</v>
      </c>
      <c r="P57" s="147"/>
      <c r="Q57" s="147"/>
      <c r="R57" s="178"/>
    </row>
    <row r="58" spans="2:18">
      <c r="B58" s="176">
        <v>24</v>
      </c>
      <c r="C58" s="147"/>
      <c r="D58" s="25"/>
      <c r="E58" s="69" t="str">
        <f>IF($C58&lt;&gt;"","ALERT_" &amp; UPPER(Matrix!$D$6) &amp; "_" &amp; $C58,"")</f>
        <v/>
      </c>
      <c r="F58" s="178"/>
      <c r="G58" s="69" t="str">
        <f t="shared" si="1"/>
        <v/>
      </c>
      <c r="O58" s="176">
        <v>24</v>
      </c>
      <c r="P58" s="147"/>
      <c r="Q58" s="147"/>
      <c r="R58" s="178"/>
    </row>
    <row r="59" spans="2:18" ht="13.8" thickBot="1">
      <c r="B59" s="177">
        <v>25</v>
      </c>
      <c r="C59" s="145"/>
      <c r="D59" s="57"/>
      <c r="E59" s="70" t="str">
        <f>IF($C59&lt;&gt;"","ALERT_" &amp; UPPER(Matrix!$D$6) &amp; "_" &amp; $C59,"")</f>
        <v/>
      </c>
      <c r="F59" s="179"/>
      <c r="G59" s="70" t="str">
        <f t="shared" si="1"/>
        <v/>
      </c>
      <c r="O59" s="177">
        <v>25</v>
      </c>
      <c r="P59" s="145"/>
      <c r="Q59" s="145"/>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32.77734375" bestFit="1" customWidth="1"/>
    <col min="9" max="9" width="12.33203125" customWidth="1"/>
    <col min="10" max="10" width="32.77734375" bestFit="1" customWidth="1"/>
    <col min="11"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92" t="s">
        <v>110</v>
      </c>
    </row>
    <row r="2" spans="2:21" ht="13.8" thickBot="1">
      <c r="B2" s="100" t="s">
        <v>62</v>
      </c>
      <c r="C2" s="101" t="s">
        <v>132</v>
      </c>
      <c r="D2" s="102" t="s">
        <v>56</v>
      </c>
      <c r="E2" s="103" t="s">
        <v>57</v>
      </c>
      <c r="F2" s="104" t="s">
        <v>23</v>
      </c>
      <c r="G2" s="103" t="s">
        <v>58</v>
      </c>
      <c r="H2" s="104" t="s">
        <v>25</v>
      </c>
      <c r="I2" s="103" t="s">
        <v>59</v>
      </c>
      <c r="J2" s="104" t="s">
        <v>184</v>
      </c>
      <c r="K2" s="103" t="s">
        <v>60</v>
      </c>
      <c r="L2" s="104" t="s">
        <v>26</v>
      </c>
      <c r="M2" s="101" t="s">
        <v>61</v>
      </c>
      <c r="N2" s="104" t="s">
        <v>127</v>
      </c>
      <c r="O2" s="120" t="s">
        <v>87</v>
      </c>
    </row>
    <row r="3" spans="2:21" ht="14.4" hidden="1" thickTop="1" thickBot="1">
      <c r="B3" s="26"/>
      <c r="C3" s="54" t="s">
        <v>114</v>
      </c>
      <c r="D3" s="113"/>
      <c r="E3" s="13"/>
      <c r="F3" s="15"/>
      <c r="G3" s="13"/>
      <c r="H3" s="15"/>
      <c r="I3" s="13"/>
      <c r="J3" s="15"/>
      <c r="K3" s="13"/>
      <c r="L3" s="15"/>
      <c r="M3" s="55"/>
      <c r="N3" s="109"/>
      <c r="O3" s="121"/>
      <c r="U3" s="96" t="s">
        <v>104</v>
      </c>
    </row>
    <row r="4" spans="2:21" ht="13.8" thickTop="1">
      <c r="B4" s="26" t="s">
        <v>249</v>
      </c>
      <c r="C4" s="54" t="s">
        <v>252</v>
      </c>
      <c r="D4" s="113">
        <v>0</v>
      </c>
      <c r="E4" s="114" t="s">
        <v>139</v>
      </c>
      <c r="F4" s="115" t="s">
        <v>140</v>
      </c>
      <c r="G4" s="114" t="s">
        <v>139</v>
      </c>
      <c r="H4" s="115" t="s">
        <v>31</v>
      </c>
      <c r="I4" s="114" t="s">
        <v>139</v>
      </c>
      <c r="J4" s="115" t="s">
        <v>141</v>
      </c>
      <c r="K4" s="114" t="s">
        <v>139</v>
      </c>
      <c r="L4" s="115" t="s">
        <v>31</v>
      </c>
      <c r="M4" s="55">
        <f ca="1">LEN(N4)</f>
        <v>32</v>
      </c>
      <c r="N4" s="109" t="str">
        <f ca="1">VLOOKUP($B4,Matrix!$H$13:$I$37,2,FALSE)&amp;"_"&amp;C4</f>
        <v>ALERT_REQ_H_XMGRIP_TT_IND_STNDBY</v>
      </c>
      <c r="O4" s="121" t="str">
        <f t="shared" ref="O4:O35" ca="1" si="0">"#define "&amp;N4&amp;REPT(" ",48-M4)&amp;"("&amp;D4&amp;"U)"</f>
        <v>#define ALERT_REQ_H_XMGRIP_TT_IND_STNDBY                (0U)</v>
      </c>
      <c r="U4" s="96" t="s">
        <v>104</v>
      </c>
    </row>
    <row r="5" spans="2:21">
      <c r="B5" s="26" t="s">
        <v>249</v>
      </c>
      <c r="C5" s="25" t="s">
        <v>254</v>
      </c>
      <c r="D5" s="116">
        <v>1</v>
      </c>
      <c r="E5" s="26" t="s">
        <v>139</v>
      </c>
      <c r="F5" s="117" t="s">
        <v>250</v>
      </c>
      <c r="G5" s="26" t="s">
        <v>139</v>
      </c>
      <c r="H5" s="117" t="s">
        <v>141</v>
      </c>
      <c r="I5" s="26" t="s">
        <v>139</v>
      </c>
      <c r="J5" s="117" t="s">
        <v>141</v>
      </c>
      <c r="K5" s="26" t="s">
        <v>139</v>
      </c>
      <c r="L5" s="117" t="s">
        <v>141</v>
      </c>
      <c r="M5" s="50">
        <f t="shared" ref="M5:M68" ca="1" si="1">LEN(N5)</f>
        <v>32</v>
      </c>
      <c r="N5" s="109" t="str">
        <f ca="1">VLOOKUP($B5,Matrix!$H$13:$I$37,2,FALSE)&amp;"_"&amp;C5</f>
        <v>ALERT_REQ_H_XMGRIP_TT_IND_OPRTNG</v>
      </c>
      <c r="O5" s="122" t="str">
        <f t="shared" ca="1" si="0"/>
        <v>#define ALERT_REQ_H_XMGRIP_TT_IND_OPRTNG                (1U)</v>
      </c>
      <c r="U5" s="94" t="s">
        <v>105</v>
      </c>
    </row>
    <row r="6" spans="2:21">
      <c r="B6" s="26" t="s">
        <v>255</v>
      </c>
      <c r="C6" s="54" t="s">
        <v>258</v>
      </c>
      <c r="D6" s="113">
        <v>0</v>
      </c>
      <c r="E6" s="26" t="s">
        <v>139</v>
      </c>
      <c r="F6" s="117" t="s">
        <v>31</v>
      </c>
      <c r="G6" s="26" t="s">
        <v>139</v>
      </c>
      <c r="H6" s="117" t="s">
        <v>31</v>
      </c>
      <c r="I6" s="26" t="s">
        <v>139</v>
      </c>
      <c r="J6" s="117" t="s">
        <v>333</v>
      </c>
      <c r="K6" s="26" t="s">
        <v>139</v>
      </c>
      <c r="L6" s="117" t="s">
        <v>31</v>
      </c>
      <c r="M6" s="50">
        <f t="shared" ca="1" si="1"/>
        <v>29</v>
      </c>
      <c r="N6" s="109" t="str">
        <f ca="1">VLOOKUP($B6,Matrix!$H$13:$I$37,2,FALSE)&amp;"_"&amp;C6</f>
        <v>ALERT_REQ_H_XMGRIP_PD_DEACTIV</v>
      </c>
      <c r="O6" s="122" t="str">
        <f t="shared" ca="1" si="0"/>
        <v>#define ALERT_REQ_H_XMGRIP_PD_DEACTIV                   (0U)</v>
      </c>
      <c r="U6" s="32" t="s">
        <v>106</v>
      </c>
    </row>
    <row r="7" spans="2:21">
      <c r="B7" s="26" t="s">
        <v>255</v>
      </c>
      <c r="C7" s="25" t="s">
        <v>256</v>
      </c>
      <c r="D7" s="116">
        <v>1</v>
      </c>
      <c r="E7" s="26" t="s">
        <v>139</v>
      </c>
      <c r="F7" s="117" t="s">
        <v>31</v>
      </c>
      <c r="G7" s="26" t="s">
        <v>139</v>
      </c>
      <c r="H7" s="117" t="s">
        <v>31</v>
      </c>
      <c r="I7" s="26" t="s">
        <v>139</v>
      </c>
      <c r="J7" s="117" t="s">
        <v>334</v>
      </c>
      <c r="K7" s="26" t="s">
        <v>139</v>
      </c>
      <c r="L7" s="117" t="s">
        <v>31</v>
      </c>
      <c r="M7" s="50">
        <f t="shared" ca="1" si="1"/>
        <v>29</v>
      </c>
      <c r="N7" s="109" t="str">
        <f ca="1">VLOOKUP($B7,Matrix!$H$13:$I$37,2,FALSE)&amp;"_"&amp;C7</f>
        <v>ALERT_REQ_H_XMGRIP_PD_UNAVLBL</v>
      </c>
      <c r="O7" s="122" t="str">
        <f t="shared" ca="1" si="0"/>
        <v>#define ALERT_REQ_H_XMGRIP_PD_UNAVLBL                   (1U)</v>
      </c>
      <c r="U7" s="32" t="s">
        <v>107</v>
      </c>
    </row>
    <row r="8" spans="2:21">
      <c r="B8" s="26" t="s">
        <v>260</v>
      </c>
      <c r="C8" s="25" t="s">
        <v>143</v>
      </c>
      <c r="D8" s="116">
        <v>0</v>
      </c>
      <c r="E8" s="26" t="s">
        <v>139</v>
      </c>
      <c r="F8" s="117" t="s">
        <v>31</v>
      </c>
      <c r="G8" s="26" t="s">
        <v>139</v>
      </c>
      <c r="H8" s="117" t="s">
        <v>335</v>
      </c>
      <c r="I8" s="26" t="s">
        <v>139</v>
      </c>
      <c r="J8" s="117" t="s">
        <v>31</v>
      </c>
      <c r="K8" s="26" t="s">
        <v>139</v>
      </c>
      <c r="L8" s="117" t="s">
        <v>31</v>
      </c>
      <c r="M8" s="50">
        <f t="shared" ca="1" si="1"/>
        <v>28</v>
      </c>
      <c r="N8" s="109" t="str">
        <f ca="1">VLOOKUP($B8,Matrix!$H$13:$I$37,2,FALSE)&amp;"_"&amp;C8</f>
        <v>ALERT_REQ_H_XMGRIP_BC_SINGLE</v>
      </c>
      <c r="O8" s="122" t="str">
        <f t="shared" ca="1" si="0"/>
        <v>#define ALERT_REQ_H_XMGRIP_BC_SINGLE                    (0U)</v>
      </c>
      <c r="U8" s="32" t="s">
        <v>108</v>
      </c>
    </row>
    <row r="9" spans="2:21">
      <c r="B9" s="26" t="s">
        <v>260</v>
      </c>
      <c r="C9" s="25" t="s">
        <v>261</v>
      </c>
      <c r="D9" s="116">
        <v>1</v>
      </c>
      <c r="E9" s="26" t="s">
        <v>139</v>
      </c>
      <c r="F9" s="117" t="s">
        <v>31</v>
      </c>
      <c r="G9" s="26" t="s">
        <v>139</v>
      </c>
      <c r="H9" s="117" t="s">
        <v>336</v>
      </c>
      <c r="I9" s="26" t="s">
        <v>139</v>
      </c>
      <c r="J9" s="117" t="s">
        <v>31</v>
      </c>
      <c r="K9" s="26" t="s">
        <v>139</v>
      </c>
      <c r="L9" s="117" t="s">
        <v>31</v>
      </c>
      <c r="M9" s="50">
        <f t="shared" ca="1" si="1"/>
        <v>28</v>
      </c>
      <c r="N9" s="109" t="str">
        <f ca="1">VLOOKUP($B9,Matrix!$H$13:$I$37,2,FALSE)&amp;"_"&amp;C9</f>
        <v>ALERT_REQ_H_XMGRIP_BC_DOUBLE</v>
      </c>
      <c r="O9" s="122" t="str">
        <f t="shared" ca="1" si="0"/>
        <v>#define ALERT_REQ_H_XMGRIP_BC_DOUBLE                    (1U)</v>
      </c>
      <c r="U9" s="32" t="s">
        <v>109</v>
      </c>
    </row>
    <row r="10" spans="2:21">
      <c r="B10" s="26"/>
      <c r="C10" s="25"/>
      <c r="D10" s="116"/>
      <c r="E10" s="26"/>
      <c r="F10" s="117"/>
      <c r="G10" s="26"/>
      <c r="H10" s="117"/>
      <c r="I10" s="26"/>
      <c r="J10" s="117"/>
      <c r="K10" s="26"/>
      <c r="L10" s="117"/>
      <c r="M10" s="50" t="e">
        <f t="shared" ca="1" si="1"/>
        <v>#N/A</v>
      </c>
      <c r="N10" s="109" t="e">
        <f ca="1">VLOOKUP($B10,Matrix!$H$13:$I$37,2,FALSE)&amp;"_"&amp;C10</f>
        <v>#N/A</v>
      </c>
      <c r="O10" s="122" t="e">
        <f t="shared" ca="1" si="0"/>
        <v>#N/A</v>
      </c>
      <c r="U10" s="32"/>
    </row>
    <row r="11" spans="2:21">
      <c r="B11" s="26"/>
      <c r="C11" s="25"/>
      <c r="D11" s="116"/>
      <c r="E11" s="26"/>
      <c r="F11" s="117"/>
      <c r="G11" s="26"/>
      <c r="H11" s="117"/>
      <c r="I11" s="26"/>
      <c r="J11" s="117"/>
      <c r="K11" s="26"/>
      <c r="L11" s="117"/>
      <c r="M11" s="50" t="e">
        <f t="shared" ca="1" si="1"/>
        <v>#N/A</v>
      </c>
      <c r="N11" s="109" t="e">
        <f ca="1">VLOOKUP($B11,Matrix!$H$13:$I$37,2,FALSE)&amp;"_"&amp;C11</f>
        <v>#N/A</v>
      </c>
      <c r="O11" s="122" t="e">
        <f t="shared" ca="1" si="0"/>
        <v>#N/A</v>
      </c>
      <c r="U11" s="32"/>
    </row>
    <row r="12" spans="2:21">
      <c r="B12" s="26"/>
      <c r="C12" s="25"/>
      <c r="D12" s="116"/>
      <c r="E12" s="26"/>
      <c r="F12" s="117"/>
      <c r="G12" s="26"/>
      <c r="H12" s="117"/>
      <c r="I12" s="26"/>
      <c r="J12" s="117"/>
      <c r="K12" s="26"/>
      <c r="L12" s="117"/>
      <c r="M12" s="50" t="e">
        <f t="shared" ca="1" si="1"/>
        <v>#N/A</v>
      </c>
      <c r="N12" s="109" t="e">
        <f ca="1">VLOOKUP($B12,Matrix!$H$13:$I$37,2,FALSE)&amp;"_"&amp;C12</f>
        <v>#N/A</v>
      </c>
      <c r="O12" s="122" t="e">
        <f t="shared" ca="1" si="0"/>
        <v>#N/A</v>
      </c>
      <c r="U12" s="32"/>
    </row>
    <row r="13" spans="2:21" ht="13.8" thickBot="1">
      <c r="B13" s="26"/>
      <c r="C13" s="25"/>
      <c r="D13" s="116"/>
      <c r="E13" s="26"/>
      <c r="F13" s="117"/>
      <c r="G13" s="26"/>
      <c r="H13" s="117"/>
      <c r="I13" s="26"/>
      <c r="J13" s="117"/>
      <c r="K13" s="26"/>
      <c r="L13" s="117"/>
      <c r="M13" s="50" t="e">
        <f t="shared" ca="1" si="1"/>
        <v>#N/A</v>
      </c>
      <c r="N13" s="109" t="e">
        <f ca="1">VLOOKUP($B13,Matrix!$H$13:$I$37,2,FALSE)&amp;"_"&amp;C13</f>
        <v>#N/A</v>
      </c>
      <c r="O13" s="122" t="e">
        <f t="shared" ca="1" si="0"/>
        <v>#N/A</v>
      </c>
      <c r="U13" s="95"/>
    </row>
    <row r="14" spans="2:21">
      <c r="B14" s="26"/>
      <c r="C14" s="25"/>
      <c r="D14" s="116"/>
      <c r="E14" s="26"/>
      <c r="F14" s="117"/>
      <c r="G14" s="26"/>
      <c r="H14" s="117"/>
      <c r="I14" s="26"/>
      <c r="J14" s="117"/>
      <c r="K14" s="26"/>
      <c r="L14" s="117"/>
      <c r="M14" s="50" t="e">
        <f t="shared" ca="1" si="1"/>
        <v>#N/A</v>
      </c>
      <c r="N14" s="109" t="e">
        <f ca="1">VLOOKUP($B14,Matrix!$H$13:$I$37,2,FALSE)&amp;"_"&amp;C14</f>
        <v>#N/A</v>
      </c>
      <c r="O14" s="122" t="e">
        <f t="shared" ca="1" si="0"/>
        <v>#N/A</v>
      </c>
    </row>
    <row r="15" spans="2:21">
      <c r="B15" s="26"/>
      <c r="C15" s="25"/>
      <c r="D15" s="116"/>
      <c r="E15" s="26"/>
      <c r="F15" s="117"/>
      <c r="G15" s="26"/>
      <c r="H15" s="117"/>
      <c r="I15" s="26"/>
      <c r="J15" s="117"/>
      <c r="K15" s="26"/>
      <c r="L15" s="117"/>
      <c r="M15" s="50" t="e">
        <f t="shared" ca="1" si="1"/>
        <v>#N/A</v>
      </c>
      <c r="N15" s="109" t="e">
        <f ca="1">VLOOKUP($B15,Matrix!$H$13:$I$37,2,FALSE)&amp;"_"&amp;C15</f>
        <v>#N/A</v>
      </c>
      <c r="O15" s="122" t="e">
        <f t="shared" ca="1" si="0"/>
        <v>#N/A</v>
      </c>
    </row>
    <row r="16" spans="2:21">
      <c r="B16" s="26"/>
      <c r="C16" s="25"/>
      <c r="D16" s="116"/>
      <c r="E16" s="26"/>
      <c r="F16" s="117"/>
      <c r="G16" s="26"/>
      <c r="H16" s="117"/>
      <c r="I16" s="26"/>
      <c r="J16" s="117"/>
      <c r="K16" s="26"/>
      <c r="L16" s="117"/>
      <c r="M16" s="50" t="e">
        <f t="shared" ca="1" si="1"/>
        <v>#N/A</v>
      </c>
      <c r="N16" s="109" t="e">
        <f ca="1">VLOOKUP($B16,Matrix!$H$13:$I$37,2,FALSE)&amp;"_"&amp;C16</f>
        <v>#N/A</v>
      </c>
      <c r="O16" s="122" t="e">
        <f t="shared" ca="1" si="0"/>
        <v>#N/A</v>
      </c>
    </row>
    <row r="17" spans="2:15">
      <c r="B17" s="26"/>
      <c r="C17" s="25"/>
      <c r="D17" s="116"/>
      <c r="E17" s="26"/>
      <c r="F17" s="117"/>
      <c r="G17" s="26"/>
      <c r="H17" s="117"/>
      <c r="I17" s="26"/>
      <c r="J17" s="117"/>
      <c r="K17" s="26"/>
      <c r="L17" s="117"/>
      <c r="M17" s="50" t="e">
        <f t="shared" ca="1" si="1"/>
        <v>#N/A</v>
      </c>
      <c r="N17" s="109" t="e">
        <f ca="1">VLOOKUP($B17,Matrix!$H$13:$I$37,2,FALSE)&amp;"_"&amp;C17</f>
        <v>#N/A</v>
      </c>
      <c r="O17" s="122" t="e">
        <f t="shared" ca="1" si="0"/>
        <v>#N/A</v>
      </c>
    </row>
    <row r="18" spans="2:15">
      <c r="B18" s="26"/>
      <c r="C18" s="25"/>
      <c r="D18" s="116"/>
      <c r="E18" s="26"/>
      <c r="F18" s="117"/>
      <c r="G18" s="26"/>
      <c r="H18" s="117"/>
      <c r="I18" s="26"/>
      <c r="J18" s="117"/>
      <c r="K18" s="26"/>
      <c r="L18" s="117"/>
      <c r="M18" s="50" t="e">
        <f t="shared" ca="1" si="1"/>
        <v>#N/A</v>
      </c>
      <c r="N18" s="109" t="e">
        <f ca="1">VLOOKUP($B18,Matrix!$H$13:$I$37,2,FALSE)&amp;"_"&amp;C18</f>
        <v>#N/A</v>
      </c>
      <c r="O18" s="122" t="e">
        <f t="shared" ca="1" si="0"/>
        <v>#N/A</v>
      </c>
    </row>
    <row r="19" spans="2:15">
      <c r="B19" s="26"/>
      <c r="C19" s="25"/>
      <c r="D19" s="116"/>
      <c r="E19" s="26"/>
      <c r="F19" s="117"/>
      <c r="G19" s="26"/>
      <c r="H19" s="117"/>
      <c r="I19" s="26"/>
      <c r="J19" s="117"/>
      <c r="K19" s="26"/>
      <c r="L19" s="117"/>
      <c r="M19" s="50" t="e">
        <f t="shared" ca="1" si="1"/>
        <v>#N/A</v>
      </c>
      <c r="N19" s="109" t="e">
        <f ca="1">VLOOKUP($B19,Matrix!$H$13:$I$37,2,FALSE)&amp;"_"&amp;C19</f>
        <v>#N/A</v>
      </c>
      <c r="O19" s="122" t="e">
        <f t="shared" ca="1" si="0"/>
        <v>#N/A</v>
      </c>
    </row>
    <row r="20" spans="2:15">
      <c r="B20" s="26"/>
      <c r="C20" s="25"/>
      <c r="D20" s="116"/>
      <c r="E20" s="26"/>
      <c r="F20" s="117"/>
      <c r="G20" s="26"/>
      <c r="H20" s="117"/>
      <c r="I20" s="26"/>
      <c r="J20" s="117"/>
      <c r="K20" s="26"/>
      <c r="L20" s="117"/>
      <c r="M20" s="50" t="e">
        <f t="shared" ca="1" si="1"/>
        <v>#N/A</v>
      </c>
      <c r="N20" s="109" t="e">
        <f ca="1">VLOOKUP($B20,Matrix!$H$13:$I$37,2,FALSE)&amp;"_"&amp;C20</f>
        <v>#N/A</v>
      </c>
      <c r="O20" s="122" t="e">
        <f t="shared" ca="1" si="0"/>
        <v>#N/A</v>
      </c>
    </row>
    <row r="21" spans="2:15">
      <c r="B21" s="26"/>
      <c r="C21" s="25"/>
      <c r="D21" s="116"/>
      <c r="E21" s="26"/>
      <c r="F21" s="117"/>
      <c r="G21" s="26"/>
      <c r="H21" s="117"/>
      <c r="I21" s="26"/>
      <c r="J21" s="117"/>
      <c r="K21" s="26"/>
      <c r="L21" s="117"/>
      <c r="M21" s="50" t="e">
        <f t="shared" ca="1" si="1"/>
        <v>#N/A</v>
      </c>
      <c r="N21" s="109" t="e">
        <f ca="1">VLOOKUP($B21,Matrix!$H$13:$I$37,2,FALSE)&amp;"_"&amp;C21</f>
        <v>#N/A</v>
      </c>
      <c r="O21" s="122" t="e">
        <f t="shared" ca="1" si="0"/>
        <v>#N/A</v>
      </c>
    </row>
    <row r="22" spans="2:15">
      <c r="B22" s="26"/>
      <c r="C22" s="25"/>
      <c r="D22" s="116"/>
      <c r="E22" s="26"/>
      <c r="F22" s="117"/>
      <c r="G22" s="26"/>
      <c r="H22" s="117"/>
      <c r="I22" s="26"/>
      <c r="J22" s="117"/>
      <c r="K22" s="26"/>
      <c r="L22" s="117"/>
      <c r="M22" s="50" t="e">
        <f t="shared" ca="1" si="1"/>
        <v>#N/A</v>
      </c>
      <c r="N22" s="109" t="e">
        <f ca="1">VLOOKUP($B22,Matrix!$H$13:$I$37,2,FALSE)&amp;"_"&amp;C22</f>
        <v>#N/A</v>
      </c>
      <c r="O22" s="122" t="e">
        <f t="shared" ca="1" si="0"/>
        <v>#N/A</v>
      </c>
    </row>
    <row r="23" spans="2:15">
      <c r="B23" s="26"/>
      <c r="C23" s="25"/>
      <c r="D23" s="116"/>
      <c r="E23" s="26"/>
      <c r="F23" s="117"/>
      <c r="G23" s="26"/>
      <c r="H23" s="117"/>
      <c r="I23" s="26"/>
      <c r="J23" s="117"/>
      <c r="K23" s="26"/>
      <c r="L23" s="117"/>
      <c r="M23" s="50" t="e">
        <f t="shared" ca="1" si="1"/>
        <v>#N/A</v>
      </c>
      <c r="N23" s="109" t="e">
        <f ca="1">VLOOKUP($B23,Matrix!$H$13:$I$37,2,FALSE)&amp;"_"&amp;C23</f>
        <v>#N/A</v>
      </c>
      <c r="O23" s="122" t="e">
        <f t="shared" ca="1" si="0"/>
        <v>#N/A</v>
      </c>
    </row>
    <row r="24" spans="2:15">
      <c r="B24" s="26"/>
      <c r="C24" s="25"/>
      <c r="D24" s="116"/>
      <c r="E24" s="26"/>
      <c r="F24" s="117"/>
      <c r="G24" s="26"/>
      <c r="H24" s="117"/>
      <c r="I24" s="26"/>
      <c r="J24" s="117"/>
      <c r="K24" s="26"/>
      <c r="L24" s="117"/>
      <c r="M24" s="50" t="e">
        <f t="shared" ca="1" si="1"/>
        <v>#N/A</v>
      </c>
      <c r="N24" s="109" t="e">
        <f ca="1">VLOOKUP($B24,Matrix!$H$13:$I$37,2,FALSE)&amp;"_"&amp;C24</f>
        <v>#N/A</v>
      </c>
      <c r="O24" s="122" t="e">
        <f t="shared" ca="1" si="0"/>
        <v>#N/A</v>
      </c>
    </row>
    <row r="25" spans="2:15">
      <c r="B25" s="26"/>
      <c r="C25" s="25"/>
      <c r="D25" s="116"/>
      <c r="E25" s="26"/>
      <c r="F25" s="117"/>
      <c r="G25" s="26"/>
      <c r="H25" s="117"/>
      <c r="I25" s="26"/>
      <c r="J25" s="117"/>
      <c r="K25" s="26"/>
      <c r="L25" s="117"/>
      <c r="M25" s="50" t="e">
        <f t="shared" ca="1" si="1"/>
        <v>#N/A</v>
      </c>
      <c r="N25" s="109" t="e">
        <f ca="1">VLOOKUP($B25,Matrix!$H$13:$I$37,2,FALSE)&amp;"_"&amp;C25</f>
        <v>#N/A</v>
      </c>
      <c r="O25" s="122" t="e">
        <f t="shared" ca="1" si="0"/>
        <v>#N/A</v>
      </c>
    </row>
    <row r="26" spans="2:15">
      <c r="B26" s="26"/>
      <c r="C26" s="25"/>
      <c r="D26" s="116"/>
      <c r="E26" s="26"/>
      <c r="F26" s="117"/>
      <c r="G26" s="26"/>
      <c r="H26" s="117"/>
      <c r="I26" s="26"/>
      <c r="J26" s="117"/>
      <c r="K26" s="26"/>
      <c r="L26" s="117"/>
      <c r="M26" s="50" t="e">
        <f t="shared" ca="1" si="1"/>
        <v>#N/A</v>
      </c>
      <c r="N26" s="109" t="e">
        <f ca="1">VLOOKUP($B26,Matrix!$H$13:$I$37,2,FALSE)&amp;"_"&amp;C26</f>
        <v>#N/A</v>
      </c>
      <c r="O26" s="122" t="e">
        <f t="shared" ca="1" si="0"/>
        <v>#N/A</v>
      </c>
    </row>
    <row r="27" spans="2:15">
      <c r="B27" s="26"/>
      <c r="C27" s="25"/>
      <c r="D27" s="116"/>
      <c r="E27" s="26"/>
      <c r="F27" s="117"/>
      <c r="G27" s="26"/>
      <c r="H27" s="117"/>
      <c r="I27" s="26"/>
      <c r="J27" s="117"/>
      <c r="K27" s="26"/>
      <c r="L27" s="117"/>
      <c r="M27" s="50" t="e">
        <f t="shared" ca="1" si="1"/>
        <v>#N/A</v>
      </c>
      <c r="N27" s="109" t="e">
        <f ca="1">VLOOKUP($B27,Matrix!$H$13:$I$37,2,FALSE)&amp;"_"&amp;C27</f>
        <v>#N/A</v>
      </c>
      <c r="O27" s="122" t="e">
        <f t="shared" ca="1" si="0"/>
        <v>#N/A</v>
      </c>
    </row>
    <row r="28" spans="2:15">
      <c r="B28" s="26"/>
      <c r="C28" s="25"/>
      <c r="D28" s="116"/>
      <c r="E28" s="26"/>
      <c r="F28" s="117"/>
      <c r="G28" s="26"/>
      <c r="H28" s="117"/>
      <c r="I28" s="26"/>
      <c r="J28" s="117"/>
      <c r="K28" s="26"/>
      <c r="L28" s="117"/>
      <c r="M28" s="50" t="e">
        <f t="shared" ca="1" si="1"/>
        <v>#N/A</v>
      </c>
      <c r="N28" s="109" t="e">
        <f ca="1">VLOOKUP($B28,Matrix!$H$13:$I$37,2,FALSE)&amp;"_"&amp;C28</f>
        <v>#N/A</v>
      </c>
      <c r="O28" s="122" t="e">
        <f t="shared" ca="1" si="0"/>
        <v>#N/A</v>
      </c>
    </row>
    <row r="29" spans="2:15">
      <c r="B29" s="26"/>
      <c r="C29" s="25"/>
      <c r="D29" s="116"/>
      <c r="E29" s="26"/>
      <c r="F29" s="117"/>
      <c r="G29" s="26"/>
      <c r="H29" s="117"/>
      <c r="I29" s="26"/>
      <c r="J29" s="117"/>
      <c r="K29" s="26"/>
      <c r="L29" s="117"/>
      <c r="M29" s="50" t="e">
        <f t="shared" ca="1" si="1"/>
        <v>#N/A</v>
      </c>
      <c r="N29" s="109" t="e">
        <f ca="1">VLOOKUP($B29,Matrix!$H$13:$I$37,2,FALSE)&amp;"_"&amp;C29</f>
        <v>#N/A</v>
      </c>
      <c r="O29" s="122" t="e">
        <f t="shared" ca="1" si="0"/>
        <v>#N/A</v>
      </c>
    </row>
    <row r="30" spans="2:15">
      <c r="B30" s="26"/>
      <c r="C30" s="25"/>
      <c r="D30" s="116"/>
      <c r="E30" s="26"/>
      <c r="F30" s="117"/>
      <c r="G30" s="26"/>
      <c r="H30" s="117"/>
      <c r="I30" s="26"/>
      <c r="J30" s="117"/>
      <c r="K30" s="26"/>
      <c r="L30" s="117"/>
      <c r="M30" s="50" t="e">
        <f t="shared" ca="1" si="1"/>
        <v>#N/A</v>
      </c>
      <c r="N30" s="109" t="e">
        <f ca="1">VLOOKUP($B30,Matrix!$H$13:$I$37,2,FALSE)&amp;"_"&amp;C30</f>
        <v>#N/A</v>
      </c>
      <c r="O30" s="122" t="e">
        <f t="shared" ca="1" si="0"/>
        <v>#N/A</v>
      </c>
    </row>
    <row r="31" spans="2:15">
      <c r="B31" s="26"/>
      <c r="C31" s="25"/>
      <c r="D31" s="116"/>
      <c r="E31" s="26"/>
      <c r="F31" s="117"/>
      <c r="G31" s="26"/>
      <c r="H31" s="117"/>
      <c r="I31" s="26"/>
      <c r="J31" s="117"/>
      <c r="K31" s="26"/>
      <c r="L31" s="117"/>
      <c r="M31" s="50" t="e">
        <f t="shared" ca="1" si="1"/>
        <v>#N/A</v>
      </c>
      <c r="N31" s="109" t="e">
        <f ca="1">VLOOKUP($B31,Matrix!$H$13:$I$37,2,FALSE)&amp;"_"&amp;C31</f>
        <v>#N/A</v>
      </c>
      <c r="O31" s="122" t="e">
        <f t="shared" ca="1" si="0"/>
        <v>#N/A</v>
      </c>
    </row>
    <row r="32" spans="2:15">
      <c r="B32" s="26"/>
      <c r="C32" s="25"/>
      <c r="D32" s="116"/>
      <c r="E32" s="26"/>
      <c r="F32" s="117"/>
      <c r="G32" s="26"/>
      <c r="H32" s="117"/>
      <c r="I32" s="26"/>
      <c r="J32" s="117"/>
      <c r="K32" s="26"/>
      <c r="L32" s="117"/>
      <c r="M32" s="50" t="e">
        <f t="shared" ca="1" si="1"/>
        <v>#N/A</v>
      </c>
      <c r="N32" s="109" t="e">
        <f ca="1">VLOOKUP($B32,Matrix!$H$13:$I$37,2,FALSE)&amp;"_"&amp;C32</f>
        <v>#N/A</v>
      </c>
      <c r="O32" s="122" t="e">
        <f t="shared" ca="1" si="0"/>
        <v>#N/A</v>
      </c>
    </row>
    <row r="33" spans="2:15">
      <c r="B33" s="26"/>
      <c r="C33" s="25"/>
      <c r="D33" s="116"/>
      <c r="E33" s="26"/>
      <c r="F33" s="117"/>
      <c r="G33" s="26"/>
      <c r="H33" s="117"/>
      <c r="I33" s="26"/>
      <c r="J33" s="117"/>
      <c r="K33" s="26"/>
      <c r="L33" s="117"/>
      <c r="M33" s="50" t="e">
        <f t="shared" ca="1" si="1"/>
        <v>#N/A</v>
      </c>
      <c r="N33" s="109" t="e">
        <f ca="1">VLOOKUP($B33,Matrix!$H$13:$I$37,2,FALSE)&amp;"_"&amp;C33</f>
        <v>#N/A</v>
      </c>
      <c r="O33" s="122" t="e">
        <f t="shared" ca="1" si="0"/>
        <v>#N/A</v>
      </c>
    </row>
    <row r="34" spans="2:15">
      <c r="B34" s="26"/>
      <c r="C34" s="25"/>
      <c r="D34" s="116"/>
      <c r="E34" s="26"/>
      <c r="F34" s="117"/>
      <c r="G34" s="26"/>
      <c r="H34" s="117"/>
      <c r="I34" s="26"/>
      <c r="J34" s="117"/>
      <c r="K34" s="26"/>
      <c r="L34" s="117"/>
      <c r="M34" s="50" t="e">
        <f t="shared" ca="1" si="1"/>
        <v>#N/A</v>
      </c>
      <c r="N34" s="109" t="e">
        <f ca="1">VLOOKUP($B34,Matrix!$H$13:$I$37,2,FALSE)&amp;"_"&amp;C34</f>
        <v>#N/A</v>
      </c>
      <c r="O34" s="122" t="e">
        <f t="shared" ca="1" si="0"/>
        <v>#N/A</v>
      </c>
    </row>
    <row r="35" spans="2:15">
      <c r="B35" s="26"/>
      <c r="C35" s="25"/>
      <c r="D35" s="116"/>
      <c r="E35" s="26"/>
      <c r="F35" s="117"/>
      <c r="G35" s="26"/>
      <c r="H35" s="117"/>
      <c r="I35" s="26"/>
      <c r="J35" s="117"/>
      <c r="K35" s="26"/>
      <c r="L35" s="117"/>
      <c r="M35" s="50" t="e">
        <f t="shared" ca="1" si="1"/>
        <v>#N/A</v>
      </c>
      <c r="N35" s="109" t="e">
        <f ca="1">VLOOKUP($B35,Matrix!$H$13:$I$37,2,FALSE)&amp;"_"&amp;C35</f>
        <v>#N/A</v>
      </c>
      <c r="O35" s="122" t="e">
        <f t="shared" ca="1" si="0"/>
        <v>#N/A</v>
      </c>
    </row>
    <row r="36" spans="2:15">
      <c r="B36" s="26"/>
      <c r="C36" s="25"/>
      <c r="D36" s="116"/>
      <c r="E36" s="26"/>
      <c r="F36" s="117"/>
      <c r="G36" s="26"/>
      <c r="H36" s="117"/>
      <c r="I36" s="26"/>
      <c r="J36" s="117"/>
      <c r="K36" s="26"/>
      <c r="L36" s="117"/>
      <c r="M36" s="50" t="e">
        <f t="shared" ca="1" si="1"/>
        <v>#N/A</v>
      </c>
      <c r="N36" s="109" t="e">
        <f ca="1">VLOOKUP($B36,Matrix!$H$13:$I$37,2,FALSE)&amp;"_"&amp;C36</f>
        <v>#N/A</v>
      </c>
      <c r="O36" s="122" t="e">
        <f t="shared" ref="O36:O67" ca="1" si="2">"#define "&amp;N36&amp;REPT(" ",48-M36)&amp;"("&amp;D36&amp;"U)"</f>
        <v>#N/A</v>
      </c>
    </row>
    <row r="37" spans="2:15">
      <c r="B37" s="26"/>
      <c r="C37" s="25"/>
      <c r="D37" s="116"/>
      <c r="E37" s="26"/>
      <c r="F37" s="117"/>
      <c r="G37" s="26"/>
      <c r="H37" s="117"/>
      <c r="I37" s="26"/>
      <c r="J37" s="117"/>
      <c r="K37" s="26"/>
      <c r="L37" s="117"/>
      <c r="M37" s="50" t="e">
        <f t="shared" ca="1" si="1"/>
        <v>#N/A</v>
      </c>
      <c r="N37" s="109" t="e">
        <f ca="1">VLOOKUP($B37,Matrix!$H$13:$I$37,2,FALSE)&amp;"_"&amp;C37</f>
        <v>#N/A</v>
      </c>
      <c r="O37" s="122" t="e">
        <f t="shared" ca="1" si="2"/>
        <v>#N/A</v>
      </c>
    </row>
    <row r="38" spans="2:15">
      <c r="B38" s="26"/>
      <c r="C38" s="25"/>
      <c r="D38" s="116"/>
      <c r="E38" s="26"/>
      <c r="F38" s="117"/>
      <c r="G38" s="26"/>
      <c r="H38" s="117"/>
      <c r="I38" s="26"/>
      <c r="J38" s="117"/>
      <c r="K38" s="26"/>
      <c r="L38" s="117"/>
      <c r="M38" s="50" t="e">
        <f t="shared" ca="1" si="1"/>
        <v>#N/A</v>
      </c>
      <c r="N38" s="109" t="e">
        <f ca="1">VLOOKUP($B38,Matrix!$H$13:$I$37,2,FALSE)&amp;"_"&amp;C38</f>
        <v>#N/A</v>
      </c>
      <c r="O38" s="122" t="e">
        <f t="shared" ca="1" si="2"/>
        <v>#N/A</v>
      </c>
    </row>
    <row r="39" spans="2:15">
      <c r="B39" s="26"/>
      <c r="C39" s="25"/>
      <c r="D39" s="116"/>
      <c r="E39" s="26"/>
      <c r="F39" s="117"/>
      <c r="G39" s="26"/>
      <c r="H39" s="117"/>
      <c r="I39" s="26"/>
      <c r="J39" s="117"/>
      <c r="K39" s="26"/>
      <c r="L39" s="117"/>
      <c r="M39" s="50" t="e">
        <f t="shared" ca="1" si="1"/>
        <v>#N/A</v>
      </c>
      <c r="N39" s="109" t="e">
        <f ca="1">VLOOKUP($B39,Matrix!$H$13:$I$37,2,FALSE)&amp;"_"&amp;C39</f>
        <v>#N/A</v>
      </c>
      <c r="O39" s="122" t="e">
        <f t="shared" ca="1" si="2"/>
        <v>#N/A</v>
      </c>
    </row>
    <row r="40" spans="2:15">
      <c r="B40" s="26"/>
      <c r="C40" s="25"/>
      <c r="D40" s="116"/>
      <c r="E40" s="26"/>
      <c r="F40" s="117"/>
      <c r="G40" s="26"/>
      <c r="H40" s="117"/>
      <c r="I40" s="26"/>
      <c r="J40" s="117"/>
      <c r="K40" s="26"/>
      <c r="L40" s="117"/>
      <c r="M40" s="50" t="e">
        <f t="shared" ca="1" si="1"/>
        <v>#N/A</v>
      </c>
      <c r="N40" s="109" t="e">
        <f ca="1">VLOOKUP($B40,Matrix!$H$13:$I$37,2,FALSE)&amp;"_"&amp;C40</f>
        <v>#N/A</v>
      </c>
      <c r="O40" s="122" t="e">
        <f t="shared" ca="1" si="2"/>
        <v>#N/A</v>
      </c>
    </row>
    <row r="41" spans="2:15">
      <c r="B41" s="26"/>
      <c r="C41" s="25"/>
      <c r="D41" s="116"/>
      <c r="E41" s="26"/>
      <c r="F41" s="117"/>
      <c r="G41" s="26"/>
      <c r="H41" s="117"/>
      <c r="I41" s="26"/>
      <c r="J41" s="117"/>
      <c r="K41" s="26"/>
      <c r="L41" s="117"/>
      <c r="M41" s="50" t="e">
        <f t="shared" ca="1" si="1"/>
        <v>#N/A</v>
      </c>
      <c r="N41" s="109" t="e">
        <f ca="1">VLOOKUP($B41,Matrix!$H$13:$I$37,2,FALSE)&amp;"_"&amp;C41</f>
        <v>#N/A</v>
      </c>
      <c r="O41" s="122" t="e">
        <f t="shared" ca="1" si="2"/>
        <v>#N/A</v>
      </c>
    </row>
    <row r="42" spans="2:15">
      <c r="B42" s="26"/>
      <c r="C42" s="25"/>
      <c r="D42" s="116"/>
      <c r="E42" s="26"/>
      <c r="F42" s="117"/>
      <c r="G42" s="26"/>
      <c r="H42" s="117"/>
      <c r="I42" s="26"/>
      <c r="J42" s="117"/>
      <c r="K42" s="26"/>
      <c r="L42" s="117"/>
      <c r="M42" s="50" t="e">
        <f t="shared" ca="1" si="1"/>
        <v>#N/A</v>
      </c>
      <c r="N42" s="109" t="e">
        <f ca="1">VLOOKUP($B42,Matrix!$H$13:$I$37,2,FALSE)&amp;"_"&amp;C42</f>
        <v>#N/A</v>
      </c>
      <c r="O42" s="122" t="e">
        <f t="shared" ca="1" si="2"/>
        <v>#N/A</v>
      </c>
    </row>
    <row r="43" spans="2:15">
      <c r="B43" s="26"/>
      <c r="C43" s="25"/>
      <c r="D43" s="116"/>
      <c r="E43" s="26"/>
      <c r="F43" s="117"/>
      <c r="G43" s="26"/>
      <c r="H43" s="117"/>
      <c r="I43" s="26"/>
      <c r="J43" s="117"/>
      <c r="K43" s="26"/>
      <c r="L43" s="117"/>
      <c r="M43" s="50" t="e">
        <f t="shared" ca="1" si="1"/>
        <v>#N/A</v>
      </c>
      <c r="N43" s="109" t="e">
        <f ca="1">VLOOKUP($B43,Matrix!$H$13:$I$37,2,FALSE)&amp;"_"&amp;C43</f>
        <v>#N/A</v>
      </c>
      <c r="O43" s="122" t="e">
        <f t="shared" ca="1" si="2"/>
        <v>#N/A</v>
      </c>
    </row>
    <row r="44" spans="2:15">
      <c r="B44" s="26"/>
      <c r="C44" s="25"/>
      <c r="D44" s="116"/>
      <c r="E44" s="26"/>
      <c r="F44" s="117"/>
      <c r="G44" s="26"/>
      <c r="H44" s="117"/>
      <c r="I44" s="26"/>
      <c r="J44" s="117"/>
      <c r="K44" s="26"/>
      <c r="L44" s="117"/>
      <c r="M44" s="50" t="e">
        <f t="shared" ca="1" si="1"/>
        <v>#N/A</v>
      </c>
      <c r="N44" s="109" t="e">
        <f ca="1">VLOOKUP($B44,Matrix!$H$13:$I$37,2,FALSE)&amp;"_"&amp;C44</f>
        <v>#N/A</v>
      </c>
      <c r="O44" s="122" t="e">
        <f t="shared" ca="1" si="2"/>
        <v>#N/A</v>
      </c>
    </row>
    <row r="45" spans="2:15">
      <c r="B45" s="26"/>
      <c r="C45" s="25"/>
      <c r="D45" s="116"/>
      <c r="E45" s="26"/>
      <c r="F45" s="117"/>
      <c r="G45" s="26"/>
      <c r="H45" s="117"/>
      <c r="I45" s="26"/>
      <c r="J45" s="117"/>
      <c r="K45" s="26"/>
      <c r="L45" s="117"/>
      <c r="M45" s="50" t="e">
        <f t="shared" ca="1" si="1"/>
        <v>#N/A</v>
      </c>
      <c r="N45" s="109" t="e">
        <f ca="1">VLOOKUP($B45,Matrix!$H$13:$I$37,2,FALSE)&amp;"_"&amp;C45</f>
        <v>#N/A</v>
      </c>
      <c r="O45" s="122" t="e">
        <f t="shared" ca="1" si="2"/>
        <v>#N/A</v>
      </c>
    </row>
    <row r="46" spans="2:15">
      <c r="B46" s="26"/>
      <c r="C46" s="25"/>
      <c r="D46" s="116"/>
      <c r="E46" s="26"/>
      <c r="F46" s="117"/>
      <c r="G46" s="26"/>
      <c r="H46" s="117"/>
      <c r="I46" s="26"/>
      <c r="J46" s="117"/>
      <c r="K46" s="26"/>
      <c r="L46" s="117"/>
      <c r="M46" s="50" t="e">
        <f t="shared" ca="1" si="1"/>
        <v>#N/A</v>
      </c>
      <c r="N46" s="109" t="e">
        <f ca="1">VLOOKUP($B46,Matrix!$H$13:$I$37,2,FALSE)&amp;"_"&amp;C46</f>
        <v>#N/A</v>
      </c>
      <c r="O46" s="122" t="e">
        <f t="shared" ca="1" si="2"/>
        <v>#N/A</v>
      </c>
    </row>
    <row r="47" spans="2:15">
      <c r="B47" s="26"/>
      <c r="C47" s="25"/>
      <c r="D47" s="116"/>
      <c r="E47" s="26"/>
      <c r="F47" s="117"/>
      <c r="G47" s="26"/>
      <c r="H47" s="117"/>
      <c r="I47" s="26"/>
      <c r="J47" s="117"/>
      <c r="K47" s="26"/>
      <c r="L47" s="117"/>
      <c r="M47" s="50" t="e">
        <f t="shared" ca="1" si="1"/>
        <v>#N/A</v>
      </c>
      <c r="N47" s="109" t="e">
        <f ca="1">VLOOKUP($B47,Matrix!$H$13:$I$37,2,FALSE)&amp;"_"&amp;C47</f>
        <v>#N/A</v>
      </c>
      <c r="O47" s="122" t="e">
        <f t="shared" ca="1" si="2"/>
        <v>#N/A</v>
      </c>
    </row>
    <row r="48" spans="2:15">
      <c r="B48" s="26"/>
      <c r="C48" s="25"/>
      <c r="D48" s="116"/>
      <c r="E48" s="26"/>
      <c r="F48" s="117"/>
      <c r="G48" s="26"/>
      <c r="H48" s="117"/>
      <c r="I48" s="26"/>
      <c r="J48" s="117"/>
      <c r="K48" s="26"/>
      <c r="L48" s="117"/>
      <c r="M48" s="50" t="e">
        <f t="shared" ca="1" si="1"/>
        <v>#N/A</v>
      </c>
      <c r="N48" s="109" t="e">
        <f ca="1">VLOOKUP($B48,Matrix!$H$13:$I$37,2,FALSE)&amp;"_"&amp;C48</f>
        <v>#N/A</v>
      </c>
      <c r="O48" s="122" t="e">
        <f t="shared" ca="1" si="2"/>
        <v>#N/A</v>
      </c>
    </row>
    <row r="49" spans="2:15">
      <c r="B49" s="26"/>
      <c r="C49" s="25"/>
      <c r="D49" s="116"/>
      <c r="E49" s="26"/>
      <c r="F49" s="117"/>
      <c r="G49" s="26"/>
      <c r="H49" s="117"/>
      <c r="I49" s="26"/>
      <c r="J49" s="117"/>
      <c r="K49" s="26"/>
      <c r="L49" s="117"/>
      <c r="M49" s="50" t="e">
        <f t="shared" ca="1" si="1"/>
        <v>#N/A</v>
      </c>
      <c r="N49" s="109" t="e">
        <f ca="1">VLOOKUP($B49,Matrix!$H$13:$I$37,2,FALSE)&amp;"_"&amp;C49</f>
        <v>#N/A</v>
      </c>
      <c r="O49" s="122" t="e">
        <f t="shared" ca="1" si="2"/>
        <v>#N/A</v>
      </c>
    </row>
    <row r="50" spans="2:15">
      <c r="B50" s="26"/>
      <c r="C50" s="25"/>
      <c r="D50" s="116"/>
      <c r="E50" s="26"/>
      <c r="F50" s="117"/>
      <c r="G50" s="26"/>
      <c r="H50" s="117"/>
      <c r="I50" s="26"/>
      <c r="J50" s="117"/>
      <c r="K50" s="26"/>
      <c r="L50" s="117"/>
      <c r="M50" s="50" t="e">
        <f t="shared" ca="1" si="1"/>
        <v>#N/A</v>
      </c>
      <c r="N50" s="109" t="e">
        <f ca="1">VLOOKUP($B50,Matrix!$H$13:$I$37,2,FALSE)&amp;"_"&amp;C50</f>
        <v>#N/A</v>
      </c>
      <c r="O50" s="122" t="e">
        <f t="shared" ca="1" si="2"/>
        <v>#N/A</v>
      </c>
    </row>
    <row r="51" spans="2:15">
      <c r="B51" s="26"/>
      <c r="C51" s="25"/>
      <c r="D51" s="116"/>
      <c r="E51" s="26"/>
      <c r="F51" s="117"/>
      <c r="G51" s="26"/>
      <c r="H51" s="117"/>
      <c r="I51" s="26"/>
      <c r="J51" s="117"/>
      <c r="K51" s="26"/>
      <c r="L51" s="117"/>
      <c r="M51" s="50" t="e">
        <f t="shared" ca="1" si="1"/>
        <v>#N/A</v>
      </c>
      <c r="N51" s="109" t="e">
        <f ca="1">VLOOKUP($B51,Matrix!$H$13:$I$37,2,FALSE)&amp;"_"&amp;C51</f>
        <v>#N/A</v>
      </c>
      <c r="O51" s="122" t="e">
        <f t="shared" ca="1" si="2"/>
        <v>#N/A</v>
      </c>
    </row>
    <row r="52" spans="2:15">
      <c r="B52" s="26"/>
      <c r="C52" s="25"/>
      <c r="D52" s="116"/>
      <c r="E52" s="26"/>
      <c r="F52" s="117"/>
      <c r="G52" s="26"/>
      <c r="H52" s="117"/>
      <c r="I52" s="26"/>
      <c r="J52" s="117"/>
      <c r="K52" s="26"/>
      <c r="L52" s="117"/>
      <c r="M52" s="50" t="e">
        <f t="shared" ca="1" si="1"/>
        <v>#N/A</v>
      </c>
      <c r="N52" s="109" t="e">
        <f ca="1">VLOOKUP($B52,Matrix!$H$13:$I$37,2,FALSE)&amp;"_"&amp;C52</f>
        <v>#N/A</v>
      </c>
      <c r="O52" s="122" t="e">
        <f t="shared" ca="1" si="2"/>
        <v>#N/A</v>
      </c>
    </row>
    <row r="53" spans="2:15">
      <c r="B53" s="26"/>
      <c r="C53" s="25"/>
      <c r="D53" s="116"/>
      <c r="E53" s="26"/>
      <c r="F53" s="117"/>
      <c r="G53" s="26"/>
      <c r="H53" s="117"/>
      <c r="I53" s="26"/>
      <c r="J53" s="117"/>
      <c r="K53" s="26"/>
      <c r="L53" s="117"/>
      <c r="M53" s="50" t="e">
        <f t="shared" ca="1" si="1"/>
        <v>#N/A</v>
      </c>
      <c r="N53" s="109" t="e">
        <f ca="1">VLOOKUP($B53,Matrix!$H$13:$I$37,2,FALSE)&amp;"_"&amp;C53</f>
        <v>#N/A</v>
      </c>
      <c r="O53" s="122" t="e">
        <f t="shared" ca="1" si="2"/>
        <v>#N/A</v>
      </c>
    </row>
    <row r="54" spans="2:15">
      <c r="B54" s="26"/>
      <c r="C54" s="25"/>
      <c r="D54" s="116"/>
      <c r="E54" s="26"/>
      <c r="F54" s="117"/>
      <c r="G54" s="26"/>
      <c r="H54" s="117"/>
      <c r="I54" s="26"/>
      <c r="J54" s="117"/>
      <c r="K54" s="26"/>
      <c r="L54" s="117"/>
      <c r="M54" s="50" t="e">
        <f t="shared" ca="1" si="1"/>
        <v>#N/A</v>
      </c>
      <c r="N54" s="109" t="e">
        <f ca="1">VLOOKUP($B54,Matrix!$H$13:$I$37,2,FALSE)&amp;"_"&amp;C54</f>
        <v>#N/A</v>
      </c>
      <c r="O54" s="122" t="e">
        <f t="shared" ca="1" si="2"/>
        <v>#N/A</v>
      </c>
    </row>
    <row r="55" spans="2:15">
      <c r="B55" s="26"/>
      <c r="C55" s="25"/>
      <c r="D55" s="116"/>
      <c r="E55" s="26"/>
      <c r="F55" s="117"/>
      <c r="G55" s="26"/>
      <c r="H55" s="117"/>
      <c r="I55" s="26"/>
      <c r="J55" s="117"/>
      <c r="K55" s="26"/>
      <c r="L55" s="117"/>
      <c r="M55" s="50" t="e">
        <f t="shared" ca="1" si="1"/>
        <v>#N/A</v>
      </c>
      <c r="N55" s="109" t="e">
        <f ca="1">VLOOKUP($B55,Matrix!$H$13:$I$37,2,FALSE)&amp;"_"&amp;C55</f>
        <v>#N/A</v>
      </c>
      <c r="O55" s="122" t="e">
        <f t="shared" ca="1" si="2"/>
        <v>#N/A</v>
      </c>
    </row>
    <row r="56" spans="2:15">
      <c r="B56" s="26"/>
      <c r="C56" s="25"/>
      <c r="D56" s="116"/>
      <c r="E56" s="26"/>
      <c r="F56" s="117"/>
      <c r="G56" s="26"/>
      <c r="H56" s="117"/>
      <c r="I56" s="26"/>
      <c r="J56" s="117"/>
      <c r="K56" s="26"/>
      <c r="L56" s="117"/>
      <c r="M56" s="50" t="e">
        <f t="shared" ca="1" si="1"/>
        <v>#N/A</v>
      </c>
      <c r="N56" s="109" t="e">
        <f ca="1">VLOOKUP($B56,Matrix!$H$13:$I$37,2,FALSE)&amp;"_"&amp;C56</f>
        <v>#N/A</v>
      </c>
      <c r="O56" s="122" t="e">
        <f t="shared" ca="1" si="2"/>
        <v>#N/A</v>
      </c>
    </row>
    <row r="57" spans="2:15">
      <c r="B57" s="26"/>
      <c r="C57" s="25"/>
      <c r="D57" s="116"/>
      <c r="E57" s="26"/>
      <c r="F57" s="117"/>
      <c r="G57" s="26"/>
      <c r="H57" s="117"/>
      <c r="I57" s="26"/>
      <c r="J57" s="117"/>
      <c r="K57" s="26"/>
      <c r="L57" s="117"/>
      <c r="M57" s="50" t="e">
        <f t="shared" ca="1" si="1"/>
        <v>#N/A</v>
      </c>
      <c r="N57" s="109" t="e">
        <f ca="1">VLOOKUP($B57,Matrix!$H$13:$I$37,2,FALSE)&amp;"_"&amp;C57</f>
        <v>#N/A</v>
      </c>
      <c r="O57" s="122" t="e">
        <f t="shared" ca="1" si="2"/>
        <v>#N/A</v>
      </c>
    </row>
    <row r="58" spans="2:15">
      <c r="B58" s="26"/>
      <c r="C58" s="25"/>
      <c r="D58" s="116"/>
      <c r="E58" s="26"/>
      <c r="F58" s="117"/>
      <c r="G58" s="26"/>
      <c r="H58" s="117"/>
      <c r="I58" s="26"/>
      <c r="J58" s="117"/>
      <c r="K58" s="26"/>
      <c r="L58" s="117"/>
      <c r="M58" s="50" t="e">
        <f t="shared" ca="1" si="1"/>
        <v>#N/A</v>
      </c>
      <c r="N58" s="109" t="e">
        <f ca="1">VLOOKUP($B58,Matrix!$H$13:$I$37,2,FALSE)&amp;"_"&amp;C58</f>
        <v>#N/A</v>
      </c>
      <c r="O58" s="122" t="e">
        <f t="shared" ca="1" si="2"/>
        <v>#N/A</v>
      </c>
    </row>
    <row r="59" spans="2:15">
      <c r="B59" s="26"/>
      <c r="C59" s="25"/>
      <c r="D59" s="116"/>
      <c r="E59" s="26"/>
      <c r="F59" s="117"/>
      <c r="G59" s="26"/>
      <c r="H59" s="117"/>
      <c r="I59" s="26"/>
      <c r="J59" s="117"/>
      <c r="K59" s="26"/>
      <c r="L59" s="117"/>
      <c r="M59" s="50" t="e">
        <f t="shared" ca="1" si="1"/>
        <v>#N/A</v>
      </c>
      <c r="N59" s="109" t="e">
        <f ca="1">VLOOKUP($B59,Matrix!$H$13:$I$37,2,FALSE)&amp;"_"&amp;C59</f>
        <v>#N/A</v>
      </c>
      <c r="O59" s="122" t="e">
        <f t="shared" ca="1" si="2"/>
        <v>#N/A</v>
      </c>
    </row>
    <row r="60" spans="2:15">
      <c r="B60" s="26"/>
      <c r="C60" s="25"/>
      <c r="D60" s="116"/>
      <c r="E60" s="26"/>
      <c r="F60" s="117"/>
      <c r="G60" s="26"/>
      <c r="H60" s="117"/>
      <c r="I60" s="26"/>
      <c r="J60" s="117"/>
      <c r="K60" s="26"/>
      <c r="L60" s="117"/>
      <c r="M60" s="50" t="e">
        <f t="shared" ca="1" si="1"/>
        <v>#N/A</v>
      </c>
      <c r="N60" s="109" t="e">
        <f ca="1">VLOOKUP($B60,Matrix!$H$13:$I$37,2,FALSE)&amp;"_"&amp;C60</f>
        <v>#N/A</v>
      </c>
      <c r="O60" s="122" t="e">
        <f t="shared" ca="1" si="2"/>
        <v>#N/A</v>
      </c>
    </row>
    <row r="61" spans="2:15">
      <c r="B61" s="26"/>
      <c r="C61" s="25"/>
      <c r="D61" s="116"/>
      <c r="E61" s="26"/>
      <c r="F61" s="117"/>
      <c r="G61" s="26"/>
      <c r="H61" s="117"/>
      <c r="I61" s="26"/>
      <c r="J61" s="117"/>
      <c r="K61" s="26"/>
      <c r="L61" s="117"/>
      <c r="M61" s="50" t="e">
        <f t="shared" ca="1" si="1"/>
        <v>#N/A</v>
      </c>
      <c r="N61" s="109" t="e">
        <f ca="1">VLOOKUP($B61,Matrix!$H$13:$I$37,2,FALSE)&amp;"_"&amp;C61</f>
        <v>#N/A</v>
      </c>
      <c r="O61" s="122" t="e">
        <f t="shared" ca="1" si="2"/>
        <v>#N/A</v>
      </c>
    </row>
    <row r="62" spans="2:15">
      <c r="B62" s="26"/>
      <c r="C62" s="25"/>
      <c r="D62" s="116"/>
      <c r="E62" s="26"/>
      <c r="F62" s="117"/>
      <c r="G62" s="26"/>
      <c r="H62" s="117"/>
      <c r="I62" s="26"/>
      <c r="J62" s="117"/>
      <c r="K62" s="26"/>
      <c r="L62" s="117"/>
      <c r="M62" s="50" t="e">
        <f t="shared" ca="1" si="1"/>
        <v>#N/A</v>
      </c>
      <c r="N62" s="109" t="e">
        <f ca="1">VLOOKUP($B62,Matrix!$H$13:$I$37,2,FALSE)&amp;"_"&amp;C62</f>
        <v>#N/A</v>
      </c>
      <c r="O62" s="122" t="e">
        <f t="shared" ca="1" si="2"/>
        <v>#N/A</v>
      </c>
    </row>
    <row r="63" spans="2:15">
      <c r="B63" s="26"/>
      <c r="C63" s="25"/>
      <c r="D63" s="116"/>
      <c r="E63" s="26"/>
      <c r="F63" s="117"/>
      <c r="G63" s="26"/>
      <c r="H63" s="117"/>
      <c r="I63" s="26"/>
      <c r="J63" s="117"/>
      <c r="K63" s="26"/>
      <c r="L63" s="117"/>
      <c r="M63" s="50" t="e">
        <f t="shared" ca="1" si="1"/>
        <v>#N/A</v>
      </c>
      <c r="N63" s="109" t="e">
        <f ca="1">VLOOKUP($B63,Matrix!$H$13:$I$37,2,FALSE)&amp;"_"&amp;C63</f>
        <v>#N/A</v>
      </c>
      <c r="O63" s="122" t="e">
        <f t="shared" ca="1" si="2"/>
        <v>#N/A</v>
      </c>
    </row>
    <row r="64" spans="2:15">
      <c r="B64" s="26"/>
      <c r="C64" s="25"/>
      <c r="D64" s="116"/>
      <c r="E64" s="26"/>
      <c r="F64" s="117"/>
      <c r="G64" s="26"/>
      <c r="H64" s="117"/>
      <c r="I64" s="26"/>
      <c r="J64" s="117"/>
      <c r="K64" s="26"/>
      <c r="L64" s="117"/>
      <c r="M64" s="50" t="e">
        <f t="shared" ca="1" si="1"/>
        <v>#N/A</v>
      </c>
      <c r="N64" s="109" t="e">
        <f ca="1">VLOOKUP($B64,Matrix!$H$13:$I$37,2,FALSE)&amp;"_"&amp;C64</f>
        <v>#N/A</v>
      </c>
      <c r="O64" s="122" t="e">
        <f t="shared" ca="1" si="2"/>
        <v>#N/A</v>
      </c>
    </row>
    <row r="65" spans="2:15">
      <c r="B65" s="26"/>
      <c r="C65" s="25"/>
      <c r="D65" s="116"/>
      <c r="E65" s="26"/>
      <c r="F65" s="117"/>
      <c r="G65" s="26"/>
      <c r="H65" s="117"/>
      <c r="I65" s="26"/>
      <c r="J65" s="117"/>
      <c r="K65" s="26"/>
      <c r="L65" s="117"/>
      <c r="M65" s="50" t="e">
        <f t="shared" ca="1" si="1"/>
        <v>#N/A</v>
      </c>
      <c r="N65" s="109" t="e">
        <f ca="1">VLOOKUP($B65,Matrix!$H$13:$I$37,2,FALSE)&amp;"_"&amp;C65</f>
        <v>#N/A</v>
      </c>
      <c r="O65" s="122" t="e">
        <f t="shared" ca="1" si="2"/>
        <v>#N/A</v>
      </c>
    </row>
    <row r="66" spans="2:15">
      <c r="B66" s="26"/>
      <c r="C66" s="25"/>
      <c r="D66" s="116"/>
      <c r="E66" s="26"/>
      <c r="F66" s="117"/>
      <c r="G66" s="26"/>
      <c r="H66" s="117"/>
      <c r="I66" s="26"/>
      <c r="J66" s="117"/>
      <c r="K66" s="26"/>
      <c r="L66" s="117"/>
      <c r="M66" s="50" t="e">
        <f t="shared" ca="1" si="1"/>
        <v>#N/A</v>
      </c>
      <c r="N66" s="109" t="e">
        <f ca="1">VLOOKUP($B66,Matrix!$H$13:$I$37,2,FALSE)&amp;"_"&amp;C66</f>
        <v>#N/A</v>
      </c>
      <c r="O66" s="122" t="e">
        <f t="shared" ca="1" si="2"/>
        <v>#N/A</v>
      </c>
    </row>
    <row r="67" spans="2:15">
      <c r="B67" s="26"/>
      <c r="C67" s="25"/>
      <c r="D67" s="116"/>
      <c r="E67" s="26"/>
      <c r="F67" s="117"/>
      <c r="G67" s="26"/>
      <c r="H67" s="117"/>
      <c r="I67" s="26"/>
      <c r="J67" s="117"/>
      <c r="K67" s="26"/>
      <c r="L67" s="117"/>
      <c r="M67" s="50" t="e">
        <f t="shared" ca="1" si="1"/>
        <v>#N/A</v>
      </c>
      <c r="N67" s="109" t="e">
        <f ca="1">VLOOKUP($B67,Matrix!$H$13:$I$37,2,FALSE)&amp;"_"&amp;C67</f>
        <v>#N/A</v>
      </c>
      <c r="O67" s="122" t="e">
        <f t="shared" ca="1" si="2"/>
        <v>#N/A</v>
      </c>
    </row>
    <row r="68" spans="2:15">
      <c r="B68" s="26"/>
      <c r="C68" s="25"/>
      <c r="D68" s="116"/>
      <c r="E68" s="26"/>
      <c r="F68" s="117"/>
      <c r="G68" s="26"/>
      <c r="H68" s="117"/>
      <c r="I68" s="26"/>
      <c r="J68" s="117"/>
      <c r="K68" s="26"/>
      <c r="L68" s="117"/>
      <c r="M68" s="50" t="e">
        <f t="shared" ca="1" si="1"/>
        <v>#N/A</v>
      </c>
      <c r="N68" s="109" t="e">
        <f ca="1">VLOOKUP($B68,Matrix!$H$13:$I$37,2,FALSE)&amp;"_"&amp;C68</f>
        <v>#N/A</v>
      </c>
      <c r="O68" s="122" t="e">
        <f t="shared" ref="O68:O99" ca="1" si="3">"#define "&amp;N68&amp;REPT(" ",48-M68)&amp;"("&amp;D68&amp;"U)"</f>
        <v>#N/A</v>
      </c>
    </row>
    <row r="69" spans="2:15">
      <c r="B69" s="26"/>
      <c r="C69" s="25"/>
      <c r="D69" s="116"/>
      <c r="E69" s="26"/>
      <c r="F69" s="117"/>
      <c r="G69" s="26"/>
      <c r="H69" s="117"/>
      <c r="I69" s="26"/>
      <c r="J69" s="117"/>
      <c r="K69" s="26"/>
      <c r="L69" s="117"/>
      <c r="M69" s="50" t="e">
        <f t="shared" ref="M69:M103" ca="1" si="4">LEN(N69)</f>
        <v>#N/A</v>
      </c>
      <c r="N69" s="109" t="e">
        <f ca="1">VLOOKUP($B69,Matrix!$H$13:$I$37,2,FALSE)&amp;"_"&amp;C69</f>
        <v>#N/A</v>
      </c>
      <c r="O69" s="122" t="e">
        <f t="shared" ca="1" si="3"/>
        <v>#N/A</v>
      </c>
    </row>
    <row r="70" spans="2:15">
      <c r="B70" s="26"/>
      <c r="C70" s="25"/>
      <c r="D70" s="116"/>
      <c r="E70" s="26"/>
      <c r="F70" s="117"/>
      <c r="G70" s="26"/>
      <c r="H70" s="117"/>
      <c r="I70" s="26"/>
      <c r="J70" s="117"/>
      <c r="K70" s="26"/>
      <c r="L70" s="117"/>
      <c r="M70" s="50" t="e">
        <f t="shared" ca="1" si="4"/>
        <v>#N/A</v>
      </c>
      <c r="N70" s="109" t="e">
        <f ca="1">VLOOKUP($B70,Matrix!$H$13:$I$37,2,FALSE)&amp;"_"&amp;C70</f>
        <v>#N/A</v>
      </c>
      <c r="O70" s="122" t="e">
        <f t="shared" ca="1" si="3"/>
        <v>#N/A</v>
      </c>
    </row>
    <row r="71" spans="2:15">
      <c r="B71" s="26"/>
      <c r="C71" s="25"/>
      <c r="D71" s="116"/>
      <c r="E71" s="26"/>
      <c r="F71" s="117"/>
      <c r="G71" s="26"/>
      <c r="H71" s="117"/>
      <c r="I71" s="26"/>
      <c r="J71" s="117"/>
      <c r="K71" s="26"/>
      <c r="L71" s="117"/>
      <c r="M71" s="50" t="e">
        <f t="shared" ca="1" si="4"/>
        <v>#N/A</v>
      </c>
      <c r="N71" s="109" t="e">
        <f ca="1">VLOOKUP($B71,Matrix!$H$13:$I$37,2,FALSE)&amp;"_"&amp;C71</f>
        <v>#N/A</v>
      </c>
      <c r="O71" s="122" t="e">
        <f t="shared" ca="1" si="3"/>
        <v>#N/A</v>
      </c>
    </row>
    <row r="72" spans="2:15">
      <c r="B72" s="26"/>
      <c r="C72" s="25"/>
      <c r="D72" s="116"/>
      <c r="E72" s="26"/>
      <c r="F72" s="117"/>
      <c r="G72" s="26"/>
      <c r="H72" s="117"/>
      <c r="I72" s="26"/>
      <c r="J72" s="117"/>
      <c r="K72" s="26"/>
      <c r="L72" s="117"/>
      <c r="M72" s="50" t="e">
        <f t="shared" ca="1" si="4"/>
        <v>#N/A</v>
      </c>
      <c r="N72" s="109" t="e">
        <f ca="1">VLOOKUP($B72,Matrix!$H$13:$I$37,2,FALSE)&amp;"_"&amp;C72</f>
        <v>#N/A</v>
      </c>
      <c r="O72" s="122" t="e">
        <f t="shared" ca="1" si="3"/>
        <v>#N/A</v>
      </c>
    </row>
    <row r="73" spans="2:15">
      <c r="B73" s="26"/>
      <c r="C73" s="25"/>
      <c r="D73" s="116"/>
      <c r="E73" s="26"/>
      <c r="F73" s="117"/>
      <c r="G73" s="26"/>
      <c r="H73" s="117"/>
      <c r="I73" s="26"/>
      <c r="J73" s="117"/>
      <c r="K73" s="26"/>
      <c r="L73" s="117"/>
      <c r="M73" s="50" t="e">
        <f t="shared" ca="1" si="4"/>
        <v>#N/A</v>
      </c>
      <c r="N73" s="109" t="e">
        <f ca="1">VLOOKUP($B73,Matrix!$H$13:$I$37,2,FALSE)&amp;"_"&amp;C73</f>
        <v>#N/A</v>
      </c>
      <c r="O73" s="122" t="e">
        <f t="shared" ca="1" si="3"/>
        <v>#N/A</v>
      </c>
    </row>
    <row r="74" spans="2:15">
      <c r="B74" s="26"/>
      <c r="C74" s="25"/>
      <c r="D74" s="116"/>
      <c r="E74" s="26"/>
      <c r="F74" s="117"/>
      <c r="G74" s="26"/>
      <c r="H74" s="117"/>
      <c r="I74" s="26"/>
      <c r="J74" s="117"/>
      <c r="K74" s="26"/>
      <c r="L74" s="117"/>
      <c r="M74" s="50" t="e">
        <f t="shared" ca="1" si="4"/>
        <v>#N/A</v>
      </c>
      <c r="N74" s="109" t="e">
        <f ca="1">VLOOKUP($B74,Matrix!$H$13:$I$37,2,FALSE)&amp;"_"&amp;C74</f>
        <v>#N/A</v>
      </c>
      <c r="O74" s="122" t="e">
        <f t="shared" ca="1" si="3"/>
        <v>#N/A</v>
      </c>
    </row>
    <row r="75" spans="2:15">
      <c r="B75" s="26"/>
      <c r="C75" s="25"/>
      <c r="D75" s="116"/>
      <c r="E75" s="26"/>
      <c r="F75" s="117"/>
      <c r="G75" s="26"/>
      <c r="H75" s="117"/>
      <c r="I75" s="26"/>
      <c r="J75" s="117"/>
      <c r="K75" s="26"/>
      <c r="L75" s="117"/>
      <c r="M75" s="50" t="e">
        <f t="shared" ca="1" si="4"/>
        <v>#N/A</v>
      </c>
      <c r="N75" s="109" t="e">
        <f ca="1">VLOOKUP($B75,Matrix!$H$13:$I$37,2,FALSE)&amp;"_"&amp;C75</f>
        <v>#N/A</v>
      </c>
      <c r="O75" s="122" t="e">
        <f t="shared" ca="1" si="3"/>
        <v>#N/A</v>
      </c>
    </row>
    <row r="76" spans="2:15">
      <c r="B76" s="26"/>
      <c r="C76" s="25"/>
      <c r="D76" s="116"/>
      <c r="E76" s="26"/>
      <c r="F76" s="117"/>
      <c r="G76" s="26"/>
      <c r="H76" s="117"/>
      <c r="I76" s="26"/>
      <c r="J76" s="117"/>
      <c r="K76" s="26"/>
      <c r="L76" s="117"/>
      <c r="M76" s="50" t="e">
        <f t="shared" ca="1" si="4"/>
        <v>#N/A</v>
      </c>
      <c r="N76" s="109" t="e">
        <f ca="1">VLOOKUP($B76,Matrix!$H$13:$I$37,2,FALSE)&amp;"_"&amp;C76</f>
        <v>#N/A</v>
      </c>
      <c r="O76" s="122" t="e">
        <f t="shared" ca="1" si="3"/>
        <v>#N/A</v>
      </c>
    </row>
    <row r="77" spans="2:15">
      <c r="B77" s="26"/>
      <c r="C77" s="25"/>
      <c r="D77" s="116"/>
      <c r="E77" s="26"/>
      <c r="F77" s="117"/>
      <c r="G77" s="26"/>
      <c r="H77" s="117"/>
      <c r="I77" s="26"/>
      <c r="J77" s="117"/>
      <c r="K77" s="26"/>
      <c r="L77" s="117"/>
      <c r="M77" s="50" t="e">
        <f t="shared" ca="1" si="4"/>
        <v>#N/A</v>
      </c>
      <c r="N77" s="109" t="e">
        <f ca="1">VLOOKUP($B77,Matrix!$H$13:$I$37,2,FALSE)&amp;"_"&amp;C77</f>
        <v>#N/A</v>
      </c>
      <c r="O77" s="122" t="e">
        <f t="shared" ca="1" si="3"/>
        <v>#N/A</v>
      </c>
    </row>
    <row r="78" spans="2:15">
      <c r="B78" s="26"/>
      <c r="C78" s="25"/>
      <c r="D78" s="116"/>
      <c r="E78" s="26"/>
      <c r="F78" s="117"/>
      <c r="G78" s="26"/>
      <c r="H78" s="117"/>
      <c r="I78" s="26"/>
      <c r="J78" s="117"/>
      <c r="K78" s="26"/>
      <c r="L78" s="117"/>
      <c r="M78" s="50" t="e">
        <f t="shared" ca="1" si="4"/>
        <v>#N/A</v>
      </c>
      <c r="N78" s="109" t="e">
        <f ca="1">VLOOKUP($B78,Matrix!$H$13:$I$37,2,FALSE)&amp;"_"&amp;C78</f>
        <v>#N/A</v>
      </c>
      <c r="O78" s="122" t="e">
        <f t="shared" ca="1" si="3"/>
        <v>#N/A</v>
      </c>
    </row>
    <row r="79" spans="2:15">
      <c r="B79" s="26"/>
      <c r="C79" s="25"/>
      <c r="D79" s="116"/>
      <c r="E79" s="26"/>
      <c r="F79" s="117"/>
      <c r="G79" s="26"/>
      <c r="H79" s="117"/>
      <c r="I79" s="26"/>
      <c r="J79" s="117"/>
      <c r="K79" s="26"/>
      <c r="L79" s="117"/>
      <c r="M79" s="50" t="e">
        <f t="shared" ca="1" si="4"/>
        <v>#N/A</v>
      </c>
      <c r="N79" s="109" t="e">
        <f ca="1">VLOOKUP($B79,Matrix!$H$13:$I$37,2,FALSE)&amp;"_"&amp;C79</f>
        <v>#N/A</v>
      </c>
      <c r="O79" s="122" t="e">
        <f t="shared" ca="1" si="3"/>
        <v>#N/A</v>
      </c>
    </row>
    <row r="80" spans="2:15">
      <c r="B80" s="26"/>
      <c r="C80" s="25"/>
      <c r="D80" s="116"/>
      <c r="E80" s="26"/>
      <c r="F80" s="117"/>
      <c r="G80" s="26"/>
      <c r="H80" s="117"/>
      <c r="I80" s="26"/>
      <c r="J80" s="117"/>
      <c r="K80" s="26"/>
      <c r="L80" s="117"/>
      <c r="M80" s="50" t="e">
        <f t="shared" ca="1" si="4"/>
        <v>#N/A</v>
      </c>
      <c r="N80" s="109" t="e">
        <f ca="1">VLOOKUP($B80,Matrix!$H$13:$I$37,2,FALSE)&amp;"_"&amp;C80</f>
        <v>#N/A</v>
      </c>
      <c r="O80" s="122" t="e">
        <f t="shared" ca="1" si="3"/>
        <v>#N/A</v>
      </c>
    </row>
    <row r="81" spans="2:15">
      <c r="B81" s="26"/>
      <c r="C81" s="25"/>
      <c r="D81" s="116"/>
      <c r="E81" s="26"/>
      <c r="F81" s="117"/>
      <c r="G81" s="26"/>
      <c r="H81" s="117"/>
      <c r="I81" s="26"/>
      <c r="J81" s="117"/>
      <c r="K81" s="26"/>
      <c r="L81" s="117"/>
      <c r="M81" s="50" t="e">
        <f t="shared" ca="1" si="4"/>
        <v>#N/A</v>
      </c>
      <c r="N81" s="109" t="e">
        <f ca="1">VLOOKUP($B81,Matrix!$H$13:$I$37,2,FALSE)&amp;"_"&amp;C81</f>
        <v>#N/A</v>
      </c>
      <c r="O81" s="122" t="e">
        <f t="shared" ca="1" si="3"/>
        <v>#N/A</v>
      </c>
    </row>
    <row r="82" spans="2:15">
      <c r="B82" s="26"/>
      <c r="C82" s="25"/>
      <c r="D82" s="116"/>
      <c r="E82" s="26"/>
      <c r="F82" s="117"/>
      <c r="G82" s="26"/>
      <c r="H82" s="117"/>
      <c r="I82" s="26"/>
      <c r="J82" s="117"/>
      <c r="K82" s="26"/>
      <c r="L82" s="117"/>
      <c r="M82" s="50" t="e">
        <f t="shared" ca="1" si="4"/>
        <v>#N/A</v>
      </c>
      <c r="N82" s="109" t="e">
        <f ca="1">VLOOKUP($B82,Matrix!$H$13:$I$37,2,FALSE)&amp;"_"&amp;C82</f>
        <v>#N/A</v>
      </c>
      <c r="O82" s="122" t="e">
        <f t="shared" ca="1" si="3"/>
        <v>#N/A</v>
      </c>
    </row>
    <row r="83" spans="2:15">
      <c r="B83" s="26"/>
      <c r="C83" s="25"/>
      <c r="D83" s="116"/>
      <c r="E83" s="26"/>
      <c r="F83" s="117"/>
      <c r="G83" s="26"/>
      <c r="H83" s="117"/>
      <c r="I83" s="26"/>
      <c r="J83" s="117"/>
      <c r="K83" s="26"/>
      <c r="L83" s="117"/>
      <c r="M83" s="50" t="e">
        <f t="shared" ca="1" si="4"/>
        <v>#N/A</v>
      </c>
      <c r="N83" s="109" t="e">
        <f ca="1">VLOOKUP($B83,Matrix!$H$13:$I$37,2,FALSE)&amp;"_"&amp;C83</f>
        <v>#N/A</v>
      </c>
      <c r="O83" s="122" t="e">
        <f t="shared" ca="1" si="3"/>
        <v>#N/A</v>
      </c>
    </row>
    <row r="84" spans="2:15">
      <c r="B84" s="26"/>
      <c r="C84" s="25"/>
      <c r="D84" s="116"/>
      <c r="E84" s="26"/>
      <c r="F84" s="117"/>
      <c r="G84" s="26"/>
      <c r="H84" s="117"/>
      <c r="I84" s="26"/>
      <c r="J84" s="117"/>
      <c r="K84" s="26"/>
      <c r="L84" s="117"/>
      <c r="M84" s="50" t="e">
        <f t="shared" ca="1" si="4"/>
        <v>#N/A</v>
      </c>
      <c r="N84" s="109" t="e">
        <f ca="1">VLOOKUP($B84,Matrix!$H$13:$I$37,2,FALSE)&amp;"_"&amp;C84</f>
        <v>#N/A</v>
      </c>
      <c r="O84" s="122" t="e">
        <f t="shared" ca="1" si="3"/>
        <v>#N/A</v>
      </c>
    </row>
    <row r="85" spans="2:15">
      <c r="B85" s="26"/>
      <c r="C85" s="25"/>
      <c r="D85" s="116"/>
      <c r="E85" s="26"/>
      <c r="F85" s="117"/>
      <c r="G85" s="26"/>
      <c r="H85" s="117"/>
      <c r="I85" s="26"/>
      <c r="J85" s="117"/>
      <c r="K85" s="26"/>
      <c r="L85" s="117"/>
      <c r="M85" s="50" t="e">
        <f t="shared" ca="1" si="4"/>
        <v>#N/A</v>
      </c>
      <c r="N85" s="109" t="e">
        <f ca="1">VLOOKUP($B85,Matrix!$H$13:$I$37,2,FALSE)&amp;"_"&amp;C85</f>
        <v>#N/A</v>
      </c>
      <c r="O85" s="122" t="e">
        <f t="shared" ca="1" si="3"/>
        <v>#N/A</v>
      </c>
    </row>
    <row r="86" spans="2:15">
      <c r="B86" s="26"/>
      <c r="C86" s="25"/>
      <c r="D86" s="116"/>
      <c r="E86" s="26"/>
      <c r="F86" s="117"/>
      <c r="G86" s="26"/>
      <c r="H86" s="117"/>
      <c r="I86" s="26"/>
      <c r="J86" s="117"/>
      <c r="K86" s="26"/>
      <c r="L86" s="117"/>
      <c r="M86" s="50" t="e">
        <f t="shared" ca="1" si="4"/>
        <v>#N/A</v>
      </c>
      <c r="N86" s="109" t="e">
        <f ca="1">VLOOKUP($B86,Matrix!$H$13:$I$37,2,FALSE)&amp;"_"&amp;C86</f>
        <v>#N/A</v>
      </c>
      <c r="O86" s="122" t="e">
        <f t="shared" ca="1" si="3"/>
        <v>#N/A</v>
      </c>
    </row>
    <row r="87" spans="2:15">
      <c r="B87" s="26"/>
      <c r="C87" s="25"/>
      <c r="D87" s="116"/>
      <c r="E87" s="26"/>
      <c r="F87" s="117"/>
      <c r="G87" s="26"/>
      <c r="H87" s="117"/>
      <c r="I87" s="26"/>
      <c r="J87" s="117"/>
      <c r="K87" s="26"/>
      <c r="L87" s="117"/>
      <c r="M87" s="50" t="e">
        <f t="shared" ca="1" si="4"/>
        <v>#N/A</v>
      </c>
      <c r="N87" s="69" t="e">
        <f ca="1">VLOOKUP($B87,Matrix!$H$13:$I$37,2,FALSE)&amp;"_"&amp;C87</f>
        <v>#N/A</v>
      </c>
      <c r="O87" s="122" t="e">
        <f t="shared" ca="1" si="3"/>
        <v>#N/A</v>
      </c>
    </row>
    <row r="88" spans="2:15">
      <c r="B88" s="26"/>
      <c r="C88" s="25"/>
      <c r="D88" s="116"/>
      <c r="E88" s="26"/>
      <c r="F88" s="117"/>
      <c r="G88" s="26"/>
      <c r="H88" s="117"/>
      <c r="I88" s="26"/>
      <c r="J88" s="117"/>
      <c r="K88" s="26"/>
      <c r="L88" s="117"/>
      <c r="M88" s="50" t="e">
        <f t="shared" ca="1" si="4"/>
        <v>#N/A</v>
      </c>
      <c r="N88" s="69" t="e">
        <f ca="1">VLOOKUP($B88,Matrix!$H$13:$I$37,2,FALSE)&amp;"_"&amp;C88</f>
        <v>#N/A</v>
      </c>
      <c r="O88" s="122" t="e">
        <f t="shared" ca="1" si="3"/>
        <v>#N/A</v>
      </c>
    </row>
    <row r="89" spans="2:15">
      <c r="B89" s="26"/>
      <c r="C89" s="25"/>
      <c r="D89" s="116"/>
      <c r="E89" s="26"/>
      <c r="F89" s="117"/>
      <c r="G89" s="26"/>
      <c r="H89" s="117"/>
      <c r="I89" s="26"/>
      <c r="J89" s="117"/>
      <c r="K89" s="26"/>
      <c r="L89" s="117"/>
      <c r="M89" s="50" t="e">
        <f t="shared" ca="1" si="4"/>
        <v>#N/A</v>
      </c>
      <c r="N89" s="69" t="e">
        <f ca="1">VLOOKUP($B89,Matrix!$H$13:$I$37,2,FALSE)&amp;"_"&amp;C89</f>
        <v>#N/A</v>
      </c>
      <c r="O89" s="122" t="e">
        <f t="shared" ca="1" si="3"/>
        <v>#N/A</v>
      </c>
    </row>
    <row r="90" spans="2:15">
      <c r="B90" s="26"/>
      <c r="C90" s="25"/>
      <c r="D90" s="116"/>
      <c r="E90" s="26"/>
      <c r="F90" s="117"/>
      <c r="G90" s="26"/>
      <c r="H90" s="117"/>
      <c r="I90" s="26"/>
      <c r="J90" s="117"/>
      <c r="K90" s="26"/>
      <c r="L90" s="117"/>
      <c r="M90" s="50" t="e">
        <f t="shared" ca="1" si="4"/>
        <v>#N/A</v>
      </c>
      <c r="N90" s="69" t="e">
        <f ca="1">VLOOKUP($B90,Matrix!$H$13:$I$37,2,FALSE)&amp;"_"&amp;C90</f>
        <v>#N/A</v>
      </c>
      <c r="O90" s="122" t="e">
        <f t="shared" ca="1" si="3"/>
        <v>#N/A</v>
      </c>
    </row>
    <row r="91" spans="2:15">
      <c r="B91" s="26"/>
      <c r="C91" s="25"/>
      <c r="D91" s="116"/>
      <c r="E91" s="26"/>
      <c r="F91" s="117"/>
      <c r="G91" s="26"/>
      <c r="H91" s="117"/>
      <c r="I91" s="26"/>
      <c r="J91" s="117"/>
      <c r="K91" s="26"/>
      <c r="L91" s="117"/>
      <c r="M91" s="50" t="e">
        <f t="shared" ca="1" si="4"/>
        <v>#N/A</v>
      </c>
      <c r="N91" s="69" t="e">
        <f ca="1">VLOOKUP($B91,Matrix!$H$13:$I$37,2,FALSE)&amp;"_"&amp;C91</f>
        <v>#N/A</v>
      </c>
      <c r="O91" s="122" t="e">
        <f t="shared" ca="1" si="3"/>
        <v>#N/A</v>
      </c>
    </row>
    <row r="92" spans="2:15">
      <c r="B92" s="26"/>
      <c r="C92" s="25"/>
      <c r="D92" s="116"/>
      <c r="E92" s="26"/>
      <c r="F92" s="117"/>
      <c r="G92" s="26"/>
      <c r="H92" s="117"/>
      <c r="I92" s="26"/>
      <c r="J92" s="117"/>
      <c r="K92" s="26"/>
      <c r="L92" s="117"/>
      <c r="M92" s="50" t="e">
        <f t="shared" ca="1" si="4"/>
        <v>#N/A</v>
      </c>
      <c r="N92" s="69" t="e">
        <f ca="1">VLOOKUP($B92,Matrix!$H$13:$I$37,2,FALSE)&amp;"_"&amp;C92</f>
        <v>#N/A</v>
      </c>
      <c r="O92" s="122" t="e">
        <f t="shared" ca="1" si="3"/>
        <v>#N/A</v>
      </c>
    </row>
    <row r="93" spans="2:15">
      <c r="B93" s="26"/>
      <c r="C93" s="25"/>
      <c r="D93" s="116"/>
      <c r="E93" s="26"/>
      <c r="F93" s="117"/>
      <c r="G93" s="26"/>
      <c r="H93" s="117"/>
      <c r="I93" s="26"/>
      <c r="J93" s="117"/>
      <c r="K93" s="26"/>
      <c r="L93" s="117"/>
      <c r="M93" s="50" t="e">
        <f t="shared" ca="1" si="4"/>
        <v>#N/A</v>
      </c>
      <c r="N93" s="69" t="e">
        <f ca="1">VLOOKUP($B93,Matrix!$H$13:$I$37,2,FALSE)&amp;"_"&amp;C93</f>
        <v>#N/A</v>
      </c>
      <c r="O93" s="122" t="e">
        <f t="shared" ca="1" si="3"/>
        <v>#N/A</v>
      </c>
    </row>
    <row r="94" spans="2:15">
      <c r="B94" s="26"/>
      <c r="C94" s="25"/>
      <c r="D94" s="116"/>
      <c r="E94" s="26"/>
      <c r="F94" s="117"/>
      <c r="G94" s="26"/>
      <c r="H94" s="117"/>
      <c r="I94" s="26"/>
      <c r="J94" s="117"/>
      <c r="K94" s="26"/>
      <c r="L94" s="117"/>
      <c r="M94" s="50" t="e">
        <f t="shared" ca="1" si="4"/>
        <v>#N/A</v>
      </c>
      <c r="N94" s="69" t="e">
        <f ca="1">VLOOKUP($B94,Matrix!$H$13:$I$37,2,FALSE)&amp;"_"&amp;C94</f>
        <v>#N/A</v>
      </c>
      <c r="O94" s="122" t="e">
        <f t="shared" ca="1" si="3"/>
        <v>#N/A</v>
      </c>
    </row>
    <row r="95" spans="2:15">
      <c r="B95" s="26"/>
      <c r="C95" s="25"/>
      <c r="D95" s="116"/>
      <c r="E95" s="26"/>
      <c r="F95" s="117"/>
      <c r="G95" s="26"/>
      <c r="H95" s="117"/>
      <c r="I95" s="26"/>
      <c r="J95" s="117"/>
      <c r="K95" s="26"/>
      <c r="L95" s="117"/>
      <c r="M95" s="50" t="e">
        <f t="shared" ca="1" si="4"/>
        <v>#N/A</v>
      </c>
      <c r="N95" s="69" t="e">
        <f ca="1">VLOOKUP($B95,Matrix!$H$13:$I$37,2,FALSE)&amp;"_"&amp;C95</f>
        <v>#N/A</v>
      </c>
      <c r="O95" s="122" t="e">
        <f t="shared" ca="1" si="3"/>
        <v>#N/A</v>
      </c>
    </row>
    <row r="96" spans="2:15">
      <c r="B96" s="26"/>
      <c r="C96" s="25"/>
      <c r="D96" s="116"/>
      <c r="E96" s="26"/>
      <c r="F96" s="117"/>
      <c r="G96" s="26"/>
      <c r="H96" s="117"/>
      <c r="I96" s="26"/>
      <c r="J96" s="117"/>
      <c r="K96" s="26"/>
      <c r="L96" s="117"/>
      <c r="M96" s="50" t="e">
        <f t="shared" ca="1" si="4"/>
        <v>#N/A</v>
      </c>
      <c r="N96" s="69" t="e">
        <f ca="1">VLOOKUP($B96,Matrix!$H$13:$I$37,2,FALSE)&amp;"_"&amp;C96</f>
        <v>#N/A</v>
      </c>
      <c r="O96" s="122" t="e">
        <f t="shared" ca="1" si="3"/>
        <v>#N/A</v>
      </c>
    </row>
    <row r="97" spans="2:15">
      <c r="B97" s="26"/>
      <c r="C97" s="25"/>
      <c r="D97" s="116"/>
      <c r="E97" s="26"/>
      <c r="F97" s="117"/>
      <c r="G97" s="26"/>
      <c r="H97" s="117"/>
      <c r="I97" s="26"/>
      <c r="J97" s="117"/>
      <c r="K97" s="26"/>
      <c r="L97" s="117"/>
      <c r="M97" s="50" t="e">
        <f t="shared" ca="1" si="4"/>
        <v>#N/A</v>
      </c>
      <c r="N97" s="69" t="e">
        <f ca="1">VLOOKUP($B97,Matrix!$H$13:$I$37,2,FALSE)&amp;"_"&amp;C97</f>
        <v>#N/A</v>
      </c>
      <c r="O97" s="122" t="e">
        <f t="shared" ca="1" si="3"/>
        <v>#N/A</v>
      </c>
    </row>
    <row r="98" spans="2:15">
      <c r="B98" s="26"/>
      <c r="C98" s="25"/>
      <c r="D98" s="116"/>
      <c r="E98" s="26"/>
      <c r="F98" s="117"/>
      <c r="G98" s="26"/>
      <c r="H98" s="117"/>
      <c r="I98" s="26"/>
      <c r="J98" s="117"/>
      <c r="K98" s="26"/>
      <c r="L98" s="117"/>
      <c r="M98" s="50" t="e">
        <f t="shared" ca="1" si="4"/>
        <v>#N/A</v>
      </c>
      <c r="N98" s="69" t="e">
        <f ca="1">VLOOKUP($B98,Matrix!$H$13:$I$37,2,FALSE)&amp;"_"&amp;C98</f>
        <v>#N/A</v>
      </c>
      <c r="O98" s="122" t="e">
        <f t="shared" ca="1" si="3"/>
        <v>#N/A</v>
      </c>
    </row>
    <row r="99" spans="2:15">
      <c r="B99" s="26"/>
      <c r="C99" s="25"/>
      <c r="D99" s="116"/>
      <c r="E99" s="26"/>
      <c r="F99" s="117"/>
      <c r="G99" s="26"/>
      <c r="H99" s="117"/>
      <c r="I99" s="26"/>
      <c r="J99" s="117"/>
      <c r="K99" s="26"/>
      <c r="L99" s="117"/>
      <c r="M99" s="50" t="e">
        <f t="shared" ca="1" si="4"/>
        <v>#N/A</v>
      </c>
      <c r="N99" s="69" t="e">
        <f ca="1">VLOOKUP($B99,Matrix!$H$13:$I$37,2,FALSE)&amp;"_"&amp;C99</f>
        <v>#N/A</v>
      </c>
      <c r="O99" s="122" t="e">
        <f t="shared" ca="1" si="3"/>
        <v>#N/A</v>
      </c>
    </row>
    <row r="100" spans="2:15">
      <c r="B100" s="26"/>
      <c r="C100" s="25"/>
      <c r="D100" s="116"/>
      <c r="E100" s="26"/>
      <c r="F100" s="117"/>
      <c r="G100" s="26"/>
      <c r="H100" s="117"/>
      <c r="I100" s="26"/>
      <c r="J100" s="117"/>
      <c r="K100" s="26"/>
      <c r="L100" s="117"/>
      <c r="M100" s="50" t="e">
        <f t="shared" ca="1" si="4"/>
        <v>#N/A</v>
      </c>
      <c r="N100" s="69" t="e">
        <f ca="1">VLOOKUP($B100,Matrix!$H$13:$I$37,2,FALSE)&amp;"_"&amp;C100</f>
        <v>#N/A</v>
      </c>
      <c r="O100" s="122" t="e">
        <f t="shared" ref="O100:O103" ca="1" si="5">"#define "&amp;N100&amp;REPT(" ",48-M100)&amp;"("&amp;D100&amp;"U)"</f>
        <v>#N/A</v>
      </c>
    </row>
    <row r="101" spans="2:15">
      <c r="B101" s="26"/>
      <c r="C101" s="25"/>
      <c r="D101" s="116"/>
      <c r="E101" s="26"/>
      <c r="F101" s="117"/>
      <c r="G101" s="26"/>
      <c r="H101" s="117"/>
      <c r="I101" s="26"/>
      <c r="J101" s="117"/>
      <c r="K101" s="26"/>
      <c r="L101" s="117"/>
      <c r="M101" s="50" t="e">
        <f t="shared" ca="1" si="4"/>
        <v>#N/A</v>
      </c>
      <c r="N101" s="69" t="e">
        <f ca="1">VLOOKUP($B101,Matrix!$H$13:$I$37,2,FALSE)&amp;"_"&amp;C101</f>
        <v>#N/A</v>
      </c>
      <c r="O101" s="122" t="e">
        <f t="shared" ca="1" si="5"/>
        <v>#N/A</v>
      </c>
    </row>
    <row r="102" spans="2:15">
      <c r="B102" s="26"/>
      <c r="C102" s="25"/>
      <c r="D102" s="116"/>
      <c r="E102" s="26"/>
      <c r="F102" s="117"/>
      <c r="G102" s="26"/>
      <c r="H102" s="117"/>
      <c r="I102" s="26"/>
      <c r="J102" s="117"/>
      <c r="K102" s="26"/>
      <c r="L102" s="117"/>
      <c r="M102" s="50" t="e">
        <f t="shared" ca="1" si="4"/>
        <v>#N/A</v>
      </c>
      <c r="N102" s="69" t="e">
        <f ca="1">VLOOKUP($B102,Matrix!$H$13:$I$37,2,FALSE)&amp;"_"&amp;C102</f>
        <v>#N/A</v>
      </c>
      <c r="O102" s="122" t="e">
        <f t="shared" ca="1" si="5"/>
        <v>#N/A</v>
      </c>
    </row>
    <row r="103" spans="2:15" ht="13.8" thickBot="1">
      <c r="B103" s="56"/>
      <c r="C103" s="57"/>
      <c r="D103" s="118"/>
      <c r="E103" s="56"/>
      <c r="F103" s="119"/>
      <c r="G103" s="56"/>
      <c r="H103" s="119"/>
      <c r="I103" s="56"/>
      <c r="J103" s="119"/>
      <c r="K103" s="56"/>
      <c r="L103" s="119"/>
      <c r="M103" s="58" t="e">
        <f t="shared" ca="1" si="4"/>
        <v>#N/A</v>
      </c>
      <c r="N103" s="70" t="e">
        <f ca="1">VLOOKUP($B103,Matrix!$H$13:$I$37,2,FALSE)&amp;"_"&amp;C103</f>
        <v>#N/A</v>
      </c>
      <c r="O103" s="123" t="e">
        <f t="shared" ca="1" si="5"/>
        <v>#N/A</v>
      </c>
    </row>
  </sheetData>
  <sheetProtection sheet="1" objects="1" scenarios="1"/>
  <protectedRanges>
    <protectedRange sqref="B4:L103" name="範囲1"/>
  </protectedRanges>
  <phoneticPr fontId="2"/>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63</v>
      </c>
      <c r="AI1" t="s">
        <v>64</v>
      </c>
    </row>
    <row r="2" spans="1:49">
      <c r="B2" s="124" t="s">
        <v>133</v>
      </c>
      <c r="C2" s="287" t="s">
        <v>88</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89" t="s">
        <v>171</v>
      </c>
    </row>
    <row r="3" spans="1:49" ht="213" customHeight="1" thickBot="1">
      <c r="B3" s="187" t="str">
        <f>IF(OR(IF(COUNTIF(D6:AC69,"0")&lt;&gt;0,TRUE,FALSE),IF(COUNTIF(D6:AC69,"1")&lt;&gt;0,TRUE,FALSE)),"Search Table","Index Table")</f>
        <v>Index Table</v>
      </c>
      <c r="C3" s="288"/>
      <c r="D3" s="126" t="s">
        <v>65</v>
      </c>
      <c r="E3" s="126" t="s">
        <v>70</v>
      </c>
      <c r="F3" s="126" t="s">
        <v>53</v>
      </c>
      <c r="G3" s="126" t="s">
        <v>52</v>
      </c>
      <c r="H3" s="126" t="s">
        <v>131</v>
      </c>
      <c r="I3" s="126" t="s">
        <v>130</v>
      </c>
      <c r="J3" s="126" t="s">
        <v>135</v>
      </c>
      <c r="K3" s="126" t="s">
        <v>134</v>
      </c>
      <c r="L3" s="127" t="s">
        <v>70</v>
      </c>
      <c r="M3" s="127" t="s">
        <v>66</v>
      </c>
      <c r="N3" s="127" t="s">
        <v>66</v>
      </c>
      <c r="O3" s="127" t="s">
        <v>66</v>
      </c>
      <c r="P3" s="127" t="s">
        <v>66</v>
      </c>
      <c r="Q3" s="127" t="s">
        <v>66</v>
      </c>
      <c r="R3" s="127" t="s">
        <v>66</v>
      </c>
      <c r="S3" s="127" t="s">
        <v>66</v>
      </c>
      <c r="T3" s="127" t="s">
        <v>66</v>
      </c>
      <c r="U3" s="127" t="s">
        <v>66</v>
      </c>
      <c r="V3" s="127" t="s">
        <v>66</v>
      </c>
      <c r="W3" s="127" t="s">
        <v>66</v>
      </c>
      <c r="X3" s="127" t="s">
        <v>66</v>
      </c>
      <c r="Y3" s="127" t="s">
        <v>66</v>
      </c>
      <c r="Z3" s="127" t="s">
        <v>66</v>
      </c>
      <c r="AA3" s="127" t="s">
        <v>66</v>
      </c>
      <c r="AB3" s="127" t="s">
        <v>66</v>
      </c>
      <c r="AC3" s="127" t="s">
        <v>66</v>
      </c>
      <c r="AD3" s="127" t="s">
        <v>66</v>
      </c>
      <c r="AE3" s="295" t="s">
        <v>264</v>
      </c>
      <c r="AF3" s="296"/>
      <c r="AG3" s="295" t="s">
        <v>263</v>
      </c>
      <c r="AH3" s="297"/>
      <c r="AI3" s="298"/>
      <c r="AJ3" s="290"/>
      <c r="AR3" s="93" t="s">
        <v>102</v>
      </c>
    </row>
    <row r="4" spans="1:49" ht="13.8" thickBot="1">
      <c r="A4" s="291" t="s">
        <v>67</v>
      </c>
      <c r="B4" s="292"/>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86</v>
      </c>
      <c r="AS4" s="82"/>
      <c r="AT4" s="82"/>
      <c r="AU4" s="82"/>
      <c r="AV4" s="82"/>
      <c r="AW4" s="83"/>
    </row>
    <row r="5" spans="1:49" ht="13.8" thickBot="1">
      <c r="A5" s="293"/>
      <c r="B5" s="29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u4_sp_ALERT_H_XMGRIP_TT_IND_CRIT[ALERT_H_XMGRIP_TT_IND_NUM_DST] = {</v>
      </c>
      <c r="AS5" s="84" t="str">
        <f ca="1">"static const U4  "&amp;$AW$9&amp;"["&amp;$AW$10&amp;"] = {"</f>
        <v>static const U4  u4_sp_ALERT_H_XMGRIP_TT_IND_MASK[ALERT_H_XMGRIP_TT_IND_NUM_DST] = {</v>
      </c>
      <c r="AT5" s="84" t="str">
        <f ca="1">"static const U1  "&amp;$AW$11&amp;"["&amp;$AW$10&amp;"] = {"</f>
        <v>static const U1  u1_sp_ALERT_H_XMGRIP_TT_IND_DST[ALERT_H_XMGRIP_TT_IND_NUM_DST] = {</v>
      </c>
      <c r="AU5" s="84" t="str">
        <f ca="1">"const ST_ALERT_MTRX "&amp;$AW$12&amp;" = {"</f>
        <v>const ST_ALERT_MTRX st_gp_ALERT_H_XMGRIP_MTRX[3] = {</v>
      </c>
      <c r="AV5" s="66" t="str">
        <f ca="1">"#define "&amp;AW10&amp;REPT(" ",41-LEN(AW10))&amp;"("&amp;AW13&amp;"U)"</f>
        <v>#define ALERT_H_XMGRIP_TT_IND_NUM_DST            (32U)</v>
      </c>
      <c r="AW5" s="67"/>
    </row>
    <row r="6" spans="1:49">
      <c r="B6" s="131" t="str">
        <f ca="1">"Table "&amp;$AW$6</f>
        <v>Table TT_IND</v>
      </c>
      <c r="C6" s="55">
        <f>ROW()-ROW($C$6)</f>
        <v>0</v>
      </c>
      <c r="D6" s="38" t="s">
        <v>71</v>
      </c>
      <c r="E6" s="38" t="s">
        <v>71</v>
      </c>
      <c r="F6" s="38" t="s">
        <v>71</v>
      </c>
      <c r="G6" s="38" t="s">
        <v>71</v>
      </c>
      <c r="H6" s="38" t="s">
        <v>71</v>
      </c>
      <c r="I6" s="38" t="s">
        <v>71</v>
      </c>
      <c r="J6" s="38" t="s">
        <v>71</v>
      </c>
      <c r="K6" s="38" t="s">
        <v>71</v>
      </c>
      <c r="L6" s="38" t="s">
        <v>71</v>
      </c>
      <c r="M6" s="38" t="s">
        <v>71</v>
      </c>
      <c r="N6" s="38" t="s">
        <v>71</v>
      </c>
      <c r="O6" s="38" t="s">
        <v>71</v>
      </c>
      <c r="P6" s="38" t="s">
        <v>71</v>
      </c>
      <c r="Q6" s="38" t="s">
        <v>71</v>
      </c>
      <c r="R6" s="38" t="s">
        <v>71</v>
      </c>
      <c r="S6" s="38" t="s">
        <v>71</v>
      </c>
      <c r="T6" s="38" t="s">
        <v>71</v>
      </c>
      <c r="U6" s="38" t="s">
        <v>71</v>
      </c>
      <c r="V6" s="38" t="s">
        <v>71</v>
      </c>
      <c r="W6" s="38" t="s">
        <v>71</v>
      </c>
      <c r="X6" s="38" t="s">
        <v>71</v>
      </c>
      <c r="Y6" s="38" t="s">
        <v>71</v>
      </c>
      <c r="Z6" s="38" t="s">
        <v>71</v>
      </c>
      <c r="AA6" s="38" t="s">
        <v>71</v>
      </c>
      <c r="AB6" s="38" t="s">
        <v>71</v>
      </c>
      <c r="AC6" s="38" t="s">
        <v>71</v>
      </c>
      <c r="AD6" s="38" t="s">
        <v>71</v>
      </c>
      <c r="AE6" s="38">
        <v>0</v>
      </c>
      <c r="AF6" s="36">
        <v>0</v>
      </c>
      <c r="AG6" s="36">
        <v>0</v>
      </c>
      <c r="AH6" s="36">
        <v>0</v>
      </c>
      <c r="AI6" s="36">
        <v>0</v>
      </c>
      <c r="AJ6" s="54" t="s">
        <v>33</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(U4)0x0000001FU,                                                           /* 00 UNKNOWN                                         */</v>
      </c>
      <c r="AT6" s="64" t="str">
        <f t="shared" ref="AT6:AT69" si="1">IF(AJ6&lt;&gt;"",AL6&amp;IF(AJ7&lt;&gt;"",","," ")&amp;REPT(" ",78-LEN(AL6))&amp;"/* "&amp;IF(C6&lt;10,"0"&amp;C6,C6)&amp;" "&amp;AJ6&amp;REPT(" ",48-LEN(AJ6))&amp;"*/",IF(AJ5&lt;&gt;"","};",""))</f>
        <v xml:space="preserve">    (U1)ALERT_REQ_UNKNOWN,                                                     /* 00 UNKNOWN                                         */</v>
      </c>
      <c r="AU6" s="64" t="s">
        <v>72</v>
      </c>
      <c r="AV6" s="51" t="s">
        <v>74</v>
      </c>
      <c r="AW6" s="68" t="str">
        <f ca="1">UPPER(RIGHT(CELL("filename",A1),LEN(CELL("filename",A1))-FIND("]",CELL("filename",A1))))</f>
        <v>TT_IND</v>
      </c>
    </row>
    <row r="7" spans="1:49">
      <c r="B7" s="131"/>
      <c r="C7" s="50">
        <f t="shared" ref="C7:C69" si="2">ROW()-ROW($C$6)</f>
        <v>1</v>
      </c>
      <c r="D7" s="36" t="s">
        <v>71</v>
      </c>
      <c r="E7" s="36" t="s">
        <v>71</v>
      </c>
      <c r="F7" s="36" t="s">
        <v>71</v>
      </c>
      <c r="G7" s="36" t="s">
        <v>71</v>
      </c>
      <c r="H7" s="36" t="s">
        <v>71</v>
      </c>
      <c r="I7" s="36" t="s">
        <v>71</v>
      </c>
      <c r="J7" s="36" t="s">
        <v>71</v>
      </c>
      <c r="K7" s="36" t="s">
        <v>71</v>
      </c>
      <c r="L7" s="36" t="s">
        <v>71</v>
      </c>
      <c r="M7" s="36" t="s">
        <v>71</v>
      </c>
      <c r="N7" s="36" t="s">
        <v>71</v>
      </c>
      <c r="O7" s="36" t="s">
        <v>71</v>
      </c>
      <c r="P7" s="36" t="s">
        <v>71</v>
      </c>
      <c r="Q7" s="36" t="s">
        <v>71</v>
      </c>
      <c r="R7" s="36" t="s">
        <v>71</v>
      </c>
      <c r="S7" s="36" t="s">
        <v>71</v>
      </c>
      <c r="T7" s="36" t="s">
        <v>71</v>
      </c>
      <c r="U7" s="36" t="s">
        <v>71</v>
      </c>
      <c r="V7" s="36" t="s">
        <v>71</v>
      </c>
      <c r="W7" s="36" t="s">
        <v>71</v>
      </c>
      <c r="X7" s="36" t="s">
        <v>71</v>
      </c>
      <c r="Y7" s="36" t="s">
        <v>71</v>
      </c>
      <c r="Z7" s="36" t="s">
        <v>71</v>
      </c>
      <c r="AA7" s="36" t="s">
        <v>71</v>
      </c>
      <c r="AB7" s="36" t="s">
        <v>71</v>
      </c>
      <c r="AC7" s="36" t="s">
        <v>71</v>
      </c>
      <c r="AD7" s="36" t="s">
        <v>71</v>
      </c>
      <c r="AE7" s="36">
        <v>0</v>
      </c>
      <c r="AF7" s="36">
        <v>0</v>
      </c>
      <c r="AG7" s="36">
        <v>0</v>
      </c>
      <c r="AH7" s="36">
        <v>0</v>
      </c>
      <c r="AI7" s="36">
        <v>1</v>
      </c>
      <c r="AJ7" s="25" t="s">
        <v>251</v>
      </c>
      <c r="AL7" t="str">
        <f t="shared" ca="1" si="0"/>
        <v xml:space="preserve">    (U1)ALERT_REQ_H_XMGRIP_TT_IND_STNDBY</v>
      </c>
      <c r="AR7" s="64" t="str">
        <f t="shared" ref="AR7:AR70" si="3">IF(AQ72&lt;&gt;"",AQ72,IF(AQ71&lt;&gt;"","};",""))</f>
        <v xml:space="preserve">    (U4)0x00000001U,                                                           /* 01 STNDBY                                          */</v>
      </c>
      <c r="AS7" s="64" t="str">
        <f t="shared" ref="AS7:AS70" si="4">IF(AQ137&lt;&gt;"",AQ137,IF(AQ136&lt;&gt;"","};",""))</f>
        <v xml:space="preserve">    (U4)0x0000001FU,                                                           /* 01 STNDBY                                          */</v>
      </c>
      <c r="AT7" s="64" t="str">
        <f t="shared" ca="1" si="1"/>
        <v xml:space="preserve">    (U1)ALERT_REQ_H_XMGRIP_TT_IND_STNDBY,                                      /* 01 STNDBY                                          */</v>
      </c>
      <c r="AU7" s="64" t="str">
        <f ca="1">"        &amp;"&amp;$AW$14&amp;","&amp;REPT(" ",69-LEN($AW$14))&amp;"/* fp_u4_SRC_CHK                                      */"</f>
        <v xml:space="preserve">        &amp;u4_s_AlertH_xmgripTtIndSrcchk,                                        /* fp_u4_SRC_CHK                                      */</v>
      </c>
      <c r="AV7" s="52" t="s">
        <v>75</v>
      </c>
      <c r="AW7" s="130">
        <f>IF(B3="Search Table",1,0)</f>
        <v>0</v>
      </c>
    </row>
    <row r="8" spans="1:49">
      <c r="B8" s="131"/>
      <c r="C8" s="50">
        <f t="shared" si="2"/>
        <v>2</v>
      </c>
      <c r="D8" s="36" t="s">
        <v>71</v>
      </c>
      <c r="E8" s="36" t="s">
        <v>71</v>
      </c>
      <c r="F8" s="36" t="s">
        <v>71</v>
      </c>
      <c r="G8" s="36" t="s">
        <v>71</v>
      </c>
      <c r="H8" s="36" t="s">
        <v>71</v>
      </c>
      <c r="I8" s="36" t="s">
        <v>71</v>
      </c>
      <c r="J8" s="36" t="s">
        <v>71</v>
      </c>
      <c r="K8" s="36" t="s">
        <v>71</v>
      </c>
      <c r="L8" s="36" t="s">
        <v>71</v>
      </c>
      <c r="M8" s="36" t="s">
        <v>71</v>
      </c>
      <c r="N8" s="36" t="s">
        <v>71</v>
      </c>
      <c r="O8" s="36" t="s">
        <v>71</v>
      </c>
      <c r="P8" s="36" t="s">
        <v>71</v>
      </c>
      <c r="Q8" s="36" t="s">
        <v>71</v>
      </c>
      <c r="R8" s="36" t="s">
        <v>71</v>
      </c>
      <c r="S8" s="36" t="s">
        <v>71</v>
      </c>
      <c r="T8" s="36" t="s">
        <v>71</v>
      </c>
      <c r="U8" s="36" t="s">
        <v>71</v>
      </c>
      <c r="V8" s="36" t="s">
        <v>71</v>
      </c>
      <c r="W8" s="36" t="s">
        <v>71</v>
      </c>
      <c r="X8" s="36" t="s">
        <v>71</v>
      </c>
      <c r="Y8" s="36" t="s">
        <v>71</v>
      </c>
      <c r="Z8" s="36" t="s">
        <v>71</v>
      </c>
      <c r="AA8" s="36" t="s">
        <v>71</v>
      </c>
      <c r="AB8" s="36" t="s">
        <v>71</v>
      </c>
      <c r="AC8" s="36" t="s">
        <v>71</v>
      </c>
      <c r="AD8" s="36" t="s">
        <v>71</v>
      </c>
      <c r="AE8" s="36">
        <v>0</v>
      </c>
      <c r="AF8" s="36">
        <v>0</v>
      </c>
      <c r="AG8" s="36">
        <v>0</v>
      </c>
      <c r="AH8" s="36">
        <v>1</v>
      </c>
      <c r="AI8" s="36">
        <v>0</v>
      </c>
      <c r="AJ8" s="25" t="s">
        <v>253</v>
      </c>
      <c r="AL8" t="str">
        <f t="shared" ca="1" si="0"/>
        <v xml:space="preserve">    (U1)ALERT_REQ_H_XMGRIP_TT_IND_OPRTNG</v>
      </c>
      <c r="AR8" s="64" t="str">
        <f t="shared" si="3"/>
        <v xml:space="preserve">    (U4)0x00000002U,                                                           /* 02 OPRTNG                                          */</v>
      </c>
      <c r="AS8" s="64" t="str">
        <f t="shared" si="4"/>
        <v xml:space="preserve">    (U4)0x0000001FU,                                                           /* 02 OPRTNG                                          */</v>
      </c>
      <c r="AT8" s="64" t="str">
        <f ca="1">IF(AJ8&lt;&gt;"",AL8&amp;IF(AJ9&lt;&gt;"",","," ")&amp;REPT(" ",78-LEN(AL8))&amp;"/* "&amp;IF(C8&lt;10,"0"&amp;C8,C8)&amp;" "&amp;AJ8&amp;REPT(" ",48-LEN(AJ8))&amp;"*/",IF(AJ7&lt;&gt;"","};",""))</f>
        <v xml:space="preserve">    (U1)ALERT_REQ_H_XMGRIP_TT_IND_OPRTNG,                                      /* 02 OPRTNG                                          */</v>
      </c>
      <c r="AU8" s="64" t="str">
        <f ca="1">IF($AW$15&lt;&gt;"NULL","        &amp;"&amp;$AW$15&amp;","&amp;REPT(" ",69-LEN($AW$15))&amp;"/* fp_vd_XDST                                         */","        vdp_PTR_NA,                                                            /* fp_vd_XDST                                         */")</f>
        <v xml:space="preserve">        vdp_PTR_NA,                                                            /* fp_vd_XDST                                         */</v>
      </c>
      <c r="AV8" s="52" t="s">
        <v>76</v>
      </c>
      <c r="AW8" s="69" t="str">
        <f ca="1">"u4_sp_ALERT_"&amp;IF(AW6&lt;&gt;AW17,$AW$17&amp;"_"&amp;$AW$6,AW17)&amp;"_CRIT"</f>
        <v>u4_sp_ALERT_H_XMGRIP_TT_IND_CRIT</v>
      </c>
    </row>
    <row r="9" spans="1:49">
      <c r="B9" s="131"/>
      <c r="C9" s="50">
        <f t="shared" si="2"/>
        <v>3</v>
      </c>
      <c r="D9" s="36" t="s">
        <v>71</v>
      </c>
      <c r="E9" s="36" t="s">
        <v>71</v>
      </c>
      <c r="F9" s="36" t="s">
        <v>71</v>
      </c>
      <c r="G9" s="36" t="s">
        <v>71</v>
      </c>
      <c r="H9" s="36" t="s">
        <v>71</v>
      </c>
      <c r="I9" s="36" t="s">
        <v>71</v>
      </c>
      <c r="J9" s="36" t="s">
        <v>71</v>
      </c>
      <c r="K9" s="36" t="s">
        <v>71</v>
      </c>
      <c r="L9" s="36" t="s">
        <v>71</v>
      </c>
      <c r="M9" s="36" t="s">
        <v>71</v>
      </c>
      <c r="N9" s="36" t="s">
        <v>71</v>
      </c>
      <c r="O9" s="36" t="s">
        <v>71</v>
      </c>
      <c r="P9" s="36" t="s">
        <v>71</v>
      </c>
      <c r="Q9" s="36" t="s">
        <v>71</v>
      </c>
      <c r="R9" s="36" t="s">
        <v>71</v>
      </c>
      <c r="S9" s="36" t="s">
        <v>71</v>
      </c>
      <c r="T9" s="36" t="s">
        <v>71</v>
      </c>
      <c r="U9" s="36" t="s">
        <v>71</v>
      </c>
      <c r="V9" s="36" t="s">
        <v>71</v>
      </c>
      <c r="W9" s="36" t="s">
        <v>71</v>
      </c>
      <c r="X9" s="36" t="s">
        <v>71</v>
      </c>
      <c r="Y9" s="36" t="s">
        <v>71</v>
      </c>
      <c r="Z9" s="36" t="s">
        <v>71</v>
      </c>
      <c r="AA9" s="36" t="s">
        <v>71</v>
      </c>
      <c r="AB9" s="36" t="s">
        <v>71</v>
      </c>
      <c r="AC9" s="36" t="s">
        <v>71</v>
      </c>
      <c r="AD9" s="36" t="s">
        <v>71</v>
      </c>
      <c r="AE9" s="36">
        <v>0</v>
      </c>
      <c r="AF9" s="36">
        <v>0</v>
      </c>
      <c r="AG9" s="36">
        <v>0</v>
      </c>
      <c r="AH9" s="36">
        <v>1</v>
      </c>
      <c r="AI9" s="36">
        <v>1</v>
      </c>
      <c r="AJ9" s="25" t="s">
        <v>33</v>
      </c>
      <c r="AL9" t="str">
        <f t="shared" si="0"/>
        <v xml:space="preserve">    (U1)ALERT_REQ_UNKNOWN</v>
      </c>
      <c r="AR9" s="64" t="str">
        <f t="shared" si="3"/>
        <v xml:space="preserve">    (U4)0x00000003U,                                                           /* 03 UNKNOWN                                         */</v>
      </c>
      <c r="AS9" s="64" t="str">
        <f t="shared" si="4"/>
        <v xml:space="preserve">    (U4)0x0000001FU,                                                           /* 03 UNKNOWN                                         */</v>
      </c>
      <c r="AT9" s="64" t="str">
        <f t="shared" si="1"/>
        <v xml:space="preserve">    (U1)ALERT_REQ_UNKNOWN,                                                     /* 03 UNKNOWN                                         */</v>
      </c>
      <c r="AU9" s="64"/>
      <c r="AV9" s="52" t="s">
        <v>77</v>
      </c>
      <c r="AW9" s="69" t="str">
        <f ca="1">"u4_sp_ALERT_"&amp;IF(AW6&lt;&gt;AW17,$AW$17&amp;"_"&amp;$AW$6,AW17)&amp;"_MASK"</f>
        <v>u4_sp_ALERT_H_XMGRIP_TT_IND_MASK</v>
      </c>
    </row>
    <row r="10" spans="1:49">
      <c r="B10" s="131"/>
      <c r="C10" s="50">
        <f t="shared" si="2"/>
        <v>4</v>
      </c>
      <c r="D10" s="36" t="s">
        <v>71</v>
      </c>
      <c r="E10" s="36" t="s">
        <v>71</v>
      </c>
      <c r="F10" s="36" t="s">
        <v>71</v>
      </c>
      <c r="G10" s="36" t="s">
        <v>71</v>
      </c>
      <c r="H10" s="36" t="s">
        <v>71</v>
      </c>
      <c r="I10" s="36" t="s">
        <v>71</v>
      </c>
      <c r="J10" s="36" t="s">
        <v>71</v>
      </c>
      <c r="K10" s="36" t="s">
        <v>71</v>
      </c>
      <c r="L10" s="36" t="s">
        <v>71</v>
      </c>
      <c r="M10" s="36" t="s">
        <v>71</v>
      </c>
      <c r="N10" s="36" t="s">
        <v>71</v>
      </c>
      <c r="O10" s="36" t="s">
        <v>71</v>
      </c>
      <c r="P10" s="36" t="s">
        <v>71</v>
      </c>
      <c r="Q10" s="36" t="s">
        <v>71</v>
      </c>
      <c r="R10" s="36" t="s">
        <v>71</v>
      </c>
      <c r="S10" s="36" t="s">
        <v>71</v>
      </c>
      <c r="T10" s="36" t="s">
        <v>71</v>
      </c>
      <c r="U10" s="36" t="s">
        <v>71</v>
      </c>
      <c r="V10" s="36" t="s">
        <v>71</v>
      </c>
      <c r="W10" s="36" t="s">
        <v>71</v>
      </c>
      <c r="X10" s="36" t="s">
        <v>71</v>
      </c>
      <c r="Y10" s="36" t="s">
        <v>71</v>
      </c>
      <c r="Z10" s="36" t="s">
        <v>71</v>
      </c>
      <c r="AA10" s="36" t="s">
        <v>71</v>
      </c>
      <c r="AB10" s="36" t="s">
        <v>71</v>
      </c>
      <c r="AC10" s="36" t="s">
        <v>71</v>
      </c>
      <c r="AD10" s="36" t="s">
        <v>71</v>
      </c>
      <c r="AE10" s="36">
        <v>0</v>
      </c>
      <c r="AF10" s="36">
        <v>0</v>
      </c>
      <c r="AG10" s="36">
        <v>1</v>
      </c>
      <c r="AH10" s="36">
        <v>0</v>
      </c>
      <c r="AI10" s="36">
        <v>0</v>
      </c>
      <c r="AJ10" s="25" t="s">
        <v>33</v>
      </c>
      <c r="AL10" t="str">
        <f t="shared" si="0"/>
        <v xml:space="preserve">    (U1)ALERT_REQ_UNKNOWN</v>
      </c>
      <c r="AR10" s="64" t="str">
        <f t="shared" si="3"/>
        <v xml:space="preserve">    (U4)0x00000004U,                                                           /* 04 UNKNOWN                                         */</v>
      </c>
      <c r="AS10" s="64" t="str">
        <f t="shared" si="4"/>
        <v xml:space="preserve">    (U4)0x0000001FU,                                                           /* 04 UNKNOWN                                         */</v>
      </c>
      <c r="AT10" s="64" t="str">
        <f t="shared" si="1"/>
        <v xml:space="preserve">    (U1)ALERT_REQ_UNKNOWN,                                                     /* 04 UNKNOWN                                         */</v>
      </c>
      <c r="AU10" s="64" t="str">
        <f>IF($AW$7=1,"        &amp;"&amp;$AW$9&amp;"[0],"&amp;REPT(" ",66-LEN($AW$9))&amp;"/* u4p_MASK                                           */","        (const U4 *)vdp_PTR_NA,                                                /* u4p_MASK                                           */")</f>
        <v xml:space="preserve">        (const U4 *)vdp_PTR_NA,                                                /* u4p_MASK                                           */</v>
      </c>
      <c r="AV10" s="52" t="s">
        <v>78</v>
      </c>
      <c r="AW10" s="69" t="str">
        <f ca="1">"ALERT_"&amp;IF(AW6&lt;&gt;AW17,$AW$17&amp;"_"&amp;$AW$6,AW17)&amp;"_NUM_DST"</f>
        <v>ALERT_H_XMGRIP_TT_IND_NUM_DST</v>
      </c>
    </row>
    <row r="11" spans="1:49">
      <c r="B11" s="131"/>
      <c r="C11" s="50">
        <f t="shared" si="2"/>
        <v>5</v>
      </c>
      <c r="D11" s="36" t="s">
        <v>71</v>
      </c>
      <c r="E11" s="36" t="s">
        <v>71</v>
      </c>
      <c r="F11" s="36" t="s">
        <v>71</v>
      </c>
      <c r="G11" s="36" t="s">
        <v>71</v>
      </c>
      <c r="H11" s="36" t="s">
        <v>71</v>
      </c>
      <c r="I11" s="36" t="s">
        <v>71</v>
      </c>
      <c r="J11" s="36" t="s">
        <v>71</v>
      </c>
      <c r="K11" s="36" t="s">
        <v>71</v>
      </c>
      <c r="L11" s="36" t="s">
        <v>71</v>
      </c>
      <c r="M11" s="36" t="s">
        <v>71</v>
      </c>
      <c r="N11" s="36" t="s">
        <v>71</v>
      </c>
      <c r="O11" s="36" t="s">
        <v>71</v>
      </c>
      <c r="P11" s="36" t="s">
        <v>71</v>
      </c>
      <c r="Q11" s="36" t="s">
        <v>71</v>
      </c>
      <c r="R11" s="36" t="s">
        <v>71</v>
      </c>
      <c r="S11" s="36" t="s">
        <v>71</v>
      </c>
      <c r="T11" s="36" t="s">
        <v>71</v>
      </c>
      <c r="U11" s="36" t="s">
        <v>71</v>
      </c>
      <c r="V11" s="36" t="s">
        <v>71</v>
      </c>
      <c r="W11" s="36" t="s">
        <v>71</v>
      </c>
      <c r="X11" s="36" t="s">
        <v>71</v>
      </c>
      <c r="Y11" s="36" t="s">
        <v>71</v>
      </c>
      <c r="Z11" s="36" t="s">
        <v>71</v>
      </c>
      <c r="AA11" s="36" t="s">
        <v>71</v>
      </c>
      <c r="AB11" s="36" t="s">
        <v>71</v>
      </c>
      <c r="AC11" s="36" t="s">
        <v>71</v>
      </c>
      <c r="AD11" s="36" t="s">
        <v>71</v>
      </c>
      <c r="AE11" s="36">
        <v>0</v>
      </c>
      <c r="AF11" s="36">
        <v>0</v>
      </c>
      <c r="AG11" s="36">
        <v>1</v>
      </c>
      <c r="AH11" s="36">
        <v>0</v>
      </c>
      <c r="AI11" s="36">
        <v>1</v>
      </c>
      <c r="AJ11" s="25" t="s">
        <v>33</v>
      </c>
      <c r="AL11" t="str">
        <f t="shared" si="0"/>
        <v xml:space="preserve">    (U1)ALERT_REQ_UNKNOWN</v>
      </c>
      <c r="AR11" s="64" t="str">
        <f t="shared" si="3"/>
        <v xml:space="preserve">    (U4)0x00000005U,                                                           /* 05 UNKNOWN                                         */</v>
      </c>
      <c r="AS11" s="64" t="str">
        <f t="shared" si="4"/>
        <v xml:space="preserve">    (U4)0x0000001FU,                                                           /* 05 UNKNOWN                                         */</v>
      </c>
      <c r="AT11" s="64" t="str">
        <f t="shared" si="1"/>
        <v xml:space="preserve">    (U1)ALERT_REQ_UNKNOWN,                                                     /* 05 UNKNOWN                                         */</v>
      </c>
      <c r="AU11" s="64" t="str">
        <f>IF($AW$7=1,"        &amp;"&amp;$AW$8&amp;"[0],"&amp;REPT(" ",66-LEN($AW$8))&amp;"/* u4p_CRIT                                           */","        (const U4 *)vdp_PTR_NA,                                                /* u4p_CRIT                                           */")</f>
        <v xml:space="preserve">        (const U4 *)vdp_PTR_NA,                                                /* u4p_CRIT                                           */</v>
      </c>
      <c r="AV11" s="52" t="s">
        <v>79</v>
      </c>
      <c r="AW11" s="69" t="str">
        <f ca="1">"u1_sp_ALERT_"&amp;IF(AW6&lt;&gt;AW17,$AW$17&amp;"_"&amp;$AW$6,AW17)&amp;"_DST"</f>
        <v>u1_sp_ALERT_H_XMGRIP_TT_IND_DST</v>
      </c>
    </row>
    <row r="12" spans="1:49">
      <c r="B12" s="131"/>
      <c r="C12" s="50">
        <f t="shared" si="2"/>
        <v>6</v>
      </c>
      <c r="D12" s="36" t="s">
        <v>71</v>
      </c>
      <c r="E12" s="36" t="s">
        <v>71</v>
      </c>
      <c r="F12" s="36" t="s">
        <v>71</v>
      </c>
      <c r="G12" s="36" t="s">
        <v>71</v>
      </c>
      <c r="H12" s="36" t="s">
        <v>71</v>
      </c>
      <c r="I12" s="36" t="s">
        <v>71</v>
      </c>
      <c r="J12" s="36" t="s">
        <v>71</v>
      </c>
      <c r="K12" s="36" t="s">
        <v>71</v>
      </c>
      <c r="L12" s="36" t="s">
        <v>71</v>
      </c>
      <c r="M12" s="36" t="s">
        <v>71</v>
      </c>
      <c r="N12" s="36" t="s">
        <v>71</v>
      </c>
      <c r="O12" s="36" t="s">
        <v>71</v>
      </c>
      <c r="P12" s="36" t="s">
        <v>71</v>
      </c>
      <c r="Q12" s="36" t="s">
        <v>71</v>
      </c>
      <c r="R12" s="36" t="s">
        <v>71</v>
      </c>
      <c r="S12" s="36" t="s">
        <v>71</v>
      </c>
      <c r="T12" s="36" t="s">
        <v>71</v>
      </c>
      <c r="U12" s="36" t="s">
        <v>71</v>
      </c>
      <c r="V12" s="36" t="s">
        <v>71</v>
      </c>
      <c r="W12" s="36" t="s">
        <v>71</v>
      </c>
      <c r="X12" s="36" t="s">
        <v>71</v>
      </c>
      <c r="Y12" s="36" t="s">
        <v>71</v>
      </c>
      <c r="Z12" s="36" t="s">
        <v>71</v>
      </c>
      <c r="AA12" s="36" t="s">
        <v>71</v>
      </c>
      <c r="AB12" s="36" t="s">
        <v>71</v>
      </c>
      <c r="AC12" s="36" t="s">
        <v>71</v>
      </c>
      <c r="AD12" s="36" t="s">
        <v>71</v>
      </c>
      <c r="AE12" s="36">
        <v>0</v>
      </c>
      <c r="AF12" s="36">
        <v>0</v>
      </c>
      <c r="AG12" s="36">
        <v>1</v>
      </c>
      <c r="AH12" s="36">
        <v>1</v>
      </c>
      <c r="AI12" s="36">
        <v>0</v>
      </c>
      <c r="AJ12" s="25" t="s">
        <v>33</v>
      </c>
      <c r="AL12" t="str">
        <f t="shared" si="0"/>
        <v xml:space="preserve">    (U1)ALERT_REQ_UNKNOWN</v>
      </c>
      <c r="AR12" s="64" t="str">
        <f t="shared" si="3"/>
        <v xml:space="preserve">    (U4)0x00000006U,                                                           /* 06 UNKNOWN                                         */</v>
      </c>
      <c r="AS12" s="64" t="str">
        <f t="shared" si="4"/>
        <v xml:space="preserve">    (U4)0x0000001FU,                                                           /* 06 UNKNOWN                                         */</v>
      </c>
      <c r="AT12" s="64" t="str">
        <f t="shared" si="1"/>
        <v xml:space="preserve">    (U1)ALERT_REQ_UNKNOWN,                                                     /* 06 UNKNOWN                                         */</v>
      </c>
      <c r="AU12" s="64"/>
      <c r="AV12" s="52" t="s">
        <v>93</v>
      </c>
      <c r="AW12" s="69" t="str">
        <f ca="1">Matrix!D8&amp;"["&amp;Matrix!D7&amp;"]"</f>
        <v>st_gp_ALERT_H_XMGRIP_MTRX[3]</v>
      </c>
    </row>
    <row r="13" spans="1:49">
      <c r="B13" s="131"/>
      <c r="C13" s="50">
        <f t="shared" si="2"/>
        <v>7</v>
      </c>
      <c r="D13" s="36" t="s">
        <v>71</v>
      </c>
      <c r="E13" s="36" t="s">
        <v>71</v>
      </c>
      <c r="F13" s="36" t="s">
        <v>71</v>
      </c>
      <c r="G13" s="36" t="s">
        <v>71</v>
      </c>
      <c r="H13" s="36" t="s">
        <v>71</v>
      </c>
      <c r="I13" s="36" t="s">
        <v>71</v>
      </c>
      <c r="J13" s="36" t="s">
        <v>71</v>
      </c>
      <c r="K13" s="36" t="s">
        <v>71</v>
      </c>
      <c r="L13" s="36" t="s">
        <v>71</v>
      </c>
      <c r="M13" s="36" t="s">
        <v>71</v>
      </c>
      <c r="N13" s="36" t="s">
        <v>71</v>
      </c>
      <c r="O13" s="36" t="s">
        <v>71</v>
      </c>
      <c r="P13" s="36" t="s">
        <v>71</v>
      </c>
      <c r="Q13" s="36" t="s">
        <v>71</v>
      </c>
      <c r="R13" s="36" t="s">
        <v>71</v>
      </c>
      <c r="S13" s="36" t="s">
        <v>71</v>
      </c>
      <c r="T13" s="36" t="s">
        <v>71</v>
      </c>
      <c r="U13" s="36" t="s">
        <v>71</v>
      </c>
      <c r="V13" s="36" t="s">
        <v>71</v>
      </c>
      <c r="W13" s="36" t="s">
        <v>71</v>
      </c>
      <c r="X13" s="36" t="s">
        <v>71</v>
      </c>
      <c r="Y13" s="36" t="s">
        <v>71</v>
      </c>
      <c r="Z13" s="36" t="s">
        <v>71</v>
      </c>
      <c r="AA13" s="36" t="s">
        <v>71</v>
      </c>
      <c r="AB13" s="36" t="s">
        <v>71</v>
      </c>
      <c r="AC13" s="36" t="s">
        <v>71</v>
      </c>
      <c r="AD13" s="36" t="s">
        <v>71</v>
      </c>
      <c r="AE13" s="36">
        <v>0</v>
      </c>
      <c r="AF13" s="36">
        <v>0</v>
      </c>
      <c r="AG13" s="36">
        <v>1</v>
      </c>
      <c r="AH13" s="36">
        <v>1</v>
      </c>
      <c r="AI13" s="36">
        <v>1</v>
      </c>
      <c r="AJ13" s="25" t="s">
        <v>33</v>
      </c>
      <c r="AL13" t="str">
        <f t="shared" si="0"/>
        <v xml:space="preserve">    (U1)ALERT_REQ_UNKNOWN</v>
      </c>
      <c r="AR13" s="64" t="str">
        <f t="shared" si="3"/>
        <v xml:space="preserve">    (U4)0x00000007U,                                                           /* 07 UNKNOWN                                         */</v>
      </c>
      <c r="AS13" s="64" t="str">
        <f t="shared" si="4"/>
        <v xml:space="preserve">    (U4)0x0000001FU,                                                           /* 07 UNKNOWN                                         */</v>
      </c>
      <c r="AT13" s="64" t="str">
        <f t="shared" si="1"/>
        <v xml:space="preserve">    (U1)ALERT_REQ_UNKNOWN,                                                     /* 07 UNKNOWN                                         */</v>
      </c>
      <c r="AU13" s="64" t="str">
        <f ca="1">"        &amp;"&amp;$AW$11&amp;"[0],"&amp;REPT(" ",66-LEN($AW$11))&amp;"/* u1p_DST                                            */"</f>
        <v xml:space="preserve">        &amp;u1_sp_ALERT_H_XMGRIP_TT_IND_DST[0],                                   /* u1p_DST                                            */</v>
      </c>
      <c r="AV13" s="52" t="s">
        <v>80</v>
      </c>
      <c r="AW13" s="130">
        <f>COUNTA($AJ$6:$AJ$69)</f>
        <v>32</v>
      </c>
    </row>
    <row r="14" spans="1:49">
      <c r="B14" s="131"/>
      <c r="C14" s="50">
        <f t="shared" si="2"/>
        <v>8</v>
      </c>
      <c r="D14" s="36" t="s">
        <v>71</v>
      </c>
      <c r="E14" s="36" t="s">
        <v>71</v>
      </c>
      <c r="F14" s="36" t="s">
        <v>71</v>
      </c>
      <c r="G14" s="36" t="s">
        <v>71</v>
      </c>
      <c r="H14" s="36" t="s">
        <v>71</v>
      </c>
      <c r="I14" s="36" t="s">
        <v>71</v>
      </c>
      <c r="J14" s="36" t="s">
        <v>71</v>
      </c>
      <c r="K14" s="36" t="s">
        <v>71</v>
      </c>
      <c r="L14" s="36" t="s">
        <v>71</v>
      </c>
      <c r="M14" s="36" t="s">
        <v>71</v>
      </c>
      <c r="N14" s="36" t="s">
        <v>71</v>
      </c>
      <c r="O14" s="36" t="s">
        <v>71</v>
      </c>
      <c r="P14" s="36" t="s">
        <v>71</v>
      </c>
      <c r="Q14" s="36" t="s">
        <v>71</v>
      </c>
      <c r="R14" s="36" t="s">
        <v>71</v>
      </c>
      <c r="S14" s="36" t="s">
        <v>71</v>
      </c>
      <c r="T14" s="36" t="s">
        <v>71</v>
      </c>
      <c r="U14" s="36" t="s">
        <v>71</v>
      </c>
      <c r="V14" s="36" t="s">
        <v>71</v>
      </c>
      <c r="W14" s="36" t="s">
        <v>71</v>
      </c>
      <c r="X14" s="36" t="s">
        <v>71</v>
      </c>
      <c r="Y14" s="36" t="s">
        <v>71</v>
      </c>
      <c r="Z14" s="36" t="s">
        <v>71</v>
      </c>
      <c r="AA14" s="36" t="s">
        <v>71</v>
      </c>
      <c r="AB14" s="36" t="s">
        <v>71</v>
      </c>
      <c r="AC14" s="36" t="s">
        <v>71</v>
      </c>
      <c r="AD14" s="36" t="s">
        <v>71</v>
      </c>
      <c r="AE14" s="36">
        <v>0</v>
      </c>
      <c r="AF14" s="36">
        <v>1</v>
      </c>
      <c r="AG14" s="36">
        <v>0</v>
      </c>
      <c r="AH14" s="36">
        <v>0</v>
      </c>
      <c r="AI14" s="36">
        <v>0</v>
      </c>
      <c r="AJ14" s="25" t="s">
        <v>33</v>
      </c>
      <c r="AL14" t="str">
        <f t="shared" si="0"/>
        <v xml:space="preserve">    (U1)ALERT_REQ_UNKNOWN</v>
      </c>
      <c r="AR14" s="64" t="str">
        <f t="shared" si="3"/>
        <v xml:space="preserve">    (U4)0x00000008U,                                                           /* 08 UNKNOWN                                         */</v>
      </c>
      <c r="AS14" s="64" t="str">
        <f t="shared" si="4"/>
        <v xml:space="preserve">    (U4)0x0000001FU,                                                           /* 08 UNKNOWN                                         */</v>
      </c>
      <c r="AT14" s="64" t="str">
        <f t="shared" si="1"/>
        <v xml:space="preserve">    (U1)ALERT_REQ_UNKNOWN,                                                     /* 08 UNKNOWN                                         */</v>
      </c>
      <c r="AU14" s="64" t="str">
        <f ca="1">"        (U2)"&amp;$AW$10&amp;","&amp;REPT(" ",66-LEN($AW$10))&amp;"/* u2_num_srch                                        */"</f>
        <v xml:space="preserve">        (U2)ALERT_H_XMGRIP_TT_IND_NUM_DST,                                     /* u2_num_srch                                        */</v>
      </c>
      <c r="AV14" s="52" t="s">
        <v>81</v>
      </c>
      <c r="AW14" s="69" t="str">
        <f ca="1">IF(AW6&lt;&gt;AW17,VLOOKUP(AW6,Matrix!$C$13:$G$37,4,FALSE),Matrix!F13)</f>
        <v>u4_s_AlertH_xmgripTtIndSrcchk</v>
      </c>
    </row>
    <row r="15" spans="1:49">
      <c r="B15" s="131"/>
      <c r="C15" s="50">
        <f t="shared" si="2"/>
        <v>9</v>
      </c>
      <c r="D15" s="36" t="s">
        <v>71</v>
      </c>
      <c r="E15" s="36" t="s">
        <v>71</v>
      </c>
      <c r="F15" s="36" t="s">
        <v>71</v>
      </c>
      <c r="G15" s="36" t="s">
        <v>71</v>
      </c>
      <c r="H15" s="36" t="s">
        <v>71</v>
      </c>
      <c r="I15" s="36" t="s">
        <v>71</v>
      </c>
      <c r="J15" s="36" t="s">
        <v>71</v>
      </c>
      <c r="K15" s="36" t="s">
        <v>71</v>
      </c>
      <c r="L15" s="36" t="s">
        <v>71</v>
      </c>
      <c r="M15" s="36" t="s">
        <v>71</v>
      </c>
      <c r="N15" s="36" t="s">
        <v>71</v>
      </c>
      <c r="O15" s="36" t="s">
        <v>71</v>
      </c>
      <c r="P15" s="36" t="s">
        <v>71</v>
      </c>
      <c r="Q15" s="36" t="s">
        <v>71</v>
      </c>
      <c r="R15" s="36" t="s">
        <v>71</v>
      </c>
      <c r="S15" s="36" t="s">
        <v>71</v>
      </c>
      <c r="T15" s="36" t="s">
        <v>71</v>
      </c>
      <c r="U15" s="36" t="s">
        <v>71</v>
      </c>
      <c r="V15" s="36" t="s">
        <v>71</v>
      </c>
      <c r="W15" s="36" t="s">
        <v>71</v>
      </c>
      <c r="X15" s="36" t="s">
        <v>71</v>
      </c>
      <c r="Y15" s="36" t="s">
        <v>71</v>
      </c>
      <c r="Z15" s="36" t="s">
        <v>71</v>
      </c>
      <c r="AA15" s="36" t="s">
        <v>71</v>
      </c>
      <c r="AB15" s="36" t="s">
        <v>71</v>
      </c>
      <c r="AC15" s="36" t="s">
        <v>71</v>
      </c>
      <c r="AD15" s="36" t="s">
        <v>71</v>
      </c>
      <c r="AE15" s="36">
        <v>0</v>
      </c>
      <c r="AF15" s="36">
        <v>1</v>
      </c>
      <c r="AG15" s="36">
        <v>0</v>
      </c>
      <c r="AH15" s="36">
        <v>0</v>
      </c>
      <c r="AI15" s="36">
        <v>1</v>
      </c>
      <c r="AJ15" s="25" t="s">
        <v>33</v>
      </c>
      <c r="AL15" t="str">
        <f t="shared" si="0"/>
        <v xml:space="preserve">    (U1)ALERT_REQ_UNKNOWN</v>
      </c>
      <c r="AR15" s="64" t="str">
        <f t="shared" si="3"/>
        <v xml:space="preserve">    (U4)0x00000009U,                                                           /* 09 UNKNOWN                                         */</v>
      </c>
      <c r="AS15" s="64" t="str">
        <f t="shared" si="4"/>
        <v xml:space="preserve">    (U4)0x0000001FU,                                                           /* 09 UNKNOWN                                         */</v>
      </c>
      <c r="AT15" s="64" t="str">
        <f t="shared" si="1"/>
        <v xml:space="preserve">    (U1)ALERT_REQ_UNKNOWN,                                                     /* 09 UNKNOWN                                         */</v>
      </c>
      <c r="AU15" s="64" t="str">
        <f ca="1">"        (U1)"&amp;$AW$16&amp;REPT(" ",67-LEN($AW$16))&amp;"/* u1_vom_act                                         */"</f>
        <v xml:space="preserve">        (U1)ALERT_VOM_IGN_ON                                                   /* u1_vom_act                                         */</v>
      </c>
      <c r="AV15" s="52" t="s">
        <v>84</v>
      </c>
      <c r="AW15" s="69" t="str">
        <f ca="1">IF(AW6&lt;&gt;AW17,VLOOKUP(AW6,Matrix!$C$13:$G$37,5,FALSE),Matrix!G13)</f>
        <v>NULL</v>
      </c>
    </row>
    <row r="16" spans="1:49">
      <c r="B16" s="131"/>
      <c r="C16" s="50">
        <f t="shared" si="2"/>
        <v>10</v>
      </c>
      <c r="D16" s="36" t="s">
        <v>71</v>
      </c>
      <c r="E16" s="36" t="s">
        <v>71</v>
      </c>
      <c r="F16" s="36" t="s">
        <v>71</v>
      </c>
      <c r="G16" s="36" t="s">
        <v>71</v>
      </c>
      <c r="H16" s="36" t="s">
        <v>71</v>
      </c>
      <c r="I16" s="36" t="s">
        <v>71</v>
      </c>
      <c r="J16" s="36" t="s">
        <v>71</v>
      </c>
      <c r="K16" s="36" t="s">
        <v>71</v>
      </c>
      <c r="L16" s="36" t="s">
        <v>71</v>
      </c>
      <c r="M16" s="36" t="s">
        <v>71</v>
      </c>
      <c r="N16" s="36" t="s">
        <v>71</v>
      </c>
      <c r="O16" s="36" t="s">
        <v>71</v>
      </c>
      <c r="P16" s="36" t="s">
        <v>71</v>
      </c>
      <c r="Q16" s="36" t="s">
        <v>71</v>
      </c>
      <c r="R16" s="36" t="s">
        <v>71</v>
      </c>
      <c r="S16" s="36" t="s">
        <v>71</v>
      </c>
      <c r="T16" s="36" t="s">
        <v>71</v>
      </c>
      <c r="U16" s="36" t="s">
        <v>71</v>
      </c>
      <c r="V16" s="36" t="s">
        <v>71</v>
      </c>
      <c r="W16" s="36" t="s">
        <v>71</v>
      </c>
      <c r="X16" s="36" t="s">
        <v>71</v>
      </c>
      <c r="Y16" s="36" t="s">
        <v>71</v>
      </c>
      <c r="Z16" s="36" t="s">
        <v>71</v>
      </c>
      <c r="AA16" s="36" t="s">
        <v>71</v>
      </c>
      <c r="AB16" s="36" t="s">
        <v>71</v>
      </c>
      <c r="AC16" s="36" t="s">
        <v>71</v>
      </c>
      <c r="AD16" s="36" t="s">
        <v>71</v>
      </c>
      <c r="AE16" s="36">
        <v>0</v>
      </c>
      <c r="AF16" s="36">
        <v>1</v>
      </c>
      <c r="AG16" s="36">
        <v>0</v>
      </c>
      <c r="AH16" s="36">
        <v>1</v>
      </c>
      <c r="AI16" s="36">
        <v>0</v>
      </c>
      <c r="AJ16" s="25" t="s">
        <v>33</v>
      </c>
      <c r="AL16" t="str">
        <f t="shared" si="0"/>
        <v xml:space="preserve">    (U1)ALERT_REQ_UNKNOWN</v>
      </c>
      <c r="AR16" s="64" t="str">
        <f t="shared" si="3"/>
        <v xml:space="preserve">    (U4)0x0000000AU,                                                           /* 10 UNKNOWN                                         */</v>
      </c>
      <c r="AS16" s="64" t="str">
        <f t="shared" si="4"/>
        <v xml:space="preserve">    (U4)0x0000001FU,                                                           /* 10 UNKNOWN                                         */</v>
      </c>
      <c r="AT16" s="64" t="str">
        <f t="shared" si="1"/>
        <v xml:space="preserve">    (U1)ALERT_REQ_UNKNOWN,                                                     /* 10 UNKNOWN                                         */</v>
      </c>
      <c r="AU16" s="64" t="s">
        <v>73</v>
      </c>
      <c r="AV16" s="52" t="s">
        <v>82</v>
      </c>
      <c r="AW16" s="69" t="str">
        <f ca="1">IF(AW6&lt;&gt;AW17,VLOOKUP(AW6,Matrix!$C$13:$G$37,2,FALSE),Matrix!D13)</f>
        <v>ALERT_VOM_IGN_ON</v>
      </c>
    </row>
    <row r="17" spans="2:49" ht="13.8" thickBot="1">
      <c r="B17" s="131"/>
      <c r="C17" s="50">
        <f t="shared" si="2"/>
        <v>11</v>
      </c>
      <c r="D17" s="36" t="s">
        <v>71</v>
      </c>
      <c r="E17" s="36" t="s">
        <v>71</v>
      </c>
      <c r="F17" s="36" t="s">
        <v>71</v>
      </c>
      <c r="G17" s="36" t="s">
        <v>71</v>
      </c>
      <c r="H17" s="36" t="s">
        <v>71</v>
      </c>
      <c r="I17" s="36" t="s">
        <v>71</v>
      </c>
      <c r="J17" s="36" t="s">
        <v>71</v>
      </c>
      <c r="K17" s="36" t="s">
        <v>71</v>
      </c>
      <c r="L17" s="36" t="s">
        <v>71</v>
      </c>
      <c r="M17" s="36" t="s">
        <v>71</v>
      </c>
      <c r="N17" s="36" t="s">
        <v>71</v>
      </c>
      <c r="O17" s="36" t="s">
        <v>71</v>
      </c>
      <c r="P17" s="36" t="s">
        <v>71</v>
      </c>
      <c r="Q17" s="36" t="s">
        <v>71</v>
      </c>
      <c r="R17" s="36" t="s">
        <v>71</v>
      </c>
      <c r="S17" s="36" t="s">
        <v>71</v>
      </c>
      <c r="T17" s="36" t="s">
        <v>71</v>
      </c>
      <c r="U17" s="36" t="s">
        <v>71</v>
      </c>
      <c r="V17" s="36" t="s">
        <v>71</v>
      </c>
      <c r="W17" s="36" t="s">
        <v>71</v>
      </c>
      <c r="X17" s="36" t="s">
        <v>71</v>
      </c>
      <c r="Y17" s="36" t="s">
        <v>71</v>
      </c>
      <c r="Z17" s="36" t="s">
        <v>71</v>
      </c>
      <c r="AA17" s="36" t="s">
        <v>71</v>
      </c>
      <c r="AB17" s="36" t="s">
        <v>71</v>
      </c>
      <c r="AC17" s="36" t="s">
        <v>71</v>
      </c>
      <c r="AD17" s="36" t="s">
        <v>71</v>
      </c>
      <c r="AE17" s="36">
        <v>0</v>
      </c>
      <c r="AF17" s="36">
        <v>1</v>
      </c>
      <c r="AG17" s="36">
        <v>0</v>
      </c>
      <c r="AH17" s="36">
        <v>1</v>
      </c>
      <c r="AI17" s="36">
        <v>1</v>
      </c>
      <c r="AJ17" s="25" t="s">
        <v>33</v>
      </c>
      <c r="AL17" t="str">
        <f t="shared" si="0"/>
        <v xml:space="preserve">    (U1)ALERT_REQ_UNKNOWN</v>
      </c>
      <c r="AR17" s="64" t="str">
        <f t="shared" si="3"/>
        <v xml:space="preserve">    (U4)0x0000000BU,                                                           /* 11 UNKNOWN                                         */</v>
      </c>
      <c r="AS17" s="64" t="str">
        <f t="shared" si="4"/>
        <v xml:space="preserve">    (U4)0x0000001FU,                                                           /* 11 UNKNOWN                                         */</v>
      </c>
      <c r="AT17" s="64" t="str">
        <f t="shared" si="1"/>
        <v xml:space="preserve">    (U1)ALERT_REQ_UNKNOWN,                                                     /* 11 UNKNOWN                                         */</v>
      </c>
      <c r="AU17" s="65" t="s">
        <v>85</v>
      </c>
      <c r="AV17" s="53" t="s">
        <v>83</v>
      </c>
      <c r="AW17" s="70" t="str">
        <f ca="1">UPPER(Matrix!$D$6)</f>
        <v>H_XMGRIP</v>
      </c>
    </row>
    <row r="18" spans="2:49">
      <c r="B18" s="131"/>
      <c r="C18" s="50">
        <f t="shared" si="2"/>
        <v>12</v>
      </c>
      <c r="D18" s="36" t="s">
        <v>71</v>
      </c>
      <c r="E18" s="36" t="s">
        <v>71</v>
      </c>
      <c r="F18" s="36" t="s">
        <v>71</v>
      </c>
      <c r="G18" s="36" t="s">
        <v>71</v>
      </c>
      <c r="H18" s="36" t="s">
        <v>71</v>
      </c>
      <c r="I18" s="36" t="s">
        <v>71</v>
      </c>
      <c r="J18" s="36" t="s">
        <v>71</v>
      </c>
      <c r="K18" s="36" t="s">
        <v>71</v>
      </c>
      <c r="L18" s="36" t="s">
        <v>71</v>
      </c>
      <c r="M18" s="36" t="s">
        <v>71</v>
      </c>
      <c r="N18" s="36" t="s">
        <v>71</v>
      </c>
      <c r="O18" s="36" t="s">
        <v>71</v>
      </c>
      <c r="P18" s="36" t="s">
        <v>71</v>
      </c>
      <c r="Q18" s="36" t="s">
        <v>71</v>
      </c>
      <c r="R18" s="36" t="s">
        <v>71</v>
      </c>
      <c r="S18" s="36" t="s">
        <v>71</v>
      </c>
      <c r="T18" s="36" t="s">
        <v>71</v>
      </c>
      <c r="U18" s="36" t="s">
        <v>71</v>
      </c>
      <c r="V18" s="36" t="s">
        <v>71</v>
      </c>
      <c r="W18" s="36" t="s">
        <v>71</v>
      </c>
      <c r="X18" s="36" t="s">
        <v>71</v>
      </c>
      <c r="Y18" s="36" t="s">
        <v>71</v>
      </c>
      <c r="Z18" s="36" t="s">
        <v>71</v>
      </c>
      <c r="AA18" s="36" t="s">
        <v>71</v>
      </c>
      <c r="AB18" s="36" t="s">
        <v>71</v>
      </c>
      <c r="AC18" s="36" t="s">
        <v>71</v>
      </c>
      <c r="AD18" s="36" t="s">
        <v>71</v>
      </c>
      <c r="AE18" s="36">
        <v>0</v>
      </c>
      <c r="AF18" s="36">
        <v>1</v>
      </c>
      <c r="AG18" s="36">
        <v>1</v>
      </c>
      <c r="AH18" s="36">
        <v>0</v>
      </c>
      <c r="AI18" s="36">
        <v>0</v>
      </c>
      <c r="AJ18" s="25" t="s">
        <v>33</v>
      </c>
      <c r="AL18" t="str">
        <f t="shared" si="0"/>
        <v xml:space="preserve">    (U1)ALERT_REQ_UNKNOWN</v>
      </c>
      <c r="AR18" s="64" t="str">
        <f t="shared" si="3"/>
        <v xml:space="preserve">    (U4)0x0000000CU,                                                           /* 12 UNKNOWN                                         */</v>
      </c>
      <c r="AS18" s="64" t="str">
        <f t="shared" si="4"/>
        <v xml:space="preserve">    (U4)0x0000001FU,                                                           /* 12 UNKNOWN                                         */</v>
      </c>
      <c r="AT18" s="64" t="str">
        <f t="shared" si="1"/>
        <v xml:space="preserve">    (U1)ALERT_REQ_UNKNOWN,                                                     /* 12 UNKNOWN                                         */</v>
      </c>
    </row>
    <row r="19" spans="2:49">
      <c r="B19" s="131"/>
      <c r="C19" s="50">
        <f t="shared" si="2"/>
        <v>13</v>
      </c>
      <c r="D19" s="36" t="s">
        <v>71</v>
      </c>
      <c r="E19" s="36" t="s">
        <v>71</v>
      </c>
      <c r="F19" s="36" t="s">
        <v>71</v>
      </c>
      <c r="G19" s="36" t="s">
        <v>71</v>
      </c>
      <c r="H19" s="36" t="s">
        <v>71</v>
      </c>
      <c r="I19" s="36" t="s">
        <v>71</v>
      </c>
      <c r="J19" s="36" t="s">
        <v>71</v>
      </c>
      <c r="K19" s="36" t="s">
        <v>71</v>
      </c>
      <c r="L19" s="36" t="s">
        <v>71</v>
      </c>
      <c r="M19" s="36" t="s">
        <v>71</v>
      </c>
      <c r="N19" s="36" t="s">
        <v>71</v>
      </c>
      <c r="O19" s="36" t="s">
        <v>71</v>
      </c>
      <c r="P19" s="36" t="s">
        <v>71</v>
      </c>
      <c r="Q19" s="36" t="s">
        <v>71</v>
      </c>
      <c r="R19" s="36" t="s">
        <v>71</v>
      </c>
      <c r="S19" s="36" t="s">
        <v>71</v>
      </c>
      <c r="T19" s="36" t="s">
        <v>71</v>
      </c>
      <c r="U19" s="36" t="s">
        <v>71</v>
      </c>
      <c r="V19" s="36" t="s">
        <v>71</v>
      </c>
      <c r="W19" s="36" t="s">
        <v>71</v>
      </c>
      <c r="X19" s="36" t="s">
        <v>71</v>
      </c>
      <c r="Y19" s="36" t="s">
        <v>71</v>
      </c>
      <c r="Z19" s="36" t="s">
        <v>71</v>
      </c>
      <c r="AA19" s="36" t="s">
        <v>71</v>
      </c>
      <c r="AB19" s="36" t="s">
        <v>71</v>
      </c>
      <c r="AC19" s="36" t="s">
        <v>71</v>
      </c>
      <c r="AD19" s="36" t="s">
        <v>71</v>
      </c>
      <c r="AE19" s="36">
        <v>0</v>
      </c>
      <c r="AF19" s="36">
        <v>1</v>
      </c>
      <c r="AG19" s="36">
        <v>1</v>
      </c>
      <c r="AH19" s="36">
        <v>0</v>
      </c>
      <c r="AI19" s="36">
        <v>1</v>
      </c>
      <c r="AJ19" s="25" t="s">
        <v>33</v>
      </c>
      <c r="AL19" t="str">
        <f t="shared" si="0"/>
        <v xml:space="preserve">    (U1)ALERT_REQ_UNKNOWN</v>
      </c>
      <c r="AR19" s="64" t="str">
        <f t="shared" si="3"/>
        <v xml:space="preserve">    (U4)0x0000000DU,                                                           /* 13 UNKNOWN                                         */</v>
      </c>
      <c r="AS19" s="64" t="str">
        <f t="shared" si="4"/>
        <v xml:space="preserve">    (U4)0x0000001FU,                                                           /* 13 UNKNOWN                                         */</v>
      </c>
      <c r="AT19" s="64" t="str">
        <f t="shared" si="1"/>
        <v xml:space="preserve">    (U1)ALERT_REQ_UNKNOWN,                                                     /* 13 UNKNOWN                                         */</v>
      </c>
    </row>
    <row r="20" spans="2:49">
      <c r="B20" s="131"/>
      <c r="C20" s="50">
        <f t="shared" si="2"/>
        <v>14</v>
      </c>
      <c r="D20" s="36" t="s">
        <v>71</v>
      </c>
      <c r="E20" s="36" t="s">
        <v>71</v>
      </c>
      <c r="F20" s="36" t="s">
        <v>71</v>
      </c>
      <c r="G20" s="36" t="s">
        <v>71</v>
      </c>
      <c r="H20" s="36" t="s">
        <v>71</v>
      </c>
      <c r="I20" s="36" t="s">
        <v>71</v>
      </c>
      <c r="J20" s="36" t="s">
        <v>71</v>
      </c>
      <c r="K20" s="36" t="s">
        <v>71</v>
      </c>
      <c r="L20" s="36" t="s">
        <v>71</v>
      </c>
      <c r="M20" s="36" t="s">
        <v>71</v>
      </c>
      <c r="N20" s="36" t="s">
        <v>71</v>
      </c>
      <c r="O20" s="36" t="s">
        <v>71</v>
      </c>
      <c r="P20" s="36" t="s">
        <v>71</v>
      </c>
      <c r="Q20" s="36" t="s">
        <v>71</v>
      </c>
      <c r="R20" s="36" t="s">
        <v>71</v>
      </c>
      <c r="S20" s="36" t="s">
        <v>71</v>
      </c>
      <c r="T20" s="36" t="s">
        <v>71</v>
      </c>
      <c r="U20" s="36" t="s">
        <v>71</v>
      </c>
      <c r="V20" s="36" t="s">
        <v>71</v>
      </c>
      <c r="W20" s="36" t="s">
        <v>71</v>
      </c>
      <c r="X20" s="36" t="s">
        <v>71</v>
      </c>
      <c r="Y20" s="36" t="s">
        <v>71</v>
      </c>
      <c r="Z20" s="36" t="s">
        <v>71</v>
      </c>
      <c r="AA20" s="36" t="s">
        <v>71</v>
      </c>
      <c r="AB20" s="36" t="s">
        <v>71</v>
      </c>
      <c r="AC20" s="36" t="s">
        <v>71</v>
      </c>
      <c r="AD20" s="36" t="s">
        <v>71</v>
      </c>
      <c r="AE20" s="36">
        <v>0</v>
      </c>
      <c r="AF20" s="36">
        <v>1</v>
      </c>
      <c r="AG20" s="36">
        <v>1</v>
      </c>
      <c r="AH20" s="36">
        <v>1</v>
      </c>
      <c r="AI20" s="36">
        <v>0</v>
      </c>
      <c r="AJ20" s="25" t="s">
        <v>33</v>
      </c>
      <c r="AL20" t="str">
        <f t="shared" si="0"/>
        <v xml:space="preserve">    (U1)ALERT_REQ_UNKNOWN</v>
      </c>
      <c r="AR20" s="64" t="str">
        <f t="shared" si="3"/>
        <v xml:space="preserve">    (U4)0x0000000EU,                                                           /* 14 UNKNOWN                                         */</v>
      </c>
      <c r="AS20" s="64" t="str">
        <f t="shared" si="4"/>
        <v xml:space="preserve">    (U4)0x0000001FU,                                                           /* 14 UNKNOWN                                         */</v>
      </c>
      <c r="AT20" s="64" t="str">
        <f t="shared" si="1"/>
        <v xml:space="preserve">    (U1)ALERT_REQ_UNKNOWN,                                                     /* 14 UNKNOWN                                         */</v>
      </c>
    </row>
    <row r="21" spans="2:49">
      <c r="B21" s="131"/>
      <c r="C21" s="50">
        <f t="shared" si="2"/>
        <v>15</v>
      </c>
      <c r="D21" s="36" t="s">
        <v>71</v>
      </c>
      <c r="E21" s="36" t="s">
        <v>71</v>
      </c>
      <c r="F21" s="36" t="s">
        <v>71</v>
      </c>
      <c r="G21" s="36" t="s">
        <v>71</v>
      </c>
      <c r="H21" s="36" t="s">
        <v>71</v>
      </c>
      <c r="I21" s="36" t="s">
        <v>71</v>
      </c>
      <c r="J21" s="36" t="s">
        <v>71</v>
      </c>
      <c r="K21" s="36" t="s">
        <v>71</v>
      </c>
      <c r="L21" s="36" t="s">
        <v>71</v>
      </c>
      <c r="M21" s="36" t="s">
        <v>71</v>
      </c>
      <c r="N21" s="36" t="s">
        <v>71</v>
      </c>
      <c r="O21" s="36" t="s">
        <v>71</v>
      </c>
      <c r="P21" s="36" t="s">
        <v>71</v>
      </c>
      <c r="Q21" s="36" t="s">
        <v>71</v>
      </c>
      <c r="R21" s="36" t="s">
        <v>71</v>
      </c>
      <c r="S21" s="36" t="s">
        <v>71</v>
      </c>
      <c r="T21" s="36" t="s">
        <v>71</v>
      </c>
      <c r="U21" s="36" t="s">
        <v>71</v>
      </c>
      <c r="V21" s="36" t="s">
        <v>71</v>
      </c>
      <c r="W21" s="36" t="s">
        <v>71</v>
      </c>
      <c r="X21" s="36" t="s">
        <v>71</v>
      </c>
      <c r="Y21" s="36" t="s">
        <v>71</v>
      </c>
      <c r="Z21" s="36" t="s">
        <v>71</v>
      </c>
      <c r="AA21" s="36" t="s">
        <v>71</v>
      </c>
      <c r="AB21" s="36" t="s">
        <v>71</v>
      </c>
      <c r="AC21" s="36" t="s">
        <v>71</v>
      </c>
      <c r="AD21" s="36" t="s">
        <v>71</v>
      </c>
      <c r="AE21" s="36">
        <v>0</v>
      </c>
      <c r="AF21" s="36">
        <v>1</v>
      </c>
      <c r="AG21" s="36">
        <v>1</v>
      </c>
      <c r="AH21" s="36">
        <v>1</v>
      </c>
      <c r="AI21" s="36">
        <v>1</v>
      </c>
      <c r="AJ21" s="25" t="s">
        <v>33</v>
      </c>
      <c r="AL21" t="str">
        <f t="shared" si="0"/>
        <v xml:space="preserve">    (U1)ALERT_REQ_UNKNOWN</v>
      </c>
      <c r="AR21" s="64" t="str">
        <f t="shared" si="3"/>
        <v xml:space="preserve">    (U4)0x0000000FU,                                                           /* 15 UNKNOWN                                         */</v>
      </c>
      <c r="AS21" s="64" t="str">
        <f t="shared" si="4"/>
        <v xml:space="preserve">    (U4)0x0000001FU,                                                           /* 15 UNKNOWN                                         */</v>
      </c>
      <c r="AT21" s="64" t="str">
        <f t="shared" si="1"/>
        <v xml:space="preserve">    (U1)ALERT_REQ_UNKNOWN,                                                     /* 15 UNKNOWN                                         */</v>
      </c>
    </row>
    <row r="22" spans="2:49">
      <c r="B22" s="131"/>
      <c r="C22" s="50">
        <f t="shared" si="2"/>
        <v>16</v>
      </c>
      <c r="D22" s="36" t="s">
        <v>71</v>
      </c>
      <c r="E22" s="36" t="s">
        <v>71</v>
      </c>
      <c r="F22" s="36" t="s">
        <v>71</v>
      </c>
      <c r="G22" s="36" t="s">
        <v>71</v>
      </c>
      <c r="H22" s="36" t="s">
        <v>71</v>
      </c>
      <c r="I22" s="36" t="s">
        <v>71</v>
      </c>
      <c r="J22" s="36" t="s">
        <v>71</v>
      </c>
      <c r="K22" s="36" t="s">
        <v>71</v>
      </c>
      <c r="L22" s="36" t="s">
        <v>71</v>
      </c>
      <c r="M22" s="36" t="s">
        <v>71</v>
      </c>
      <c r="N22" s="36" t="s">
        <v>71</v>
      </c>
      <c r="O22" s="36" t="s">
        <v>71</v>
      </c>
      <c r="P22" s="36" t="s">
        <v>71</v>
      </c>
      <c r="Q22" s="36" t="s">
        <v>71</v>
      </c>
      <c r="R22" s="36" t="s">
        <v>71</v>
      </c>
      <c r="S22" s="36" t="s">
        <v>71</v>
      </c>
      <c r="T22" s="36" t="s">
        <v>71</v>
      </c>
      <c r="U22" s="36" t="s">
        <v>71</v>
      </c>
      <c r="V22" s="36" t="s">
        <v>71</v>
      </c>
      <c r="W22" s="36" t="s">
        <v>71</v>
      </c>
      <c r="X22" s="36" t="s">
        <v>71</v>
      </c>
      <c r="Y22" s="36" t="s">
        <v>71</v>
      </c>
      <c r="Z22" s="36" t="s">
        <v>71</v>
      </c>
      <c r="AA22" s="36" t="s">
        <v>71</v>
      </c>
      <c r="AB22" s="36" t="s">
        <v>71</v>
      </c>
      <c r="AC22" s="36" t="s">
        <v>71</v>
      </c>
      <c r="AD22" s="36" t="s">
        <v>71</v>
      </c>
      <c r="AE22" s="36">
        <v>1</v>
      </c>
      <c r="AF22" s="36">
        <v>0</v>
      </c>
      <c r="AG22" s="36">
        <v>0</v>
      </c>
      <c r="AH22" s="36">
        <v>0</v>
      </c>
      <c r="AI22" s="36">
        <v>0</v>
      </c>
      <c r="AJ22" s="25" t="s">
        <v>33</v>
      </c>
      <c r="AL22" t="str">
        <f t="shared" si="0"/>
        <v xml:space="preserve">    (U1)ALERT_REQ_UNKNOWN</v>
      </c>
      <c r="AR22" s="64" t="str">
        <f t="shared" si="3"/>
        <v xml:space="preserve">    (U4)0x00000010U,                                                           /* 16 UNKNOWN                                         */</v>
      </c>
      <c r="AS22" s="64" t="str">
        <f t="shared" si="4"/>
        <v xml:space="preserve">    (U4)0x0000001FU,                                                           /* 16 UNKNOWN                                         */</v>
      </c>
      <c r="AT22" s="64" t="str">
        <f t="shared" si="1"/>
        <v xml:space="preserve">    (U1)ALERT_REQ_UNKNOWN,                                                     /* 16 UNKNOWN                                         */</v>
      </c>
    </row>
    <row r="23" spans="2:49">
      <c r="B23" s="131"/>
      <c r="C23" s="50">
        <f t="shared" si="2"/>
        <v>17</v>
      </c>
      <c r="D23" s="36" t="s">
        <v>71</v>
      </c>
      <c r="E23" s="36" t="s">
        <v>71</v>
      </c>
      <c r="F23" s="36" t="s">
        <v>71</v>
      </c>
      <c r="G23" s="36" t="s">
        <v>71</v>
      </c>
      <c r="H23" s="36" t="s">
        <v>71</v>
      </c>
      <c r="I23" s="36" t="s">
        <v>71</v>
      </c>
      <c r="J23" s="36" t="s">
        <v>71</v>
      </c>
      <c r="K23" s="36" t="s">
        <v>71</v>
      </c>
      <c r="L23" s="36" t="s">
        <v>71</v>
      </c>
      <c r="M23" s="36" t="s">
        <v>71</v>
      </c>
      <c r="N23" s="36" t="s">
        <v>71</v>
      </c>
      <c r="O23" s="36" t="s">
        <v>71</v>
      </c>
      <c r="P23" s="36" t="s">
        <v>71</v>
      </c>
      <c r="Q23" s="36" t="s">
        <v>71</v>
      </c>
      <c r="R23" s="36" t="s">
        <v>71</v>
      </c>
      <c r="S23" s="36" t="s">
        <v>71</v>
      </c>
      <c r="T23" s="36" t="s">
        <v>71</v>
      </c>
      <c r="U23" s="36" t="s">
        <v>71</v>
      </c>
      <c r="V23" s="36" t="s">
        <v>71</v>
      </c>
      <c r="W23" s="36" t="s">
        <v>71</v>
      </c>
      <c r="X23" s="36" t="s">
        <v>71</v>
      </c>
      <c r="Y23" s="36" t="s">
        <v>71</v>
      </c>
      <c r="Z23" s="36" t="s">
        <v>71</v>
      </c>
      <c r="AA23" s="36" t="s">
        <v>71</v>
      </c>
      <c r="AB23" s="36" t="s">
        <v>71</v>
      </c>
      <c r="AC23" s="36" t="s">
        <v>71</v>
      </c>
      <c r="AD23" s="36" t="s">
        <v>71</v>
      </c>
      <c r="AE23" s="36">
        <v>1</v>
      </c>
      <c r="AF23" s="36">
        <v>0</v>
      </c>
      <c r="AG23" s="36">
        <v>0</v>
      </c>
      <c r="AH23" s="36">
        <v>0</v>
      </c>
      <c r="AI23" s="36">
        <v>1</v>
      </c>
      <c r="AJ23" s="25" t="s">
        <v>33</v>
      </c>
      <c r="AL23" t="str">
        <f t="shared" si="0"/>
        <v xml:space="preserve">    (U1)ALERT_REQ_UNKNOWN</v>
      </c>
      <c r="AR23" s="64" t="str">
        <f t="shared" si="3"/>
        <v xml:space="preserve">    (U4)0x00000011U,                                                           /* 17 UNKNOWN                                         */</v>
      </c>
      <c r="AS23" s="64" t="str">
        <f t="shared" si="4"/>
        <v xml:space="preserve">    (U4)0x0000001FU,                                                           /* 17 UNKNOWN                                         */</v>
      </c>
      <c r="AT23" s="64" t="str">
        <f t="shared" si="1"/>
        <v xml:space="preserve">    (U1)ALERT_REQ_UNKNOWN,                                                     /* 17 UNKNOWN                                         */</v>
      </c>
    </row>
    <row r="24" spans="2:49">
      <c r="B24" s="131"/>
      <c r="C24" s="50">
        <f t="shared" si="2"/>
        <v>18</v>
      </c>
      <c r="D24" s="36" t="s">
        <v>71</v>
      </c>
      <c r="E24" s="36" t="s">
        <v>71</v>
      </c>
      <c r="F24" s="36" t="s">
        <v>71</v>
      </c>
      <c r="G24" s="36" t="s">
        <v>71</v>
      </c>
      <c r="H24" s="36" t="s">
        <v>71</v>
      </c>
      <c r="I24" s="36" t="s">
        <v>71</v>
      </c>
      <c r="J24" s="36" t="s">
        <v>71</v>
      </c>
      <c r="K24" s="36" t="s">
        <v>71</v>
      </c>
      <c r="L24" s="36" t="s">
        <v>71</v>
      </c>
      <c r="M24" s="36" t="s">
        <v>71</v>
      </c>
      <c r="N24" s="36" t="s">
        <v>71</v>
      </c>
      <c r="O24" s="36" t="s">
        <v>71</v>
      </c>
      <c r="P24" s="36" t="s">
        <v>71</v>
      </c>
      <c r="Q24" s="36" t="s">
        <v>71</v>
      </c>
      <c r="R24" s="36" t="s">
        <v>71</v>
      </c>
      <c r="S24" s="36" t="s">
        <v>71</v>
      </c>
      <c r="T24" s="36" t="s">
        <v>71</v>
      </c>
      <c r="U24" s="36" t="s">
        <v>71</v>
      </c>
      <c r="V24" s="36" t="s">
        <v>71</v>
      </c>
      <c r="W24" s="36" t="s">
        <v>71</v>
      </c>
      <c r="X24" s="36" t="s">
        <v>71</v>
      </c>
      <c r="Y24" s="36" t="s">
        <v>71</v>
      </c>
      <c r="Z24" s="36" t="s">
        <v>71</v>
      </c>
      <c r="AA24" s="36" t="s">
        <v>71</v>
      </c>
      <c r="AB24" s="36" t="s">
        <v>71</v>
      </c>
      <c r="AC24" s="36" t="s">
        <v>71</v>
      </c>
      <c r="AD24" s="36" t="s">
        <v>71</v>
      </c>
      <c r="AE24" s="36">
        <v>1</v>
      </c>
      <c r="AF24" s="36">
        <v>0</v>
      </c>
      <c r="AG24" s="36">
        <v>0</v>
      </c>
      <c r="AH24" s="36">
        <v>1</v>
      </c>
      <c r="AI24" s="36">
        <v>0</v>
      </c>
      <c r="AJ24" s="25" t="s">
        <v>33</v>
      </c>
      <c r="AL24" t="str">
        <f t="shared" si="0"/>
        <v xml:space="preserve">    (U1)ALERT_REQ_UNKNOWN</v>
      </c>
      <c r="AR24" s="64" t="str">
        <f t="shared" si="3"/>
        <v xml:space="preserve">    (U4)0x00000012U,                                                           /* 18 UNKNOWN                                         */</v>
      </c>
      <c r="AS24" s="64" t="str">
        <f t="shared" si="4"/>
        <v xml:space="preserve">    (U4)0x0000001FU,                                                           /* 18 UNKNOWN                                         */</v>
      </c>
      <c r="AT24" s="64" t="str">
        <f t="shared" si="1"/>
        <v xml:space="preserve">    (U1)ALERT_REQ_UNKNOWN,                                                     /* 18 UNKNOWN                                         */</v>
      </c>
    </row>
    <row r="25" spans="2:49">
      <c r="B25" s="131"/>
      <c r="C25" s="50">
        <f t="shared" si="2"/>
        <v>19</v>
      </c>
      <c r="D25" s="36" t="s">
        <v>71</v>
      </c>
      <c r="E25" s="36" t="s">
        <v>71</v>
      </c>
      <c r="F25" s="36" t="s">
        <v>71</v>
      </c>
      <c r="G25" s="36" t="s">
        <v>71</v>
      </c>
      <c r="H25" s="36" t="s">
        <v>71</v>
      </c>
      <c r="I25" s="36" t="s">
        <v>71</v>
      </c>
      <c r="J25" s="36" t="s">
        <v>71</v>
      </c>
      <c r="K25" s="36" t="s">
        <v>71</v>
      </c>
      <c r="L25" s="36" t="s">
        <v>71</v>
      </c>
      <c r="M25" s="36" t="s">
        <v>71</v>
      </c>
      <c r="N25" s="36" t="s">
        <v>71</v>
      </c>
      <c r="O25" s="36" t="s">
        <v>71</v>
      </c>
      <c r="P25" s="36" t="s">
        <v>71</v>
      </c>
      <c r="Q25" s="36" t="s">
        <v>71</v>
      </c>
      <c r="R25" s="36" t="s">
        <v>71</v>
      </c>
      <c r="S25" s="36" t="s">
        <v>71</v>
      </c>
      <c r="T25" s="36" t="s">
        <v>71</v>
      </c>
      <c r="U25" s="36" t="s">
        <v>71</v>
      </c>
      <c r="V25" s="36" t="s">
        <v>71</v>
      </c>
      <c r="W25" s="36" t="s">
        <v>71</v>
      </c>
      <c r="X25" s="36" t="s">
        <v>71</v>
      </c>
      <c r="Y25" s="36" t="s">
        <v>71</v>
      </c>
      <c r="Z25" s="36" t="s">
        <v>71</v>
      </c>
      <c r="AA25" s="36" t="s">
        <v>71</v>
      </c>
      <c r="AB25" s="36" t="s">
        <v>71</v>
      </c>
      <c r="AC25" s="36" t="s">
        <v>71</v>
      </c>
      <c r="AD25" s="36" t="s">
        <v>71</v>
      </c>
      <c r="AE25" s="36">
        <v>1</v>
      </c>
      <c r="AF25" s="36">
        <v>0</v>
      </c>
      <c r="AG25" s="36">
        <v>0</v>
      </c>
      <c r="AH25" s="36">
        <v>1</v>
      </c>
      <c r="AI25" s="36">
        <v>1</v>
      </c>
      <c r="AJ25" s="25" t="s">
        <v>33</v>
      </c>
      <c r="AL25" t="str">
        <f t="shared" si="0"/>
        <v xml:space="preserve">    (U1)ALERT_REQ_UNKNOWN</v>
      </c>
      <c r="AR25" s="64" t="str">
        <f t="shared" si="3"/>
        <v xml:space="preserve">    (U4)0x00000013U,                                                           /* 19 UNKNOWN                                         */</v>
      </c>
      <c r="AS25" s="64" t="str">
        <f t="shared" si="4"/>
        <v xml:space="preserve">    (U4)0x0000001FU,                                                           /* 19 UNKNOWN                                         */</v>
      </c>
      <c r="AT25" s="64" t="str">
        <f t="shared" si="1"/>
        <v xml:space="preserve">    (U1)ALERT_REQ_UNKNOWN,                                                     /* 19 UNKNOWN                                         */</v>
      </c>
    </row>
    <row r="26" spans="2:49">
      <c r="B26" s="131"/>
      <c r="C26" s="50">
        <f t="shared" si="2"/>
        <v>20</v>
      </c>
      <c r="D26" s="36" t="s">
        <v>71</v>
      </c>
      <c r="E26" s="36" t="s">
        <v>71</v>
      </c>
      <c r="F26" s="36" t="s">
        <v>71</v>
      </c>
      <c r="G26" s="36" t="s">
        <v>71</v>
      </c>
      <c r="H26" s="36" t="s">
        <v>71</v>
      </c>
      <c r="I26" s="36" t="s">
        <v>71</v>
      </c>
      <c r="J26" s="36" t="s">
        <v>71</v>
      </c>
      <c r="K26" s="36" t="s">
        <v>71</v>
      </c>
      <c r="L26" s="36" t="s">
        <v>71</v>
      </c>
      <c r="M26" s="36" t="s">
        <v>71</v>
      </c>
      <c r="N26" s="36" t="s">
        <v>71</v>
      </c>
      <c r="O26" s="36" t="s">
        <v>71</v>
      </c>
      <c r="P26" s="36" t="s">
        <v>71</v>
      </c>
      <c r="Q26" s="36" t="s">
        <v>71</v>
      </c>
      <c r="R26" s="36" t="s">
        <v>71</v>
      </c>
      <c r="S26" s="36" t="s">
        <v>71</v>
      </c>
      <c r="T26" s="36" t="s">
        <v>71</v>
      </c>
      <c r="U26" s="36" t="s">
        <v>71</v>
      </c>
      <c r="V26" s="36" t="s">
        <v>71</v>
      </c>
      <c r="W26" s="36" t="s">
        <v>71</v>
      </c>
      <c r="X26" s="36" t="s">
        <v>71</v>
      </c>
      <c r="Y26" s="36" t="s">
        <v>71</v>
      </c>
      <c r="Z26" s="36" t="s">
        <v>71</v>
      </c>
      <c r="AA26" s="36" t="s">
        <v>71</v>
      </c>
      <c r="AB26" s="36" t="s">
        <v>71</v>
      </c>
      <c r="AC26" s="36" t="s">
        <v>71</v>
      </c>
      <c r="AD26" s="36" t="s">
        <v>71</v>
      </c>
      <c r="AE26" s="36">
        <v>1</v>
      </c>
      <c r="AF26" s="36">
        <v>0</v>
      </c>
      <c r="AG26" s="36">
        <v>1</v>
      </c>
      <c r="AH26" s="36">
        <v>0</v>
      </c>
      <c r="AI26" s="36">
        <v>0</v>
      </c>
      <c r="AJ26" s="25" t="s">
        <v>33</v>
      </c>
      <c r="AL26" t="str">
        <f t="shared" si="0"/>
        <v xml:space="preserve">    (U1)ALERT_REQ_UNKNOWN</v>
      </c>
      <c r="AR26" s="64" t="str">
        <f t="shared" si="3"/>
        <v xml:space="preserve">    (U4)0x00000014U,                                                           /* 20 UNKNOWN                                         */</v>
      </c>
      <c r="AS26" s="64" t="str">
        <f t="shared" si="4"/>
        <v xml:space="preserve">    (U4)0x0000001FU,                                                           /* 20 UNKNOWN                                         */</v>
      </c>
      <c r="AT26" s="64" t="str">
        <f t="shared" si="1"/>
        <v xml:space="preserve">    (U1)ALERT_REQ_UNKNOWN,                                                     /* 20 UNKNOWN                                         */</v>
      </c>
    </row>
    <row r="27" spans="2:49">
      <c r="B27" s="131"/>
      <c r="C27" s="50">
        <f t="shared" si="2"/>
        <v>21</v>
      </c>
      <c r="D27" s="36" t="s">
        <v>71</v>
      </c>
      <c r="E27" s="36" t="s">
        <v>71</v>
      </c>
      <c r="F27" s="36" t="s">
        <v>71</v>
      </c>
      <c r="G27" s="36" t="s">
        <v>71</v>
      </c>
      <c r="H27" s="36" t="s">
        <v>71</v>
      </c>
      <c r="I27" s="36" t="s">
        <v>71</v>
      </c>
      <c r="J27" s="36" t="s">
        <v>71</v>
      </c>
      <c r="K27" s="36" t="s">
        <v>71</v>
      </c>
      <c r="L27" s="36" t="s">
        <v>71</v>
      </c>
      <c r="M27" s="36" t="s">
        <v>71</v>
      </c>
      <c r="N27" s="36" t="s">
        <v>71</v>
      </c>
      <c r="O27" s="36" t="s">
        <v>71</v>
      </c>
      <c r="P27" s="36" t="s">
        <v>71</v>
      </c>
      <c r="Q27" s="36" t="s">
        <v>71</v>
      </c>
      <c r="R27" s="36" t="s">
        <v>71</v>
      </c>
      <c r="S27" s="36" t="s">
        <v>71</v>
      </c>
      <c r="T27" s="36" t="s">
        <v>71</v>
      </c>
      <c r="U27" s="36" t="s">
        <v>71</v>
      </c>
      <c r="V27" s="36" t="s">
        <v>71</v>
      </c>
      <c r="W27" s="36" t="s">
        <v>71</v>
      </c>
      <c r="X27" s="36" t="s">
        <v>71</v>
      </c>
      <c r="Y27" s="36" t="s">
        <v>71</v>
      </c>
      <c r="Z27" s="36" t="s">
        <v>71</v>
      </c>
      <c r="AA27" s="36" t="s">
        <v>71</v>
      </c>
      <c r="AB27" s="36" t="s">
        <v>71</v>
      </c>
      <c r="AC27" s="36" t="s">
        <v>71</v>
      </c>
      <c r="AD27" s="36" t="s">
        <v>71</v>
      </c>
      <c r="AE27" s="36">
        <v>1</v>
      </c>
      <c r="AF27" s="36">
        <v>0</v>
      </c>
      <c r="AG27" s="36">
        <v>1</v>
      </c>
      <c r="AH27" s="36">
        <v>0</v>
      </c>
      <c r="AI27" s="36">
        <v>1</v>
      </c>
      <c r="AJ27" s="25" t="s">
        <v>33</v>
      </c>
      <c r="AL27" t="str">
        <f t="shared" si="0"/>
        <v xml:space="preserve">    (U1)ALERT_REQ_UNKNOWN</v>
      </c>
      <c r="AR27" s="64" t="str">
        <f t="shared" si="3"/>
        <v xml:space="preserve">    (U4)0x00000015U,                                                           /* 21 UNKNOWN                                         */</v>
      </c>
      <c r="AS27" s="64" t="str">
        <f t="shared" si="4"/>
        <v xml:space="preserve">    (U4)0x0000001FU,                                                           /* 21 UNKNOWN                                         */</v>
      </c>
      <c r="AT27" s="64" t="str">
        <f t="shared" si="1"/>
        <v xml:space="preserve">    (U1)ALERT_REQ_UNKNOWN,                                                     /* 21 UNKNOWN                                         */</v>
      </c>
    </row>
    <row r="28" spans="2:49">
      <c r="B28" s="131"/>
      <c r="C28" s="50">
        <f t="shared" si="2"/>
        <v>22</v>
      </c>
      <c r="D28" s="36" t="s">
        <v>71</v>
      </c>
      <c r="E28" s="36" t="s">
        <v>71</v>
      </c>
      <c r="F28" s="36" t="s">
        <v>71</v>
      </c>
      <c r="G28" s="36" t="s">
        <v>71</v>
      </c>
      <c r="H28" s="36" t="s">
        <v>71</v>
      </c>
      <c r="I28" s="36" t="s">
        <v>71</v>
      </c>
      <c r="J28" s="36" t="s">
        <v>71</v>
      </c>
      <c r="K28" s="36" t="s">
        <v>71</v>
      </c>
      <c r="L28" s="36" t="s">
        <v>71</v>
      </c>
      <c r="M28" s="36" t="s">
        <v>71</v>
      </c>
      <c r="N28" s="36" t="s">
        <v>71</v>
      </c>
      <c r="O28" s="36" t="s">
        <v>71</v>
      </c>
      <c r="P28" s="36" t="s">
        <v>71</v>
      </c>
      <c r="Q28" s="36" t="s">
        <v>71</v>
      </c>
      <c r="R28" s="36" t="s">
        <v>71</v>
      </c>
      <c r="S28" s="36" t="s">
        <v>71</v>
      </c>
      <c r="T28" s="36" t="s">
        <v>71</v>
      </c>
      <c r="U28" s="36" t="s">
        <v>71</v>
      </c>
      <c r="V28" s="36" t="s">
        <v>71</v>
      </c>
      <c r="W28" s="36" t="s">
        <v>71</v>
      </c>
      <c r="X28" s="36" t="s">
        <v>71</v>
      </c>
      <c r="Y28" s="36" t="s">
        <v>71</v>
      </c>
      <c r="Z28" s="36" t="s">
        <v>71</v>
      </c>
      <c r="AA28" s="36" t="s">
        <v>71</v>
      </c>
      <c r="AB28" s="36" t="s">
        <v>71</v>
      </c>
      <c r="AC28" s="36" t="s">
        <v>71</v>
      </c>
      <c r="AD28" s="36" t="s">
        <v>71</v>
      </c>
      <c r="AE28" s="36">
        <v>1</v>
      </c>
      <c r="AF28" s="36">
        <v>0</v>
      </c>
      <c r="AG28" s="36">
        <v>1</v>
      </c>
      <c r="AH28" s="36">
        <v>1</v>
      </c>
      <c r="AI28" s="36">
        <v>0</v>
      </c>
      <c r="AJ28" s="25" t="s">
        <v>33</v>
      </c>
      <c r="AL28" t="str">
        <f t="shared" si="0"/>
        <v xml:space="preserve">    (U1)ALERT_REQ_UNKNOWN</v>
      </c>
      <c r="AR28" s="64" t="str">
        <f t="shared" si="3"/>
        <v xml:space="preserve">    (U4)0x00000016U,                                                           /* 22 UNKNOWN                                         */</v>
      </c>
      <c r="AS28" s="64" t="str">
        <f t="shared" si="4"/>
        <v xml:space="preserve">    (U4)0x0000001FU,                                                           /* 22 UNKNOWN                                         */</v>
      </c>
      <c r="AT28" s="64" t="str">
        <f t="shared" si="1"/>
        <v xml:space="preserve">    (U1)ALERT_REQ_UNKNOWN,                                                     /* 22 UNKNOWN                                         */</v>
      </c>
    </row>
    <row r="29" spans="2:49">
      <c r="B29" s="131"/>
      <c r="C29" s="50">
        <f t="shared" si="2"/>
        <v>23</v>
      </c>
      <c r="D29" s="36" t="s">
        <v>71</v>
      </c>
      <c r="E29" s="36" t="s">
        <v>71</v>
      </c>
      <c r="F29" s="36" t="s">
        <v>71</v>
      </c>
      <c r="G29" s="36" t="s">
        <v>71</v>
      </c>
      <c r="H29" s="36" t="s">
        <v>71</v>
      </c>
      <c r="I29" s="36" t="s">
        <v>71</v>
      </c>
      <c r="J29" s="36" t="s">
        <v>71</v>
      </c>
      <c r="K29" s="36" t="s">
        <v>71</v>
      </c>
      <c r="L29" s="36" t="s">
        <v>71</v>
      </c>
      <c r="M29" s="36" t="s">
        <v>71</v>
      </c>
      <c r="N29" s="36" t="s">
        <v>71</v>
      </c>
      <c r="O29" s="36" t="s">
        <v>71</v>
      </c>
      <c r="P29" s="36" t="s">
        <v>71</v>
      </c>
      <c r="Q29" s="36" t="s">
        <v>71</v>
      </c>
      <c r="R29" s="36" t="s">
        <v>71</v>
      </c>
      <c r="S29" s="36" t="s">
        <v>71</v>
      </c>
      <c r="T29" s="36" t="s">
        <v>71</v>
      </c>
      <c r="U29" s="36" t="s">
        <v>71</v>
      </c>
      <c r="V29" s="36" t="s">
        <v>71</v>
      </c>
      <c r="W29" s="36" t="s">
        <v>71</v>
      </c>
      <c r="X29" s="36" t="s">
        <v>71</v>
      </c>
      <c r="Y29" s="36" t="s">
        <v>71</v>
      </c>
      <c r="Z29" s="36" t="s">
        <v>71</v>
      </c>
      <c r="AA29" s="36" t="s">
        <v>71</v>
      </c>
      <c r="AB29" s="36" t="s">
        <v>71</v>
      </c>
      <c r="AC29" s="36" t="s">
        <v>71</v>
      </c>
      <c r="AD29" s="36" t="s">
        <v>71</v>
      </c>
      <c r="AE29" s="36">
        <v>1</v>
      </c>
      <c r="AF29" s="36">
        <v>0</v>
      </c>
      <c r="AG29" s="36">
        <v>1</v>
      </c>
      <c r="AH29" s="36">
        <v>1</v>
      </c>
      <c r="AI29" s="36">
        <v>1</v>
      </c>
      <c r="AJ29" s="25" t="s">
        <v>33</v>
      </c>
      <c r="AL29" t="str">
        <f t="shared" si="0"/>
        <v xml:space="preserve">    (U1)ALERT_REQ_UNKNOWN</v>
      </c>
      <c r="AR29" s="64" t="str">
        <f t="shared" si="3"/>
        <v xml:space="preserve">    (U4)0x00000017U,                                                           /* 23 UNKNOWN                                         */</v>
      </c>
      <c r="AS29" s="64" t="str">
        <f t="shared" si="4"/>
        <v xml:space="preserve">    (U4)0x0000001FU,                                                           /* 23 UNKNOWN                                         */</v>
      </c>
      <c r="AT29" s="64" t="str">
        <f t="shared" si="1"/>
        <v xml:space="preserve">    (U1)ALERT_REQ_UNKNOWN,                                                     /* 23 UNKNOWN                                         */</v>
      </c>
    </row>
    <row r="30" spans="2:49">
      <c r="B30" s="131"/>
      <c r="C30" s="50">
        <f t="shared" si="2"/>
        <v>24</v>
      </c>
      <c r="D30" s="36" t="s">
        <v>71</v>
      </c>
      <c r="E30" s="36" t="s">
        <v>71</v>
      </c>
      <c r="F30" s="36" t="s">
        <v>71</v>
      </c>
      <c r="G30" s="36" t="s">
        <v>71</v>
      </c>
      <c r="H30" s="36" t="s">
        <v>71</v>
      </c>
      <c r="I30" s="36" t="s">
        <v>71</v>
      </c>
      <c r="J30" s="36" t="s">
        <v>71</v>
      </c>
      <c r="K30" s="36" t="s">
        <v>71</v>
      </c>
      <c r="L30" s="36" t="s">
        <v>71</v>
      </c>
      <c r="M30" s="36" t="s">
        <v>71</v>
      </c>
      <c r="N30" s="36" t="s">
        <v>71</v>
      </c>
      <c r="O30" s="36" t="s">
        <v>71</v>
      </c>
      <c r="P30" s="36" t="s">
        <v>71</v>
      </c>
      <c r="Q30" s="36" t="s">
        <v>71</v>
      </c>
      <c r="R30" s="36" t="s">
        <v>71</v>
      </c>
      <c r="S30" s="36" t="s">
        <v>71</v>
      </c>
      <c r="T30" s="36" t="s">
        <v>71</v>
      </c>
      <c r="U30" s="36" t="s">
        <v>71</v>
      </c>
      <c r="V30" s="36" t="s">
        <v>71</v>
      </c>
      <c r="W30" s="36" t="s">
        <v>71</v>
      </c>
      <c r="X30" s="36" t="s">
        <v>71</v>
      </c>
      <c r="Y30" s="36" t="s">
        <v>71</v>
      </c>
      <c r="Z30" s="36" t="s">
        <v>71</v>
      </c>
      <c r="AA30" s="36" t="s">
        <v>71</v>
      </c>
      <c r="AB30" s="36" t="s">
        <v>71</v>
      </c>
      <c r="AC30" s="36" t="s">
        <v>71</v>
      </c>
      <c r="AD30" s="36" t="s">
        <v>71</v>
      </c>
      <c r="AE30" s="36">
        <v>1</v>
      </c>
      <c r="AF30" s="36">
        <v>1</v>
      </c>
      <c r="AG30" s="36">
        <v>0</v>
      </c>
      <c r="AH30" s="36">
        <v>0</v>
      </c>
      <c r="AI30" s="36">
        <v>0</v>
      </c>
      <c r="AJ30" s="25" t="s">
        <v>33</v>
      </c>
      <c r="AL30" t="str">
        <f t="shared" si="0"/>
        <v xml:space="preserve">    (U1)ALERT_REQ_UNKNOWN</v>
      </c>
      <c r="AR30" s="64" t="str">
        <f t="shared" si="3"/>
        <v xml:space="preserve">    (U4)0x00000018U,                                                           /* 24 UNKNOWN                                         */</v>
      </c>
      <c r="AS30" s="64" t="str">
        <f t="shared" si="4"/>
        <v xml:space="preserve">    (U4)0x0000001FU,                                                           /* 24 UNKNOWN                                         */</v>
      </c>
      <c r="AT30" s="64" t="str">
        <f t="shared" si="1"/>
        <v xml:space="preserve">    (U1)ALERT_REQ_UNKNOWN,                                                     /* 24 UNKNOWN                                         */</v>
      </c>
    </row>
    <row r="31" spans="2:49">
      <c r="B31" s="131"/>
      <c r="C31" s="50">
        <f t="shared" si="2"/>
        <v>25</v>
      </c>
      <c r="D31" s="36" t="s">
        <v>71</v>
      </c>
      <c r="E31" s="36" t="s">
        <v>71</v>
      </c>
      <c r="F31" s="36" t="s">
        <v>71</v>
      </c>
      <c r="G31" s="36" t="s">
        <v>71</v>
      </c>
      <c r="H31" s="36" t="s">
        <v>71</v>
      </c>
      <c r="I31" s="36" t="s">
        <v>71</v>
      </c>
      <c r="J31" s="36" t="s">
        <v>71</v>
      </c>
      <c r="K31" s="36" t="s">
        <v>71</v>
      </c>
      <c r="L31" s="36" t="s">
        <v>71</v>
      </c>
      <c r="M31" s="36" t="s">
        <v>71</v>
      </c>
      <c r="N31" s="36" t="s">
        <v>71</v>
      </c>
      <c r="O31" s="36" t="s">
        <v>71</v>
      </c>
      <c r="P31" s="36" t="s">
        <v>71</v>
      </c>
      <c r="Q31" s="36" t="s">
        <v>71</v>
      </c>
      <c r="R31" s="36" t="s">
        <v>71</v>
      </c>
      <c r="S31" s="36" t="s">
        <v>71</v>
      </c>
      <c r="T31" s="36" t="s">
        <v>71</v>
      </c>
      <c r="U31" s="36" t="s">
        <v>71</v>
      </c>
      <c r="V31" s="36" t="s">
        <v>71</v>
      </c>
      <c r="W31" s="36" t="s">
        <v>71</v>
      </c>
      <c r="X31" s="36" t="s">
        <v>71</v>
      </c>
      <c r="Y31" s="36" t="s">
        <v>71</v>
      </c>
      <c r="Z31" s="36" t="s">
        <v>71</v>
      </c>
      <c r="AA31" s="36" t="s">
        <v>71</v>
      </c>
      <c r="AB31" s="36" t="s">
        <v>71</v>
      </c>
      <c r="AC31" s="36" t="s">
        <v>71</v>
      </c>
      <c r="AD31" s="36" t="s">
        <v>71</v>
      </c>
      <c r="AE31" s="36">
        <v>1</v>
      </c>
      <c r="AF31" s="36">
        <v>1</v>
      </c>
      <c r="AG31" s="36">
        <v>0</v>
      </c>
      <c r="AH31" s="36">
        <v>0</v>
      </c>
      <c r="AI31" s="36">
        <v>1</v>
      </c>
      <c r="AJ31" s="25" t="s">
        <v>33</v>
      </c>
      <c r="AL31" t="str">
        <f t="shared" si="0"/>
        <v xml:space="preserve">    (U1)ALERT_REQ_UNKNOWN</v>
      </c>
      <c r="AR31" s="64" t="str">
        <f t="shared" si="3"/>
        <v xml:space="preserve">    (U4)0x00000019U,                                                           /* 25 UNKNOWN                                         */</v>
      </c>
      <c r="AS31" s="64" t="str">
        <f t="shared" si="4"/>
        <v xml:space="preserve">    (U4)0x0000001FU,                                                           /* 25 UNKNOWN                                         */</v>
      </c>
      <c r="AT31" s="64" t="str">
        <f t="shared" si="1"/>
        <v xml:space="preserve">    (U1)ALERT_REQ_UNKNOWN,                                                     /* 25 UNKNOWN                                         */</v>
      </c>
    </row>
    <row r="32" spans="2:49">
      <c r="B32" s="131"/>
      <c r="C32" s="50">
        <f t="shared" si="2"/>
        <v>26</v>
      </c>
      <c r="D32" s="36" t="s">
        <v>71</v>
      </c>
      <c r="E32" s="36" t="s">
        <v>71</v>
      </c>
      <c r="F32" s="36" t="s">
        <v>71</v>
      </c>
      <c r="G32" s="36" t="s">
        <v>71</v>
      </c>
      <c r="H32" s="36" t="s">
        <v>71</v>
      </c>
      <c r="I32" s="36" t="s">
        <v>71</v>
      </c>
      <c r="J32" s="36" t="s">
        <v>71</v>
      </c>
      <c r="K32" s="36" t="s">
        <v>71</v>
      </c>
      <c r="L32" s="36" t="s">
        <v>71</v>
      </c>
      <c r="M32" s="36" t="s">
        <v>71</v>
      </c>
      <c r="N32" s="36" t="s">
        <v>71</v>
      </c>
      <c r="O32" s="36" t="s">
        <v>71</v>
      </c>
      <c r="P32" s="36" t="s">
        <v>71</v>
      </c>
      <c r="Q32" s="36" t="s">
        <v>71</v>
      </c>
      <c r="R32" s="36" t="s">
        <v>71</v>
      </c>
      <c r="S32" s="36" t="s">
        <v>71</v>
      </c>
      <c r="T32" s="36" t="s">
        <v>71</v>
      </c>
      <c r="U32" s="36" t="s">
        <v>71</v>
      </c>
      <c r="V32" s="36" t="s">
        <v>71</v>
      </c>
      <c r="W32" s="36" t="s">
        <v>71</v>
      </c>
      <c r="X32" s="36" t="s">
        <v>71</v>
      </c>
      <c r="Y32" s="36" t="s">
        <v>71</v>
      </c>
      <c r="Z32" s="36" t="s">
        <v>71</v>
      </c>
      <c r="AA32" s="36" t="s">
        <v>71</v>
      </c>
      <c r="AB32" s="36" t="s">
        <v>71</v>
      </c>
      <c r="AC32" s="36" t="s">
        <v>71</v>
      </c>
      <c r="AD32" s="36" t="s">
        <v>71</v>
      </c>
      <c r="AE32" s="36">
        <v>1</v>
      </c>
      <c r="AF32" s="36">
        <v>1</v>
      </c>
      <c r="AG32" s="36">
        <v>0</v>
      </c>
      <c r="AH32" s="36">
        <v>1</v>
      </c>
      <c r="AI32" s="36">
        <v>0</v>
      </c>
      <c r="AJ32" s="25" t="s">
        <v>33</v>
      </c>
      <c r="AL32" t="str">
        <f t="shared" si="0"/>
        <v xml:space="preserve">    (U1)ALERT_REQ_UNKNOWN</v>
      </c>
      <c r="AR32" s="64" t="str">
        <f t="shared" si="3"/>
        <v xml:space="preserve">    (U4)0x0000001AU,                                                           /* 26 UNKNOWN                                         */</v>
      </c>
      <c r="AS32" s="64" t="str">
        <f t="shared" si="4"/>
        <v xml:space="preserve">    (U4)0x0000001FU,                                                           /* 26 UNKNOWN                                         */</v>
      </c>
      <c r="AT32" s="64" t="str">
        <f t="shared" si="1"/>
        <v xml:space="preserve">    (U1)ALERT_REQ_UNKNOWN,                                                     /* 26 UNKNOWN                                         */</v>
      </c>
    </row>
    <row r="33" spans="2:46">
      <c r="B33" s="131"/>
      <c r="C33" s="50">
        <f t="shared" si="2"/>
        <v>27</v>
      </c>
      <c r="D33" s="36" t="s">
        <v>71</v>
      </c>
      <c r="E33" s="36" t="s">
        <v>71</v>
      </c>
      <c r="F33" s="36" t="s">
        <v>71</v>
      </c>
      <c r="G33" s="36" t="s">
        <v>71</v>
      </c>
      <c r="H33" s="36" t="s">
        <v>71</v>
      </c>
      <c r="I33" s="36" t="s">
        <v>71</v>
      </c>
      <c r="J33" s="36" t="s">
        <v>71</v>
      </c>
      <c r="K33" s="36" t="s">
        <v>71</v>
      </c>
      <c r="L33" s="36" t="s">
        <v>71</v>
      </c>
      <c r="M33" s="36" t="s">
        <v>71</v>
      </c>
      <c r="N33" s="36" t="s">
        <v>71</v>
      </c>
      <c r="O33" s="36" t="s">
        <v>71</v>
      </c>
      <c r="P33" s="36" t="s">
        <v>71</v>
      </c>
      <c r="Q33" s="36" t="s">
        <v>71</v>
      </c>
      <c r="R33" s="36" t="s">
        <v>71</v>
      </c>
      <c r="S33" s="36" t="s">
        <v>71</v>
      </c>
      <c r="T33" s="36" t="s">
        <v>71</v>
      </c>
      <c r="U33" s="36" t="s">
        <v>71</v>
      </c>
      <c r="V33" s="36" t="s">
        <v>71</v>
      </c>
      <c r="W33" s="36" t="s">
        <v>71</v>
      </c>
      <c r="X33" s="36" t="s">
        <v>71</v>
      </c>
      <c r="Y33" s="36" t="s">
        <v>71</v>
      </c>
      <c r="Z33" s="36" t="s">
        <v>71</v>
      </c>
      <c r="AA33" s="36" t="s">
        <v>71</v>
      </c>
      <c r="AB33" s="36" t="s">
        <v>71</v>
      </c>
      <c r="AC33" s="36" t="s">
        <v>71</v>
      </c>
      <c r="AD33" s="36" t="s">
        <v>71</v>
      </c>
      <c r="AE33" s="36">
        <v>1</v>
      </c>
      <c r="AF33" s="36">
        <v>1</v>
      </c>
      <c r="AG33" s="36">
        <v>0</v>
      </c>
      <c r="AH33" s="36">
        <v>1</v>
      </c>
      <c r="AI33" s="36">
        <v>1</v>
      </c>
      <c r="AJ33" s="25" t="s">
        <v>33</v>
      </c>
      <c r="AL33" t="str">
        <f t="shared" si="0"/>
        <v xml:space="preserve">    (U1)ALERT_REQ_UNKNOWN</v>
      </c>
      <c r="AR33" s="64" t="str">
        <f t="shared" si="3"/>
        <v xml:space="preserve">    (U4)0x0000001BU,                                                           /* 27 UNKNOWN                                         */</v>
      </c>
      <c r="AS33" s="64" t="str">
        <f t="shared" si="4"/>
        <v xml:space="preserve">    (U4)0x0000001FU,                                                           /* 27 UNKNOWN                                         */</v>
      </c>
      <c r="AT33" s="64" t="str">
        <f t="shared" si="1"/>
        <v xml:space="preserve">    (U1)ALERT_REQ_UNKNOWN,                                                     /* 27 UNKNOWN                                         */</v>
      </c>
    </row>
    <row r="34" spans="2:46">
      <c r="B34" s="131"/>
      <c r="C34" s="50">
        <f t="shared" si="2"/>
        <v>28</v>
      </c>
      <c r="D34" s="36" t="s">
        <v>71</v>
      </c>
      <c r="E34" s="36" t="s">
        <v>71</v>
      </c>
      <c r="F34" s="36" t="s">
        <v>71</v>
      </c>
      <c r="G34" s="36" t="s">
        <v>71</v>
      </c>
      <c r="H34" s="36" t="s">
        <v>71</v>
      </c>
      <c r="I34" s="36" t="s">
        <v>71</v>
      </c>
      <c r="J34" s="36" t="s">
        <v>71</v>
      </c>
      <c r="K34" s="36" t="s">
        <v>71</v>
      </c>
      <c r="L34" s="36" t="s">
        <v>71</v>
      </c>
      <c r="M34" s="36" t="s">
        <v>71</v>
      </c>
      <c r="N34" s="36" t="s">
        <v>71</v>
      </c>
      <c r="O34" s="36" t="s">
        <v>71</v>
      </c>
      <c r="P34" s="36" t="s">
        <v>71</v>
      </c>
      <c r="Q34" s="36" t="s">
        <v>71</v>
      </c>
      <c r="R34" s="36" t="s">
        <v>71</v>
      </c>
      <c r="S34" s="36" t="s">
        <v>71</v>
      </c>
      <c r="T34" s="36" t="s">
        <v>71</v>
      </c>
      <c r="U34" s="36" t="s">
        <v>71</v>
      </c>
      <c r="V34" s="36" t="s">
        <v>71</v>
      </c>
      <c r="W34" s="36" t="s">
        <v>71</v>
      </c>
      <c r="X34" s="36" t="s">
        <v>71</v>
      </c>
      <c r="Y34" s="36" t="s">
        <v>71</v>
      </c>
      <c r="Z34" s="36" t="s">
        <v>71</v>
      </c>
      <c r="AA34" s="36" t="s">
        <v>71</v>
      </c>
      <c r="AB34" s="36" t="s">
        <v>71</v>
      </c>
      <c r="AC34" s="36" t="s">
        <v>71</v>
      </c>
      <c r="AD34" s="36" t="s">
        <v>71</v>
      </c>
      <c r="AE34" s="36">
        <v>1</v>
      </c>
      <c r="AF34" s="36">
        <v>1</v>
      </c>
      <c r="AG34" s="36">
        <v>1</v>
      </c>
      <c r="AH34" s="36">
        <v>0</v>
      </c>
      <c r="AI34" s="36">
        <v>0</v>
      </c>
      <c r="AJ34" s="25" t="s">
        <v>33</v>
      </c>
      <c r="AL34" t="str">
        <f t="shared" si="0"/>
        <v xml:space="preserve">    (U1)ALERT_REQ_UNKNOWN</v>
      </c>
      <c r="AR34" s="64" t="str">
        <f t="shared" si="3"/>
        <v xml:space="preserve">    (U4)0x0000001CU,                                                           /* 28 UNKNOWN                                         */</v>
      </c>
      <c r="AS34" s="64" t="str">
        <f t="shared" si="4"/>
        <v xml:space="preserve">    (U4)0x0000001FU,                                                           /* 28 UNKNOWN                                         */</v>
      </c>
      <c r="AT34" s="64" t="str">
        <f t="shared" si="1"/>
        <v xml:space="preserve">    (U1)ALERT_REQ_UNKNOWN,                                                     /* 28 UNKNOWN                                         */</v>
      </c>
    </row>
    <row r="35" spans="2:46">
      <c r="B35" s="131"/>
      <c r="C35" s="50">
        <f t="shared" si="2"/>
        <v>29</v>
      </c>
      <c r="D35" s="36" t="s">
        <v>71</v>
      </c>
      <c r="E35" s="36" t="s">
        <v>71</v>
      </c>
      <c r="F35" s="36" t="s">
        <v>71</v>
      </c>
      <c r="G35" s="36" t="s">
        <v>71</v>
      </c>
      <c r="H35" s="36" t="s">
        <v>71</v>
      </c>
      <c r="I35" s="36" t="s">
        <v>71</v>
      </c>
      <c r="J35" s="36" t="s">
        <v>71</v>
      </c>
      <c r="K35" s="36" t="s">
        <v>71</v>
      </c>
      <c r="L35" s="36" t="s">
        <v>71</v>
      </c>
      <c r="M35" s="36" t="s">
        <v>71</v>
      </c>
      <c r="N35" s="36" t="s">
        <v>71</v>
      </c>
      <c r="O35" s="36" t="s">
        <v>71</v>
      </c>
      <c r="P35" s="36" t="s">
        <v>71</v>
      </c>
      <c r="Q35" s="36" t="s">
        <v>71</v>
      </c>
      <c r="R35" s="36" t="s">
        <v>71</v>
      </c>
      <c r="S35" s="36" t="s">
        <v>71</v>
      </c>
      <c r="T35" s="36" t="s">
        <v>71</v>
      </c>
      <c r="U35" s="36" t="s">
        <v>71</v>
      </c>
      <c r="V35" s="36" t="s">
        <v>71</v>
      </c>
      <c r="W35" s="36" t="s">
        <v>71</v>
      </c>
      <c r="X35" s="36" t="s">
        <v>71</v>
      </c>
      <c r="Y35" s="36" t="s">
        <v>71</v>
      </c>
      <c r="Z35" s="36" t="s">
        <v>71</v>
      </c>
      <c r="AA35" s="36" t="s">
        <v>71</v>
      </c>
      <c r="AB35" s="36" t="s">
        <v>71</v>
      </c>
      <c r="AC35" s="36" t="s">
        <v>71</v>
      </c>
      <c r="AD35" s="36" t="s">
        <v>71</v>
      </c>
      <c r="AE35" s="36">
        <v>1</v>
      </c>
      <c r="AF35" s="36">
        <v>1</v>
      </c>
      <c r="AG35" s="36">
        <v>1</v>
      </c>
      <c r="AH35" s="36">
        <v>0</v>
      </c>
      <c r="AI35" s="36">
        <v>1</v>
      </c>
      <c r="AJ35" s="25" t="s">
        <v>33</v>
      </c>
      <c r="AL35" t="str">
        <f t="shared" si="0"/>
        <v xml:space="preserve">    (U1)ALERT_REQ_UNKNOWN</v>
      </c>
      <c r="AR35" s="64" t="str">
        <f t="shared" si="3"/>
        <v xml:space="preserve">    (U4)0x0000001DU,                                                           /* 29 UNKNOWN                                         */</v>
      </c>
      <c r="AS35" s="64" t="str">
        <f t="shared" si="4"/>
        <v xml:space="preserve">    (U4)0x0000001FU,                                                           /* 29 UNKNOWN                                         */</v>
      </c>
      <c r="AT35" s="64" t="str">
        <f t="shared" si="1"/>
        <v xml:space="preserve">    (U1)ALERT_REQ_UNKNOWN,                                                     /* 29 UNKNOWN                                         */</v>
      </c>
    </row>
    <row r="36" spans="2:46">
      <c r="B36" s="131"/>
      <c r="C36" s="50">
        <f t="shared" si="2"/>
        <v>30</v>
      </c>
      <c r="D36" s="36" t="s">
        <v>71</v>
      </c>
      <c r="E36" s="36" t="s">
        <v>71</v>
      </c>
      <c r="F36" s="36" t="s">
        <v>71</v>
      </c>
      <c r="G36" s="36" t="s">
        <v>71</v>
      </c>
      <c r="H36" s="36" t="s">
        <v>71</v>
      </c>
      <c r="I36" s="36" t="s">
        <v>71</v>
      </c>
      <c r="J36" s="36" t="s">
        <v>71</v>
      </c>
      <c r="K36" s="36" t="s">
        <v>71</v>
      </c>
      <c r="L36" s="36" t="s">
        <v>71</v>
      </c>
      <c r="M36" s="36" t="s">
        <v>71</v>
      </c>
      <c r="N36" s="36" t="s">
        <v>71</v>
      </c>
      <c r="O36" s="36" t="s">
        <v>71</v>
      </c>
      <c r="P36" s="36" t="s">
        <v>71</v>
      </c>
      <c r="Q36" s="36" t="s">
        <v>71</v>
      </c>
      <c r="R36" s="36" t="s">
        <v>71</v>
      </c>
      <c r="S36" s="36" t="s">
        <v>71</v>
      </c>
      <c r="T36" s="36" t="s">
        <v>71</v>
      </c>
      <c r="U36" s="36" t="s">
        <v>71</v>
      </c>
      <c r="V36" s="36" t="s">
        <v>71</v>
      </c>
      <c r="W36" s="36" t="s">
        <v>71</v>
      </c>
      <c r="X36" s="36" t="s">
        <v>71</v>
      </c>
      <c r="Y36" s="36" t="s">
        <v>71</v>
      </c>
      <c r="Z36" s="36" t="s">
        <v>71</v>
      </c>
      <c r="AA36" s="36" t="s">
        <v>71</v>
      </c>
      <c r="AB36" s="36" t="s">
        <v>71</v>
      </c>
      <c r="AC36" s="36" t="s">
        <v>71</v>
      </c>
      <c r="AD36" s="36" t="s">
        <v>71</v>
      </c>
      <c r="AE36" s="36">
        <v>1</v>
      </c>
      <c r="AF36" s="36">
        <v>1</v>
      </c>
      <c r="AG36" s="36">
        <v>1</v>
      </c>
      <c r="AH36" s="36">
        <v>1</v>
      </c>
      <c r="AI36" s="36">
        <v>0</v>
      </c>
      <c r="AJ36" s="25" t="s">
        <v>33</v>
      </c>
      <c r="AL36" t="str">
        <f t="shared" si="0"/>
        <v xml:space="preserve">    (U1)ALERT_REQ_UNKNOWN</v>
      </c>
      <c r="AR36" s="64" t="str">
        <f t="shared" si="3"/>
        <v xml:space="preserve">    (U4)0x0000001EU,                                                           /* 30 UNKNOWN                                         */</v>
      </c>
      <c r="AS36" s="64" t="str">
        <f t="shared" si="4"/>
        <v xml:space="preserve">    (U4)0x0000001FU,                                                           /* 30 UNKNOWN                                         */</v>
      </c>
      <c r="AT36" s="64" t="str">
        <f t="shared" si="1"/>
        <v xml:space="preserve">    (U1)ALERT_REQ_UNKNOWN,                                                     /* 30 UNKNOWN                                         */</v>
      </c>
    </row>
    <row r="37" spans="2:46">
      <c r="B37" s="131"/>
      <c r="C37" s="50">
        <f t="shared" si="2"/>
        <v>31</v>
      </c>
      <c r="D37" s="36" t="s">
        <v>71</v>
      </c>
      <c r="E37" s="36" t="s">
        <v>71</v>
      </c>
      <c r="F37" s="36" t="s">
        <v>71</v>
      </c>
      <c r="G37" s="36" t="s">
        <v>71</v>
      </c>
      <c r="H37" s="36" t="s">
        <v>71</v>
      </c>
      <c r="I37" s="36" t="s">
        <v>71</v>
      </c>
      <c r="J37" s="36" t="s">
        <v>71</v>
      </c>
      <c r="K37" s="36" t="s">
        <v>71</v>
      </c>
      <c r="L37" s="36" t="s">
        <v>71</v>
      </c>
      <c r="M37" s="36" t="s">
        <v>71</v>
      </c>
      <c r="N37" s="36" t="s">
        <v>71</v>
      </c>
      <c r="O37" s="36" t="s">
        <v>71</v>
      </c>
      <c r="P37" s="36" t="s">
        <v>71</v>
      </c>
      <c r="Q37" s="36" t="s">
        <v>71</v>
      </c>
      <c r="R37" s="36" t="s">
        <v>71</v>
      </c>
      <c r="S37" s="36" t="s">
        <v>71</v>
      </c>
      <c r="T37" s="36" t="s">
        <v>71</v>
      </c>
      <c r="U37" s="36" t="s">
        <v>71</v>
      </c>
      <c r="V37" s="36" t="s">
        <v>71</v>
      </c>
      <c r="W37" s="36" t="s">
        <v>71</v>
      </c>
      <c r="X37" s="36" t="s">
        <v>71</v>
      </c>
      <c r="Y37" s="36" t="s">
        <v>71</v>
      </c>
      <c r="Z37" s="36" t="s">
        <v>71</v>
      </c>
      <c r="AA37" s="36" t="s">
        <v>71</v>
      </c>
      <c r="AB37" s="36" t="s">
        <v>71</v>
      </c>
      <c r="AC37" s="36" t="s">
        <v>71</v>
      </c>
      <c r="AD37" s="36" t="s">
        <v>71</v>
      </c>
      <c r="AE37" s="36">
        <v>1</v>
      </c>
      <c r="AF37" s="36">
        <v>1</v>
      </c>
      <c r="AG37" s="36">
        <v>1</v>
      </c>
      <c r="AH37" s="36">
        <v>1</v>
      </c>
      <c r="AI37" s="36">
        <v>1</v>
      </c>
      <c r="AJ37" s="25" t="s">
        <v>33</v>
      </c>
      <c r="AL37" t="str">
        <f t="shared" si="0"/>
        <v xml:space="preserve">    (U1)ALERT_REQ_UNKNOWN</v>
      </c>
      <c r="AR37" s="64" t="str">
        <f t="shared" si="3"/>
        <v xml:space="preserve">    (U4)0x0000001FU                                                            /* 31 UNKNOWN                                         */</v>
      </c>
      <c r="AS37" s="64" t="str">
        <f t="shared" si="4"/>
        <v xml:space="preserve">    (U4)0x0000001FU                                                            /* 31 UNKNOWN                                         */</v>
      </c>
      <c r="AT37" s="64" t="str">
        <f t="shared" si="1"/>
        <v xml:space="preserve">    (U1)ALERT_REQ_UNKNOWN                                                      /* 31 UNKNOWN                                         */</v>
      </c>
    </row>
    <row r="38" spans="2:46">
      <c r="B38" s="131"/>
      <c r="C38" s="50">
        <f t="shared" si="2"/>
        <v>32</v>
      </c>
      <c r="D38" s="36" t="s">
        <v>71</v>
      </c>
      <c r="E38" s="36" t="s">
        <v>71</v>
      </c>
      <c r="F38" s="36" t="s">
        <v>71</v>
      </c>
      <c r="G38" s="36" t="s">
        <v>71</v>
      </c>
      <c r="H38" s="36" t="s">
        <v>71</v>
      </c>
      <c r="I38" s="36" t="s">
        <v>71</v>
      </c>
      <c r="J38" s="36" t="s">
        <v>71</v>
      </c>
      <c r="K38" s="36" t="s">
        <v>71</v>
      </c>
      <c r="L38" s="36" t="s">
        <v>71</v>
      </c>
      <c r="M38" s="36" t="s">
        <v>71</v>
      </c>
      <c r="N38" s="36" t="s">
        <v>71</v>
      </c>
      <c r="O38" s="36" t="s">
        <v>71</v>
      </c>
      <c r="P38" s="36" t="s">
        <v>71</v>
      </c>
      <c r="Q38" s="36" t="s">
        <v>71</v>
      </c>
      <c r="R38" s="36" t="s">
        <v>71</v>
      </c>
      <c r="S38" s="36" t="s">
        <v>71</v>
      </c>
      <c r="T38" s="36" t="s">
        <v>71</v>
      </c>
      <c r="U38" s="36" t="s">
        <v>71</v>
      </c>
      <c r="V38" s="36" t="s">
        <v>71</v>
      </c>
      <c r="W38" s="36" t="s">
        <v>71</v>
      </c>
      <c r="X38" s="36" t="s">
        <v>71</v>
      </c>
      <c r="Y38" s="36" t="s">
        <v>71</v>
      </c>
      <c r="Z38" s="36" t="s">
        <v>71</v>
      </c>
      <c r="AA38" s="36" t="s">
        <v>71</v>
      </c>
      <c r="AB38" s="36" t="s">
        <v>71</v>
      </c>
      <c r="AC38" s="36" t="s">
        <v>71</v>
      </c>
      <c r="AD38" s="36" t="s">
        <v>71</v>
      </c>
      <c r="AE38" s="36" t="s">
        <v>71</v>
      </c>
      <c r="AF38" s="36" t="s">
        <v>71</v>
      </c>
      <c r="AG38" s="36" t="s">
        <v>71</v>
      </c>
      <c r="AH38" s="36" t="s">
        <v>71</v>
      </c>
      <c r="AI38" s="36" t="s">
        <v>71</v>
      </c>
      <c r="AJ38" s="25"/>
      <c r="AL38" t="str">
        <f t="shared" ca="1" si="0"/>
        <v xml:space="preserve">    (U1)ALERT_REQ_H_XMGRIP_TT_IND_</v>
      </c>
      <c r="AR38" s="64" t="str">
        <f t="shared" si="3"/>
        <v>};</v>
      </c>
      <c r="AS38" s="64" t="str">
        <f t="shared" si="4"/>
        <v>};</v>
      </c>
      <c r="AT38" s="64" t="str">
        <f t="shared" si="1"/>
        <v>};</v>
      </c>
    </row>
    <row r="39" spans="2:46">
      <c r="B39" s="131"/>
      <c r="C39" s="50">
        <f t="shared" si="2"/>
        <v>33</v>
      </c>
      <c r="D39" s="36" t="s">
        <v>71</v>
      </c>
      <c r="E39" s="36" t="s">
        <v>71</v>
      </c>
      <c r="F39" s="36" t="s">
        <v>71</v>
      </c>
      <c r="G39" s="36" t="s">
        <v>71</v>
      </c>
      <c r="H39" s="36" t="s">
        <v>71</v>
      </c>
      <c r="I39" s="36" t="s">
        <v>71</v>
      </c>
      <c r="J39" s="36" t="s">
        <v>71</v>
      </c>
      <c r="K39" s="36" t="s">
        <v>71</v>
      </c>
      <c r="L39" s="36" t="s">
        <v>71</v>
      </c>
      <c r="M39" s="36" t="s">
        <v>71</v>
      </c>
      <c r="N39" s="36" t="s">
        <v>71</v>
      </c>
      <c r="O39" s="36" t="s">
        <v>71</v>
      </c>
      <c r="P39" s="36" t="s">
        <v>71</v>
      </c>
      <c r="Q39" s="36" t="s">
        <v>71</v>
      </c>
      <c r="R39" s="36" t="s">
        <v>71</v>
      </c>
      <c r="S39" s="36" t="s">
        <v>71</v>
      </c>
      <c r="T39" s="36" t="s">
        <v>71</v>
      </c>
      <c r="U39" s="36" t="s">
        <v>71</v>
      </c>
      <c r="V39" s="36" t="s">
        <v>71</v>
      </c>
      <c r="W39" s="36" t="s">
        <v>71</v>
      </c>
      <c r="X39" s="36" t="s">
        <v>71</v>
      </c>
      <c r="Y39" s="36" t="s">
        <v>71</v>
      </c>
      <c r="Z39" s="36" t="s">
        <v>71</v>
      </c>
      <c r="AA39" s="36" t="s">
        <v>71</v>
      </c>
      <c r="AB39" s="36" t="s">
        <v>71</v>
      </c>
      <c r="AC39" s="36" t="s">
        <v>71</v>
      </c>
      <c r="AD39" s="36" t="s">
        <v>71</v>
      </c>
      <c r="AE39" s="36" t="s">
        <v>71</v>
      </c>
      <c r="AF39" s="36" t="s">
        <v>71</v>
      </c>
      <c r="AG39" s="36" t="s">
        <v>71</v>
      </c>
      <c r="AH39" s="36" t="s">
        <v>71</v>
      </c>
      <c r="AI39" s="36" t="s">
        <v>71</v>
      </c>
      <c r="AJ39" s="25"/>
      <c r="AL39" t="str">
        <f t="shared" ca="1" si="0"/>
        <v xml:space="preserve">    (U1)ALERT_REQ_H_XMGRIP_TT_IND_</v>
      </c>
      <c r="AR39" s="64" t="str">
        <f t="shared" si="3"/>
        <v/>
      </c>
      <c r="AS39" s="64" t="str">
        <f t="shared" si="4"/>
        <v/>
      </c>
      <c r="AT39" s="64" t="str">
        <f t="shared" si="1"/>
        <v/>
      </c>
    </row>
    <row r="40" spans="2:46">
      <c r="B40" s="131"/>
      <c r="C40" s="50">
        <f t="shared" si="2"/>
        <v>34</v>
      </c>
      <c r="D40" s="36" t="s">
        <v>71</v>
      </c>
      <c r="E40" s="36" t="s">
        <v>71</v>
      </c>
      <c r="F40" s="36" t="s">
        <v>71</v>
      </c>
      <c r="G40" s="36" t="s">
        <v>71</v>
      </c>
      <c r="H40" s="36" t="s">
        <v>71</v>
      </c>
      <c r="I40" s="36" t="s">
        <v>71</v>
      </c>
      <c r="J40" s="36" t="s">
        <v>71</v>
      </c>
      <c r="K40" s="36" t="s">
        <v>71</v>
      </c>
      <c r="L40" s="36" t="s">
        <v>71</v>
      </c>
      <c r="M40" s="36" t="s">
        <v>71</v>
      </c>
      <c r="N40" s="36" t="s">
        <v>71</v>
      </c>
      <c r="O40" s="36" t="s">
        <v>71</v>
      </c>
      <c r="P40" s="36" t="s">
        <v>71</v>
      </c>
      <c r="Q40" s="36" t="s">
        <v>71</v>
      </c>
      <c r="R40" s="36" t="s">
        <v>71</v>
      </c>
      <c r="S40" s="36" t="s">
        <v>71</v>
      </c>
      <c r="T40" s="36" t="s">
        <v>71</v>
      </c>
      <c r="U40" s="36" t="s">
        <v>71</v>
      </c>
      <c r="V40" s="36" t="s">
        <v>71</v>
      </c>
      <c r="W40" s="36" t="s">
        <v>71</v>
      </c>
      <c r="X40" s="36" t="s">
        <v>71</v>
      </c>
      <c r="Y40" s="36" t="s">
        <v>71</v>
      </c>
      <c r="Z40" s="36" t="s">
        <v>71</v>
      </c>
      <c r="AA40" s="36" t="s">
        <v>71</v>
      </c>
      <c r="AB40" s="36" t="s">
        <v>71</v>
      </c>
      <c r="AC40" s="36" t="s">
        <v>71</v>
      </c>
      <c r="AD40" s="36" t="s">
        <v>71</v>
      </c>
      <c r="AE40" s="36" t="s">
        <v>71</v>
      </c>
      <c r="AF40" s="36" t="s">
        <v>71</v>
      </c>
      <c r="AG40" s="36" t="s">
        <v>71</v>
      </c>
      <c r="AH40" s="36" t="s">
        <v>71</v>
      </c>
      <c r="AI40" s="36" t="s">
        <v>71</v>
      </c>
      <c r="AJ40" s="25"/>
      <c r="AL40" t="str">
        <f t="shared" ca="1" si="0"/>
        <v xml:space="preserve">    (U1)ALERT_REQ_H_XMGRIP_TT_IND_</v>
      </c>
      <c r="AR40" s="64" t="str">
        <f t="shared" si="3"/>
        <v/>
      </c>
      <c r="AS40" s="64" t="str">
        <f t="shared" si="4"/>
        <v/>
      </c>
      <c r="AT40" s="64" t="str">
        <f t="shared" si="1"/>
        <v/>
      </c>
    </row>
    <row r="41" spans="2:46">
      <c r="B41" s="131"/>
      <c r="C41" s="50">
        <f t="shared" si="2"/>
        <v>35</v>
      </c>
      <c r="D41" s="36" t="s">
        <v>71</v>
      </c>
      <c r="E41" s="36" t="s">
        <v>71</v>
      </c>
      <c r="F41" s="36" t="s">
        <v>71</v>
      </c>
      <c r="G41" s="36" t="s">
        <v>71</v>
      </c>
      <c r="H41" s="36" t="s">
        <v>71</v>
      </c>
      <c r="I41" s="36" t="s">
        <v>71</v>
      </c>
      <c r="J41" s="36" t="s">
        <v>71</v>
      </c>
      <c r="K41" s="36" t="s">
        <v>71</v>
      </c>
      <c r="L41" s="36" t="s">
        <v>71</v>
      </c>
      <c r="M41" s="36" t="s">
        <v>71</v>
      </c>
      <c r="N41" s="36" t="s">
        <v>71</v>
      </c>
      <c r="O41" s="36" t="s">
        <v>71</v>
      </c>
      <c r="P41" s="36" t="s">
        <v>71</v>
      </c>
      <c r="Q41" s="36" t="s">
        <v>71</v>
      </c>
      <c r="R41" s="36" t="s">
        <v>71</v>
      </c>
      <c r="S41" s="36" t="s">
        <v>71</v>
      </c>
      <c r="T41" s="36" t="s">
        <v>71</v>
      </c>
      <c r="U41" s="36" t="s">
        <v>71</v>
      </c>
      <c r="V41" s="36" t="s">
        <v>71</v>
      </c>
      <c r="W41" s="36" t="s">
        <v>71</v>
      </c>
      <c r="X41" s="36" t="s">
        <v>71</v>
      </c>
      <c r="Y41" s="36" t="s">
        <v>71</v>
      </c>
      <c r="Z41" s="36" t="s">
        <v>71</v>
      </c>
      <c r="AA41" s="36" t="s">
        <v>71</v>
      </c>
      <c r="AB41" s="36" t="s">
        <v>71</v>
      </c>
      <c r="AC41" s="36" t="s">
        <v>71</v>
      </c>
      <c r="AD41" s="36" t="s">
        <v>71</v>
      </c>
      <c r="AE41" s="36" t="s">
        <v>71</v>
      </c>
      <c r="AF41" s="36" t="s">
        <v>71</v>
      </c>
      <c r="AG41" s="36" t="s">
        <v>71</v>
      </c>
      <c r="AH41" s="36" t="s">
        <v>71</v>
      </c>
      <c r="AI41" s="36" t="s">
        <v>71</v>
      </c>
      <c r="AJ41" s="25"/>
      <c r="AL41" t="str">
        <f t="shared" ca="1" si="0"/>
        <v xml:space="preserve">    (U1)ALERT_REQ_H_XMGRIP_TT_IND_</v>
      </c>
      <c r="AR41" s="64" t="str">
        <f t="shared" si="3"/>
        <v/>
      </c>
      <c r="AS41" s="64" t="str">
        <f t="shared" si="4"/>
        <v/>
      </c>
      <c r="AT41" s="64" t="str">
        <f t="shared" si="1"/>
        <v/>
      </c>
    </row>
    <row r="42" spans="2:46">
      <c r="B42" s="131"/>
      <c r="C42" s="50">
        <f t="shared" si="2"/>
        <v>36</v>
      </c>
      <c r="D42" s="36" t="s">
        <v>71</v>
      </c>
      <c r="E42" s="36" t="s">
        <v>71</v>
      </c>
      <c r="F42" s="36" t="s">
        <v>71</v>
      </c>
      <c r="G42" s="36" t="s">
        <v>71</v>
      </c>
      <c r="H42" s="36" t="s">
        <v>71</v>
      </c>
      <c r="I42" s="36" t="s">
        <v>71</v>
      </c>
      <c r="J42" s="36" t="s">
        <v>71</v>
      </c>
      <c r="K42" s="36" t="s">
        <v>71</v>
      </c>
      <c r="L42" s="36" t="s">
        <v>71</v>
      </c>
      <c r="M42" s="36" t="s">
        <v>71</v>
      </c>
      <c r="N42" s="36" t="s">
        <v>71</v>
      </c>
      <c r="O42" s="36" t="s">
        <v>71</v>
      </c>
      <c r="P42" s="36" t="s">
        <v>71</v>
      </c>
      <c r="Q42" s="36" t="s">
        <v>71</v>
      </c>
      <c r="R42" s="36" t="s">
        <v>71</v>
      </c>
      <c r="S42" s="36" t="s">
        <v>71</v>
      </c>
      <c r="T42" s="36" t="s">
        <v>71</v>
      </c>
      <c r="U42" s="36" t="s">
        <v>71</v>
      </c>
      <c r="V42" s="36" t="s">
        <v>71</v>
      </c>
      <c r="W42" s="36" t="s">
        <v>71</v>
      </c>
      <c r="X42" s="36" t="s">
        <v>71</v>
      </c>
      <c r="Y42" s="36" t="s">
        <v>71</v>
      </c>
      <c r="Z42" s="36" t="s">
        <v>71</v>
      </c>
      <c r="AA42" s="36" t="s">
        <v>71</v>
      </c>
      <c r="AB42" s="36" t="s">
        <v>71</v>
      </c>
      <c r="AC42" s="36" t="s">
        <v>71</v>
      </c>
      <c r="AD42" s="36" t="s">
        <v>71</v>
      </c>
      <c r="AE42" s="36" t="s">
        <v>71</v>
      </c>
      <c r="AF42" s="36" t="s">
        <v>71</v>
      </c>
      <c r="AG42" s="36" t="s">
        <v>71</v>
      </c>
      <c r="AH42" s="36" t="s">
        <v>71</v>
      </c>
      <c r="AI42" s="36" t="s">
        <v>71</v>
      </c>
      <c r="AJ42" s="25"/>
      <c r="AL42" t="str">
        <f t="shared" ca="1" si="0"/>
        <v xml:space="preserve">    (U1)ALERT_REQ_H_XMGRIP_TT_IND_</v>
      </c>
      <c r="AR42" s="64" t="str">
        <f t="shared" si="3"/>
        <v/>
      </c>
      <c r="AS42" s="64" t="str">
        <f t="shared" si="4"/>
        <v/>
      </c>
      <c r="AT42" s="64" t="str">
        <f t="shared" si="1"/>
        <v/>
      </c>
    </row>
    <row r="43" spans="2:46">
      <c r="B43" s="131"/>
      <c r="C43" s="50">
        <f t="shared" si="2"/>
        <v>37</v>
      </c>
      <c r="D43" s="36" t="s">
        <v>71</v>
      </c>
      <c r="E43" s="36" t="s">
        <v>71</v>
      </c>
      <c r="F43" s="36" t="s">
        <v>71</v>
      </c>
      <c r="G43" s="36" t="s">
        <v>71</v>
      </c>
      <c r="H43" s="36" t="s">
        <v>71</v>
      </c>
      <c r="I43" s="36" t="s">
        <v>71</v>
      </c>
      <c r="J43" s="36" t="s">
        <v>71</v>
      </c>
      <c r="K43" s="36" t="s">
        <v>71</v>
      </c>
      <c r="L43" s="36" t="s">
        <v>71</v>
      </c>
      <c r="M43" s="36" t="s">
        <v>71</v>
      </c>
      <c r="N43" s="36" t="s">
        <v>71</v>
      </c>
      <c r="O43" s="36" t="s">
        <v>71</v>
      </c>
      <c r="P43" s="36" t="s">
        <v>71</v>
      </c>
      <c r="Q43" s="36" t="s">
        <v>71</v>
      </c>
      <c r="R43" s="36" t="s">
        <v>71</v>
      </c>
      <c r="S43" s="36" t="s">
        <v>71</v>
      </c>
      <c r="T43" s="36" t="s">
        <v>71</v>
      </c>
      <c r="U43" s="36" t="s">
        <v>71</v>
      </c>
      <c r="V43" s="36" t="s">
        <v>71</v>
      </c>
      <c r="W43" s="36" t="s">
        <v>71</v>
      </c>
      <c r="X43" s="36" t="s">
        <v>71</v>
      </c>
      <c r="Y43" s="36" t="s">
        <v>71</v>
      </c>
      <c r="Z43" s="36" t="s">
        <v>71</v>
      </c>
      <c r="AA43" s="36" t="s">
        <v>71</v>
      </c>
      <c r="AB43" s="36" t="s">
        <v>71</v>
      </c>
      <c r="AC43" s="36" t="s">
        <v>71</v>
      </c>
      <c r="AD43" s="36" t="s">
        <v>71</v>
      </c>
      <c r="AE43" s="36" t="s">
        <v>71</v>
      </c>
      <c r="AF43" s="36" t="s">
        <v>71</v>
      </c>
      <c r="AG43" s="36" t="s">
        <v>71</v>
      </c>
      <c r="AH43" s="36" t="s">
        <v>71</v>
      </c>
      <c r="AI43" s="36" t="s">
        <v>71</v>
      </c>
      <c r="AJ43" s="25"/>
      <c r="AL43" t="str">
        <f t="shared" ca="1" si="0"/>
        <v xml:space="preserve">    (U1)ALERT_REQ_H_XMGRIP_TT_IND_</v>
      </c>
      <c r="AR43" s="64" t="str">
        <f t="shared" si="3"/>
        <v/>
      </c>
      <c r="AS43" s="64" t="str">
        <f t="shared" si="4"/>
        <v/>
      </c>
      <c r="AT43" s="64" t="str">
        <f t="shared" si="1"/>
        <v/>
      </c>
    </row>
    <row r="44" spans="2:46">
      <c r="B44" s="131"/>
      <c r="C44" s="50">
        <f t="shared" si="2"/>
        <v>38</v>
      </c>
      <c r="D44" s="36" t="s">
        <v>71</v>
      </c>
      <c r="E44" s="36" t="s">
        <v>71</v>
      </c>
      <c r="F44" s="36" t="s">
        <v>71</v>
      </c>
      <c r="G44" s="36" t="s">
        <v>71</v>
      </c>
      <c r="H44" s="36" t="s">
        <v>71</v>
      </c>
      <c r="I44" s="36" t="s">
        <v>71</v>
      </c>
      <c r="J44" s="36" t="s">
        <v>71</v>
      </c>
      <c r="K44" s="36" t="s">
        <v>71</v>
      </c>
      <c r="L44" s="36" t="s">
        <v>71</v>
      </c>
      <c r="M44" s="36" t="s">
        <v>71</v>
      </c>
      <c r="N44" s="36" t="s">
        <v>71</v>
      </c>
      <c r="O44" s="36" t="s">
        <v>71</v>
      </c>
      <c r="P44" s="36" t="s">
        <v>71</v>
      </c>
      <c r="Q44" s="36" t="s">
        <v>71</v>
      </c>
      <c r="R44" s="36" t="s">
        <v>71</v>
      </c>
      <c r="S44" s="36" t="s">
        <v>71</v>
      </c>
      <c r="T44" s="36" t="s">
        <v>71</v>
      </c>
      <c r="U44" s="36" t="s">
        <v>71</v>
      </c>
      <c r="V44" s="36" t="s">
        <v>71</v>
      </c>
      <c r="W44" s="36" t="s">
        <v>71</v>
      </c>
      <c r="X44" s="36" t="s">
        <v>71</v>
      </c>
      <c r="Y44" s="36" t="s">
        <v>71</v>
      </c>
      <c r="Z44" s="36" t="s">
        <v>71</v>
      </c>
      <c r="AA44" s="36" t="s">
        <v>71</v>
      </c>
      <c r="AB44" s="36" t="s">
        <v>71</v>
      </c>
      <c r="AC44" s="36" t="s">
        <v>71</v>
      </c>
      <c r="AD44" s="36" t="s">
        <v>71</v>
      </c>
      <c r="AE44" s="36" t="s">
        <v>71</v>
      </c>
      <c r="AF44" s="36" t="s">
        <v>71</v>
      </c>
      <c r="AG44" s="36" t="s">
        <v>71</v>
      </c>
      <c r="AH44" s="36" t="s">
        <v>71</v>
      </c>
      <c r="AI44" s="36" t="s">
        <v>71</v>
      </c>
      <c r="AJ44" s="25"/>
      <c r="AL44" t="str">
        <f t="shared" ca="1" si="0"/>
        <v xml:space="preserve">    (U1)ALERT_REQ_H_XMGRIP_TT_IND_</v>
      </c>
      <c r="AR44" s="64" t="str">
        <f t="shared" si="3"/>
        <v/>
      </c>
      <c r="AS44" s="64" t="str">
        <f t="shared" si="4"/>
        <v/>
      </c>
      <c r="AT44" s="64" t="str">
        <f t="shared" si="1"/>
        <v/>
      </c>
    </row>
    <row r="45" spans="2:46">
      <c r="B45" s="131"/>
      <c r="C45" s="50">
        <f t="shared" si="2"/>
        <v>39</v>
      </c>
      <c r="D45" s="36" t="s">
        <v>71</v>
      </c>
      <c r="E45" s="36" t="s">
        <v>71</v>
      </c>
      <c r="F45" s="36" t="s">
        <v>71</v>
      </c>
      <c r="G45" s="36" t="s">
        <v>71</v>
      </c>
      <c r="H45" s="36" t="s">
        <v>71</v>
      </c>
      <c r="I45" s="36" t="s">
        <v>71</v>
      </c>
      <c r="J45" s="36" t="s">
        <v>71</v>
      </c>
      <c r="K45" s="36" t="s">
        <v>71</v>
      </c>
      <c r="L45" s="36" t="s">
        <v>71</v>
      </c>
      <c r="M45" s="36" t="s">
        <v>71</v>
      </c>
      <c r="N45" s="36" t="s">
        <v>71</v>
      </c>
      <c r="O45" s="36" t="s">
        <v>71</v>
      </c>
      <c r="P45" s="36" t="s">
        <v>71</v>
      </c>
      <c r="Q45" s="36" t="s">
        <v>71</v>
      </c>
      <c r="R45" s="36" t="s">
        <v>71</v>
      </c>
      <c r="S45" s="36" t="s">
        <v>71</v>
      </c>
      <c r="T45" s="36" t="s">
        <v>71</v>
      </c>
      <c r="U45" s="36" t="s">
        <v>71</v>
      </c>
      <c r="V45" s="36" t="s">
        <v>71</v>
      </c>
      <c r="W45" s="36" t="s">
        <v>71</v>
      </c>
      <c r="X45" s="36" t="s">
        <v>71</v>
      </c>
      <c r="Y45" s="36" t="s">
        <v>71</v>
      </c>
      <c r="Z45" s="36" t="s">
        <v>71</v>
      </c>
      <c r="AA45" s="36" t="s">
        <v>71</v>
      </c>
      <c r="AB45" s="36" t="s">
        <v>71</v>
      </c>
      <c r="AC45" s="36" t="s">
        <v>71</v>
      </c>
      <c r="AD45" s="36" t="s">
        <v>71</v>
      </c>
      <c r="AE45" s="36" t="s">
        <v>71</v>
      </c>
      <c r="AF45" s="36" t="s">
        <v>71</v>
      </c>
      <c r="AG45" s="36" t="s">
        <v>71</v>
      </c>
      <c r="AH45" s="36" t="s">
        <v>71</v>
      </c>
      <c r="AI45" s="36" t="s">
        <v>71</v>
      </c>
      <c r="AJ45" s="25"/>
      <c r="AL45" t="str">
        <f t="shared" ca="1" si="0"/>
        <v xml:space="preserve">    (U1)ALERT_REQ_H_XMGRIP_TT_IND_</v>
      </c>
      <c r="AR45" s="64" t="str">
        <f t="shared" si="3"/>
        <v/>
      </c>
      <c r="AS45" s="64" t="str">
        <f t="shared" si="4"/>
        <v/>
      </c>
      <c r="AT45" s="64" t="str">
        <f t="shared" si="1"/>
        <v/>
      </c>
    </row>
    <row r="46" spans="2:46">
      <c r="B46" s="131"/>
      <c r="C46" s="50">
        <f t="shared" si="2"/>
        <v>40</v>
      </c>
      <c r="D46" s="36" t="s">
        <v>71</v>
      </c>
      <c r="E46" s="36" t="s">
        <v>71</v>
      </c>
      <c r="F46" s="36" t="s">
        <v>71</v>
      </c>
      <c r="G46" s="36" t="s">
        <v>71</v>
      </c>
      <c r="H46" s="36" t="s">
        <v>71</v>
      </c>
      <c r="I46" s="36" t="s">
        <v>71</v>
      </c>
      <c r="J46" s="36" t="s">
        <v>71</v>
      </c>
      <c r="K46" s="36" t="s">
        <v>71</v>
      </c>
      <c r="L46" s="36" t="s">
        <v>71</v>
      </c>
      <c r="M46" s="36" t="s">
        <v>71</v>
      </c>
      <c r="N46" s="36" t="s">
        <v>71</v>
      </c>
      <c r="O46" s="36" t="s">
        <v>71</v>
      </c>
      <c r="P46" s="36" t="s">
        <v>71</v>
      </c>
      <c r="Q46" s="36" t="s">
        <v>71</v>
      </c>
      <c r="R46" s="36" t="s">
        <v>71</v>
      </c>
      <c r="S46" s="36" t="s">
        <v>71</v>
      </c>
      <c r="T46" s="36" t="s">
        <v>71</v>
      </c>
      <c r="U46" s="36" t="s">
        <v>71</v>
      </c>
      <c r="V46" s="36" t="s">
        <v>71</v>
      </c>
      <c r="W46" s="36" t="s">
        <v>71</v>
      </c>
      <c r="X46" s="36" t="s">
        <v>71</v>
      </c>
      <c r="Y46" s="36" t="s">
        <v>71</v>
      </c>
      <c r="Z46" s="36" t="s">
        <v>71</v>
      </c>
      <c r="AA46" s="36" t="s">
        <v>71</v>
      </c>
      <c r="AB46" s="36" t="s">
        <v>71</v>
      </c>
      <c r="AC46" s="36" t="s">
        <v>71</v>
      </c>
      <c r="AD46" s="36" t="s">
        <v>71</v>
      </c>
      <c r="AE46" s="36" t="s">
        <v>71</v>
      </c>
      <c r="AF46" s="36" t="s">
        <v>71</v>
      </c>
      <c r="AG46" s="36" t="s">
        <v>71</v>
      </c>
      <c r="AH46" s="36" t="s">
        <v>71</v>
      </c>
      <c r="AI46" s="36" t="s">
        <v>71</v>
      </c>
      <c r="AJ46" s="25"/>
      <c r="AL46" t="str">
        <f t="shared" ca="1" si="0"/>
        <v xml:space="preserve">    (U1)ALERT_REQ_H_XMGRIP_TT_IND_</v>
      </c>
      <c r="AR46" s="64" t="str">
        <f t="shared" si="3"/>
        <v/>
      </c>
      <c r="AS46" s="64" t="str">
        <f t="shared" si="4"/>
        <v/>
      </c>
      <c r="AT46" s="64" t="str">
        <f t="shared" si="1"/>
        <v/>
      </c>
    </row>
    <row r="47" spans="2:46">
      <c r="B47" s="131"/>
      <c r="C47" s="50">
        <f t="shared" si="2"/>
        <v>41</v>
      </c>
      <c r="D47" s="36" t="s">
        <v>71</v>
      </c>
      <c r="E47" s="36" t="s">
        <v>71</v>
      </c>
      <c r="F47" s="36" t="s">
        <v>71</v>
      </c>
      <c r="G47" s="36" t="s">
        <v>71</v>
      </c>
      <c r="H47" s="36" t="s">
        <v>71</v>
      </c>
      <c r="I47" s="36" t="s">
        <v>71</v>
      </c>
      <c r="J47" s="36" t="s">
        <v>71</v>
      </c>
      <c r="K47" s="36" t="s">
        <v>71</v>
      </c>
      <c r="L47" s="36" t="s">
        <v>71</v>
      </c>
      <c r="M47" s="36" t="s">
        <v>71</v>
      </c>
      <c r="N47" s="36" t="s">
        <v>71</v>
      </c>
      <c r="O47" s="36" t="s">
        <v>71</v>
      </c>
      <c r="P47" s="36" t="s">
        <v>71</v>
      </c>
      <c r="Q47" s="36" t="s">
        <v>71</v>
      </c>
      <c r="R47" s="36" t="s">
        <v>71</v>
      </c>
      <c r="S47" s="36" t="s">
        <v>71</v>
      </c>
      <c r="T47" s="36" t="s">
        <v>71</v>
      </c>
      <c r="U47" s="36" t="s">
        <v>71</v>
      </c>
      <c r="V47" s="36" t="s">
        <v>71</v>
      </c>
      <c r="W47" s="36" t="s">
        <v>71</v>
      </c>
      <c r="X47" s="36" t="s">
        <v>71</v>
      </c>
      <c r="Y47" s="36" t="s">
        <v>71</v>
      </c>
      <c r="Z47" s="36" t="s">
        <v>71</v>
      </c>
      <c r="AA47" s="36" t="s">
        <v>71</v>
      </c>
      <c r="AB47" s="36" t="s">
        <v>71</v>
      </c>
      <c r="AC47" s="36" t="s">
        <v>71</v>
      </c>
      <c r="AD47" s="36" t="s">
        <v>71</v>
      </c>
      <c r="AE47" s="36" t="s">
        <v>71</v>
      </c>
      <c r="AF47" s="36" t="s">
        <v>71</v>
      </c>
      <c r="AG47" s="36" t="s">
        <v>71</v>
      </c>
      <c r="AH47" s="36" t="s">
        <v>71</v>
      </c>
      <c r="AI47" s="36" t="s">
        <v>71</v>
      </c>
      <c r="AJ47" s="25"/>
      <c r="AL47" t="str">
        <f t="shared" ca="1" si="0"/>
        <v xml:space="preserve">    (U1)ALERT_REQ_H_XMGRIP_TT_IND_</v>
      </c>
      <c r="AR47" s="64" t="str">
        <f t="shared" si="3"/>
        <v/>
      </c>
      <c r="AS47" s="64" t="str">
        <f t="shared" si="4"/>
        <v/>
      </c>
      <c r="AT47" s="64" t="str">
        <f t="shared" si="1"/>
        <v/>
      </c>
    </row>
    <row r="48" spans="2:46">
      <c r="B48" s="131"/>
      <c r="C48" s="50">
        <f t="shared" si="2"/>
        <v>42</v>
      </c>
      <c r="D48" s="36" t="s">
        <v>71</v>
      </c>
      <c r="E48" s="36" t="s">
        <v>71</v>
      </c>
      <c r="F48" s="36" t="s">
        <v>71</v>
      </c>
      <c r="G48" s="36" t="s">
        <v>71</v>
      </c>
      <c r="H48" s="36" t="s">
        <v>71</v>
      </c>
      <c r="I48" s="36" t="s">
        <v>71</v>
      </c>
      <c r="J48" s="36" t="s">
        <v>71</v>
      </c>
      <c r="K48" s="36" t="s">
        <v>71</v>
      </c>
      <c r="L48" s="36" t="s">
        <v>71</v>
      </c>
      <c r="M48" s="36" t="s">
        <v>71</v>
      </c>
      <c r="N48" s="36" t="s">
        <v>71</v>
      </c>
      <c r="O48" s="36" t="s">
        <v>71</v>
      </c>
      <c r="P48" s="36" t="s">
        <v>71</v>
      </c>
      <c r="Q48" s="36" t="s">
        <v>71</v>
      </c>
      <c r="R48" s="36" t="s">
        <v>71</v>
      </c>
      <c r="S48" s="36" t="s">
        <v>71</v>
      </c>
      <c r="T48" s="36" t="s">
        <v>71</v>
      </c>
      <c r="U48" s="36" t="s">
        <v>71</v>
      </c>
      <c r="V48" s="36" t="s">
        <v>71</v>
      </c>
      <c r="W48" s="36" t="s">
        <v>71</v>
      </c>
      <c r="X48" s="36" t="s">
        <v>71</v>
      </c>
      <c r="Y48" s="36" t="s">
        <v>71</v>
      </c>
      <c r="Z48" s="36" t="s">
        <v>71</v>
      </c>
      <c r="AA48" s="36" t="s">
        <v>71</v>
      </c>
      <c r="AB48" s="36" t="s">
        <v>71</v>
      </c>
      <c r="AC48" s="36" t="s">
        <v>71</v>
      </c>
      <c r="AD48" s="36" t="s">
        <v>71</v>
      </c>
      <c r="AE48" s="36" t="s">
        <v>71</v>
      </c>
      <c r="AF48" s="36" t="s">
        <v>71</v>
      </c>
      <c r="AG48" s="36" t="s">
        <v>71</v>
      </c>
      <c r="AH48" s="36" t="s">
        <v>71</v>
      </c>
      <c r="AI48" s="36" t="s">
        <v>71</v>
      </c>
      <c r="AJ48" s="25"/>
      <c r="AL48" t="str">
        <f t="shared" ca="1" si="0"/>
        <v xml:space="preserve">    (U1)ALERT_REQ_H_XMGRIP_TT_IND_</v>
      </c>
      <c r="AR48" s="64" t="str">
        <f t="shared" si="3"/>
        <v/>
      </c>
      <c r="AS48" s="64" t="str">
        <f t="shared" si="4"/>
        <v/>
      </c>
      <c r="AT48" s="64" t="str">
        <f t="shared" si="1"/>
        <v/>
      </c>
    </row>
    <row r="49" spans="2:46">
      <c r="B49" s="131"/>
      <c r="C49" s="50">
        <f t="shared" si="2"/>
        <v>43</v>
      </c>
      <c r="D49" s="36" t="s">
        <v>71</v>
      </c>
      <c r="E49" s="36" t="s">
        <v>71</v>
      </c>
      <c r="F49" s="36" t="s">
        <v>71</v>
      </c>
      <c r="G49" s="36" t="s">
        <v>71</v>
      </c>
      <c r="H49" s="36" t="s">
        <v>71</v>
      </c>
      <c r="I49" s="36" t="s">
        <v>71</v>
      </c>
      <c r="J49" s="36" t="s">
        <v>71</v>
      </c>
      <c r="K49" s="36" t="s">
        <v>71</v>
      </c>
      <c r="L49" s="36" t="s">
        <v>71</v>
      </c>
      <c r="M49" s="36" t="s">
        <v>71</v>
      </c>
      <c r="N49" s="36" t="s">
        <v>71</v>
      </c>
      <c r="O49" s="36" t="s">
        <v>71</v>
      </c>
      <c r="P49" s="36" t="s">
        <v>71</v>
      </c>
      <c r="Q49" s="36" t="s">
        <v>71</v>
      </c>
      <c r="R49" s="36" t="s">
        <v>71</v>
      </c>
      <c r="S49" s="36" t="s">
        <v>71</v>
      </c>
      <c r="T49" s="36" t="s">
        <v>71</v>
      </c>
      <c r="U49" s="36" t="s">
        <v>71</v>
      </c>
      <c r="V49" s="36" t="s">
        <v>71</v>
      </c>
      <c r="W49" s="36" t="s">
        <v>71</v>
      </c>
      <c r="X49" s="36" t="s">
        <v>71</v>
      </c>
      <c r="Y49" s="36" t="s">
        <v>71</v>
      </c>
      <c r="Z49" s="36" t="s">
        <v>71</v>
      </c>
      <c r="AA49" s="36" t="s">
        <v>71</v>
      </c>
      <c r="AB49" s="36" t="s">
        <v>71</v>
      </c>
      <c r="AC49" s="36" t="s">
        <v>71</v>
      </c>
      <c r="AD49" s="36" t="s">
        <v>71</v>
      </c>
      <c r="AE49" s="36" t="s">
        <v>71</v>
      </c>
      <c r="AF49" s="36" t="s">
        <v>71</v>
      </c>
      <c r="AG49" s="36" t="s">
        <v>71</v>
      </c>
      <c r="AH49" s="36" t="s">
        <v>71</v>
      </c>
      <c r="AI49" s="36" t="s">
        <v>71</v>
      </c>
      <c r="AJ49" s="25"/>
      <c r="AL49" t="str">
        <f t="shared" ca="1" si="0"/>
        <v xml:space="preserve">    (U1)ALERT_REQ_H_XMGRIP_TT_IND_</v>
      </c>
      <c r="AR49" s="64" t="str">
        <f t="shared" si="3"/>
        <v/>
      </c>
      <c r="AS49" s="64" t="str">
        <f t="shared" si="4"/>
        <v/>
      </c>
      <c r="AT49" s="64" t="str">
        <f t="shared" si="1"/>
        <v/>
      </c>
    </row>
    <row r="50" spans="2:46">
      <c r="B50" s="131"/>
      <c r="C50" s="50">
        <f t="shared" si="2"/>
        <v>44</v>
      </c>
      <c r="D50" s="36" t="s">
        <v>71</v>
      </c>
      <c r="E50" s="36" t="s">
        <v>71</v>
      </c>
      <c r="F50" s="36" t="s">
        <v>71</v>
      </c>
      <c r="G50" s="36" t="s">
        <v>71</v>
      </c>
      <c r="H50" s="36" t="s">
        <v>71</v>
      </c>
      <c r="I50" s="36" t="s">
        <v>71</v>
      </c>
      <c r="J50" s="36" t="s">
        <v>71</v>
      </c>
      <c r="K50" s="36" t="s">
        <v>71</v>
      </c>
      <c r="L50" s="36" t="s">
        <v>71</v>
      </c>
      <c r="M50" s="36" t="s">
        <v>71</v>
      </c>
      <c r="N50" s="36" t="s">
        <v>71</v>
      </c>
      <c r="O50" s="36" t="s">
        <v>71</v>
      </c>
      <c r="P50" s="36" t="s">
        <v>71</v>
      </c>
      <c r="Q50" s="36" t="s">
        <v>71</v>
      </c>
      <c r="R50" s="36" t="s">
        <v>71</v>
      </c>
      <c r="S50" s="36" t="s">
        <v>71</v>
      </c>
      <c r="T50" s="36" t="s">
        <v>71</v>
      </c>
      <c r="U50" s="36" t="s">
        <v>71</v>
      </c>
      <c r="V50" s="36" t="s">
        <v>71</v>
      </c>
      <c r="W50" s="36" t="s">
        <v>71</v>
      </c>
      <c r="X50" s="36" t="s">
        <v>71</v>
      </c>
      <c r="Y50" s="36" t="s">
        <v>71</v>
      </c>
      <c r="Z50" s="36" t="s">
        <v>71</v>
      </c>
      <c r="AA50" s="36" t="s">
        <v>71</v>
      </c>
      <c r="AB50" s="36" t="s">
        <v>71</v>
      </c>
      <c r="AC50" s="36" t="s">
        <v>71</v>
      </c>
      <c r="AD50" s="36" t="s">
        <v>71</v>
      </c>
      <c r="AE50" s="36" t="s">
        <v>71</v>
      </c>
      <c r="AF50" s="36" t="s">
        <v>71</v>
      </c>
      <c r="AG50" s="36" t="s">
        <v>71</v>
      </c>
      <c r="AH50" s="36" t="s">
        <v>71</v>
      </c>
      <c r="AI50" s="36" t="s">
        <v>71</v>
      </c>
      <c r="AJ50" s="25"/>
      <c r="AL50" t="str">
        <f t="shared" ca="1" si="0"/>
        <v xml:space="preserve">    (U1)ALERT_REQ_H_XMGRIP_TT_IND_</v>
      </c>
      <c r="AR50" s="64" t="str">
        <f t="shared" si="3"/>
        <v/>
      </c>
      <c r="AS50" s="64" t="str">
        <f t="shared" si="4"/>
        <v/>
      </c>
      <c r="AT50" s="64" t="str">
        <f t="shared" si="1"/>
        <v/>
      </c>
    </row>
    <row r="51" spans="2:46">
      <c r="B51" s="131"/>
      <c r="C51" s="50">
        <f t="shared" si="2"/>
        <v>45</v>
      </c>
      <c r="D51" s="36" t="s">
        <v>71</v>
      </c>
      <c r="E51" s="36" t="s">
        <v>71</v>
      </c>
      <c r="F51" s="36" t="s">
        <v>71</v>
      </c>
      <c r="G51" s="36" t="s">
        <v>71</v>
      </c>
      <c r="H51" s="36" t="s">
        <v>71</v>
      </c>
      <c r="I51" s="36" t="s">
        <v>71</v>
      </c>
      <c r="J51" s="36" t="s">
        <v>71</v>
      </c>
      <c r="K51" s="36" t="s">
        <v>71</v>
      </c>
      <c r="L51" s="36" t="s">
        <v>71</v>
      </c>
      <c r="M51" s="36" t="s">
        <v>71</v>
      </c>
      <c r="N51" s="36" t="s">
        <v>71</v>
      </c>
      <c r="O51" s="36" t="s">
        <v>71</v>
      </c>
      <c r="P51" s="36" t="s">
        <v>71</v>
      </c>
      <c r="Q51" s="36" t="s">
        <v>71</v>
      </c>
      <c r="R51" s="36" t="s">
        <v>71</v>
      </c>
      <c r="S51" s="36" t="s">
        <v>71</v>
      </c>
      <c r="T51" s="36" t="s">
        <v>71</v>
      </c>
      <c r="U51" s="36" t="s">
        <v>71</v>
      </c>
      <c r="V51" s="36" t="s">
        <v>71</v>
      </c>
      <c r="W51" s="36" t="s">
        <v>71</v>
      </c>
      <c r="X51" s="36" t="s">
        <v>71</v>
      </c>
      <c r="Y51" s="36" t="s">
        <v>71</v>
      </c>
      <c r="Z51" s="36" t="s">
        <v>71</v>
      </c>
      <c r="AA51" s="36" t="s">
        <v>71</v>
      </c>
      <c r="AB51" s="36" t="s">
        <v>71</v>
      </c>
      <c r="AC51" s="36" t="s">
        <v>71</v>
      </c>
      <c r="AD51" s="36" t="s">
        <v>71</v>
      </c>
      <c r="AE51" s="36" t="s">
        <v>71</v>
      </c>
      <c r="AF51" s="36" t="s">
        <v>71</v>
      </c>
      <c r="AG51" s="36" t="s">
        <v>71</v>
      </c>
      <c r="AH51" s="36" t="s">
        <v>71</v>
      </c>
      <c r="AI51" s="36" t="s">
        <v>71</v>
      </c>
      <c r="AJ51" s="25"/>
      <c r="AL51" t="str">
        <f t="shared" ca="1" si="0"/>
        <v xml:space="preserve">    (U1)ALERT_REQ_H_XMGRIP_TT_IND_</v>
      </c>
      <c r="AR51" s="64" t="str">
        <f t="shared" si="3"/>
        <v/>
      </c>
      <c r="AS51" s="64" t="str">
        <f t="shared" si="4"/>
        <v/>
      </c>
      <c r="AT51" s="64" t="str">
        <f t="shared" si="1"/>
        <v/>
      </c>
    </row>
    <row r="52" spans="2:46">
      <c r="B52" s="131"/>
      <c r="C52" s="50">
        <f t="shared" si="2"/>
        <v>46</v>
      </c>
      <c r="D52" s="36" t="s">
        <v>71</v>
      </c>
      <c r="E52" s="36" t="s">
        <v>71</v>
      </c>
      <c r="F52" s="36" t="s">
        <v>71</v>
      </c>
      <c r="G52" s="36" t="s">
        <v>71</v>
      </c>
      <c r="H52" s="36" t="s">
        <v>71</v>
      </c>
      <c r="I52" s="36" t="s">
        <v>71</v>
      </c>
      <c r="J52" s="36" t="s">
        <v>71</v>
      </c>
      <c r="K52" s="36" t="s">
        <v>71</v>
      </c>
      <c r="L52" s="36" t="s">
        <v>71</v>
      </c>
      <c r="M52" s="36" t="s">
        <v>71</v>
      </c>
      <c r="N52" s="36" t="s">
        <v>71</v>
      </c>
      <c r="O52" s="36" t="s">
        <v>71</v>
      </c>
      <c r="P52" s="36" t="s">
        <v>71</v>
      </c>
      <c r="Q52" s="36" t="s">
        <v>71</v>
      </c>
      <c r="R52" s="36" t="s">
        <v>71</v>
      </c>
      <c r="S52" s="36" t="s">
        <v>71</v>
      </c>
      <c r="T52" s="36" t="s">
        <v>71</v>
      </c>
      <c r="U52" s="36" t="s">
        <v>71</v>
      </c>
      <c r="V52" s="36" t="s">
        <v>71</v>
      </c>
      <c r="W52" s="36" t="s">
        <v>71</v>
      </c>
      <c r="X52" s="36" t="s">
        <v>71</v>
      </c>
      <c r="Y52" s="36" t="s">
        <v>71</v>
      </c>
      <c r="Z52" s="36" t="s">
        <v>71</v>
      </c>
      <c r="AA52" s="36" t="s">
        <v>71</v>
      </c>
      <c r="AB52" s="36" t="s">
        <v>71</v>
      </c>
      <c r="AC52" s="36" t="s">
        <v>71</v>
      </c>
      <c r="AD52" s="36" t="s">
        <v>71</v>
      </c>
      <c r="AE52" s="36" t="s">
        <v>71</v>
      </c>
      <c r="AF52" s="36" t="s">
        <v>71</v>
      </c>
      <c r="AG52" s="36" t="s">
        <v>71</v>
      </c>
      <c r="AH52" s="36" t="s">
        <v>71</v>
      </c>
      <c r="AI52" s="36" t="s">
        <v>71</v>
      </c>
      <c r="AJ52" s="25"/>
      <c r="AL52" t="str">
        <f t="shared" ca="1" si="0"/>
        <v xml:space="preserve">    (U1)ALERT_REQ_H_XMGRIP_TT_IND_</v>
      </c>
      <c r="AR52" s="64" t="str">
        <f t="shared" si="3"/>
        <v/>
      </c>
      <c r="AS52" s="64" t="str">
        <f t="shared" si="4"/>
        <v/>
      </c>
      <c r="AT52" s="64" t="str">
        <f t="shared" si="1"/>
        <v/>
      </c>
    </row>
    <row r="53" spans="2:46">
      <c r="B53" s="131"/>
      <c r="C53" s="50">
        <f t="shared" si="2"/>
        <v>47</v>
      </c>
      <c r="D53" s="36" t="s">
        <v>71</v>
      </c>
      <c r="E53" s="36" t="s">
        <v>71</v>
      </c>
      <c r="F53" s="36" t="s">
        <v>71</v>
      </c>
      <c r="G53" s="36" t="s">
        <v>71</v>
      </c>
      <c r="H53" s="36" t="s">
        <v>71</v>
      </c>
      <c r="I53" s="36" t="s">
        <v>71</v>
      </c>
      <c r="J53" s="36" t="s">
        <v>71</v>
      </c>
      <c r="K53" s="36" t="s">
        <v>71</v>
      </c>
      <c r="L53" s="36" t="s">
        <v>71</v>
      </c>
      <c r="M53" s="36" t="s">
        <v>71</v>
      </c>
      <c r="N53" s="36" t="s">
        <v>71</v>
      </c>
      <c r="O53" s="36" t="s">
        <v>71</v>
      </c>
      <c r="P53" s="36" t="s">
        <v>71</v>
      </c>
      <c r="Q53" s="36" t="s">
        <v>71</v>
      </c>
      <c r="R53" s="36" t="s">
        <v>71</v>
      </c>
      <c r="S53" s="36" t="s">
        <v>71</v>
      </c>
      <c r="T53" s="36" t="s">
        <v>71</v>
      </c>
      <c r="U53" s="36" t="s">
        <v>71</v>
      </c>
      <c r="V53" s="36" t="s">
        <v>71</v>
      </c>
      <c r="W53" s="36" t="s">
        <v>71</v>
      </c>
      <c r="X53" s="36" t="s">
        <v>71</v>
      </c>
      <c r="Y53" s="36" t="s">
        <v>71</v>
      </c>
      <c r="Z53" s="36" t="s">
        <v>71</v>
      </c>
      <c r="AA53" s="36" t="s">
        <v>71</v>
      </c>
      <c r="AB53" s="36" t="s">
        <v>71</v>
      </c>
      <c r="AC53" s="36" t="s">
        <v>71</v>
      </c>
      <c r="AD53" s="36" t="s">
        <v>71</v>
      </c>
      <c r="AE53" s="36" t="s">
        <v>71</v>
      </c>
      <c r="AF53" s="36" t="s">
        <v>71</v>
      </c>
      <c r="AG53" s="36" t="s">
        <v>71</v>
      </c>
      <c r="AH53" s="36" t="s">
        <v>71</v>
      </c>
      <c r="AI53" s="36" t="s">
        <v>71</v>
      </c>
      <c r="AJ53" s="25"/>
      <c r="AL53" t="str">
        <f t="shared" ca="1" si="0"/>
        <v xml:space="preserve">    (U1)ALERT_REQ_H_XMGRIP_TT_IND_</v>
      </c>
      <c r="AR53" s="64" t="str">
        <f t="shared" si="3"/>
        <v/>
      </c>
      <c r="AS53" s="64" t="str">
        <f t="shared" si="4"/>
        <v/>
      </c>
      <c r="AT53" s="64" t="str">
        <f t="shared" si="1"/>
        <v/>
      </c>
    </row>
    <row r="54" spans="2:46">
      <c r="B54" s="131"/>
      <c r="C54" s="50">
        <f t="shared" si="2"/>
        <v>48</v>
      </c>
      <c r="D54" s="36" t="s">
        <v>71</v>
      </c>
      <c r="E54" s="36" t="s">
        <v>71</v>
      </c>
      <c r="F54" s="36" t="s">
        <v>71</v>
      </c>
      <c r="G54" s="36" t="s">
        <v>71</v>
      </c>
      <c r="H54" s="36" t="s">
        <v>71</v>
      </c>
      <c r="I54" s="36" t="s">
        <v>71</v>
      </c>
      <c r="J54" s="36" t="s">
        <v>71</v>
      </c>
      <c r="K54" s="36" t="s">
        <v>71</v>
      </c>
      <c r="L54" s="36" t="s">
        <v>71</v>
      </c>
      <c r="M54" s="36" t="s">
        <v>71</v>
      </c>
      <c r="N54" s="36" t="s">
        <v>71</v>
      </c>
      <c r="O54" s="36" t="s">
        <v>71</v>
      </c>
      <c r="P54" s="36" t="s">
        <v>71</v>
      </c>
      <c r="Q54" s="36" t="s">
        <v>71</v>
      </c>
      <c r="R54" s="36" t="s">
        <v>71</v>
      </c>
      <c r="S54" s="36" t="s">
        <v>71</v>
      </c>
      <c r="T54" s="36" t="s">
        <v>71</v>
      </c>
      <c r="U54" s="36" t="s">
        <v>71</v>
      </c>
      <c r="V54" s="36" t="s">
        <v>71</v>
      </c>
      <c r="W54" s="36" t="s">
        <v>71</v>
      </c>
      <c r="X54" s="36" t="s">
        <v>71</v>
      </c>
      <c r="Y54" s="36" t="s">
        <v>71</v>
      </c>
      <c r="Z54" s="36" t="s">
        <v>71</v>
      </c>
      <c r="AA54" s="36" t="s">
        <v>71</v>
      </c>
      <c r="AB54" s="36" t="s">
        <v>71</v>
      </c>
      <c r="AC54" s="36" t="s">
        <v>71</v>
      </c>
      <c r="AD54" s="36" t="s">
        <v>71</v>
      </c>
      <c r="AE54" s="36" t="s">
        <v>71</v>
      </c>
      <c r="AF54" s="36" t="s">
        <v>71</v>
      </c>
      <c r="AG54" s="36" t="s">
        <v>71</v>
      </c>
      <c r="AH54" s="36" t="s">
        <v>71</v>
      </c>
      <c r="AI54" s="36" t="s">
        <v>71</v>
      </c>
      <c r="AJ54" s="25"/>
      <c r="AL54" t="str">
        <f t="shared" ca="1" si="0"/>
        <v xml:space="preserve">    (U1)ALERT_REQ_H_XMGRIP_TT_IND_</v>
      </c>
      <c r="AR54" s="64" t="str">
        <f t="shared" si="3"/>
        <v/>
      </c>
      <c r="AS54" s="64" t="str">
        <f t="shared" si="4"/>
        <v/>
      </c>
      <c r="AT54" s="64" t="str">
        <f t="shared" si="1"/>
        <v/>
      </c>
    </row>
    <row r="55" spans="2:46">
      <c r="B55" s="131"/>
      <c r="C55" s="50">
        <f t="shared" si="2"/>
        <v>49</v>
      </c>
      <c r="D55" s="36" t="s">
        <v>71</v>
      </c>
      <c r="E55" s="36" t="s">
        <v>71</v>
      </c>
      <c r="F55" s="36" t="s">
        <v>71</v>
      </c>
      <c r="G55" s="36" t="s">
        <v>71</v>
      </c>
      <c r="H55" s="36" t="s">
        <v>71</v>
      </c>
      <c r="I55" s="36" t="s">
        <v>71</v>
      </c>
      <c r="J55" s="36" t="s">
        <v>71</v>
      </c>
      <c r="K55" s="36" t="s">
        <v>71</v>
      </c>
      <c r="L55" s="36" t="s">
        <v>71</v>
      </c>
      <c r="M55" s="36" t="s">
        <v>71</v>
      </c>
      <c r="N55" s="36" t="s">
        <v>71</v>
      </c>
      <c r="O55" s="36" t="s">
        <v>71</v>
      </c>
      <c r="P55" s="36" t="s">
        <v>71</v>
      </c>
      <c r="Q55" s="36" t="s">
        <v>71</v>
      </c>
      <c r="R55" s="36" t="s">
        <v>71</v>
      </c>
      <c r="S55" s="36" t="s">
        <v>71</v>
      </c>
      <c r="T55" s="36" t="s">
        <v>71</v>
      </c>
      <c r="U55" s="36" t="s">
        <v>71</v>
      </c>
      <c r="V55" s="36" t="s">
        <v>71</v>
      </c>
      <c r="W55" s="36" t="s">
        <v>71</v>
      </c>
      <c r="X55" s="36" t="s">
        <v>71</v>
      </c>
      <c r="Y55" s="36" t="s">
        <v>71</v>
      </c>
      <c r="Z55" s="36" t="s">
        <v>71</v>
      </c>
      <c r="AA55" s="36" t="s">
        <v>71</v>
      </c>
      <c r="AB55" s="36" t="s">
        <v>71</v>
      </c>
      <c r="AC55" s="36" t="s">
        <v>71</v>
      </c>
      <c r="AD55" s="36" t="s">
        <v>71</v>
      </c>
      <c r="AE55" s="36" t="s">
        <v>71</v>
      </c>
      <c r="AF55" s="36" t="s">
        <v>71</v>
      </c>
      <c r="AG55" s="36" t="s">
        <v>71</v>
      </c>
      <c r="AH55" s="36" t="s">
        <v>71</v>
      </c>
      <c r="AI55" s="36" t="s">
        <v>71</v>
      </c>
      <c r="AJ55" s="25"/>
      <c r="AL55" t="str">
        <f t="shared" ca="1" si="0"/>
        <v xml:space="preserve">    (U1)ALERT_REQ_H_XMGRIP_TT_IND_</v>
      </c>
      <c r="AR55" s="64" t="str">
        <f t="shared" si="3"/>
        <v/>
      </c>
      <c r="AS55" s="64" t="str">
        <f t="shared" si="4"/>
        <v/>
      </c>
      <c r="AT55" s="64" t="str">
        <f t="shared" si="1"/>
        <v/>
      </c>
    </row>
    <row r="56" spans="2:46">
      <c r="B56" s="131"/>
      <c r="C56" s="50">
        <f t="shared" si="2"/>
        <v>50</v>
      </c>
      <c r="D56" s="36" t="s">
        <v>71</v>
      </c>
      <c r="E56" s="36" t="s">
        <v>71</v>
      </c>
      <c r="F56" s="36" t="s">
        <v>71</v>
      </c>
      <c r="G56" s="36" t="s">
        <v>71</v>
      </c>
      <c r="H56" s="36" t="s">
        <v>71</v>
      </c>
      <c r="I56" s="36" t="s">
        <v>71</v>
      </c>
      <c r="J56" s="36" t="s">
        <v>71</v>
      </c>
      <c r="K56" s="36" t="s">
        <v>71</v>
      </c>
      <c r="L56" s="36" t="s">
        <v>71</v>
      </c>
      <c r="M56" s="36" t="s">
        <v>71</v>
      </c>
      <c r="N56" s="36" t="s">
        <v>71</v>
      </c>
      <c r="O56" s="36" t="s">
        <v>71</v>
      </c>
      <c r="P56" s="36" t="s">
        <v>71</v>
      </c>
      <c r="Q56" s="36" t="s">
        <v>71</v>
      </c>
      <c r="R56" s="36" t="s">
        <v>71</v>
      </c>
      <c r="S56" s="36" t="s">
        <v>71</v>
      </c>
      <c r="T56" s="36" t="s">
        <v>71</v>
      </c>
      <c r="U56" s="36" t="s">
        <v>71</v>
      </c>
      <c r="V56" s="36" t="s">
        <v>71</v>
      </c>
      <c r="W56" s="36" t="s">
        <v>71</v>
      </c>
      <c r="X56" s="36" t="s">
        <v>71</v>
      </c>
      <c r="Y56" s="36" t="s">
        <v>71</v>
      </c>
      <c r="Z56" s="36" t="s">
        <v>71</v>
      </c>
      <c r="AA56" s="36" t="s">
        <v>71</v>
      </c>
      <c r="AB56" s="36" t="s">
        <v>71</v>
      </c>
      <c r="AC56" s="36" t="s">
        <v>71</v>
      </c>
      <c r="AD56" s="36" t="s">
        <v>71</v>
      </c>
      <c r="AE56" s="36" t="s">
        <v>71</v>
      </c>
      <c r="AF56" s="36" t="s">
        <v>71</v>
      </c>
      <c r="AG56" s="36" t="s">
        <v>71</v>
      </c>
      <c r="AH56" s="36" t="s">
        <v>71</v>
      </c>
      <c r="AI56" s="36" t="s">
        <v>71</v>
      </c>
      <c r="AJ56" s="25"/>
      <c r="AL56" t="str">
        <f t="shared" ca="1" si="0"/>
        <v xml:space="preserve">    (U1)ALERT_REQ_H_XMGRIP_TT_IND_</v>
      </c>
      <c r="AR56" s="64" t="str">
        <f t="shared" si="3"/>
        <v/>
      </c>
      <c r="AS56" s="64" t="str">
        <f t="shared" si="4"/>
        <v/>
      </c>
      <c r="AT56" s="64" t="str">
        <f t="shared" si="1"/>
        <v/>
      </c>
    </row>
    <row r="57" spans="2:46">
      <c r="B57" s="131"/>
      <c r="C57" s="50">
        <f t="shared" si="2"/>
        <v>51</v>
      </c>
      <c r="D57" s="36" t="s">
        <v>71</v>
      </c>
      <c r="E57" s="36" t="s">
        <v>71</v>
      </c>
      <c r="F57" s="36" t="s">
        <v>71</v>
      </c>
      <c r="G57" s="36" t="s">
        <v>71</v>
      </c>
      <c r="H57" s="36" t="s">
        <v>71</v>
      </c>
      <c r="I57" s="36" t="s">
        <v>71</v>
      </c>
      <c r="J57" s="36" t="s">
        <v>71</v>
      </c>
      <c r="K57" s="36" t="s">
        <v>71</v>
      </c>
      <c r="L57" s="36" t="s">
        <v>71</v>
      </c>
      <c r="M57" s="36" t="s">
        <v>71</v>
      </c>
      <c r="N57" s="36" t="s">
        <v>71</v>
      </c>
      <c r="O57" s="36" t="s">
        <v>71</v>
      </c>
      <c r="P57" s="36" t="s">
        <v>71</v>
      </c>
      <c r="Q57" s="36" t="s">
        <v>71</v>
      </c>
      <c r="R57" s="36" t="s">
        <v>71</v>
      </c>
      <c r="S57" s="36" t="s">
        <v>71</v>
      </c>
      <c r="T57" s="36" t="s">
        <v>71</v>
      </c>
      <c r="U57" s="36" t="s">
        <v>71</v>
      </c>
      <c r="V57" s="36" t="s">
        <v>71</v>
      </c>
      <c r="W57" s="36" t="s">
        <v>71</v>
      </c>
      <c r="X57" s="36" t="s">
        <v>71</v>
      </c>
      <c r="Y57" s="36" t="s">
        <v>71</v>
      </c>
      <c r="Z57" s="36" t="s">
        <v>71</v>
      </c>
      <c r="AA57" s="36" t="s">
        <v>71</v>
      </c>
      <c r="AB57" s="36" t="s">
        <v>71</v>
      </c>
      <c r="AC57" s="36" t="s">
        <v>71</v>
      </c>
      <c r="AD57" s="36" t="s">
        <v>71</v>
      </c>
      <c r="AE57" s="36" t="s">
        <v>71</v>
      </c>
      <c r="AF57" s="36" t="s">
        <v>71</v>
      </c>
      <c r="AG57" s="36" t="s">
        <v>71</v>
      </c>
      <c r="AH57" s="36" t="s">
        <v>71</v>
      </c>
      <c r="AI57" s="36" t="s">
        <v>71</v>
      </c>
      <c r="AJ57" s="25"/>
      <c r="AL57" t="str">
        <f t="shared" ca="1" si="0"/>
        <v xml:space="preserve">    (U1)ALERT_REQ_H_XMGRIP_TT_IND_</v>
      </c>
      <c r="AR57" s="64" t="str">
        <f t="shared" si="3"/>
        <v/>
      </c>
      <c r="AS57" s="64" t="str">
        <f t="shared" si="4"/>
        <v/>
      </c>
      <c r="AT57" s="64" t="str">
        <f t="shared" si="1"/>
        <v/>
      </c>
    </row>
    <row r="58" spans="2:46">
      <c r="B58" s="131"/>
      <c r="C58" s="50">
        <f t="shared" si="2"/>
        <v>52</v>
      </c>
      <c r="D58" s="36" t="s">
        <v>71</v>
      </c>
      <c r="E58" s="36" t="s">
        <v>71</v>
      </c>
      <c r="F58" s="36" t="s">
        <v>71</v>
      </c>
      <c r="G58" s="36" t="s">
        <v>71</v>
      </c>
      <c r="H58" s="36" t="s">
        <v>71</v>
      </c>
      <c r="I58" s="36" t="s">
        <v>71</v>
      </c>
      <c r="J58" s="36" t="s">
        <v>71</v>
      </c>
      <c r="K58" s="36" t="s">
        <v>71</v>
      </c>
      <c r="L58" s="36" t="s">
        <v>71</v>
      </c>
      <c r="M58" s="36" t="s">
        <v>71</v>
      </c>
      <c r="N58" s="36" t="s">
        <v>71</v>
      </c>
      <c r="O58" s="36" t="s">
        <v>71</v>
      </c>
      <c r="P58" s="36" t="s">
        <v>71</v>
      </c>
      <c r="Q58" s="36" t="s">
        <v>71</v>
      </c>
      <c r="R58" s="36" t="s">
        <v>71</v>
      </c>
      <c r="S58" s="36" t="s">
        <v>71</v>
      </c>
      <c r="T58" s="36" t="s">
        <v>71</v>
      </c>
      <c r="U58" s="36" t="s">
        <v>71</v>
      </c>
      <c r="V58" s="36" t="s">
        <v>71</v>
      </c>
      <c r="W58" s="36" t="s">
        <v>71</v>
      </c>
      <c r="X58" s="36" t="s">
        <v>71</v>
      </c>
      <c r="Y58" s="36" t="s">
        <v>71</v>
      </c>
      <c r="Z58" s="36" t="s">
        <v>71</v>
      </c>
      <c r="AA58" s="36" t="s">
        <v>71</v>
      </c>
      <c r="AB58" s="36" t="s">
        <v>71</v>
      </c>
      <c r="AC58" s="36" t="s">
        <v>71</v>
      </c>
      <c r="AD58" s="36" t="s">
        <v>71</v>
      </c>
      <c r="AE58" s="36" t="s">
        <v>71</v>
      </c>
      <c r="AF58" s="36" t="s">
        <v>71</v>
      </c>
      <c r="AG58" s="36" t="s">
        <v>71</v>
      </c>
      <c r="AH58" s="36" t="s">
        <v>71</v>
      </c>
      <c r="AI58" s="36" t="s">
        <v>71</v>
      </c>
      <c r="AJ58" s="25"/>
      <c r="AL58" t="str">
        <f t="shared" ca="1" si="0"/>
        <v xml:space="preserve">    (U1)ALERT_REQ_H_XMGRIP_TT_IND_</v>
      </c>
      <c r="AR58" s="64" t="str">
        <f t="shared" si="3"/>
        <v/>
      </c>
      <c r="AS58" s="64" t="str">
        <f t="shared" si="4"/>
        <v/>
      </c>
      <c r="AT58" s="64" t="str">
        <f t="shared" si="1"/>
        <v/>
      </c>
    </row>
    <row r="59" spans="2:46">
      <c r="B59" s="131"/>
      <c r="C59" s="50">
        <f t="shared" si="2"/>
        <v>53</v>
      </c>
      <c r="D59" s="36" t="s">
        <v>71</v>
      </c>
      <c r="E59" s="36" t="s">
        <v>71</v>
      </c>
      <c r="F59" s="36" t="s">
        <v>71</v>
      </c>
      <c r="G59" s="36" t="s">
        <v>71</v>
      </c>
      <c r="H59" s="36" t="s">
        <v>71</v>
      </c>
      <c r="I59" s="36" t="s">
        <v>71</v>
      </c>
      <c r="J59" s="36" t="s">
        <v>71</v>
      </c>
      <c r="K59" s="36" t="s">
        <v>71</v>
      </c>
      <c r="L59" s="36" t="s">
        <v>71</v>
      </c>
      <c r="M59" s="36" t="s">
        <v>71</v>
      </c>
      <c r="N59" s="36" t="s">
        <v>71</v>
      </c>
      <c r="O59" s="36" t="s">
        <v>71</v>
      </c>
      <c r="P59" s="36" t="s">
        <v>71</v>
      </c>
      <c r="Q59" s="36" t="s">
        <v>71</v>
      </c>
      <c r="R59" s="36" t="s">
        <v>71</v>
      </c>
      <c r="S59" s="36" t="s">
        <v>71</v>
      </c>
      <c r="T59" s="36" t="s">
        <v>71</v>
      </c>
      <c r="U59" s="36" t="s">
        <v>71</v>
      </c>
      <c r="V59" s="36" t="s">
        <v>71</v>
      </c>
      <c r="W59" s="36" t="s">
        <v>71</v>
      </c>
      <c r="X59" s="36" t="s">
        <v>71</v>
      </c>
      <c r="Y59" s="36" t="s">
        <v>71</v>
      </c>
      <c r="Z59" s="36" t="s">
        <v>71</v>
      </c>
      <c r="AA59" s="36" t="s">
        <v>71</v>
      </c>
      <c r="AB59" s="36" t="s">
        <v>71</v>
      </c>
      <c r="AC59" s="36" t="s">
        <v>71</v>
      </c>
      <c r="AD59" s="36" t="s">
        <v>71</v>
      </c>
      <c r="AE59" s="36" t="s">
        <v>71</v>
      </c>
      <c r="AF59" s="36" t="s">
        <v>71</v>
      </c>
      <c r="AG59" s="36" t="s">
        <v>71</v>
      </c>
      <c r="AH59" s="36" t="s">
        <v>71</v>
      </c>
      <c r="AI59" s="36" t="s">
        <v>71</v>
      </c>
      <c r="AJ59" s="25"/>
      <c r="AL59" t="str">
        <f t="shared" ca="1" si="0"/>
        <v xml:space="preserve">    (U1)ALERT_REQ_H_XMGRIP_TT_IND_</v>
      </c>
      <c r="AR59" s="64" t="str">
        <f t="shared" si="3"/>
        <v/>
      </c>
      <c r="AS59" s="64" t="str">
        <f t="shared" si="4"/>
        <v/>
      </c>
      <c r="AT59" s="64" t="str">
        <f t="shared" si="1"/>
        <v/>
      </c>
    </row>
    <row r="60" spans="2:46">
      <c r="B60" s="131"/>
      <c r="C60" s="50">
        <f t="shared" si="2"/>
        <v>54</v>
      </c>
      <c r="D60" s="36" t="s">
        <v>71</v>
      </c>
      <c r="E60" s="36" t="s">
        <v>71</v>
      </c>
      <c r="F60" s="36" t="s">
        <v>71</v>
      </c>
      <c r="G60" s="36" t="s">
        <v>71</v>
      </c>
      <c r="H60" s="36" t="s">
        <v>71</v>
      </c>
      <c r="I60" s="36" t="s">
        <v>71</v>
      </c>
      <c r="J60" s="36" t="s">
        <v>71</v>
      </c>
      <c r="K60" s="36" t="s">
        <v>71</v>
      </c>
      <c r="L60" s="36" t="s">
        <v>71</v>
      </c>
      <c r="M60" s="36" t="s">
        <v>71</v>
      </c>
      <c r="N60" s="36" t="s">
        <v>71</v>
      </c>
      <c r="O60" s="36" t="s">
        <v>71</v>
      </c>
      <c r="P60" s="36" t="s">
        <v>71</v>
      </c>
      <c r="Q60" s="36" t="s">
        <v>71</v>
      </c>
      <c r="R60" s="36" t="s">
        <v>71</v>
      </c>
      <c r="S60" s="36" t="s">
        <v>71</v>
      </c>
      <c r="T60" s="36" t="s">
        <v>71</v>
      </c>
      <c r="U60" s="36" t="s">
        <v>71</v>
      </c>
      <c r="V60" s="36" t="s">
        <v>71</v>
      </c>
      <c r="W60" s="36" t="s">
        <v>71</v>
      </c>
      <c r="X60" s="36" t="s">
        <v>71</v>
      </c>
      <c r="Y60" s="36" t="s">
        <v>71</v>
      </c>
      <c r="Z60" s="36" t="s">
        <v>71</v>
      </c>
      <c r="AA60" s="36" t="s">
        <v>71</v>
      </c>
      <c r="AB60" s="36" t="s">
        <v>71</v>
      </c>
      <c r="AC60" s="36" t="s">
        <v>71</v>
      </c>
      <c r="AD60" s="36" t="s">
        <v>71</v>
      </c>
      <c r="AE60" s="36" t="s">
        <v>71</v>
      </c>
      <c r="AF60" s="36" t="s">
        <v>71</v>
      </c>
      <c r="AG60" s="36" t="s">
        <v>71</v>
      </c>
      <c r="AH60" s="36" t="s">
        <v>71</v>
      </c>
      <c r="AI60" s="36" t="s">
        <v>71</v>
      </c>
      <c r="AJ60" s="25"/>
      <c r="AL60" t="str">
        <f t="shared" ca="1" si="0"/>
        <v xml:space="preserve">    (U1)ALERT_REQ_H_XMGRIP_TT_IND_</v>
      </c>
      <c r="AR60" s="64" t="str">
        <f t="shared" si="3"/>
        <v/>
      </c>
      <c r="AS60" s="64" t="str">
        <f t="shared" si="4"/>
        <v/>
      </c>
      <c r="AT60" s="64" t="str">
        <f t="shared" si="1"/>
        <v/>
      </c>
    </row>
    <row r="61" spans="2:46">
      <c r="B61" s="131"/>
      <c r="C61" s="50">
        <f t="shared" si="2"/>
        <v>55</v>
      </c>
      <c r="D61" s="36" t="s">
        <v>71</v>
      </c>
      <c r="E61" s="36" t="s">
        <v>71</v>
      </c>
      <c r="F61" s="36" t="s">
        <v>71</v>
      </c>
      <c r="G61" s="36" t="s">
        <v>71</v>
      </c>
      <c r="H61" s="36" t="s">
        <v>71</v>
      </c>
      <c r="I61" s="36" t="s">
        <v>71</v>
      </c>
      <c r="J61" s="36" t="s">
        <v>71</v>
      </c>
      <c r="K61" s="36" t="s">
        <v>71</v>
      </c>
      <c r="L61" s="36" t="s">
        <v>71</v>
      </c>
      <c r="M61" s="36" t="s">
        <v>71</v>
      </c>
      <c r="N61" s="36" t="s">
        <v>71</v>
      </c>
      <c r="O61" s="36" t="s">
        <v>71</v>
      </c>
      <c r="P61" s="36" t="s">
        <v>71</v>
      </c>
      <c r="Q61" s="36" t="s">
        <v>71</v>
      </c>
      <c r="R61" s="36" t="s">
        <v>71</v>
      </c>
      <c r="S61" s="36" t="s">
        <v>71</v>
      </c>
      <c r="T61" s="36" t="s">
        <v>71</v>
      </c>
      <c r="U61" s="36" t="s">
        <v>71</v>
      </c>
      <c r="V61" s="36" t="s">
        <v>71</v>
      </c>
      <c r="W61" s="36" t="s">
        <v>71</v>
      </c>
      <c r="X61" s="36" t="s">
        <v>71</v>
      </c>
      <c r="Y61" s="36" t="s">
        <v>71</v>
      </c>
      <c r="Z61" s="36" t="s">
        <v>71</v>
      </c>
      <c r="AA61" s="36" t="s">
        <v>71</v>
      </c>
      <c r="AB61" s="36" t="s">
        <v>71</v>
      </c>
      <c r="AC61" s="36" t="s">
        <v>71</v>
      </c>
      <c r="AD61" s="36" t="s">
        <v>71</v>
      </c>
      <c r="AE61" s="36" t="s">
        <v>71</v>
      </c>
      <c r="AF61" s="36" t="s">
        <v>71</v>
      </c>
      <c r="AG61" s="36" t="s">
        <v>71</v>
      </c>
      <c r="AH61" s="36" t="s">
        <v>71</v>
      </c>
      <c r="AI61" s="36" t="s">
        <v>71</v>
      </c>
      <c r="AJ61" s="25"/>
      <c r="AL61" t="str">
        <f t="shared" ca="1" si="0"/>
        <v xml:space="preserve">    (U1)ALERT_REQ_H_XMGRIP_TT_IND_</v>
      </c>
      <c r="AR61" s="64" t="str">
        <f t="shared" si="3"/>
        <v/>
      </c>
      <c r="AS61" s="64" t="str">
        <f t="shared" si="4"/>
        <v/>
      </c>
      <c r="AT61" s="64" t="str">
        <f t="shared" si="1"/>
        <v/>
      </c>
    </row>
    <row r="62" spans="2:46">
      <c r="B62" s="131"/>
      <c r="C62" s="50">
        <f t="shared" si="2"/>
        <v>56</v>
      </c>
      <c r="D62" s="36" t="s">
        <v>71</v>
      </c>
      <c r="E62" s="36" t="s">
        <v>71</v>
      </c>
      <c r="F62" s="36" t="s">
        <v>71</v>
      </c>
      <c r="G62" s="36" t="s">
        <v>71</v>
      </c>
      <c r="H62" s="36" t="s">
        <v>71</v>
      </c>
      <c r="I62" s="36" t="s">
        <v>71</v>
      </c>
      <c r="J62" s="36" t="s">
        <v>71</v>
      </c>
      <c r="K62" s="36" t="s">
        <v>71</v>
      </c>
      <c r="L62" s="36" t="s">
        <v>71</v>
      </c>
      <c r="M62" s="36" t="s">
        <v>71</v>
      </c>
      <c r="N62" s="36" t="s">
        <v>71</v>
      </c>
      <c r="O62" s="36" t="s">
        <v>71</v>
      </c>
      <c r="P62" s="36" t="s">
        <v>71</v>
      </c>
      <c r="Q62" s="36" t="s">
        <v>71</v>
      </c>
      <c r="R62" s="36" t="s">
        <v>71</v>
      </c>
      <c r="S62" s="36" t="s">
        <v>71</v>
      </c>
      <c r="T62" s="36" t="s">
        <v>71</v>
      </c>
      <c r="U62" s="36" t="s">
        <v>71</v>
      </c>
      <c r="V62" s="36" t="s">
        <v>71</v>
      </c>
      <c r="W62" s="36" t="s">
        <v>71</v>
      </c>
      <c r="X62" s="36" t="s">
        <v>71</v>
      </c>
      <c r="Y62" s="36" t="s">
        <v>71</v>
      </c>
      <c r="Z62" s="36" t="s">
        <v>71</v>
      </c>
      <c r="AA62" s="36" t="s">
        <v>71</v>
      </c>
      <c r="AB62" s="36" t="s">
        <v>71</v>
      </c>
      <c r="AC62" s="36" t="s">
        <v>71</v>
      </c>
      <c r="AD62" s="36" t="s">
        <v>71</v>
      </c>
      <c r="AE62" s="36" t="s">
        <v>71</v>
      </c>
      <c r="AF62" s="36" t="s">
        <v>71</v>
      </c>
      <c r="AG62" s="36" t="s">
        <v>71</v>
      </c>
      <c r="AH62" s="36" t="s">
        <v>71</v>
      </c>
      <c r="AI62" s="36" t="s">
        <v>71</v>
      </c>
      <c r="AJ62" s="25"/>
      <c r="AL62" t="str">
        <f t="shared" ca="1" si="0"/>
        <v xml:space="preserve">    (U1)ALERT_REQ_H_XMGRIP_TT_IND_</v>
      </c>
      <c r="AR62" s="64" t="str">
        <f t="shared" si="3"/>
        <v/>
      </c>
      <c r="AS62" s="64" t="str">
        <f t="shared" si="4"/>
        <v/>
      </c>
      <c r="AT62" s="64" t="str">
        <f t="shared" si="1"/>
        <v/>
      </c>
    </row>
    <row r="63" spans="2:46">
      <c r="B63" s="131"/>
      <c r="C63" s="50">
        <f t="shared" si="2"/>
        <v>57</v>
      </c>
      <c r="D63" s="36" t="s">
        <v>71</v>
      </c>
      <c r="E63" s="36" t="s">
        <v>71</v>
      </c>
      <c r="F63" s="36" t="s">
        <v>71</v>
      </c>
      <c r="G63" s="36" t="s">
        <v>71</v>
      </c>
      <c r="H63" s="36" t="s">
        <v>71</v>
      </c>
      <c r="I63" s="36" t="s">
        <v>71</v>
      </c>
      <c r="J63" s="36" t="s">
        <v>71</v>
      </c>
      <c r="K63" s="36" t="s">
        <v>71</v>
      </c>
      <c r="L63" s="36" t="s">
        <v>71</v>
      </c>
      <c r="M63" s="36" t="s">
        <v>71</v>
      </c>
      <c r="N63" s="36" t="s">
        <v>71</v>
      </c>
      <c r="O63" s="36" t="s">
        <v>71</v>
      </c>
      <c r="P63" s="36" t="s">
        <v>71</v>
      </c>
      <c r="Q63" s="36" t="s">
        <v>71</v>
      </c>
      <c r="R63" s="36" t="s">
        <v>71</v>
      </c>
      <c r="S63" s="36" t="s">
        <v>71</v>
      </c>
      <c r="T63" s="36" t="s">
        <v>71</v>
      </c>
      <c r="U63" s="36" t="s">
        <v>71</v>
      </c>
      <c r="V63" s="36" t="s">
        <v>71</v>
      </c>
      <c r="W63" s="36" t="s">
        <v>71</v>
      </c>
      <c r="X63" s="36" t="s">
        <v>71</v>
      </c>
      <c r="Y63" s="36" t="s">
        <v>71</v>
      </c>
      <c r="Z63" s="36" t="s">
        <v>71</v>
      </c>
      <c r="AA63" s="36" t="s">
        <v>71</v>
      </c>
      <c r="AB63" s="36" t="s">
        <v>71</v>
      </c>
      <c r="AC63" s="36" t="s">
        <v>71</v>
      </c>
      <c r="AD63" s="36" t="s">
        <v>71</v>
      </c>
      <c r="AE63" s="36" t="s">
        <v>71</v>
      </c>
      <c r="AF63" s="36" t="s">
        <v>71</v>
      </c>
      <c r="AG63" s="36" t="s">
        <v>71</v>
      </c>
      <c r="AH63" s="36" t="s">
        <v>71</v>
      </c>
      <c r="AI63" s="36" t="s">
        <v>71</v>
      </c>
      <c r="AJ63" s="25"/>
      <c r="AL63" t="str">
        <f t="shared" ca="1" si="0"/>
        <v xml:space="preserve">    (U1)ALERT_REQ_H_XMGRIP_TT_IND_</v>
      </c>
      <c r="AR63" s="64" t="str">
        <f t="shared" si="3"/>
        <v/>
      </c>
      <c r="AS63" s="64" t="str">
        <f t="shared" si="4"/>
        <v/>
      </c>
      <c r="AT63" s="64" t="str">
        <f t="shared" si="1"/>
        <v/>
      </c>
    </row>
    <row r="64" spans="2:46">
      <c r="B64" s="131"/>
      <c r="C64" s="50">
        <f t="shared" si="2"/>
        <v>58</v>
      </c>
      <c r="D64" s="36" t="s">
        <v>71</v>
      </c>
      <c r="E64" s="36" t="s">
        <v>71</v>
      </c>
      <c r="F64" s="36" t="s">
        <v>71</v>
      </c>
      <c r="G64" s="36" t="s">
        <v>71</v>
      </c>
      <c r="H64" s="36" t="s">
        <v>71</v>
      </c>
      <c r="I64" s="36" t="s">
        <v>71</v>
      </c>
      <c r="J64" s="36" t="s">
        <v>71</v>
      </c>
      <c r="K64" s="36" t="s">
        <v>71</v>
      </c>
      <c r="L64" s="36" t="s">
        <v>71</v>
      </c>
      <c r="M64" s="36" t="s">
        <v>71</v>
      </c>
      <c r="N64" s="36" t="s">
        <v>71</v>
      </c>
      <c r="O64" s="36" t="s">
        <v>71</v>
      </c>
      <c r="P64" s="36" t="s">
        <v>71</v>
      </c>
      <c r="Q64" s="36" t="s">
        <v>71</v>
      </c>
      <c r="R64" s="36" t="s">
        <v>71</v>
      </c>
      <c r="S64" s="36" t="s">
        <v>71</v>
      </c>
      <c r="T64" s="36" t="s">
        <v>71</v>
      </c>
      <c r="U64" s="36" t="s">
        <v>71</v>
      </c>
      <c r="V64" s="36" t="s">
        <v>71</v>
      </c>
      <c r="W64" s="36" t="s">
        <v>71</v>
      </c>
      <c r="X64" s="36" t="s">
        <v>71</v>
      </c>
      <c r="Y64" s="36" t="s">
        <v>71</v>
      </c>
      <c r="Z64" s="36" t="s">
        <v>71</v>
      </c>
      <c r="AA64" s="36" t="s">
        <v>71</v>
      </c>
      <c r="AB64" s="36" t="s">
        <v>71</v>
      </c>
      <c r="AC64" s="36" t="s">
        <v>71</v>
      </c>
      <c r="AD64" s="36" t="s">
        <v>71</v>
      </c>
      <c r="AE64" s="36" t="s">
        <v>71</v>
      </c>
      <c r="AF64" s="36" t="s">
        <v>71</v>
      </c>
      <c r="AG64" s="36" t="s">
        <v>71</v>
      </c>
      <c r="AH64" s="36" t="s">
        <v>71</v>
      </c>
      <c r="AI64" s="36" t="s">
        <v>71</v>
      </c>
      <c r="AJ64" s="25"/>
      <c r="AL64" t="str">
        <f t="shared" ca="1" si="0"/>
        <v xml:space="preserve">    (U1)ALERT_REQ_H_XMGRIP_TT_IND_</v>
      </c>
      <c r="AR64" s="64" t="str">
        <f t="shared" si="3"/>
        <v/>
      </c>
      <c r="AS64" s="64" t="str">
        <f t="shared" si="4"/>
        <v/>
      </c>
      <c r="AT64" s="64" t="str">
        <f t="shared" si="1"/>
        <v/>
      </c>
    </row>
    <row r="65" spans="1:46">
      <c r="B65" s="131"/>
      <c r="C65" s="50">
        <f t="shared" si="2"/>
        <v>59</v>
      </c>
      <c r="D65" s="36" t="s">
        <v>71</v>
      </c>
      <c r="E65" s="36" t="s">
        <v>71</v>
      </c>
      <c r="F65" s="36" t="s">
        <v>71</v>
      </c>
      <c r="G65" s="36" t="s">
        <v>71</v>
      </c>
      <c r="H65" s="36" t="s">
        <v>71</v>
      </c>
      <c r="I65" s="36" t="s">
        <v>71</v>
      </c>
      <c r="J65" s="36" t="s">
        <v>71</v>
      </c>
      <c r="K65" s="36" t="s">
        <v>71</v>
      </c>
      <c r="L65" s="36" t="s">
        <v>71</v>
      </c>
      <c r="M65" s="36" t="s">
        <v>71</v>
      </c>
      <c r="N65" s="36" t="s">
        <v>71</v>
      </c>
      <c r="O65" s="36" t="s">
        <v>71</v>
      </c>
      <c r="P65" s="36" t="s">
        <v>71</v>
      </c>
      <c r="Q65" s="36" t="s">
        <v>71</v>
      </c>
      <c r="R65" s="36" t="s">
        <v>71</v>
      </c>
      <c r="S65" s="36" t="s">
        <v>71</v>
      </c>
      <c r="T65" s="36" t="s">
        <v>71</v>
      </c>
      <c r="U65" s="36" t="s">
        <v>71</v>
      </c>
      <c r="V65" s="36" t="s">
        <v>71</v>
      </c>
      <c r="W65" s="36" t="s">
        <v>71</v>
      </c>
      <c r="X65" s="36" t="s">
        <v>71</v>
      </c>
      <c r="Y65" s="36" t="s">
        <v>71</v>
      </c>
      <c r="Z65" s="36" t="s">
        <v>71</v>
      </c>
      <c r="AA65" s="36" t="s">
        <v>71</v>
      </c>
      <c r="AB65" s="36" t="s">
        <v>71</v>
      </c>
      <c r="AC65" s="36" t="s">
        <v>71</v>
      </c>
      <c r="AD65" s="36" t="s">
        <v>71</v>
      </c>
      <c r="AE65" s="36" t="s">
        <v>71</v>
      </c>
      <c r="AF65" s="36" t="s">
        <v>71</v>
      </c>
      <c r="AG65" s="36" t="s">
        <v>71</v>
      </c>
      <c r="AH65" s="36" t="s">
        <v>71</v>
      </c>
      <c r="AI65" s="36" t="s">
        <v>71</v>
      </c>
      <c r="AJ65" s="25"/>
      <c r="AL65" t="str">
        <f t="shared" ca="1" si="0"/>
        <v xml:space="preserve">    (U1)ALERT_REQ_H_XMGRIP_TT_IND_</v>
      </c>
      <c r="AR65" s="64" t="str">
        <f t="shared" si="3"/>
        <v/>
      </c>
      <c r="AS65" s="64" t="str">
        <f t="shared" si="4"/>
        <v/>
      </c>
      <c r="AT65" s="64" t="str">
        <f t="shared" si="1"/>
        <v/>
      </c>
    </row>
    <row r="66" spans="1:46">
      <c r="B66" s="131"/>
      <c r="C66" s="50">
        <f t="shared" si="2"/>
        <v>60</v>
      </c>
      <c r="D66" s="36" t="s">
        <v>71</v>
      </c>
      <c r="E66" s="36" t="s">
        <v>71</v>
      </c>
      <c r="F66" s="36" t="s">
        <v>71</v>
      </c>
      <c r="G66" s="36" t="s">
        <v>71</v>
      </c>
      <c r="H66" s="36" t="s">
        <v>71</v>
      </c>
      <c r="I66" s="36" t="s">
        <v>71</v>
      </c>
      <c r="J66" s="36" t="s">
        <v>71</v>
      </c>
      <c r="K66" s="36" t="s">
        <v>71</v>
      </c>
      <c r="L66" s="36" t="s">
        <v>71</v>
      </c>
      <c r="M66" s="36" t="s">
        <v>71</v>
      </c>
      <c r="N66" s="36" t="s">
        <v>71</v>
      </c>
      <c r="O66" s="36" t="s">
        <v>71</v>
      </c>
      <c r="P66" s="36" t="s">
        <v>71</v>
      </c>
      <c r="Q66" s="36" t="s">
        <v>71</v>
      </c>
      <c r="R66" s="36" t="s">
        <v>71</v>
      </c>
      <c r="S66" s="36" t="s">
        <v>71</v>
      </c>
      <c r="T66" s="36" t="s">
        <v>71</v>
      </c>
      <c r="U66" s="36" t="s">
        <v>71</v>
      </c>
      <c r="V66" s="36" t="s">
        <v>71</v>
      </c>
      <c r="W66" s="36" t="s">
        <v>71</v>
      </c>
      <c r="X66" s="36" t="s">
        <v>71</v>
      </c>
      <c r="Y66" s="36" t="s">
        <v>71</v>
      </c>
      <c r="Z66" s="36" t="s">
        <v>71</v>
      </c>
      <c r="AA66" s="36" t="s">
        <v>71</v>
      </c>
      <c r="AB66" s="36" t="s">
        <v>71</v>
      </c>
      <c r="AC66" s="36" t="s">
        <v>71</v>
      </c>
      <c r="AD66" s="36" t="s">
        <v>71</v>
      </c>
      <c r="AE66" s="36" t="s">
        <v>71</v>
      </c>
      <c r="AF66" s="36" t="s">
        <v>71</v>
      </c>
      <c r="AG66" s="36" t="s">
        <v>71</v>
      </c>
      <c r="AH66" s="36" t="s">
        <v>71</v>
      </c>
      <c r="AI66" s="36" t="s">
        <v>71</v>
      </c>
      <c r="AJ66" s="25"/>
      <c r="AL66" t="str">
        <f t="shared" ca="1" si="0"/>
        <v xml:space="preserve">    (U1)ALERT_REQ_H_XMGRIP_TT_IND_</v>
      </c>
      <c r="AR66" s="64" t="str">
        <f t="shared" si="3"/>
        <v/>
      </c>
      <c r="AS66" s="64" t="str">
        <f t="shared" si="4"/>
        <v/>
      </c>
      <c r="AT66" s="64" t="str">
        <f t="shared" si="1"/>
        <v/>
      </c>
    </row>
    <row r="67" spans="1:46">
      <c r="B67" s="131"/>
      <c r="C67" s="50">
        <f t="shared" si="2"/>
        <v>61</v>
      </c>
      <c r="D67" s="36" t="s">
        <v>71</v>
      </c>
      <c r="E67" s="36" t="s">
        <v>71</v>
      </c>
      <c r="F67" s="36" t="s">
        <v>71</v>
      </c>
      <c r="G67" s="36" t="s">
        <v>71</v>
      </c>
      <c r="H67" s="36" t="s">
        <v>71</v>
      </c>
      <c r="I67" s="36" t="s">
        <v>71</v>
      </c>
      <c r="J67" s="36" t="s">
        <v>71</v>
      </c>
      <c r="K67" s="36" t="s">
        <v>71</v>
      </c>
      <c r="L67" s="36" t="s">
        <v>71</v>
      </c>
      <c r="M67" s="36" t="s">
        <v>71</v>
      </c>
      <c r="N67" s="36" t="s">
        <v>71</v>
      </c>
      <c r="O67" s="36" t="s">
        <v>71</v>
      </c>
      <c r="P67" s="36" t="s">
        <v>71</v>
      </c>
      <c r="Q67" s="36" t="s">
        <v>71</v>
      </c>
      <c r="R67" s="36" t="s">
        <v>71</v>
      </c>
      <c r="S67" s="36" t="s">
        <v>71</v>
      </c>
      <c r="T67" s="36" t="s">
        <v>71</v>
      </c>
      <c r="U67" s="36" t="s">
        <v>71</v>
      </c>
      <c r="V67" s="36" t="s">
        <v>71</v>
      </c>
      <c r="W67" s="36" t="s">
        <v>71</v>
      </c>
      <c r="X67" s="36" t="s">
        <v>71</v>
      </c>
      <c r="Y67" s="36" t="s">
        <v>71</v>
      </c>
      <c r="Z67" s="36" t="s">
        <v>71</v>
      </c>
      <c r="AA67" s="36" t="s">
        <v>71</v>
      </c>
      <c r="AB67" s="36" t="s">
        <v>71</v>
      </c>
      <c r="AC67" s="36" t="s">
        <v>71</v>
      </c>
      <c r="AD67" s="36" t="s">
        <v>71</v>
      </c>
      <c r="AE67" s="36" t="s">
        <v>71</v>
      </c>
      <c r="AF67" s="36" t="s">
        <v>71</v>
      </c>
      <c r="AG67" s="36" t="s">
        <v>71</v>
      </c>
      <c r="AH67" s="36" t="s">
        <v>71</v>
      </c>
      <c r="AI67" s="36" t="s">
        <v>71</v>
      </c>
      <c r="AJ67" s="25"/>
      <c r="AL67" t="str">
        <f t="shared" ca="1" si="0"/>
        <v xml:space="preserve">    (U1)ALERT_REQ_H_XMGRIP_TT_IND_</v>
      </c>
      <c r="AR67" s="64" t="str">
        <f t="shared" si="3"/>
        <v/>
      </c>
      <c r="AS67" s="64" t="str">
        <f t="shared" si="4"/>
        <v/>
      </c>
      <c r="AT67" s="64" t="str">
        <f t="shared" si="1"/>
        <v/>
      </c>
    </row>
    <row r="68" spans="1:46">
      <c r="B68" s="131"/>
      <c r="C68" s="50">
        <f t="shared" si="2"/>
        <v>62</v>
      </c>
      <c r="D68" s="36" t="s">
        <v>71</v>
      </c>
      <c r="E68" s="36" t="s">
        <v>71</v>
      </c>
      <c r="F68" s="36" t="s">
        <v>71</v>
      </c>
      <c r="G68" s="36" t="s">
        <v>71</v>
      </c>
      <c r="H68" s="36" t="s">
        <v>71</v>
      </c>
      <c r="I68" s="36" t="s">
        <v>71</v>
      </c>
      <c r="J68" s="36" t="s">
        <v>71</v>
      </c>
      <c r="K68" s="36" t="s">
        <v>71</v>
      </c>
      <c r="L68" s="36" t="s">
        <v>71</v>
      </c>
      <c r="M68" s="36" t="s">
        <v>71</v>
      </c>
      <c r="N68" s="36" t="s">
        <v>71</v>
      </c>
      <c r="O68" s="36" t="s">
        <v>71</v>
      </c>
      <c r="P68" s="36" t="s">
        <v>71</v>
      </c>
      <c r="Q68" s="36" t="s">
        <v>71</v>
      </c>
      <c r="R68" s="36" t="s">
        <v>71</v>
      </c>
      <c r="S68" s="36" t="s">
        <v>71</v>
      </c>
      <c r="T68" s="36" t="s">
        <v>71</v>
      </c>
      <c r="U68" s="36" t="s">
        <v>71</v>
      </c>
      <c r="V68" s="36" t="s">
        <v>71</v>
      </c>
      <c r="W68" s="36" t="s">
        <v>71</v>
      </c>
      <c r="X68" s="36" t="s">
        <v>71</v>
      </c>
      <c r="Y68" s="36" t="s">
        <v>71</v>
      </c>
      <c r="Z68" s="36" t="s">
        <v>71</v>
      </c>
      <c r="AA68" s="36" t="s">
        <v>71</v>
      </c>
      <c r="AB68" s="36" t="s">
        <v>71</v>
      </c>
      <c r="AC68" s="36" t="s">
        <v>71</v>
      </c>
      <c r="AD68" s="36" t="s">
        <v>71</v>
      </c>
      <c r="AE68" s="36" t="s">
        <v>71</v>
      </c>
      <c r="AF68" s="36" t="s">
        <v>71</v>
      </c>
      <c r="AG68" s="36" t="s">
        <v>71</v>
      </c>
      <c r="AH68" s="36" t="s">
        <v>71</v>
      </c>
      <c r="AI68" s="36" t="s">
        <v>71</v>
      </c>
      <c r="AJ68" s="25"/>
      <c r="AL68" t="str">
        <f t="shared" ca="1" si="0"/>
        <v xml:space="preserve">    (U1)ALERT_REQ_H_XMGRIP_TT_IND_</v>
      </c>
      <c r="AR68" s="64" t="str">
        <f t="shared" si="3"/>
        <v/>
      </c>
      <c r="AS68" s="64" t="str">
        <f t="shared" si="4"/>
        <v/>
      </c>
      <c r="AT68" s="64" t="str">
        <f t="shared" si="1"/>
        <v/>
      </c>
    </row>
    <row r="69" spans="1:46">
      <c r="B69" s="132"/>
      <c r="C69" s="50">
        <f t="shared" si="2"/>
        <v>63</v>
      </c>
      <c r="D69" s="36" t="s">
        <v>71</v>
      </c>
      <c r="E69" s="36" t="s">
        <v>71</v>
      </c>
      <c r="F69" s="36" t="s">
        <v>71</v>
      </c>
      <c r="G69" s="36" t="s">
        <v>71</v>
      </c>
      <c r="H69" s="36" t="s">
        <v>71</v>
      </c>
      <c r="I69" s="36" t="s">
        <v>71</v>
      </c>
      <c r="J69" s="36" t="s">
        <v>71</v>
      </c>
      <c r="K69" s="36" t="s">
        <v>71</v>
      </c>
      <c r="L69" s="36" t="s">
        <v>71</v>
      </c>
      <c r="M69" s="36" t="s">
        <v>71</v>
      </c>
      <c r="N69" s="36" t="s">
        <v>71</v>
      </c>
      <c r="O69" s="36" t="s">
        <v>71</v>
      </c>
      <c r="P69" s="36" t="s">
        <v>71</v>
      </c>
      <c r="Q69" s="36" t="s">
        <v>71</v>
      </c>
      <c r="R69" s="36" t="s">
        <v>71</v>
      </c>
      <c r="S69" s="36" t="s">
        <v>71</v>
      </c>
      <c r="T69" s="36" t="s">
        <v>71</v>
      </c>
      <c r="U69" s="36" t="s">
        <v>71</v>
      </c>
      <c r="V69" s="36" t="s">
        <v>71</v>
      </c>
      <c r="W69" s="36" t="s">
        <v>71</v>
      </c>
      <c r="X69" s="36" t="s">
        <v>71</v>
      </c>
      <c r="Y69" s="36" t="s">
        <v>71</v>
      </c>
      <c r="Z69" s="36" t="s">
        <v>71</v>
      </c>
      <c r="AA69" s="36" t="s">
        <v>71</v>
      </c>
      <c r="AB69" s="36" t="s">
        <v>71</v>
      </c>
      <c r="AC69" s="36" t="s">
        <v>71</v>
      </c>
      <c r="AD69" s="36" t="s">
        <v>71</v>
      </c>
      <c r="AE69" s="36" t="s">
        <v>71</v>
      </c>
      <c r="AF69" s="36" t="s">
        <v>71</v>
      </c>
      <c r="AG69" s="36" t="s">
        <v>71</v>
      </c>
      <c r="AH69" s="36" t="s">
        <v>71</v>
      </c>
      <c r="AI69" s="36" t="s">
        <v>71</v>
      </c>
      <c r="AJ69" s="25"/>
      <c r="AL69" t="str">
        <f t="shared" ca="1" si="0"/>
        <v xml:space="preserve">    (U1)ALERT_REQ_H_XMGRIP_TT_IND_</v>
      </c>
      <c r="AR69" s="64" t="str">
        <f t="shared" si="3"/>
        <v/>
      </c>
      <c r="AS69" s="64" t="str">
        <f t="shared" si="4"/>
        <v/>
      </c>
      <c r="AT69" s="64" t="str">
        <f t="shared" si="1"/>
        <v/>
      </c>
    </row>
    <row r="70" spans="1:46" ht="13.8" thickBot="1">
      <c r="A70" s="59" t="s">
        <v>68</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5" t="str">
        <f t="shared" si="3"/>
        <v/>
      </c>
      <c r="AS70" s="65" t="str">
        <f t="shared" si="4"/>
        <v/>
      </c>
      <c r="AT70" s="65" t="str">
        <f t="shared" ref="AT70" si="5">IF(AJ70&lt;&gt;"",AL70&amp;IF(AJ71&lt;&gt;"",","," ")&amp;REPT(" ",78-LEN(AL70))&amp;"/* "&amp;IF(C70&lt;10,"0"&amp;C70,C70)&amp;" "&amp;AJ70&amp;REPT(" ",48-LEN(AJ70))&amp;"*/",IF(AJ69&lt;&gt;"","};",""))</f>
        <v/>
      </c>
    </row>
    <row r="71" spans="1:46">
      <c r="B71" s="133" t="str">
        <f ca="1">IF(B6&lt;&gt;"",B6,"")</f>
        <v>Table TT_IND</v>
      </c>
      <c r="C71" s="50">
        <f>IF(C6&lt;&gt;"",C6,"")</f>
        <v>0</v>
      </c>
      <c r="D71" s="125">
        <f t="shared" ref="D71:AI78" si="6">IF(D6=1,1,0)</f>
        <v>0</v>
      </c>
      <c r="E71" s="125">
        <f t="shared" si="6"/>
        <v>0</v>
      </c>
      <c r="F71" s="125">
        <f t="shared" si="6"/>
        <v>0</v>
      </c>
      <c r="G71" s="125">
        <f t="shared" si="6"/>
        <v>0</v>
      </c>
      <c r="H71" s="125">
        <f t="shared" si="6"/>
        <v>0</v>
      </c>
      <c r="I71" s="125">
        <f t="shared" si="6"/>
        <v>0</v>
      </c>
      <c r="J71" s="125">
        <f t="shared" si="6"/>
        <v>0</v>
      </c>
      <c r="K71" s="125">
        <f t="shared" si="6"/>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 t="shared" si="6"/>
        <v>0</v>
      </c>
      <c r="AB71" s="125">
        <f t="shared" si="6"/>
        <v>0</v>
      </c>
      <c r="AC71" s="125">
        <f t="shared" si="6"/>
        <v>0</v>
      </c>
      <c r="AD71" s="125">
        <f t="shared" si="6"/>
        <v>0</v>
      </c>
      <c r="AE71" s="125">
        <f t="shared" si="6"/>
        <v>0</v>
      </c>
      <c r="AF71" s="125">
        <f t="shared" si="6"/>
        <v>0</v>
      </c>
      <c r="AG71" s="125">
        <f t="shared" si="6"/>
        <v>0</v>
      </c>
      <c r="AH71" s="125">
        <f t="shared" si="6"/>
        <v>0</v>
      </c>
      <c r="AI71" s="125">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50">
        <f t="shared" ref="C72:C134" si="9">IF(C7&lt;&gt;"",C7,"")</f>
        <v>1</v>
      </c>
      <c r="D72" s="125">
        <f t="shared" si="6"/>
        <v>0</v>
      </c>
      <c r="E72" s="125">
        <f t="shared" si="6"/>
        <v>0</v>
      </c>
      <c r="F72" s="125">
        <f t="shared" si="6"/>
        <v>0</v>
      </c>
      <c r="G72" s="125">
        <f t="shared" si="6"/>
        <v>0</v>
      </c>
      <c r="H72" s="125">
        <f t="shared" si="6"/>
        <v>0</v>
      </c>
      <c r="I72" s="125">
        <f t="shared" si="6"/>
        <v>0</v>
      </c>
      <c r="J72" s="125">
        <f t="shared" si="6"/>
        <v>0</v>
      </c>
      <c r="K72" s="125">
        <f t="shared" si="6"/>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 t="shared" si="6"/>
        <v>0</v>
      </c>
      <c r="AB72" s="125">
        <f t="shared" si="6"/>
        <v>0</v>
      </c>
      <c r="AC72" s="125">
        <f t="shared" si="6"/>
        <v>0</v>
      </c>
      <c r="AD72" s="125">
        <f t="shared" si="6"/>
        <v>0</v>
      </c>
      <c r="AE72" s="125">
        <f t="shared" si="6"/>
        <v>0</v>
      </c>
      <c r="AF72" s="125">
        <f t="shared" si="6"/>
        <v>0</v>
      </c>
      <c r="AG72" s="125">
        <f t="shared" si="6"/>
        <v>0</v>
      </c>
      <c r="AH72" s="125">
        <f t="shared" si="6"/>
        <v>0</v>
      </c>
      <c r="AI72" s="125">
        <f t="shared" si="6"/>
        <v>1</v>
      </c>
      <c r="AJ72" s="50" t="str">
        <f t="shared" si="7"/>
        <v>STNDBY</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STNDBY                                          */</v>
      </c>
    </row>
    <row r="73" spans="1:46">
      <c r="B73" s="131"/>
      <c r="C73" s="50">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50" t="str">
        <f t="shared" si="7"/>
        <v>OPRTNG</v>
      </c>
      <c r="AK73" s="63"/>
      <c r="AL73" s="63" t="str">
        <f t="shared" si="10"/>
        <v>02</v>
      </c>
      <c r="AM73" s="63" t="str">
        <f t="shared" si="11"/>
        <v>00</v>
      </c>
      <c r="AN73" s="63" t="str">
        <f t="shared" si="12"/>
        <v>00</v>
      </c>
      <c r="AO73" s="63" t="str">
        <f t="shared" si="13"/>
        <v>00</v>
      </c>
      <c r="AQ73" t="str">
        <f t="shared" si="8"/>
        <v xml:space="preserve">    (U4)0x00000002U,                                                           /* 02 OPRTNG                                          */</v>
      </c>
    </row>
    <row r="74" spans="1:46">
      <c r="B74" s="131"/>
      <c r="C74" s="50">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31"/>
      <c r="C75" s="50">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50" t="str">
        <f t="shared" si="7"/>
        <v>UNKNOWN</v>
      </c>
      <c r="AK75" s="63"/>
      <c r="AL75" s="63" t="str">
        <f t="shared" si="10"/>
        <v>04</v>
      </c>
      <c r="AM75" s="63" t="str">
        <f t="shared" si="11"/>
        <v>00</v>
      </c>
      <c r="AN75" s="63" t="str">
        <f t="shared" si="12"/>
        <v>00</v>
      </c>
      <c r="AO75" s="63" t="str">
        <f t="shared" si="13"/>
        <v>00</v>
      </c>
      <c r="AQ75" t="str">
        <f t="shared" si="8"/>
        <v xml:space="preserve">    (U4)0x00000004U,                                                           /* 04 UNKNOWN                                         */</v>
      </c>
    </row>
    <row r="76" spans="1:46">
      <c r="B76" s="131"/>
      <c r="C76" s="50">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50" t="str">
        <f t="shared" si="7"/>
        <v>UNKNOWN</v>
      </c>
      <c r="AK76" s="63"/>
      <c r="AL76" s="63" t="str">
        <f t="shared" si="10"/>
        <v>05</v>
      </c>
      <c r="AM76" s="63" t="str">
        <f t="shared" si="11"/>
        <v>00</v>
      </c>
      <c r="AN76" s="63" t="str">
        <f t="shared" si="12"/>
        <v>00</v>
      </c>
      <c r="AO76" s="63" t="str">
        <f t="shared" si="13"/>
        <v>00</v>
      </c>
      <c r="AQ76" t="str">
        <f t="shared" si="8"/>
        <v xml:space="preserve">    (U4)0x00000005U,                                                           /* 05 UNKNOWN                                         */</v>
      </c>
    </row>
    <row r="77" spans="1:46">
      <c r="B77" s="131"/>
      <c r="C77" s="50">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1"/>
      <c r="C78" s="50">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50" t="str">
        <f t="shared" si="7"/>
        <v>UNKNOWN</v>
      </c>
      <c r="AK78" s="63"/>
      <c r="AL78" s="63" t="str">
        <f t="shared" si="10"/>
        <v>07</v>
      </c>
      <c r="AM78" s="63" t="str">
        <f t="shared" si="11"/>
        <v>00</v>
      </c>
      <c r="AN78" s="63" t="str">
        <f t="shared" si="12"/>
        <v>00</v>
      </c>
      <c r="AO78" s="63" t="str">
        <f t="shared" si="13"/>
        <v>00</v>
      </c>
      <c r="AQ78" t="str">
        <f t="shared" si="8"/>
        <v xml:space="preserve">    (U4)0x00000007U,                                                           /* 07 UNKNOWN                                         */</v>
      </c>
    </row>
    <row r="79" spans="1:46">
      <c r="B79" s="131"/>
      <c r="C79" s="50">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1</v>
      </c>
      <c r="AG79" s="125">
        <f t="shared" si="15"/>
        <v>0</v>
      </c>
      <c r="AH79" s="125">
        <f t="shared" si="15"/>
        <v>0</v>
      </c>
      <c r="AI79" s="125">
        <f t="shared" si="15"/>
        <v>0</v>
      </c>
      <c r="AJ79" s="50" t="str">
        <f t="shared" si="7"/>
        <v>UNKNOWN</v>
      </c>
      <c r="AK79" s="63"/>
      <c r="AL79" s="63" t="str">
        <f t="shared" si="10"/>
        <v>08</v>
      </c>
      <c r="AM79" s="63" t="str">
        <f t="shared" si="11"/>
        <v>00</v>
      </c>
      <c r="AN79" s="63" t="str">
        <f t="shared" si="12"/>
        <v>00</v>
      </c>
      <c r="AO79" s="63" t="str">
        <f t="shared" si="13"/>
        <v>00</v>
      </c>
      <c r="AQ79" t="str">
        <f t="shared" si="8"/>
        <v xml:space="preserve">    (U4)0x00000008U,                                                           /* 08 UNKNOWN                                         */</v>
      </c>
    </row>
    <row r="80" spans="1:46">
      <c r="B80" s="131"/>
      <c r="C80" s="50">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1</v>
      </c>
      <c r="AG80" s="125">
        <f t="shared" si="15"/>
        <v>0</v>
      </c>
      <c r="AH80" s="125">
        <f t="shared" si="15"/>
        <v>0</v>
      </c>
      <c r="AI80" s="125">
        <f t="shared" si="15"/>
        <v>1</v>
      </c>
      <c r="AJ80" s="50" t="str">
        <f t="shared" si="7"/>
        <v>UNKNOWN</v>
      </c>
      <c r="AK80" s="63"/>
      <c r="AL80" s="63" t="str">
        <f t="shared" si="10"/>
        <v>09</v>
      </c>
      <c r="AM80" s="63" t="str">
        <f t="shared" si="11"/>
        <v>00</v>
      </c>
      <c r="AN80" s="63" t="str">
        <f t="shared" si="12"/>
        <v>00</v>
      </c>
      <c r="AO80" s="63" t="str">
        <f t="shared" si="13"/>
        <v>00</v>
      </c>
      <c r="AQ80" t="str">
        <f t="shared" si="8"/>
        <v xml:space="preserve">    (U4)0x00000009U,                                                           /* 09 UNKNOWN                                         */</v>
      </c>
    </row>
    <row r="81" spans="2:43">
      <c r="B81" s="131"/>
      <c r="C81" s="50">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1</v>
      </c>
      <c r="AG81" s="125">
        <f t="shared" si="15"/>
        <v>0</v>
      </c>
      <c r="AH81" s="125">
        <f t="shared" si="15"/>
        <v>1</v>
      </c>
      <c r="AI81" s="125">
        <f t="shared" si="15"/>
        <v>0</v>
      </c>
      <c r="AJ81" s="50" t="str">
        <f t="shared" si="7"/>
        <v>UNKNOWN</v>
      </c>
      <c r="AK81" s="63"/>
      <c r="AL81" s="63" t="str">
        <f t="shared" si="10"/>
        <v>0A</v>
      </c>
      <c r="AM81" s="63" t="str">
        <f t="shared" si="11"/>
        <v>00</v>
      </c>
      <c r="AN81" s="63" t="str">
        <f t="shared" si="12"/>
        <v>00</v>
      </c>
      <c r="AO81" s="63" t="str">
        <f t="shared" si="13"/>
        <v>00</v>
      </c>
      <c r="AQ81" t="str">
        <f t="shared" si="8"/>
        <v xml:space="preserve">    (U4)0x0000000AU,                                                           /* 10 UNKNOWN                                         */</v>
      </c>
    </row>
    <row r="82" spans="2:43">
      <c r="B82" s="131"/>
      <c r="C82" s="50">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1</v>
      </c>
      <c r="AG82" s="125">
        <f t="shared" si="15"/>
        <v>0</v>
      </c>
      <c r="AH82" s="125">
        <f t="shared" si="15"/>
        <v>1</v>
      </c>
      <c r="AI82" s="125">
        <f t="shared" si="15"/>
        <v>1</v>
      </c>
      <c r="AJ82" s="50" t="str">
        <f t="shared" si="7"/>
        <v>UNKNOWN</v>
      </c>
      <c r="AK82" s="63"/>
      <c r="AL82" s="63" t="str">
        <f t="shared" si="10"/>
        <v>0B</v>
      </c>
      <c r="AM82" s="63" t="str">
        <f t="shared" si="11"/>
        <v>00</v>
      </c>
      <c r="AN82" s="63" t="str">
        <f t="shared" si="12"/>
        <v>00</v>
      </c>
      <c r="AO82" s="63" t="str">
        <f t="shared" si="13"/>
        <v>00</v>
      </c>
      <c r="AQ82" t="str">
        <f t="shared" si="8"/>
        <v xml:space="preserve">    (U4)0x0000000BU,                                                           /* 11 UNKNOWN                                         */</v>
      </c>
    </row>
    <row r="83" spans="2:43">
      <c r="B83" s="131"/>
      <c r="C83" s="50">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1</v>
      </c>
      <c r="AG83" s="125">
        <f t="shared" si="15"/>
        <v>1</v>
      </c>
      <c r="AH83" s="125">
        <f t="shared" si="15"/>
        <v>0</v>
      </c>
      <c r="AI83" s="125">
        <f t="shared" si="15"/>
        <v>0</v>
      </c>
      <c r="AJ83" s="50" t="str">
        <f t="shared" si="7"/>
        <v>UNKNOWN</v>
      </c>
      <c r="AK83" s="63"/>
      <c r="AL83" s="63" t="str">
        <f t="shared" si="10"/>
        <v>0C</v>
      </c>
      <c r="AM83" s="63" t="str">
        <f t="shared" si="11"/>
        <v>00</v>
      </c>
      <c r="AN83" s="63" t="str">
        <f t="shared" si="12"/>
        <v>00</v>
      </c>
      <c r="AO83" s="63" t="str">
        <f t="shared" si="13"/>
        <v>00</v>
      </c>
      <c r="AQ83" t="str">
        <f t="shared" si="8"/>
        <v xml:space="preserve">    (U4)0x0000000CU,                                                           /* 12 UNKNOWN                                         */</v>
      </c>
    </row>
    <row r="84" spans="2:43">
      <c r="B84" s="131"/>
      <c r="C84" s="50">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1</v>
      </c>
      <c r="AG84" s="125">
        <f t="shared" si="15"/>
        <v>1</v>
      </c>
      <c r="AH84" s="125">
        <f t="shared" si="15"/>
        <v>0</v>
      </c>
      <c r="AI84" s="125">
        <f t="shared" si="15"/>
        <v>1</v>
      </c>
      <c r="AJ84" s="50" t="str">
        <f t="shared" si="7"/>
        <v>UNKNOWN</v>
      </c>
      <c r="AK84" s="63"/>
      <c r="AL84" s="63" t="str">
        <f t="shared" si="10"/>
        <v>0D</v>
      </c>
      <c r="AM84" s="63" t="str">
        <f t="shared" si="11"/>
        <v>00</v>
      </c>
      <c r="AN84" s="63" t="str">
        <f t="shared" si="12"/>
        <v>00</v>
      </c>
      <c r="AO84" s="63" t="str">
        <f t="shared" si="13"/>
        <v>00</v>
      </c>
      <c r="AQ84" t="str">
        <f t="shared" si="8"/>
        <v xml:space="preserve">    (U4)0x0000000DU,                                                           /* 13 UNKNOWN                                         */</v>
      </c>
    </row>
    <row r="85" spans="2:43">
      <c r="B85" s="131"/>
      <c r="C85" s="50">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1</v>
      </c>
      <c r="AG85" s="125">
        <f t="shared" si="15"/>
        <v>1</v>
      </c>
      <c r="AH85" s="125">
        <f t="shared" si="15"/>
        <v>1</v>
      </c>
      <c r="AI85" s="125">
        <f t="shared" si="15"/>
        <v>0</v>
      </c>
      <c r="AJ85" s="50" t="str">
        <f t="shared" si="7"/>
        <v>UNKNOWN</v>
      </c>
      <c r="AK85" s="63"/>
      <c r="AL85" s="63" t="str">
        <f t="shared" si="10"/>
        <v>0E</v>
      </c>
      <c r="AM85" s="63" t="str">
        <f t="shared" si="11"/>
        <v>00</v>
      </c>
      <c r="AN85" s="63" t="str">
        <f t="shared" si="12"/>
        <v>00</v>
      </c>
      <c r="AO85" s="63" t="str">
        <f t="shared" si="13"/>
        <v>00</v>
      </c>
      <c r="AQ85" t="str">
        <f t="shared" si="8"/>
        <v xml:space="preserve">    (U4)0x0000000EU,                                                           /* 14 UNKNOWN                                         */</v>
      </c>
    </row>
    <row r="86" spans="2:43">
      <c r="B86" s="131"/>
      <c r="C86" s="50">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1</v>
      </c>
      <c r="AG86" s="125">
        <f t="shared" si="15"/>
        <v>1</v>
      </c>
      <c r="AH86" s="125">
        <f t="shared" si="15"/>
        <v>1</v>
      </c>
      <c r="AI86" s="125">
        <f t="shared" ref="AI86" si="16">IF(AI21=1,1,0)</f>
        <v>1</v>
      </c>
      <c r="AJ86" s="50" t="str">
        <f t="shared" si="7"/>
        <v>UNKNOWN</v>
      </c>
      <c r="AK86" s="63"/>
      <c r="AL86" s="63" t="str">
        <f t="shared" si="10"/>
        <v>0F</v>
      </c>
      <c r="AM86" s="63" t="str">
        <f t="shared" si="11"/>
        <v>00</v>
      </c>
      <c r="AN86" s="63" t="str">
        <f t="shared" si="12"/>
        <v>00</v>
      </c>
      <c r="AO86" s="63" t="str">
        <f t="shared" si="13"/>
        <v>00</v>
      </c>
      <c r="AQ86" t="str">
        <f t="shared" si="8"/>
        <v xml:space="preserve">    (U4)0x0000000FU,                                                           /* 15 UNKNOWN                                         */</v>
      </c>
    </row>
    <row r="87" spans="2:43">
      <c r="B87" s="131"/>
      <c r="C87" s="50">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1</v>
      </c>
      <c r="AF87" s="125">
        <f t="shared" si="17"/>
        <v>0</v>
      </c>
      <c r="AG87" s="125">
        <f t="shared" si="17"/>
        <v>0</v>
      </c>
      <c r="AH87" s="125">
        <f t="shared" si="17"/>
        <v>0</v>
      </c>
      <c r="AI87" s="125">
        <f t="shared" si="17"/>
        <v>0</v>
      </c>
      <c r="AJ87" s="50" t="str">
        <f t="shared" si="7"/>
        <v>UNKNOWN</v>
      </c>
      <c r="AK87" s="63"/>
      <c r="AL87" s="63" t="str">
        <f t="shared" si="10"/>
        <v>10</v>
      </c>
      <c r="AM87" s="63" t="str">
        <f t="shared" si="11"/>
        <v>00</v>
      </c>
      <c r="AN87" s="63" t="str">
        <f t="shared" si="12"/>
        <v>00</v>
      </c>
      <c r="AO87" s="63" t="str">
        <f t="shared" si="13"/>
        <v>00</v>
      </c>
      <c r="AQ87" t="str">
        <f t="shared" si="8"/>
        <v xml:space="preserve">    (U4)0x00000010U,                                                           /* 16 UNKNOWN                                         */</v>
      </c>
    </row>
    <row r="88" spans="2:43">
      <c r="B88" s="131"/>
      <c r="C88" s="50">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1</v>
      </c>
      <c r="AF88" s="125">
        <f t="shared" si="17"/>
        <v>0</v>
      </c>
      <c r="AG88" s="125">
        <f t="shared" si="17"/>
        <v>0</v>
      </c>
      <c r="AH88" s="125">
        <f t="shared" si="17"/>
        <v>0</v>
      </c>
      <c r="AI88" s="125">
        <f t="shared" si="17"/>
        <v>1</v>
      </c>
      <c r="AJ88" s="50" t="str">
        <f t="shared" si="7"/>
        <v>UNKNOWN</v>
      </c>
      <c r="AK88" s="63"/>
      <c r="AL88" s="63" t="str">
        <f t="shared" si="10"/>
        <v>11</v>
      </c>
      <c r="AM88" s="63" t="str">
        <f t="shared" si="11"/>
        <v>00</v>
      </c>
      <c r="AN88" s="63" t="str">
        <f t="shared" si="12"/>
        <v>00</v>
      </c>
      <c r="AO88" s="63" t="str">
        <f t="shared" si="13"/>
        <v>00</v>
      </c>
      <c r="AQ88" t="str">
        <f t="shared" si="8"/>
        <v xml:space="preserve">    (U4)0x00000011U,                                                           /* 17 UNKNOWN                                         */</v>
      </c>
    </row>
    <row r="89" spans="2:43">
      <c r="B89" s="131"/>
      <c r="C89" s="50">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1</v>
      </c>
      <c r="AF89" s="125">
        <f t="shared" si="17"/>
        <v>0</v>
      </c>
      <c r="AG89" s="125">
        <f t="shared" si="17"/>
        <v>0</v>
      </c>
      <c r="AH89" s="125">
        <f t="shared" si="17"/>
        <v>1</v>
      </c>
      <c r="AI89" s="125">
        <f t="shared" si="17"/>
        <v>0</v>
      </c>
      <c r="AJ89" s="50" t="str">
        <f t="shared" si="7"/>
        <v>UNKNOWN</v>
      </c>
      <c r="AK89" s="63"/>
      <c r="AL89" s="63" t="str">
        <f t="shared" si="10"/>
        <v>12</v>
      </c>
      <c r="AM89" s="63" t="str">
        <f t="shared" si="11"/>
        <v>00</v>
      </c>
      <c r="AN89" s="63" t="str">
        <f t="shared" si="12"/>
        <v>00</v>
      </c>
      <c r="AO89" s="63" t="str">
        <f t="shared" si="13"/>
        <v>00</v>
      </c>
      <c r="AQ89" t="str">
        <f t="shared" si="8"/>
        <v xml:space="preserve">    (U4)0x00000012U,                                                           /* 18 UNKNOWN                                         */</v>
      </c>
    </row>
    <row r="90" spans="2:43">
      <c r="B90" s="131"/>
      <c r="C90" s="50">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1</v>
      </c>
      <c r="AF90" s="125">
        <f t="shared" si="17"/>
        <v>0</v>
      </c>
      <c r="AG90" s="125">
        <f t="shared" si="17"/>
        <v>0</v>
      </c>
      <c r="AH90" s="125">
        <f t="shared" si="17"/>
        <v>1</v>
      </c>
      <c r="AI90" s="125">
        <f t="shared" si="17"/>
        <v>1</v>
      </c>
      <c r="AJ90" s="50" t="str">
        <f t="shared" si="7"/>
        <v>UNKNOWN</v>
      </c>
      <c r="AK90" s="63"/>
      <c r="AL90" s="63" t="str">
        <f t="shared" si="10"/>
        <v>13</v>
      </c>
      <c r="AM90" s="63" t="str">
        <f t="shared" si="11"/>
        <v>00</v>
      </c>
      <c r="AN90" s="63" t="str">
        <f t="shared" si="12"/>
        <v>00</v>
      </c>
      <c r="AO90" s="63" t="str">
        <f t="shared" si="13"/>
        <v>00</v>
      </c>
      <c r="AQ90" t="str">
        <f t="shared" si="8"/>
        <v xml:space="preserve">    (U4)0x00000013U,                                                           /* 19 UNKNOWN                                         */</v>
      </c>
    </row>
    <row r="91" spans="2:43">
      <c r="B91" s="131"/>
      <c r="C91" s="50">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1</v>
      </c>
      <c r="AF91" s="125">
        <f t="shared" si="17"/>
        <v>0</v>
      </c>
      <c r="AG91" s="125">
        <f t="shared" si="17"/>
        <v>1</v>
      </c>
      <c r="AH91" s="125">
        <f t="shared" si="17"/>
        <v>0</v>
      </c>
      <c r="AI91" s="125">
        <f t="shared" si="17"/>
        <v>0</v>
      </c>
      <c r="AJ91" s="50" t="str">
        <f t="shared" si="7"/>
        <v>UNKNOWN</v>
      </c>
      <c r="AK91" s="63"/>
      <c r="AL91" s="63" t="str">
        <f t="shared" si="10"/>
        <v>14</v>
      </c>
      <c r="AM91" s="63" t="str">
        <f t="shared" si="11"/>
        <v>00</v>
      </c>
      <c r="AN91" s="63" t="str">
        <f t="shared" si="12"/>
        <v>00</v>
      </c>
      <c r="AO91" s="63" t="str">
        <f t="shared" si="13"/>
        <v>00</v>
      </c>
      <c r="AQ91" t="str">
        <f t="shared" si="8"/>
        <v xml:space="preserve">    (U4)0x00000014U,                                                           /* 20 UNKNOWN                                         */</v>
      </c>
    </row>
    <row r="92" spans="2:43">
      <c r="B92" s="131"/>
      <c r="C92" s="50">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1</v>
      </c>
      <c r="AF92" s="125">
        <f t="shared" si="17"/>
        <v>0</v>
      </c>
      <c r="AG92" s="125">
        <f t="shared" si="17"/>
        <v>1</v>
      </c>
      <c r="AH92" s="125">
        <f t="shared" si="17"/>
        <v>0</v>
      </c>
      <c r="AI92" s="125">
        <f t="shared" si="17"/>
        <v>1</v>
      </c>
      <c r="AJ92" s="50" t="str">
        <f t="shared" si="7"/>
        <v>UNKNOWN</v>
      </c>
      <c r="AK92" s="63"/>
      <c r="AL92" s="63" t="str">
        <f t="shared" si="10"/>
        <v>15</v>
      </c>
      <c r="AM92" s="63" t="str">
        <f t="shared" si="11"/>
        <v>00</v>
      </c>
      <c r="AN92" s="63" t="str">
        <f t="shared" si="12"/>
        <v>00</v>
      </c>
      <c r="AO92" s="63" t="str">
        <f t="shared" si="13"/>
        <v>00</v>
      </c>
      <c r="AQ92" t="str">
        <f t="shared" si="8"/>
        <v xml:space="preserve">    (U4)0x00000015U,                                                           /* 21 UNKNOWN                                         */</v>
      </c>
    </row>
    <row r="93" spans="2:43">
      <c r="B93" s="131"/>
      <c r="C93" s="50">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1</v>
      </c>
      <c r="AF93" s="125">
        <f t="shared" si="17"/>
        <v>0</v>
      </c>
      <c r="AG93" s="125">
        <f t="shared" si="17"/>
        <v>1</v>
      </c>
      <c r="AH93" s="125">
        <f t="shared" si="17"/>
        <v>1</v>
      </c>
      <c r="AI93" s="125">
        <f t="shared" si="17"/>
        <v>0</v>
      </c>
      <c r="AJ93" s="50" t="str">
        <f t="shared" si="7"/>
        <v>UNKNOWN</v>
      </c>
      <c r="AK93" s="63"/>
      <c r="AL93" s="63" t="str">
        <f t="shared" si="10"/>
        <v>16</v>
      </c>
      <c r="AM93" s="63" t="str">
        <f t="shared" si="11"/>
        <v>00</v>
      </c>
      <c r="AN93" s="63" t="str">
        <f t="shared" si="12"/>
        <v>00</v>
      </c>
      <c r="AO93" s="63" t="str">
        <f t="shared" si="13"/>
        <v>00</v>
      </c>
      <c r="AQ93" t="str">
        <f t="shared" si="8"/>
        <v xml:space="preserve">    (U4)0x00000016U,                                                           /* 22 UNKNOWN                                         */</v>
      </c>
    </row>
    <row r="94" spans="2:43">
      <c r="B94" s="131"/>
      <c r="C94" s="50">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1</v>
      </c>
      <c r="AF94" s="125">
        <f t="shared" si="17"/>
        <v>0</v>
      </c>
      <c r="AG94" s="125">
        <f t="shared" si="17"/>
        <v>1</v>
      </c>
      <c r="AH94" s="125">
        <f t="shared" si="17"/>
        <v>1</v>
      </c>
      <c r="AI94" s="125">
        <f t="shared" ref="AI94" si="18">IF(AI29=1,1,0)</f>
        <v>1</v>
      </c>
      <c r="AJ94" s="50" t="str">
        <f t="shared" si="7"/>
        <v>UNKNOWN</v>
      </c>
      <c r="AK94" s="63"/>
      <c r="AL94" s="63" t="str">
        <f t="shared" si="10"/>
        <v>17</v>
      </c>
      <c r="AM94" s="63" t="str">
        <f t="shared" si="11"/>
        <v>00</v>
      </c>
      <c r="AN94" s="63" t="str">
        <f t="shared" si="12"/>
        <v>00</v>
      </c>
      <c r="AO94" s="63" t="str">
        <f t="shared" si="13"/>
        <v>00</v>
      </c>
      <c r="AQ94" t="str">
        <f t="shared" si="8"/>
        <v xml:space="preserve">    (U4)0x00000017U,                                                           /* 23 UNKNOWN                                         */</v>
      </c>
    </row>
    <row r="95" spans="2:43">
      <c r="B95" s="131"/>
      <c r="C95" s="50">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1</v>
      </c>
      <c r="AF95" s="125">
        <f t="shared" si="19"/>
        <v>1</v>
      </c>
      <c r="AG95" s="125">
        <f t="shared" si="19"/>
        <v>0</v>
      </c>
      <c r="AH95" s="125">
        <f t="shared" si="19"/>
        <v>0</v>
      </c>
      <c r="AI95" s="125">
        <f t="shared" si="19"/>
        <v>0</v>
      </c>
      <c r="AJ95" s="50" t="str">
        <f t="shared" si="7"/>
        <v>UNKNOWN</v>
      </c>
      <c r="AK95" s="63"/>
      <c r="AL95" s="63" t="str">
        <f t="shared" si="10"/>
        <v>18</v>
      </c>
      <c r="AM95" s="63" t="str">
        <f t="shared" si="11"/>
        <v>00</v>
      </c>
      <c r="AN95" s="63" t="str">
        <f t="shared" si="12"/>
        <v>00</v>
      </c>
      <c r="AO95" s="63" t="str">
        <f t="shared" si="13"/>
        <v>00</v>
      </c>
      <c r="AQ95" t="str">
        <f t="shared" si="8"/>
        <v xml:space="preserve">    (U4)0x00000018U,                                                           /* 24 UNKNOWN                                         */</v>
      </c>
    </row>
    <row r="96" spans="2:43">
      <c r="B96" s="131"/>
      <c r="C96" s="50">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1</v>
      </c>
      <c r="AF96" s="125">
        <f t="shared" si="19"/>
        <v>1</v>
      </c>
      <c r="AG96" s="125">
        <f t="shared" si="19"/>
        <v>0</v>
      </c>
      <c r="AH96" s="125">
        <f t="shared" si="19"/>
        <v>0</v>
      </c>
      <c r="AI96" s="125">
        <f t="shared" si="19"/>
        <v>1</v>
      </c>
      <c r="AJ96" s="50" t="str">
        <f t="shared" si="7"/>
        <v>UNKNOWN</v>
      </c>
      <c r="AK96" s="63"/>
      <c r="AL96" s="63" t="str">
        <f t="shared" si="10"/>
        <v>19</v>
      </c>
      <c r="AM96" s="63" t="str">
        <f t="shared" si="11"/>
        <v>00</v>
      </c>
      <c r="AN96" s="63" t="str">
        <f t="shared" si="12"/>
        <v>00</v>
      </c>
      <c r="AO96" s="63" t="str">
        <f t="shared" si="13"/>
        <v>00</v>
      </c>
      <c r="AQ96" t="str">
        <f t="shared" si="8"/>
        <v xml:space="preserve">    (U4)0x00000019U,                                                           /* 25 UNKNOWN                                         */</v>
      </c>
    </row>
    <row r="97" spans="2:43">
      <c r="B97" s="131"/>
      <c r="C97" s="50">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1</v>
      </c>
      <c r="AF97" s="125">
        <f t="shared" si="19"/>
        <v>1</v>
      </c>
      <c r="AG97" s="125">
        <f t="shared" si="19"/>
        <v>0</v>
      </c>
      <c r="AH97" s="125">
        <f t="shared" si="19"/>
        <v>1</v>
      </c>
      <c r="AI97" s="125">
        <f t="shared" si="19"/>
        <v>0</v>
      </c>
      <c r="AJ97" s="50" t="str">
        <f t="shared" si="7"/>
        <v>UNKNOWN</v>
      </c>
      <c r="AK97" s="63"/>
      <c r="AL97" s="63" t="str">
        <f t="shared" si="10"/>
        <v>1A</v>
      </c>
      <c r="AM97" s="63" t="str">
        <f t="shared" si="11"/>
        <v>00</v>
      </c>
      <c r="AN97" s="63" t="str">
        <f t="shared" si="12"/>
        <v>00</v>
      </c>
      <c r="AO97" s="63" t="str">
        <f t="shared" si="13"/>
        <v>00</v>
      </c>
      <c r="AQ97" t="str">
        <f t="shared" si="8"/>
        <v xml:space="preserve">    (U4)0x0000001AU,                                                           /* 26 UNKNOWN                                         */</v>
      </c>
    </row>
    <row r="98" spans="2:43">
      <c r="B98" s="131"/>
      <c r="C98" s="50">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1</v>
      </c>
      <c r="AF98" s="125">
        <f t="shared" si="19"/>
        <v>1</v>
      </c>
      <c r="AG98" s="125">
        <f t="shared" si="19"/>
        <v>0</v>
      </c>
      <c r="AH98" s="125">
        <f t="shared" si="19"/>
        <v>1</v>
      </c>
      <c r="AI98" s="125">
        <f t="shared" si="19"/>
        <v>1</v>
      </c>
      <c r="AJ98" s="50" t="str">
        <f t="shared" si="7"/>
        <v>UNKNOWN</v>
      </c>
      <c r="AK98" s="63"/>
      <c r="AL98" s="63" t="str">
        <f t="shared" si="10"/>
        <v>1B</v>
      </c>
      <c r="AM98" s="63" t="str">
        <f t="shared" si="11"/>
        <v>00</v>
      </c>
      <c r="AN98" s="63" t="str">
        <f t="shared" si="12"/>
        <v>00</v>
      </c>
      <c r="AO98" s="63" t="str">
        <f t="shared" si="13"/>
        <v>00</v>
      </c>
      <c r="AQ98" t="str">
        <f t="shared" si="8"/>
        <v xml:space="preserve">    (U4)0x0000001BU,                                                           /* 27 UNKNOWN                                         */</v>
      </c>
    </row>
    <row r="99" spans="2:43">
      <c r="B99" s="131"/>
      <c r="C99" s="50">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1</v>
      </c>
      <c r="AF99" s="125">
        <f t="shared" si="19"/>
        <v>1</v>
      </c>
      <c r="AG99" s="125">
        <f t="shared" si="19"/>
        <v>1</v>
      </c>
      <c r="AH99" s="125">
        <f t="shared" si="19"/>
        <v>0</v>
      </c>
      <c r="AI99" s="125">
        <f t="shared" si="19"/>
        <v>0</v>
      </c>
      <c r="AJ99" s="50" t="str">
        <f t="shared" si="7"/>
        <v>UNKNOWN</v>
      </c>
      <c r="AK99" s="63"/>
      <c r="AL99" s="63" t="str">
        <f t="shared" si="10"/>
        <v>1C</v>
      </c>
      <c r="AM99" s="63" t="str">
        <f t="shared" si="11"/>
        <v>00</v>
      </c>
      <c r="AN99" s="63" t="str">
        <f t="shared" si="12"/>
        <v>00</v>
      </c>
      <c r="AO99" s="63" t="str">
        <f t="shared" si="13"/>
        <v>00</v>
      </c>
      <c r="AQ99" t="str">
        <f t="shared" si="8"/>
        <v xml:space="preserve">    (U4)0x0000001CU,                                                           /* 28 UNKNOWN                                         */</v>
      </c>
    </row>
    <row r="100" spans="2:43">
      <c r="B100" s="131"/>
      <c r="C100" s="50">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1</v>
      </c>
      <c r="AF100" s="125">
        <f t="shared" si="19"/>
        <v>1</v>
      </c>
      <c r="AG100" s="125">
        <f t="shared" si="19"/>
        <v>1</v>
      </c>
      <c r="AH100" s="125">
        <f t="shared" si="19"/>
        <v>0</v>
      </c>
      <c r="AI100" s="125">
        <f t="shared" si="19"/>
        <v>1</v>
      </c>
      <c r="AJ100" s="50" t="str">
        <f t="shared" si="7"/>
        <v>UNKNOWN</v>
      </c>
      <c r="AK100" s="63"/>
      <c r="AL100" s="63" t="str">
        <f t="shared" si="10"/>
        <v>1D</v>
      </c>
      <c r="AM100" s="63" t="str">
        <f t="shared" si="11"/>
        <v>00</v>
      </c>
      <c r="AN100" s="63" t="str">
        <f t="shared" si="12"/>
        <v>00</v>
      </c>
      <c r="AO100" s="63" t="str">
        <f t="shared" si="13"/>
        <v>00</v>
      </c>
      <c r="AQ100" t="str">
        <f t="shared" si="8"/>
        <v xml:space="preserve">    (U4)0x0000001DU,                                                           /* 29 UNKNOWN                                         */</v>
      </c>
    </row>
    <row r="101" spans="2:43">
      <c r="B101" s="131"/>
      <c r="C101" s="50">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1</v>
      </c>
      <c r="AF101" s="125">
        <f t="shared" si="19"/>
        <v>1</v>
      </c>
      <c r="AG101" s="125">
        <f t="shared" si="19"/>
        <v>1</v>
      </c>
      <c r="AH101" s="125">
        <f t="shared" si="19"/>
        <v>1</v>
      </c>
      <c r="AI101" s="125">
        <f t="shared" si="19"/>
        <v>0</v>
      </c>
      <c r="AJ101" s="50" t="str">
        <f t="shared" si="7"/>
        <v>UNKNOWN</v>
      </c>
      <c r="AK101" s="63"/>
      <c r="AL101" s="63" t="str">
        <f t="shared" si="10"/>
        <v>1E</v>
      </c>
      <c r="AM101" s="63" t="str">
        <f t="shared" si="11"/>
        <v>00</v>
      </c>
      <c r="AN101" s="63" t="str">
        <f t="shared" si="12"/>
        <v>00</v>
      </c>
      <c r="AO101" s="63" t="str">
        <f t="shared" si="13"/>
        <v>00</v>
      </c>
      <c r="AQ101" t="str">
        <f t="shared" si="8"/>
        <v xml:space="preserve">    (U4)0x0000001EU,                                                           /* 30 UNKNOWN                                         */</v>
      </c>
    </row>
    <row r="102" spans="2:43">
      <c r="B102" s="131"/>
      <c r="C102" s="50">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1</v>
      </c>
      <c r="AF102" s="125">
        <f t="shared" si="19"/>
        <v>1</v>
      </c>
      <c r="AG102" s="125">
        <f t="shared" si="19"/>
        <v>1</v>
      </c>
      <c r="AH102" s="125">
        <f t="shared" si="19"/>
        <v>1</v>
      </c>
      <c r="AI102" s="125">
        <f t="shared" ref="AI102" si="20">IF(AI37=1,1,0)</f>
        <v>1</v>
      </c>
      <c r="AJ102" s="50" t="str">
        <f t="shared" si="7"/>
        <v>UNKNOWN</v>
      </c>
      <c r="AK102" s="63"/>
      <c r="AL102" s="63" t="str">
        <f t="shared" si="10"/>
        <v>1F</v>
      </c>
      <c r="AM102" s="63" t="str">
        <f t="shared" si="11"/>
        <v>00</v>
      </c>
      <c r="AN102" s="63" t="str">
        <f t="shared" si="12"/>
        <v>00</v>
      </c>
      <c r="AO102" s="63" t="str">
        <f t="shared" si="13"/>
        <v>00</v>
      </c>
      <c r="AQ102" t="str">
        <f t="shared" si="8"/>
        <v xml:space="preserve">    (U4)0x0000001FU                                                            /* 31 UNKNOWN                                         */</v>
      </c>
    </row>
    <row r="103" spans="2:43">
      <c r="B103" s="131"/>
      <c r="C103" s="50">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0</v>
      </c>
      <c r="AE103" s="125">
        <f t="shared" si="21"/>
        <v>0</v>
      </c>
      <c r="AF103" s="125">
        <f t="shared" si="21"/>
        <v>0</v>
      </c>
      <c r="AG103" s="125">
        <f t="shared" si="21"/>
        <v>0</v>
      </c>
      <c r="AH103" s="125">
        <f t="shared" si="21"/>
        <v>0</v>
      </c>
      <c r="AI103" s="125">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31"/>
      <c r="C104" s="50">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0</v>
      </c>
      <c r="AE104" s="125">
        <f t="shared" si="21"/>
        <v>0</v>
      </c>
      <c r="AF104" s="125">
        <f t="shared" si="21"/>
        <v>0</v>
      </c>
      <c r="AG104" s="125">
        <f t="shared" si="21"/>
        <v>0</v>
      </c>
      <c r="AH104" s="125">
        <f t="shared" si="21"/>
        <v>0</v>
      </c>
      <c r="AI104" s="125">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31"/>
      <c r="C105" s="50">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0</v>
      </c>
      <c r="AE105" s="125">
        <f t="shared" si="21"/>
        <v>0</v>
      </c>
      <c r="AF105" s="125">
        <f t="shared" si="21"/>
        <v>0</v>
      </c>
      <c r="AG105" s="125">
        <f t="shared" si="21"/>
        <v>0</v>
      </c>
      <c r="AH105" s="125">
        <f t="shared" si="21"/>
        <v>0</v>
      </c>
      <c r="AI105" s="125">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31"/>
      <c r="C106" s="50">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0</v>
      </c>
      <c r="AE106" s="125">
        <f t="shared" si="21"/>
        <v>0</v>
      </c>
      <c r="AF106" s="125">
        <f t="shared" si="21"/>
        <v>0</v>
      </c>
      <c r="AG106" s="125">
        <f t="shared" si="21"/>
        <v>0</v>
      </c>
      <c r="AH106" s="125">
        <f t="shared" si="21"/>
        <v>0</v>
      </c>
      <c r="AI106" s="125">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31"/>
      <c r="C107" s="50">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0</v>
      </c>
      <c r="AE107" s="125">
        <f t="shared" si="21"/>
        <v>0</v>
      </c>
      <c r="AF107" s="125">
        <f t="shared" si="21"/>
        <v>0</v>
      </c>
      <c r="AG107" s="125">
        <f t="shared" si="21"/>
        <v>0</v>
      </c>
      <c r="AH107" s="125">
        <f t="shared" si="21"/>
        <v>0</v>
      </c>
      <c r="AI107" s="125">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31"/>
      <c r="C108" s="50">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0</v>
      </c>
      <c r="AE108" s="125">
        <f t="shared" si="21"/>
        <v>0</v>
      </c>
      <c r="AF108" s="125">
        <f t="shared" si="21"/>
        <v>0</v>
      </c>
      <c r="AG108" s="125">
        <f t="shared" si="21"/>
        <v>0</v>
      </c>
      <c r="AH108" s="125">
        <f t="shared" si="21"/>
        <v>0</v>
      </c>
      <c r="AI108" s="125">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31"/>
      <c r="C109" s="50">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0</v>
      </c>
      <c r="AE109" s="125">
        <f t="shared" si="21"/>
        <v>0</v>
      </c>
      <c r="AF109" s="125">
        <f t="shared" si="21"/>
        <v>0</v>
      </c>
      <c r="AG109" s="125">
        <f t="shared" si="21"/>
        <v>0</v>
      </c>
      <c r="AH109" s="125">
        <f t="shared" si="21"/>
        <v>0</v>
      </c>
      <c r="AI109" s="125">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31"/>
      <c r="C110" s="50">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0</v>
      </c>
      <c r="AE110" s="125">
        <f t="shared" si="21"/>
        <v>0</v>
      </c>
      <c r="AF110" s="125">
        <f t="shared" si="21"/>
        <v>0</v>
      </c>
      <c r="AG110" s="125">
        <f t="shared" si="21"/>
        <v>0</v>
      </c>
      <c r="AH110" s="125">
        <f t="shared" si="21"/>
        <v>0</v>
      </c>
      <c r="AI110" s="125">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31"/>
      <c r="C111" s="50">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0</v>
      </c>
      <c r="AE111" s="125">
        <f t="shared" si="23"/>
        <v>0</v>
      </c>
      <c r="AF111" s="125">
        <f t="shared" si="23"/>
        <v>0</v>
      </c>
      <c r="AG111" s="125">
        <f t="shared" si="23"/>
        <v>0</v>
      </c>
      <c r="AH111" s="125">
        <f t="shared" si="23"/>
        <v>0</v>
      </c>
      <c r="AI111" s="125">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31"/>
      <c r="C112" s="50">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0</v>
      </c>
      <c r="AE112" s="125">
        <f t="shared" si="23"/>
        <v>0</v>
      </c>
      <c r="AF112" s="125">
        <f t="shared" si="23"/>
        <v>0</v>
      </c>
      <c r="AG112" s="125">
        <f t="shared" si="23"/>
        <v>0</v>
      </c>
      <c r="AH112" s="125">
        <f t="shared" si="23"/>
        <v>0</v>
      </c>
      <c r="AI112" s="125">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31"/>
      <c r="C113" s="50">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0</v>
      </c>
      <c r="AE113" s="125">
        <f t="shared" si="23"/>
        <v>0</v>
      </c>
      <c r="AF113" s="125">
        <f t="shared" si="23"/>
        <v>0</v>
      </c>
      <c r="AG113" s="125">
        <f t="shared" si="23"/>
        <v>0</v>
      </c>
      <c r="AH113" s="125">
        <f t="shared" si="23"/>
        <v>0</v>
      </c>
      <c r="AI113" s="125">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31"/>
      <c r="C114" s="50">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0</v>
      </c>
      <c r="AE114" s="125">
        <f t="shared" si="23"/>
        <v>0</v>
      </c>
      <c r="AF114" s="125">
        <f t="shared" si="23"/>
        <v>0</v>
      </c>
      <c r="AG114" s="125">
        <f t="shared" si="23"/>
        <v>0</v>
      </c>
      <c r="AH114" s="125">
        <f t="shared" si="23"/>
        <v>0</v>
      </c>
      <c r="AI114" s="125">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31"/>
      <c r="C115" s="50">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0</v>
      </c>
      <c r="AE115" s="125">
        <f t="shared" si="23"/>
        <v>0</v>
      </c>
      <c r="AF115" s="125">
        <f t="shared" si="23"/>
        <v>0</v>
      </c>
      <c r="AG115" s="125">
        <f t="shared" si="23"/>
        <v>0</v>
      </c>
      <c r="AH115" s="125">
        <f t="shared" si="23"/>
        <v>0</v>
      </c>
      <c r="AI115" s="125">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31"/>
      <c r="C116" s="50">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0</v>
      </c>
      <c r="AE116" s="125">
        <f t="shared" si="23"/>
        <v>0</v>
      </c>
      <c r="AF116" s="125">
        <f t="shared" si="23"/>
        <v>0</v>
      </c>
      <c r="AG116" s="125">
        <f t="shared" si="23"/>
        <v>0</v>
      </c>
      <c r="AH116" s="125">
        <f t="shared" si="23"/>
        <v>0</v>
      </c>
      <c r="AI116" s="125">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31"/>
      <c r="C117" s="50">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0</v>
      </c>
      <c r="AE117" s="125">
        <f t="shared" si="23"/>
        <v>0</v>
      </c>
      <c r="AF117" s="125">
        <f t="shared" si="23"/>
        <v>0</v>
      </c>
      <c r="AG117" s="125">
        <f t="shared" si="23"/>
        <v>0</v>
      </c>
      <c r="AH117" s="125">
        <f t="shared" si="23"/>
        <v>0</v>
      </c>
      <c r="AI117" s="125">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31"/>
      <c r="C118" s="50">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0</v>
      </c>
      <c r="AE118" s="125">
        <f t="shared" si="23"/>
        <v>0</v>
      </c>
      <c r="AF118" s="125">
        <f t="shared" si="23"/>
        <v>0</v>
      </c>
      <c r="AG118" s="125">
        <f t="shared" si="23"/>
        <v>0</v>
      </c>
      <c r="AH118" s="125">
        <f t="shared" si="23"/>
        <v>0</v>
      </c>
      <c r="AI118" s="125">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31"/>
      <c r="C119" s="50">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0</v>
      </c>
      <c r="AE119" s="125">
        <f t="shared" si="25"/>
        <v>0</v>
      </c>
      <c r="AF119" s="125">
        <f t="shared" si="25"/>
        <v>0</v>
      </c>
      <c r="AG119" s="125">
        <f t="shared" si="25"/>
        <v>0</v>
      </c>
      <c r="AH119" s="125">
        <f t="shared" si="25"/>
        <v>0</v>
      </c>
      <c r="AI119" s="125">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31"/>
      <c r="C120" s="50">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0</v>
      </c>
      <c r="AE120" s="125">
        <f t="shared" si="25"/>
        <v>0</v>
      </c>
      <c r="AF120" s="125">
        <f t="shared" si="25"/>
        <v>0</v>
      </c>
      <c r="AG120" s="125">
        <f t="shared" si="25"/>
        <v>0</v>
      </c>
      <c r="AH120" s="125">
        <f t="shared" si="25"/>
        <v>0</v>
      </c>
      <c r="AI120" s="125">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31"/>
      <c r="C121" s="50">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0</v>
      </c>
      <c r="AE121" s="125">
        <f t="shared" si="25"/>
        <v>0</v>
      </c>
      <c r="AF121" s="125">
        <f t="shared" si="25"/>
        <v>0</v>
      </c>
      <c r="AG121" s="125">
        <f t="shared" si="25"/>
        <v>0</v>
      </c>
      <c r="AH121" s="125">
        <f t="shared" si="25"/>
        <v>0</v>
      </c>
      <c r="AI121" s="125">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31"/>
      <c r="C122" s="50">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0</v>
      </c>
      <c r="AE122" s="125">
        <f t="shared" si="25"/>
        <v>0</v>
      </c>
      <c r="AF122" s="125">
        <f t="shared" si="25"/>
        <v>0</v>
      </c>
      <c r="AG122" s="125">
        <f t="shared" si="25"/>
        <v>0</v>
      </c>
      <c r="AH122" s="125">
        <f t="shared" si="25"/>
        <v>0</v>
      </c>
      <c r="AI122" s="125">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31"/>
      <c r="C123" s="50">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0</v>
      </c>
      <c r="AE123" s="125">
        <f t="shared" si="25"/>
        <v>0</v>
      </c>
      <c r="AF123" s="125">
        <f t="shared" si="25"/>
        <v>0</v>
      </c>
      <c r="AG123" s="125">
        <f t="shared" si="25"/>
        <v>0</v>
      </c>
      <c r="AH123" s="125">
        <f t="shared" si="25"/>
        <v>0</v>
      </c>
      <c r="AI123" s="125">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31"/>
      <c r="C124" s="50">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0</v>
      </c>
      <c r="AE124" s="125">
        <f t="shared" si="25"/>
        <v>0</v>
      </c>
      <c r="AF124" s="125">
        <f t="shared" si="25"/>
        <v>0</v>
      </c>
      <c r="AG124" s="125">
        <f t="shared" si="25"/>
        <v>0</v>
      </c>
      <c r="AH124" s="125">
        <f t="shared" si="25"/>
        <v>0</v>
      </c>
      <c r="AI124" s="125">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31"/>
      <c r="C125" s="50">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0</v>
      </c>
      <c r="AE125" s="125">
        <f t="shared" si="25"/>
        <v>0</v>
      </c>
      <c r="AF125" s="125">
        <f t="shared" si="25"/>
        <v>0</v>
      </c>
      <c r="AG125" s="125">
        <f t="shared" si="25"/>
        <v>0</v>
      </c>
      <c r="AH125" s="125">
        <f t="shared" si="25"/>
        <v>0</v>
      </c>
      <c r="AI125" s="125">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31"/>
      <c r="C126" s="50">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0</v>
      </c>
      <c r="AE126" s="125">
        <f t="shared" si="25"/>
        <v>0</v>
      </c>
      <c r="AF126" s="125">
        <f t="shared" si="25"/>
        <v>0</v>
      </c>
      <c r="AG126" s="125">
        <f t="shared" si="25"/>
        <v>0</v>
      </c>
      <c r="AH126" s="125">
        <f t="shared" si="25"/>
        <v>0</v>
      </c>
      <c r="AI126" s="125">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31"/>
      <c r="C127" s="50">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0</v>
      </c>
      <c r="AE127" s="125">
        <f t="shared" si="27"/>
        <v>0</v>
      </c>
      <c r="AF127" s="125">
        <f t="shared" si="27"/>
        <v>0</v>
      </c>
      <c r="AG127" s="125">
        <f t="shared" si="27"/>
        <v>0</v>
      </c>
      <c r="AH127" s="125">
        <f t="shared" si="27"/>
        <v>0</v>
      </c>
      <c r="AI127" s="125">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31"/>
      <c r="C128" s="50">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0</v>
      </c>
      <c r="AE128" s="125">
        <f t="shared" si="27"/>
        <v>0</v>
      </c>
      <c r="AF128" s="125">
        <f t="shared" si="27"/>
        <v>0</v>
      </c>
      <c r="AG128" s="125">
        <f t="shared" si="27"/>
        <v>0</v>
      </c>
      <c r="AH128" s="125">
        <f t="shared" si="27"/>
        <v>0</v>
      </c>
      <c r="AI128" s="125">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31"/>
      <c r="C129" s="50">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0</v>
      </c>
      <c r="AE129" s="125">
        <f t="shared" si="27"/>
        <v>0</v>
      </c>
      <c r="AF129" s="125">
        <f t="shared" si="27"/>
        <v>0</v>
      </c>
      <c r="AG129" s="125">
        <f t="shared" si="27"/>
        <v>0</v>
      </c>
      <c r="AH129" s="125">
        <f t="shared" si="27"/>
        <v>0</v>
      </c>
      <c r="AI129" s="125">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31"/>
      <c r="C130" s="50">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0</v>
      </c>
      <c r="AE130" s="125">
        <f t="shared" si="27"/>
        <v>0</v>
      </c>
      <c r="AF130" s="125">
        <f t="shared" si="27"/>
        <v>0</v>
      </c>
      <c r="AG130" s="125">
        <f t="shared" si="27"/>
        <v>0</v>
      </c>
      <c r="AH130" s="125">
        <f t="shared" si="27"/>
        <v>0</v>
      </c>
      <c r="AI130" s="125">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31"/>
      <c r="C131" s="50">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0</v>
      </c>
      <c r="AE131" s="125">
        <f t="shared" si="27"/>
        <v>0</v>
      </c>
      <c r="AF131" s="125">
        <f t="shared" si="27"/>
        <v>0</v>
      </c>
      <c r="AG131" s="125">
        <f t="shared" si="27"/>
        <v>0</v>
      </c>
      <c r="AH131" s="125">
        <f t="shared" si="27"/>
        <v>0</v>
      </c>
      <c r="AI131" s="125">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31"/>
      <c r="C132" s="50">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0</v>
      </c>
      <c r="AE132" s="125">
        <f t="shared" si="27"/>
        <v>0</v>
      </c>
      <c r="AF132" s="125">
        <f t="shared" si="27"/>
        <v>0</v>
      </c>
      <c r="AG132" s="125">
        <f t="shared" si="27"/>
        <v>0</v>
      </c>
      <c r="AH132" s="125">
        <f t="shared" si="27"/>
        <v>0</v>
      </c>
      <c r="AI132" s="125">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31"/>
      <c r="C133" s="50">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0</v>
      </c>
      <c r="AE133" s="125">
        <f t="shared" si="27"/>
        <v>0</v>
      </c>
      <c r="AF133" s="125">
        <f t="shared" si="27"/>
        <v>0</v>
      </c>
      <c r="AG133" s="125">
        <f t="shared" si="27"/>
        <v>0</v>
      </c>
      <c r="AH133" s="125">
        <f t="shared" si="27"/>
        <v>0</v>
      </c>
      <c r="AI133" s="125">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2"/>
      <c r="C134" s="50">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0</v>
      </c>
      <c r="AE134" s="125">
        <f t="shared" si="27"/>
        <v>0</v>
      </c>
      <c r="AF134" s="125">
        <f t="shared" si="27"/>
        <v>0</v>
      </c>
      <c r="AG134" s="125">
        <f t="shared" si="27"/>
        <v>0</v>
      </c>
      <c r="AH134" s="125">
        <f t="shared" si="27"/>
        <v>0</v>
      </c>
      <c r="AI134" s="125">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69</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3" t="str">
        <f ca="1">IF(B6&lt;&gt;"",B6,"")</f>
        <v>Table TT_IND</v>
      </c>
      <c r="C136" s="50">
        <f>IF(C6&lt;&gt;"",C6,"")</f>
        <v>0</v>
      </c>
      <c r="D136" s="125">
        <f t="shared" ref="D136:AI143" si="29">IF(OR(D6=0,D6=1),1,0)</f>
        <v>0</v>
      </c>
      <c r="E136" s="125">
        <f t="shared" si="29"/>
        <v>0</v>
      </c>
      <c r="F136" s="125">
        <f t="shared" si="29"/>
        <v>0</v>
      </c>
      <c r="G136" s="125">
        <f t="shared" si="29"/>
        <v>0</v>
      </c>
      <c r="H136" s="125">
        <f t="shared" si="29"/>
        <v>0</v>
      </c>
      <c r="I136" s="125">
        <f t="shared" si="29"/>
        <v>0</v>
      </c>
      <c r="J136" s="125">
        <f t="shared" si="29"/>
        <v>0</v>
      </c>
      <c r="K136" s="125">
        <f t="shared" si="29"/>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 t="shared" si="29"/>
        <v>0</v>
      </c>
      <c r="AB136" s="125">
        <f t="shared" si="29"/>
        <v>0</v>
      </c>
      <c r="AC136" s="125">
        <f t="shared" si="29"/>
        <v>0</v>
      </c>
      <c r="AD136" s="125">
        <f t="shared" si="29"/>
        <v>0</v>
      </c>
      <c r="AE136" s="125">
        <f t="shared" si="29"/>
        <v>1</v>
      </c>
      <c r="AF136" s="125">
        <f t="shared" si="29"/>
        <v>1</v>
      </c>
      <c r="AG136" s="125">
        <f t="shared" si="29"/>
        <v>1</v>
      </c>
      <c r="AH136" s="125">
        <f t="shared" si="29"/>
        <v>1</v>
      </c>
      <c r="AI136" s="125">
        <f t="shared" si="29"/>
        <v>1</v>
      </c>
      <c r="AJ136" s="50" t="str">
        <f t="shared" ref="AJ136:AJ199" si="30">IF(AJ6&lt;&gt;"",AJ6,"")</f>
        <v>UNKNOWN</v>
      </c>
      <c r="AK136" s="63"/>
      <c r="AL136" s="63" t="str">
        <f>BIN2HEX(AB136&amp;AC136&amp;AD136&amp;AE136&amp;AF136&amp;AG136&amp;AH136&amp;AI136,2)</f>
        <v>1F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1"/>
      <c r="C137" s="50">
        <f t="shared" ref="C137:C199" si="32">IF(C7&lt;&gt;"",C7,"")</f>
        <v>1</v>
      </c>
      <c r="D137" s="125">
        <f t="shared" si="29"/>
        <v>0</v>
      </c>
      <c r="E137" s="125">
        <f t="shared" si="29"/>
        <v>0</v>
      </c>
      <c r="F137" s="125">
        <f t="shared" si="29"/>
        <v>0</v>
      </c>
      <c r="G137" s="125">
        <f t="shared" si="29"/>
        <v>0</v>
      </c>
      <c r="H137" s="125">
        <f t="shared" si="29"/>
        <v>0</v>
      </c>
      <c r="I137" s="125">
        <f t="shared" si="29"/>
        <v>0</v>
      </c>
      <c r="J137" s="125">
        <f t="shared" si="29"/>
        <v>0</v>
      </c>
      <c r="K137" s="125">
        <f t="shared" si="29"/>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 t="shared" si="29"/>
        <v>0</v>
      </c>
      <c r="AB137" s="125">
        <f t="shared" si="29"/>
        <v>0</v>
      </c>
      <c r="AC137" s="125">
        <f t="shared" si="29"/>
        <v>0</v>
      </c>
      <c r="AD137" s="125">
        <f t="shared" si="29"/>
        <v>0</v>
      </c>
      <c r="AE137" s="125">
        <f t="shared" si="29"/>
        <v>1</v>
      </c>
      <c r="AF137" s="125">
        <f t="shared" si="29"/>
        <v>1</v>
      </c>
      <c r="AG137" s="125">
        <f t="shared" si="29"/>
        <v>1</v>
      </c>
      <c r="AH137" s="125">
        <f t="shared" si="29"/>
        <v>1</v>
      </c>
      <c r="AI137" s="125">
        <f t="shared" si="29"/>
        <v>1</v>
      </c>
      <c r="AJ137" s="50" t="str">
        <f t="shared" si="30"/>
        <v>STNDBY</v>
      </c>
      <c r="AK137" s="63"/>
      <c r="AL137" s="63" t="str">
        <f t="shared" ref="AL137:AL199" si="33">BIN2HEX(AB137&amp;AC137&amp;AD137&amp;AE137&amp;AF137&amp;AG137&amp;AH137&amp;AI137,2)</f>
        <v>1F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(U4)0x0000001FU,                                                           /* 01 STNDBY                                          */</v>
      </c>
    </row>
    <row r="138" spans="1:43">
      <c r="B138" s="131"/>
      <c r="C138" s="50">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0</v>
      </c>
      <c r="AE138" s="125">
        <f t="shared" si="29"/>
        <v>1</v>
      </c>
      <c r="AF138" s="125">
        <f t="shared" si="29"/>
        <v>1</v>
      </c>
      <c r="AG138" s="125">
        <f t="shared" si="29"/>
        <v>1</v>
      </c>
      <c r="AH138" s="125">
        <f t="shared" si="29"/>
        <v>1</v>
      </c>
      <c r="AI138" s="125">
        <f t="shared" si="29"/>
        <v>1</v>
      </c>
      <c r="AJ138" s="50" t="str">
        <f t="shared" si="30"/>
        <v>OPRTNG</v>
      </c>
      <c r="AK138" s="63"/>
      <c r="AL138" s="63" t="str">
        <f t="shared" si="33"/>
        <v>1F</v>
      </c>
      <c r="AM138" s="63" t="str">
        <f t="shared" si="34"/>
        <v>00</v>
      </c>
      <c r="AN138" s="63" t="str">
        <f t="shared" si="35"/>
        <v>00</v>
      </c>
      <c r="AO138" s="63" t="str">
        <f t="shared" si="36"/>
        <v>00</v>
      </c>
      <c r="AQ138" t="str">
        <f t="shared" si="31"/>
        <v xml:space="preserve">    (U4)0x0000001FU,                                                           /* 02 OPRTNG                                          */</v>
      </c>
    </row>
    <row r="139" spans="1:43">
      <c r="B139" s="131"/>
      <c r="C139" s="50">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0</v>
      </c>
      <c r="AE139" s="125">
        <f t="shared" si="29"/>
        <v>1</v>
      </c>
      <c r="AF139" s="125">
        <f t="shared" si="29"/>
        <v>1</v>
      </c>
      <c r="AG139" s="125">
        <f t="shared" si="29"/>
        <v>1</v>
      </c>
      <c r="AH139" s="125">
        <f t="shared" si="29"/>
        <v>1</v>
      </c>
      <c r="AI139" s="125">
        <f t="shared" si="29"/>
        <v>1</v>
      </c>
      <c r="AJ139" s="50" t="str">
        <f t="shared" si="30"/>
        <v>UNKNOWN</v>
      </c>
      <c r="AK139" s="63"/>
      <c r="AL139" s="63" t="str">
        <f t="shared" si="33"/>
        <v>1F</v>
      </c>
      <c r="AM139" s="63" t="str">
        <f t="shared" si="34"/>
        <v>00</v>
      </c>
      <c r="AN139" s="63" t="str">
        <f t="shared" si="35"/>
        <v>00</v>
      </c>
      <c r="AO139" s="63" t="str">
        <f t="shared" si="36"/>
        <v>00</v>
      </c>
      <c r="AQ139" t="str">
        <f t="shared" si="31"/>
        <v xml:space="preserve">    (U4)0x0000001FU,                                                           /* 03 UNKNOWN                                         */</v>
      </c>
    </row>
    <row r="140" spans="1:43">
      <c r="B140" s="131"/>
      <c r="C140" s="50">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0</v>
      </c>
      <c r="AE140" s="125">
        <f t="shared" si="29"/>
        <v>1</v>
      </c>
      <c r="AF140" s="125">
        <f t="shared" si="29"/>
        <v>1</v>
      </c>
      <c r="AG140" s="125">
        <f t="shared" si="29"/>
        <v>1</v>
      </c>
      <c r="AH140" s="125">
        <f t="shared" si="29"/>
        <v>1</v>
      </c>
      <c r="AI140" s="125">
        <f t="shared" si="29"/>
        <v>1</v>
      </c>
      <c r="AJ140" s="50" t="str">
        <f t="shared" si="30"/>
        <v>UNKNOWN</v>
      </c>
      <c r="AK140" s="63"/>
      <c r="AL140" s="63" t="str">
        <f t="shared" si="33"/>
        <v>1F</v>
      </c>
      <c r="AM140" s="63" t="str">
        <f t="shared" si="34"/>
        <v>00</v>
      </c>
      <c r="AN140" s="63" t="str">
        <f t="shared" si="35"/>
        <v>00</v>
      </c>
      <c r="AO140" s="63" t="str">
        <f t="shared" si="36"/>
        <v>00</v>
      </c>
      <c r="AQ140" t="str">
        <f t="shared" si="31"/>
        <v xml:space="preserve">    (U4)0x0000001FU,                                                           /* 04 UNKNOWN                                         */</v>
      </c>
    </row>
    <row r="141" spans="1:43">
      <c r="B141" s="131"/>
      <c r="C141" s="50">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0</v>
      </c>
      <c r="AE141" s="125">
        <f t="shared" si="29"/>
        <v>1</v>
      </c>
      <c r="AF141" s="125">
        <f t="shared" si="29"/>
        <v>1</v>
      </c>
      <c r="AG141" s="125">
        <f t="shared" si="29"/>
        <v>1</v>
      </c>
      <c r="AH141" s="125">
        <f t="shared" si="29"/>
        <v>1</v>
      </c>
      <c r="AI141" s="125">
        <f t="shared" si="29"/>
        <v>1</v>
      </c>
      <c r="AJ141" s="50" t="str">
        <f t="shared" si="30"/>
        <v>UNKNOWN</v>
      </c>
      <c r="AK141" s="63"/>
      <c r="AL141" s="63" t="str">
        <f t="shared" si="33"/>
        <v>1F</v>
      </c>
      <c r="AM141" s="63" t="str">
        <f t="shared" si="34"/>
        <v>00</v>
      </c>
      <c r="AN141" s="63" t="str">
        <f t="shared" si="35"/>
        <v>00</v>
      </c>
      <c r="AO141" s="63" t="str">
        <f t="shared" si="36"/>
        <v>00</v>
      </c>
      <c r="AQ141" t="str">
        <f t="shared" si="31"/>
        <v xml:space="preserve">    (U4)0x0000001FU,                                                           /* 05 UNKNOWN                                         */</v>
      </c>
    </row>
    <row r="142" spans="1:43">
      <c r="B142" s="131"/>
      <c r="C142" s="50">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0</v>
      </c>
      <c r="AE142" s="125">
        <f t="shared" si="29"/>
        <v>1</v>
      </c>
      <c r="AF142" s="125">
        <f t="shared" si="29"/>
        <v>1</v>
      </c>
      <c r="AG142" s="125">
        <f t="shared" si="29"/>
        <v>1</v>
      </c>
      <c r="AH142" s="125">
        <f t="shared" si="29"/>
        <v>1</v>
      </c>
      <c r="AI142" s="125">
        <f t="shared" si="29"/>
        <v>1</v>
      </c>
      <c r="AJ142" s="50" t="str">
        <f t="shared" si="30"/>
        <v>UNKNOWN</v>
      </c>
      <c r="AK142" s="63"/>
      <c r="AL142" s="63" t="str">
        <f t="shared" si="33"/>
        <v>1F</v>
      </c>
      <c r="AM142" s="63" t="str">
        <f t="shared" si="34"/>
        <v>00</v>
      </c>
      <c r="AN142" s="63" t="str">
        <f t="shared" si="35"/>
        <v>00</v>
      </c>
      <c r="AO142" s="63" t="str">
        <f t="shared" si="36"/>
        <v>00</v>
      </c>
      <c r="AQ142" t="str">
        <f t="shared" si="31"/>
        <v xml:space="preserve">    (U4)0x0000001FU,                                                           /* 06 UNKNOWN                                         */</v>
      </c>
    </row>
    <row r="143" spans="1:43">
      <c r="B143" s="131"/>
      <c r="C143" s="50">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0</v>
      </c>
      <c r="AE143" s="125">
        <f t="shared" si="29"/>
        <v>1</v>
      </c>
      <c r="AF143" s="125">
        <f t="shared" si="29"/>
        <v>1</v>
      </c>
      <c r="AG143" s="125">
        <f t="shared" si="29"/>
        <v>1</v>
      </c>
      <c r="AH143" s="125">
        <f t="shared" si="29"/>
        <v>1</v>
      </c>
      <c r="AI143" s="125">
        <f t="shared" ref="AI143" si="37">IF(OR(AI13=0,AI13=1),1,0)</f>
        <v>1</v>
      </c>
      <c r="AJ143" s="50" t="str">
        <f t="shared" si="30"/>
        <v>UNKNOWN</v>
      </c>
      <c r="AK143" s="63"/>
      <c r="AL143" s="63" t="str">
        <f t="shared" si="33"/>
        <v>1F</v>
      </c>
      <c r="AM143" s="63" t="str">
        <f t="shared" si="34"/>
        <v>00</v>
      </c>
      <c r="AN143" s="63" t="str">
        <f t="shared" si="35"/>
        <v>00</v>
      </c>
      <c r="AO143" s="63" t="str">
        <f t="shared" si="36"/>
        <v>00</v>
      </c>
      <c r="AQ143" t="str">
        <f t="shared" si="31"/>
        <v xml:space="preserve">    (U4)0x0000001FU,                                                           /* 07 UNKNOWN                                         */</v>
      </c>
    </row>
    <row r="144" spans="1:43">
      <c r="B144" s="131"/>
      <c r="C144" s="50">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0</v>
      </c>
      <c r="AE144" s="125">
        <f t="shared" si="38"/>
        <v>1</v>
      </c>
      <c r="AF144" s="125">
        <f t="shared" si="38"/>
        <v>1</v>
      </c>
      <c r="AG144" s="125">
        <f t="shared" si="38"/>
        <v>1</v>
      </c>
      <c r="AH144" s="125">
        <f t="shared" si="38"/>
        <v>1</v>
      </c>
      <c r="AI144" s="125">
        <f t="shared" si="38"/>
        <v>1</v>
      </c>
      <c r="AJ144" s="50" t="str">
        <f t="shared" si="30"/>
        <v>UNKNOWN</v>
      </c>
      <c r="AK144" s="63"/>
      <c r="AL144" s="63" t="str">
        <f t="shared" si="33"/>
        <v>1F</v>
      </c>
      <c r="AM144" s="63" t="str">
        <f t="shared" si="34"/>
        <v>00</v>
      </c>
      <c r="AN144" s="63" t="str">
        <f t="shared" si="35"/>
        <v>00</v>
      </c>
      <c r="AO144" s="63" t="str">
        <f t="shared" si="36"/>
        <v>00</v>
      </c>
      <c r="AQ144" t="str">
        <f t="shared" si="31"/>
        <v xml:space="preserve">    (U4)0x0000001FU,                                                           /* 08 UNKNOWN                                         */</v>
      </c>
    </row>
    <row r="145" spans="2:43">
      <c r="B145" s="131"/>
      <c r="C145" s="50">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0</v>
      </c>
      <c r="AE145" s="125">
        <f t="shared" si="38"/>
        <v>1</v>
      </c>
      <c r="AF145" s="125">
        <f t="shared" si="38"/>
        <v>1</v>
      </c>
      <c r="AG145" s="125">
        <f t="shared" si="38"/>
        <v>1</v>
      </c>
      <c r="AH145" s="125">
        <f t="shared" si="38"/>
        <v>1</v>
      </c>
      <c r="AI145" s="125">
        <f t="shared" si="38"/>
        <v>1</v>
      </c>
      <c r="AJ145" s="50" t="str">
        <f t="shared" si="30"/>
        <v>UNKNOWN</v>
      </c>
      <c r="AK145" s="63"/>
      <c r="AL145" s="63" t="str">
        <f t="shared" si="33"/>
        <v>1F</v>
      </c>
      <c r="AM145" s="63" t="str">
        <f t="shared" si="34"/>
        <v>00</v>
      </c>
      <c r="AN145" s="63" t="str">
        <f t="shared" si="35"/>
        <v>00</v>
      </c>
      <c r="AO145" s="63" t="str">
        <f t="shared" si="36"/>
        <v>00</v>
      </c>
      <c r="AQ145" t="str">
        <f t="shared" si="31"/>
        <v xml:space="preserve">    (U4)0x0000001FU,                                                           /* 09 UNKNOWN                                         */</v>
      </c>
    </row>
    <row r="146" spans="2:43">
      <c r="B146" s="131"/>
      <c r="C146" s="50">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0</v>
      </c>
      <c r="AE146" s="125">
        <f t="shared" si="38"/>
        <v>1</v>
      </c>
      <c r="AF146" s="125">
        <f t="shared" si="38"/>
        <v>1</v>
      </c>
      <c r="AG146" s="125">
        <f t="shared" si="38"/>
        <v>1</v>
      </c>
      <c r="AH146" s="125">
        <f t="shared" si="38"/>
        <v>1</v>
      </c>
      <c r="AI146" s="125">
        <f t="shared" si="38"/>
        <v>1</v>
      </c>
      <c r="AJ146" s="50" t="str">
        <f t="shared" si="30"/>
        <v>UNKNOWN</v>
      </c>
      <c r="AK146" s="63"/>
      <c r="AL146" s="63" t="str">
        <f t="shared" si="33"/>
        <v>1F</v>
      </c>
      <c r="AM146" s="63" t="str">
        <f t="shared" si="34"/>
        <v>00</v>
      </c>
      <c r="AN146" s="63" t="str">
        <f t="shared" si="35"/>
        <v>00</v>
      </c>
      <c r="AO146" s="63" t="str">
        <f t="shared" si="36"/>
        <v>00</v>
      </c>
      <c r="AQ146" t="str">
        <f t="shared" si="31"/>
        <v xml:space="preserve">    (U4)0x0000001FU,                                                           /* 10 UNKNOWN                                         */</v>
      </c>
    </row>
    <row r="147" spans="2:43">
      <c r="B147" s="131"/>
      <c r="C147" s="50">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0</v>
      </c>
      <c r="AE147" s="125">
        <f t="shared" si="38"/>
        <v>1</v>
      </c>
      <c r="AF147" s="125">
        <f t="shared" si="38"/>
        <v>1</v>
      </c>
      <c r="AG147" s="125">
        <f t="shared" si="38"/>
        <v>1</v>
      </c>
      <c r="AH147" s="125">
        <f t="shared" si="38"/>
        <v>1</v>
      </c>
      <c r="AI147" s="125">
        <f t="shared" si="38"/>
        <v>1</v>
      </c>
      <c r="AJ147" s="50" t="str">
        <f t="shared" si="30"/>
        <v>UNKNOWN</v>
      </c>
      <c r="AK147" s="63"/>
      <c r="AL147" s="63" t="str">
        <f t="shared" si="33"/>
        <v>1F</v>
      </c>
      <c r="AM147" s="63" t="str">
        <f t="shared" si="34"/>
        <v>00</v>
      </c>
      <c r="AN147" s="63" t="str">
        <f t="shared" si="35"/>
        <v>00</v>
      </c>
      <c r="AO147" s="63" t="str">
        <f t="shared" si="36"/>
        <v>00</v>
      </c>
      <c r="AQ147" t="str">
        <f t="shared" si="31"/>
        <v xml:space="preserve">    (U4)0x0000001FU,                                                           /* 11 UNKNOWN                                         */</v>
      </c>
    </row>
    <row r="148" spans="2:43">
      <c r="B148" s="131"/>
      <c r="C148" s="50">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0</v>
      </c>
      <c r="AE148" s="125">
        <f t="shared" si="38"/>
        <v>1</v>
      </c>
      <c r="AF148" s="125">
        <f t="shared" si="38"/>
        <v>1</v>
      </c>
      <c r="AG148" s="125">
        <f t="shared" si="38"/>
        <v>1</v>
      </c>
      <c r="AH148" s="125">
        <f t="shared" si="38"/>
        <v>1</v>
      </c>
      <c r="AI148" s="125">
        <f t="shared" si="38"/>
        <v>1</v>
      </c>
      <c r="AJ148" s="50" t="str">
        <f t="shared" si="30"/>
        <v>UNKNOWN</v>
      </c>
      <c r="AK148" s="63"/>
      <c r="AL148" s="63" t="str">
        <f t="shared" si="33"/>
        <v>1F</v>
      </c>
      <c r="AM148" s="63" t="str">
        <f t="shared" si="34"/>
        <v>00</v>
      </c>
      <c r="AN148" s="63" t="str">
        <f t="shared" si="35"/>
        <v>00</v>
      </c>
      <c r="AO148" s="63" t="str">
        <f t="shared" si="36"/>
        <v>00</v>
      </c>
      <c r="AQ148" t="str">
        <f t="shared" si="31"/>
        <v xml:space="preserve">    (U4)0x0000001FU,                                                           /* 12 UNKNOWN                                         */</v>
      </c>
    </row>
    <row r="149" spans="2:43">
      <c r="B149" s="131"/>
      <c r="C149" s="50">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0</v>
      </c>
      <c r="AE149" s="125">
        <f t="shared" si="38"/>
        <v>1</v>
      </c>
      <c r="AF149" s="125">
        <f t="shared" si="38"/>
        <v>1</v>
      </c>
      <c r="AG149" s="125">
        <f t="shared" si="38"/>
        <v>1</v>
      </c>
      <c r="AH149" s="125">
        <f t="shared" si="38"/>
        <v>1</v>
      </c>
      <c r="AI149" s="125">
        <f t="shared" si="38"/>
        <v>1</v>
      </c>
      <c r="AJ149" s="50" t="str">
        <f t="shared" si="30"/>
        <v>UNKNOWN</v>
      </c>
      <c r="AK149" s="63"/>
      <c r="AL149" s="63" t="str">
        <f t="shared" si="33"/>
        <v>1F</v>
      </c>
      <c r="AM149" s="63" t="str">
        <f t="shared" si="34"/>
        <v>00</v>
      </c>
      <c r="AN149" s="63" t="str">
        <f t="shared" si="35"/>
        <v>00</v>
      </c>
      <c r="AO149" s="63" t="str">
        <f t="shared" si="36"/>
        <v>00</v>
      </c>
      <c r="AQ149" t="str">
        <f t="shared" si="31"/>
        <v xml:space="preserve">    (U4)0x0000001FU,                                                           /* 13 UNKNOWN                                         */</v>
      </c>
    </row>
    <row r="150" spans="2:43">
      <c r="B150" s="131"/>
      <c r="C150" s="50">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0</v>
      </c>
      <c r="AE150" s="125">
        <f t="shared" si="38"/>
        <v>1</v>
      </c>
      <c r="AF150" s="125">
        <f t="shared" si="38"/>
        <v>1</v>
      </c>
      <c r="AG150" s="125">
        <f t="shared" si="38"/>
        <v>1</v>
      </c>
      <c r="AH150" s="125">
        <f t="shared" si="38"/>
        <v>1</v>
      </c>
      <c r="AI150" s="125">
        <f t="shared" si="38"/>
        <v>1</v>
      </c>
      <c r="AJ150" s="50" t="str">
        <f t="shared" si="30"/>
        <v>UNKNOWN</v>
      </c>
      <c r="AK150" s="63"/>
      <c r="AL150" s="63" t="str">
        <f t="shared" si="33"/>
        <v>1F</v>
      </c>
      <c r="AM150" s="63" t="str">
        <f t="shared" si="34"/>
        <v>00</v>
      </c>
      <c r="AN150" s="63" t="str">
        <f t="shared" si="35"/>
        <v>00</v>
      </c>
      <c r="AO150" s="63" t="str">
        <f t="shared" si="36"/>
        <v>00</v>
      </c>
      <c r="AQ150" t="str">
        <f t="shared" si="31"/>
        <v xml:space="preserve">    (U4)0x0000001FU,                                                           /* 14 UNKNOWN                                         */</v>
      </c>
    </row>
    <row r="151" spans="2:43">
      <c r="B151" s="131"/>
      <c r="C151" s="50">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0</v>
      </c>
      <c r="AE151" s="125">
        <f t="shared" si="38"/>
        <v>1</v>
      </c>
      <c r="AF151" s="125">
        <f t="shared" si="38"/>
        <v>1</v>
      </c>
      <c r="AG151" s="125">
        <f t="shared" si="38"/>
        <v>1</v>
      </c>
      <c r="AH151" s="125">
        <f t="shared" si="38"/>
        <v>1</v>
      </c>
      <c r="AI151" s="125">
        <f t="shared" ref="AI151" si="39">IF(OR(AI21=0,AI21=1),1,0)</f>
        <v>1</v>
      </c>
      <c r="AJ151" s="50" t="str">
        <f t="shared" si="30"/>
        <v>UNKNOWN</v>
      </c>
      <c r="AK151" s="63"/>
      <c r="AL151" s="63" t="str">
        <f t="shared" si="33"/>
        <v>1F</v>
      </c>
      <c r="AM151" s="63" t="str">
        <f t="shared" si="34"/>
        <v>00</v>
      </c>
      <c r="AN151" s="63" t="str">
        <f t="shared" si="35"/>
        <v>00</v>
      </c>
      <c r="AO151" s="63" t="str">
        <f t="shared" si="36"/>
        <v>00</v>
      </c>
      <c r="AQ151" t="str">
        <f t="shared" si="31"/>
        <v xml:space="preserve">    (U4)0x0000001FU,                                                           /* 15 UNKNOWN                                         */</v>
      </c>
    </row>
    <row r="152" spans="2:43">
      <c r="B152" s="131"/>
      <c r="C152" s="50">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0</v>
      </c>
      <c r="AE152" s="125">
        <f t="shared" si="40"/>
        <v>1</v>
      </c>
      <c r="AF152" s="125">
        <f t="shared" si="40"/>
        <v>1</v>
      </c>
      <c r="AG152" s="125">
        <f t="shared" si="40"/>
        <v>1</v>
      </c>
      <c r="AH152" s="125">
        <f t="shared" si="40"/>
        <v>1</v>
      </c>
      <c r="AI152" s="125">
        <f t="shared" si="40"/>
        <v>1</v>
      </c>
      <c r="AJ152" s="50" t="str">
        <f t="shared" si="30"/>
        <v>UNKNOWN</v>
      </c>
      <c r="AK152" s="63"/>
      <c r="AL152" s="63" t="str">
        <f t="shared" si="33"/>
        <v>1F</v>
      </c>
      <c r="AM152" s="63" t="str">
        <f t="shared" si="34"/>
        <v>00</v>
      </c>
      <c r="AN152" s="63" t="str">
        <f t="shared" si="35"/>
        <v>00</v>
      </c>
      <c r="AO152" s="63" t="str">
        <f t="shared" si="36"/>
        <v>00</v>
      </c>
      <c r="AQ152" t="str">
        <f t="shared" si="31"/>
        <v xml:space="preserve">    (U4)0x0000001FU,                                                           /* 16 UNKNOWN                                         */</v>
      </c>
    </row>
    <row r="153" spans="2:43">
      <c r="B153" s="131"/>
      <c r="C153" s="50">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0</v>
      </c>
      <c r="AE153" s="125">
        <f t="shared" si="40"/>
        <v>1</v>
      </c>
      <c r="AF153" s="125">
        <f t="shared" si="40"/>
        <v>1</v>
      </c>
      <c r="AG153" s="125">
        <f t="shared" si="40"/>
        <v>1</v>
      </c>
      <c r="AH153" s="125">
        <f t="shared" si="40"/>
        <v>1</v>
      </c>
      <c r="AI153" s="125">
        <f t="shared" si="40"/>
        <v>1</v>
      </c>
      <c r="AJ153" s="50" t="str">
        <f t="shared" si="30"/>
        <v>UNKNOWN</v>
      </c>
      <c r="AK153" s="63"/>
      <c r="AL153" s="63" t="str">
        <f t="shared" si="33"/>
        <v>1F</v>
      </c>
      <c r="AM153" s="63" t="str">
        <f t="shared" si="34"/>
        <v>00</v>
      </c>
      <c r="AN153" s="63" t="str">
        <f t="shared" si="35"/>
        <v>00</v>
      </c>
      <c r="AO153" s="63" t="str">
        <f t="shared" si="36"/>
        <v>00</v>
      </c>
      <c r="AQ153" t="str">
        <f t="shared" si="31"/>
        <v xml:space="preserve">    (U4)0x0000001FU,                                                           /* 17 UNKNOWN                                         */</v>
      </c>
    </row>
    <row r="154" spans="2:43">
      <c r="B154" s="131"/>
      <c r="C154" s="50">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0</v>
      </c>
      <c r="AE154" s="125">
        <f t="shared" si="40"/>
        <v>1</v>
      </c>
      <c r="AF154" s="125">
        <f t="shared" si="40"/>
        <v>1</v>
      </c>
      <c r="AG154" s="125">
        <f t="shared" si="40"/>
        <v>1</v>
      </c>
      <c r="AH154" s="125">
        <f t="shared" si="40"/>
        <v>1</v>
      </c>
      <c r="AI154" s="125">
        <f t="shared" si="40"/>
        <v>1</v>
      </c>
      <c r="AJ154" s="50" t="str">
        <f t="shared" si="30"/>
        <v>UNKNOWN</v>
      </c>
      <c r="AK154" s="63"/>
      <c r="AL154" s="63" t="str">
        <f t="shared" si="33"/>
        <v>1F</v>
      </c>
      <c r="AM154" s="63" t="str">
        <f t="shared" si="34"/>
        <v>00</v>
      </c>
      <c r="AN154" s="63" t="str">
        <f t="shared" si="35"/>
        <v>00</v>
      </c>
      <c r="AO154" s="63" t="str">
        <f t="shared" si="36"/>
        <v>00</v>
      </c>
      <c r="AQ154" t="str">
        <f t="shared" si="31"/>
        <v xml:space="preserve">    (U4)0x0000001FU,                                                           /* 18 UNKNOWN                                         */</v>
      </c>
    </row>
    <row r="155" spans="2:43">
      <c r="B155" s="131"/>
      <c r="C155" s="50">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0</v>
      </c>
      <c r="AE155" s="125">
        <f t="shared" si="40"/>
        <v>1</v>
      </c>
      <c r="AF155" s="125">
        <f t="shared" si="40"/>
        <v>1</v>
      </c>
      <c r="AG155" s="125">
        <f t="shared" si="40"/>
        <v>1</v>
      </c>
      <c r="AH155" s="125">
        <f t="shared" si="40"/>
        <v>1</v>
      </c>
      <c r="AI155" s="125">
        <f t="shared" si="40"/>
        <v>1</v>
      </c>
      <c r="AJ155" s="50" t="str">
        <f t="shared" si="30"/>
        <v>UNKNOWN</v>
      </c>
      <c r="AK155" s="63"/>
      <c r="AL155" s="63" t="str">
        <f t="shared" si="33"/>
        <v>1F</v>
      </c>
      <c r="AM155" s="63" t="str">
        <f t="shared" si="34"/>
        <v>00</v>
      </c>
      <c r="AN155" s="63" t="str">
        <f t="shared" si="35"/>
        <v>00</v>
      </c>
      <c r="AO155" s="63" t="str">
        <f t="shared" si="36"/>
        <v>00</v>
      </c>
      <c r="AQ155" t="str">
        <f t="shared" si="31"/>
        <v xml:space="preserve">    (U4)0x0000001FU,                                                           /* 19 UNKNOWN                                         */</v>
      </c>
    </row>
    <row r="156" spans="2:43">
      <c r="B156" s="131"/>
      <c r="C156" s="50">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0</v>
      </c>
      <c r="AE156" s="125">
        <f t="shared" si="40"/>
        <v>1</v>
      </c>
      <c r="AF156" s="125">
        <f t="shared" si="40"/>
        <v>1</v>
      </c>
      <c r="AG156" s="125">
        <f t="shared" si="40"/>
        <v>1</v>
      </c>
      <c r="AH156" s="125">
        <f t="shared" si="40"/>
        <v>1</v>
      </c>
      <c r="AI156" s="125">
        <f t="shared" si="40"/>
        <v>1</v>
      </c>
      <c r="AJ156" s="50" t="str">
        <f t="shared" si="30"/>
        <v>UNKNOWN</v>
      </c>
      <c r="AK156" s="63"/>
      <c r="AL156" s="63" t="str">
        <f t="shared" si="33"/>
        <v>1F</v>
      </c>
      <c r="AM156" s="63" t="str">
        <f t="shared" si="34"/>
        <v>00</v>
      </c>
      <c r="AN156" s="63" t="str">
        <f t="shared" si="35"/>
        <v>00</v>
      </c>
      <c r="AO156" s="63" t="str">
        <f t="shared" si="36"/>
        <v>00</v>
      </c>
      <c r="AQ156" t="str">
        <f t="shared" si="31"/>
        <v xml:space="preserve">    (U4)0x0000001FU,                                                           /* 20 UNKNOWN                                         */</v>
      </c>
    </row>
    <row r="157" spans="2:43">
      <c r="B157" s="131"/>
      <c r="C157" s="50">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0</v>
      </c>
      <c r="AE157" s="125">
        <f t="shared" si="40"/>
        <v>1</v>
      </c>
      <c r="AF157" s="125">
        <f t="shared" si="40"/>
        <v>1</v>
      </c>
      <c r="AG157" s="125">
        <f t="shared" si="40"/>
        <v>1</v>
      </c>
      <c r="AH157" s="125">
        <f t="shared" si="40"/>
        <v>1</v>
      </c>
      <c r="AI157" s="125">
        <f t="shared" si="40"/>
        <v>1</v>
      </c>
      <c r="AJ157" s="50" t="str">
        <f t="shared" si="30"/>
        <v>UNKNOWN</v>
      </c>
      <c r="AK157" s="63"/>
      <c r="AL157" s="63" t="str">
        <f t="shared" si="33"/>
        <v>1F</v>
      </c>
      <c r="AM157" s="63" t="str">
        <f t="shared" si="34"/>
        <v>00</v>
      </c>
      <c r="AN157" s="63" t="str">
        <f t="shared" si="35"/>
        <v>00</v>
      </c>
      <c r="AO157" s="63" t="str">
        <f t="shared" si="36"/>
        <v>00</v>
      </c>
      <c r="AQ157" t="str">
        <f t="shared" si="31"/>
        <v xml:space="preserve">    (U4)0x0000001FU,                                                           /* 21 UNKNOWN                                         */</v>
      </c>
    </row>
    <row r="158" spans="2:43">
      <c r="B158" s="131"/>
      <c r="C158" s="50">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0</v>
      </c>
      <c r="AE158" s="125">
        <f t="shared" si="40"/>
        <v>1</v>
      </c>
      <c r="AF158" s="125">
        <f t="shared" si="40"/>
        <v>1</v>
      </c>
      <c r="AG158" s="125">
        <f t="shared" si="40"/>
        <v>1</v>
      </c>
      <c r="AH158" s="125">
        <f t="shared" si="40"/>
        <v>1</v>
      </c>
      <c r="AI158" s="125">
        <f t="shared" si="40"/>
        <v>1</v>
      </c>
      <c r="AJ158" s="50" t="str">
        <f t="shared" si="30"/>
        <v>UNKNOWN</v>
      </c>
      <c r="AK158" s="63"/>
      <c r="AL158" s="63" t="str">
        <f t="shared" si="33"/>
        <v>1F</v>
      </c>
      <c r="AM158" s="63" t="str">
        <f t="shared" si="34"/>
        <v>00</v>
      </c>
      <c r="AN158" s="63" t="str">
        <f t="shared" si="35"/>
        <v>00</v>
      </c>
      <c r="AO158" s="63" t="str">
        <f t="shared" si="36"/>
        <v>00</v>
      </c>
      <c r="AQ158" t="str">
        <f t="shared" si="31"/>
        <v xml:space="preserve">    (U4)0x0000001FU,                                                           /* 22 UNKNOWN                                         */</v>
      </c>
    </row>
    <row r="159" spans="2:43">
      <c r="B159" s="131"/>
      <c r="C159" s="50">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0</v>
      </c>
      <c r="AE159" s="125">
        <f t="shared" si="40"/>
        <v>1</v>
      </c>
      <c r="AF159" s="125">
        <f t="shared" si="40"/>
        <v>1</v>
      </c>
      <c r="AG159" s="125">
        <f t="shared" si="40"/>
        <v>1</v>
      </c>
      <c r="AH159" s="125">
        <f t="shared" si="40"/>
        <v>1</v>
      </c>
      <c r="AI159" s="125">
        <f t="shared" ref="AI159" si="41">IF(OR(AI29=0,AI29=1),1,0)</f>
        <v>1</v>
      </c>
      <c r="AJ159" s="50" t="str">
        <f t="shared" si="30"/>
        <v>UNKNOWN</v>
      </c>
      <c r="AK159" s="63"/>
      <c r="AL159" s="63" t="str">
        <f t="shared" si="33"/>
        <v>1F</v>
      </c>
      <c r="AM159" s="63" t="str">
        <f t="shared" si="34"/>
        <v>00</v>
      </c>
      <c r="AN159" s="63" t="str">
        <f t="shared" si="35"/>
        <v>00</v>
      </c>
      <c r="AO159" s="63" t="str">
        <f t="shared" si="36"/>
        <v>00</v>
      </c>
      <c r="AQ159" t="str">
        <f t="shared" si="31"/>
        <v xml:space="preserve">    (U4)0x0000001FU,                                                           /* 23 UNKNOWN                                         */</v>
      </c>
    </row>
    <row r="160" spans="2:43">
      <c r="B160" s="131"/>
      <c r="C160" s="50">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0</v>
      </c>
      <c r="AE160" s="125">
        <f t="shared" si="42"/>
        <v>1</v>
      </c>
      <c r="AF160" s="125">
        <f t="shared" si="42"/>
        <v>1</v>
      </c>
      <c r="AG160" s="125">
        <f t="shared" si="42"/>
        <v>1</v>
      </c>
      <c r="AH160" s="125">
        <f t="shared" si="42"/>
        <v>1</v>
      </c>
      <c r="AI160" s="125">
        <f t="shared" si="42"/>
        <v>1</v>
      </c>
      <c r="AJ160" s="50" t="str">
        <f t="shared" si="30"/>
        <v>UNKNOWN</v>
      </c>
      <c r="AK160" s="63"/>
      <c r="AL160" s="63" t="str">
        <f t="shared" si="33"/>
        <v>1F</v>
      </c>
      <c r="AM160" s="63" t="str">
        <f t="shared" si="34"/>
        <v>00</v>
      </c>
      <c r="AN160" s="63" t="str">
        <f t="shared" si="35"/>
        <v>00</v>
      </c>
      <c r="AO160" s="63" t="str">
        <f t="shared" si="36"/>
        <v>00</v>
      </c>
      <c r="AQ160" t="str">
        <f t="shared" si="31"/>
        <v xml:space="preserve">    (U4)0x0000001FU,                                                           /* 24 UNKNOWN                                         */</v>
      </c>
    </row>
    <row r="161" spans="2:43">
      <c r="B161" s="131"/>
      <c r="C161" s="50">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0</v>
      </c>
      <c r="AE161" s="125">
        <f t="shared" si="42"/>
        <v>1</v>
      </c>
      <c r="AF161" s="125">
        <f t="shared" si="42"/>
        <v>1</v>
      </c>
      <c r="AG161" s="125">
        <f t="shared" si="42"/>
        <v>1</v>
      </c>
      <c r="AH161" s="125">
        <f t="shared" si="42"/>
        <v>1</v>
      </c>
      <c r="AI161" s="125">
        <f t="shared" si="42"/>
        <v>1</v>
      </c>
      <c r="AJ161" s="50" t="str">
        <f t="shared" si="30"/>
        <v>UNKNOWN</v>
      </c>
      <c r="AK161" s="63"/>
      <c r="AL161" s="63" t="str">
        <f t="shared" si="33"/>
        <v>1F</v>
      </c>
      <c r="AM161" s="63" t="str">
        <f t="shared" si="34"/>
        <v>00</v>
      </c>
      <c r="AN161" s="63" t="str">
        <f t="shared" si="35"/>
        <v>00</v>
      </c>
      <c r="AO161" s="63" t="str">
        <f t="shared" si="36"/>
        <v>00</v>
      </c>
      <c r="AQ161" t="str">
        <f t="shared" si="31"/>
        <v xml:space="preserve">    (U4)0x0000001FU,                                                           /* 25 UNKNOWN                                         */</v>
      </c>
    </row>
    <row r="162" spans="2:43">
      <c r="B162" s="131"/>
      <c r="C162" s="50">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0</v>
      </c>
      <c r="AE162" s="125">
        <f t="shared" si="42"/>
        <v>1</v>
      </c>
      <c r="AF162" s="125">
        <f t="shared" si="42"/>
        <v>1</v>
      </c>
      <c r="AG162" s="125">
        <f t="shared" si="42"/>
        <v>1</v>
      </c>
      <c r="AH162" s="125">
        <f t="shared" si="42"/>
        <v>1</v>
      </c>
      <c r="AI162" s="125">
        <f t="shared" si="42"/>
        <v>1</v>
      </c>
      <c r="AJ162" s="50" t="str">
        <f t="shared" si="30"/>
        <v>UNKNOWN</v>
      </c>
      <c r="AK162" s="63"/>
      <c r="AL162" s="63" t="str">
        <f t="shared" si="33"/>
        <v>1F</v>
      </c>
      <c r="AM162" s="63" t="str">
        <f t="shared" si="34"/>
        <v>00</v>
      </c>
      <c r="AN162" s="63" t="str">
        <f t="shared" si="35"/>
        <v>00</v>
      </c>
      <c r="AO162" s="63" t="str">
        <f t="shared" si="36"/>
        <v>00</v>
      </c>
      <c r="AQ162" t="str">
        <f t="shared" si="31"/>
        <v xml:space="preserve">    (U4)0x0000001FU,                                                           /* 26 UNKNOWN                                         */</v>
      </c>
    </row>
    <row r="163" spans="2:43">
      <c r="B163" s="131"/>
      <c r="C163" s="50">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0</v>
      </c>
      <c r="AE163" s="125">
        <f t="shared" si="42"/>
        <v>1</v>
      </c>
      <c r="AF163" s="125">
        <f t="shared" si="42"/>
        <v>1</v>
      </c>
      <c r="AG163" s="125">
        <f t="shared" si="42"/>
        <v>1</v>
      </c>
      <c r="AH163" s="125">
        <f t="shared" si="42"/>
        <v>1</v>
      </c>
      <c r="AI163" s="125">
        <f t="shared" si="42"/>
        <v>1</v>
      </c>
      <c r="AJ163" s="50" t="str">
        <f t="shared" si="30"/>
        <v>UNKNOWN</v>
      </c>
      <c r="AK163" s="63"/>
      <c r="AL163" s="63" t="str">
        <f t="shared" si="33"/>
        <v>1F</v>
      </c>
      <c r="AM163" s="63" t="str">
        <f t="shared" si="34"/>
        <v>00</v>
      </c>
      <c r="AN163" s="63" t="str">
        <f t="shared" si="35"/>
        <v>00</v>
      </c>
      <c r="AO163" s="63" t="str">
        <f t="shared" si="36"/>
        <v>00</v>
      </c>
      <c r="AQ163" t="str">
        <f t="shared" si="31"/>
        <v xml:space="preserve">    (U4)0x0000001FU,                                                           /* 27 UNKNOWN                                         */</v>
      </c>
    </row>
    <row r="164" spans="2:43">
      <c r="B164" s="131"/>
      <c r="C164" s="50">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0</v>
      </c>
      <c r="AE164" s="125">
        <f t="shared" si="42"/>
        <v>1</v>
      </c>
      <c r="AF164" s="125">
        <f t="shared" si="42"/>
        <v>1</v>
      </c>
      <c r="AG164" s="125">
        <f t="shared" si="42"/>
        <v>1</v>
      </c>
      <c r="AH164" s="125">
        <f t="shared" si="42"/>
        <v>1</v>
      </c>
      <c r="AI164" s="125">
        <f t="shared" si="42"/>
        <v>1</v>
      </c>
      <c r="AJ164" s="50" t="str">
        <f t="shared" si="30"/>
        <v>UNKNOWN</v>
      </c>
      <c r="AK164" s="63"/>
      <c r="AL164" s="63" t="str">
        <f t="shared" si="33"/>
        <v>1F</v>
      </c>
      <c r="AM164" s="63" t="str">
        <f t="shared" si="34"/>
        <v>00</v>
      </c>
      <c r="AN164" s="63" t="str">
        <f t="shared" si="35"/>
        <v>00</v>
      </c>
      <c r="AO164" s="63" t="str">
        <f t="shared" si="36"/>
        <v>00</v>
      </c>
      <c r="AQ164" t="str">
        <f t="shared" si="31"/>
        <v xml:space="preserve">    (U4)0x0000001FU,                                                           /* 28 UNKNOWN                                         */</v>
      </c>
    </row>
    <row r="165" spans="2:43">
      <c r="B165" s="131"/>
      <c r="C165" s="50">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0</v>
      </c>
      <c r="AE165" s="125">
        <f t="shared" si="42"/>
        <v>1</v>
      </c>
      <c r="AF165" s="125">
        <f t="shared" si="42"/>
        <v>1</v>
      </c>
      <c r="AG165" s="125">
        <f t="shared" si="42"/>
        <v>1</v>
      </c>
      <c r="AH165" s="125">
        <f t="shared" si="42"/>
        <v>1</v>
      </c>
      <c r="AI165" s="125">
        <f t="shared" si="42"/>
        <v>1</v>
      </c>
      <c r="AJ165" s="50" t="str">
        <f t="shared" si="30"/>
        <v>UNKNOWN</v>
      </c>
      <c r="AK165" s="63"/>
      <c r="AL165" s="63" t="str">
        <f t="shared" si="33"/>
        <v>1F</v>
      </c>
      <c r="AM165" s="63" t="str">
        <f t="shared" si="34"/>
        <v>00</v>
      </c>
      <c r="AN165" s="63" t="str">
        <f t="shared" si="35"/>
        <v>00</v>
      </c>
      <c r="AO165" s="63" t="str">
        <f t="shared" si="36"/>
        <v>00</v>
      </c>
      <c r="AQ165" t="str">
        <f t="shared" si="31"/>
        <v xml:space="preserve">    (U4)0x0000001FU,                                                           /* 29 UNKNOWN                                         */</v>
      </c>
    </row>
    <row r="166" spans="2:43">
      <c r="B166" s="131"/>
      <c r="C166" s="50">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0</v>
      </c>
      <c r="AE166" s="125">
        <f t="shared" si="42"/>
        <v>1</v>
      </c>
      <c r="AF166" s="125">
        <f t="shared" si="42"/>
        <v>1</v>
      </c>
      <c r="AG166" s="125">
        <f t="shared" si="42"/>
        <v>1</v>
      </c>
      <c r="AH166" s="125">
        <f t="shared" si="42"/>
        <v>1</v>
      </c>
      <c r="AI166" s="125">
        <f t="shared" si="42"/>
        <v>1</v>
      </c>
      <c r="AJ166" s="50" t="str">
        <f t="shared" si="30"/>
        <v>UNKNOWN</v>
      </c>
      <c r="AK166" s="63"/>
      <c r="AL166" s="63" t="str">
        <f t="shared" si="33"/>
        <v>1F</v>
      </c>
      <c r="AM166" s="63" t="str">
        <f t="shared" si="34"/>
        <v>00</v>
      </c>
      <c r="AN166" s="63" t="str">
        <f t="shared" si="35"/>
        <v>00</v>
      </c>
      <c r="AO166" s="63" t="str">
        <f t="shared" si="36"/>
        <v>00</v>
      </c>
      <c r="AQ166" t="str">
        <f t="shared" si="31"/>
        <v xml:space="preserve">    (U4)0x0000001FU,                                                           /* 30 UNKNOWN                                         */</v>
      </c>
    </row>
    <row r="167" spans="2:43">
      <c r="B167" s="131"/>
      <c r="C167" s="50">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0</v>
      </c>
      <c r="AE167" s="125">
        <f t="shared" si="42"/>
        <v>1</v>
      </c>
      <c r="AF167" s="125">
        <f t="shared" si="42"/>
        <v>1</v>
      </c>
      <c r="AG167" s="125">
        <f t="shared" si="42"/>
        <v>1</v>
      </c>
      <c r="AH167" s="125">
        <f t="shared" si="42"/>
        <v>1</v>
      </c>
      <c r="AI167" s="125">
        <f t="shared" ref="AI167" si="43">IF(OR(AI37=0,AI37=1),1,0)</f>
        <v>1</v>
      </c>
      <c r="AJ167" s="50" t="str">
        <f t="shared" si="30"/>
        <v>UNKNOWN</v>
      </c>
      <c r="AK167" s="63"/>
      <c r="AL167" s="63" t="str">
        <f t="shared" si="33"/>
        <v>1F</v>
      </c>
      <c r="AM167" s="63" t="str">
        <f t="shared" si="34"/>
        <v>00</v>
      </c>
      <c r="AN167" s="63" t="str">
        <f t="shared" si="35"/>
        <v>00</v>
      </c>
      <c r="AO167" s="63" t="str">
        <f t="shared" si="36"/>
        <v>00</v>
      </c>
      <c r="AQ167" t="str">
        <f t="shared" si="31"/>
        <v xml:space="preserve">    (U4)0x0000001FU                                                            /* 31 UNKNOWN                                         */</v>
      </c>
    </row>
    <row r="168" spans="2:43">
      <c r="B168" s="131"/>
      <c r="C168" s="50">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0</v>
      </c>
      <c r="AE168" s="125">
        <f t="shared" si="44"/>
        <v>0</v>
      </c>
      <c r="AF168" s="125">
        <f t="shared" si="44"/>
        <v>0</v>
      </c>
      <c r="AG168" s="125">
        <f t="shared" si="44"/>
        <v>0</v>
      </c>
      <c r="AH168" s="125">
        <f t="shared" si="44"/>
        <v>0</v>
      </c>
      <c r="AI168" s="125">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31"/>
      <c r="C169" s="50">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0</v>
      </c>
      <c r="AE169" s="125">
        <f t="shared" si="44"/>
        <v>0</v>
      </c>
      <c r="AF169" s="125">
        <f t="shared" si="44"/>
        <v>0</v>
      </c>
      <c r="AG169" s="125">
        <f t="shared" si="44"/>
        <v>0</v>
      </c>
      <c r="AH169" s="125">
        <f t="shared" si="44"/>
        <v>0</v>
      </c>
      <c r="AI169" s="125">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31"/>
      <c r="C170" s="50">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0</v>
      </c>
      <c r="AE170" s="125">
        <f t="shared" si="44"/>
        <v>0</v>
      </c>
      <c r="AF170" s="125">
        <f t="shared" si="44"/>
        <v>0</v>
      </c>
      <c r="AG170" s="125">
        <f t="shared" si="44"/>
        <v>0</v>
      </c>
      <c r="AH170" s="125">
        <f t="shared" si="44"/>
        <v>0</v>
      </c>
      <c r="AI170" s="125">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31"/>
      <c r="C171" s="50">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0</v>
      </c>
      <c r="AE171" s="125">
        <f t="shared" si="44"/>
        <v>0</v>
      </c>
      <c r="AF171" s="125">
        <f t="shared" si="44"/>
        <v>0</v>
      </c>
      <c r="AG171" s="125">
        <f t="shared" si="44"/>
        <v>0</v>
      </c>
      <c r="AH171" s="125">
        <f t="shared" si="44"/>
        <v>0</v>
      </c>
      <c r="AI171" s="125">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31"/>
      <c r="C172" s="50">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0</v>
      </c>
      <c r="AE172" s="125">
        <f t="shared" si="44"/>
        <v>0</v>
      </c>
      <c r="AF172" s="125">
        <f t="shared" si="44"/>
        <v>0</v>
      </c>
      <c r="AG172" s="125">
        <f t="shared" si="44"/>
        <v>0</v>
      </c>
      <c r="AH172" s="125">
        <f t="shared" si="44"/>
        <v>0</v>
      </c>
      <c r="AI172" s="125">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31"/>
      <c r="C173" s="50">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0</v>
      </c>
      <c r="AE173" s="125">
        <f t="shared" si="44"/>
        <v>0</v>
      </c>
      <c r="AF173" s="125">
        <f t="shared" si="44"/>
        <v>0</v>
      </c>
      <c r="AG173" s="125">
        <f t="shared" si="44"/>
        <v>0</v>
      </c>
      <c r="AH173" s="125">
        <f t="shared" si="44"/>
        <v>0</v>
      </c>
      <c r="AI173" s="125">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31"/>
      <c r="C174" s="50">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0</v>
      </c>
      <c r="AE174" s="125">
        <f t="shared" si="44"/>
        <v>0</v>
      </c>
      <c r="AF174" s="125">
        <f t="shared" si="44"/>
        <v>0</v>
      </c>
      <c r="AG174" s="125">
        <f t="shared" si="44"/>
        <v>0</v>
      </c>
      <c r="AH174" s="125">
        <f t="shared" si="44"/>
        <v>0</v>
      </c>
      <c r="AI174" s="125">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31"/>
      <c r="C175" s="50">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0</v>
      </c>
      <c r="AE175" s="125">
        <f t="shared" si="44"/>
        <v>0</v>
      </c>
      <c r="AF175" s="125">
        <f t="shared" si="44"/>
        <v>0</v>
      </c>
      <c r="AG175" s="125">
        <f t="shared" si="44"/>
        <v>0</v>
      </c>
      <c r="AH175" s="125">
        <f t="shared" si="44"/>
        <v>0</v>
      </c>
      <c r="AI175" s="125">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31"/>
      <c r="C176" s="50">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0</v>
      </c>
      <c r="AE176" s="125">
        <f t="shared" si="46"/>
        <v>0</v>
      </c>
      <c r="AF176" s="125">
        <f t="shared" si="46"/>
        <v>0</v>
      </c>
      <c r="AG176" s="125">
        <f t="shared" si="46"/>
        <v>0</v>
      </c>
      <c r="AH176" s="125">
        <f t="shared" si="46"/>
        <v>0</v>
      </c>
      <c r="AI176" s="125">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31"/>
      <c r="C177" s="50">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0</v>
      </c>
      <c r="AE177" s="125">
        <f t="shared" si="46"/>
        <v>0</v>
      </c>
      <c r="AF177" s="125">
        <f t="shared" si="46"/>
        <v>0</v>
      </c>
      <c r="AG177" s="125">
        <f t="shared" si="46"/>
        <v>0</v>
      </c>
      <c r="AH177" s="125">
        <f t="shared" si="46"/>
        <v>0</v>
      </c>
      <c r="AI177" s="125">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31"/>
      <c r="C178" s="50">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0</v>
      </c>
      <c r="AE178" s="125">
        <f t="shared" si="46"/>
        <v>0</v>
      </c>
      <c r="AF178" s="125">
        <f t="shared" si="46"/>
        <v>0</v>
      </c>
      <c r="AG178" s="125">
        <f t="shared" si="46"/>
        <v>0</v>
      </c>
      <c r="AH178" s="125">
        <f t="shared" si="46"/>
        <v>0</v>
      </c>
      <c r="AI178" s="125">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31"/>
      <c r="C179" s="50">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0</v>
      </c>
      <c r="AE179" s="125">
        <f t="shared" si="46"/>
        <v>0</v>
      </c>
      <c r="AF179" s="125">
        <f t="shared" si="46"/>
        <v>0</v>
      </c>
      <c r="AG179" s="125">
        <f t="shared" si="46"/>
        <v>0</v>
      </c>
      <c r="AH179" s="125">
        <f t="shared" si="46"/>
        <v>0</v>
      </c>
      <c r="AI179" s="125">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31"/>
      <c r="C180" s="50">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0</v>
      </c>
      <c r="AE180" s="125">
        <f t="shared" si="46"/>
        <v>0</v>
      </c>
      <c r="AF180" s="125">
        <f t="shared" si="46"/>
        <v>0</v>
      </c>
      <c r="AG180" s="125">
        <f t="shared" si="46"/>
        <v>0</v>
      </c>
      <c r="AH180" s="125">
        <f t="shared" si="46"/>
        <v>0</v>
      </c>
      <c r="AI180" s="125">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31"/>
      <c r="C181" s="50">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0</v>
      </c>
      <c r="AE181" s="125">
        <f t="shared" si="46"/>
        <v>0</v>
      </c>
      <c r="AF181" s="125">
        <f t="shared" si="46"/>
        <v>0</v>
      </c>
      <c r="AG181" s="125">
        <f t="shared" si="46"/>
        <v>0</v>
      </c>
      <c r="AH181" s="125">
        <f t="shared" si="46"/>
        <v>0</v>
      </c>
      <c r="AI181" s="125">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31"/>
      <c r="C182" s="50">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0</v>
      </c>
      <c r="AE182" s="125">
        <f t="shared" si="46"/>
        <v>0</v>
      </c>
      <c r="AF182" s="125">
        <f t="shared" si="46"/>
        <v>0</v>
      </c>
      <c r="AG182" s="125">
        <f t="shared" si="46"/>
        <v>0</v>
      </c>
      <c r="AH182" s="125">
        <f t="shared" si="46"/>
        <v>0</v>
      </c>
      <c r="AI182" s="125">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31"/>
      <c r="C183" s="50">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0</v>
      </c>
      <c r="AE183" s="125">
        <f t="shared" si="46"/>
        <v>0</v>
      </c>
      <c r="AF183" s="125">
        <f t="shared" si="46"/>
        <v>0</v>
      </c>
      <c r="AG183" s="125">
        <f t="shared" si="46"/>
        <v>0</v>
      </c>
      <c r="AH183" s="125">
        <f t="shared" si="46"/>
        <v>0</v>
      </c>
      <c r="AI183" s="125">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31"/>
      <c r="C184" s="50">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0</v>
      </c>
      <c r="AE184" s="125">
        <f t="shared" si="48"/>
        <v>0</v>
      </c>
      <c r="AF184" s="125">
        <f t="shared" si="48"/>
        <v>0</v>
      </c>
      <c r="AG184" s="125">
        <f t="shared" si="48"/>
        <v>0</v>
      </c>
      <c r="AH184" s="125">
        <f t="shared" si="48"/>
        <v>0</v>
      </c>
      <c r="AI184" s="125">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31"/>
      <c r="C185" s="50">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0</v>
      </c>
      <c r="AE185" s="125">
        <f t="shared" si="48"/>
        <v>0</v>
      </c>
      <c r="AF185" s="125">
        <f t="shared" si="48"/>
        <v>0</v>
      </c>
      <c r="AG185" s="125">
        <f t="shared" si="48"/>
        <v>0</v>
      </c>
      <c r="AH185" s="125">
        <f t="shared" si="48"/>
        <v>0</v>
      </c>
      <c r="AI185" s="125">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31"/>
      <c r="C186" s="50">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0</v>
      </c>
      <c r="AE186" s="125">
        <f t="shared" si="48"/>
        <v>0</v>
      </c>
      <c r="AF186" s="125">
        <f t="shared" si="48"/>
        <v>0</v>
      </c>
      <c r="AG186" s="125">
        <f t="shared" si="48"/>
        <v>0</v>
      </c>
      <c r="AH186" s="125">
        <f t="shared" si="48"/>
        <v>0</v>
      </c>
      <c r="AI186" s="125">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31"/>
      <c r="C187" s="50">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0</v>
      </c>
      <c r="AE187" s="125">
        <f t="shared" si="48"/>
        <v>0</v>
      </c>
      <c r="AF187" s="125">
        <f t="shared" si="48"/>
        <v>0</v>
      </c>
      <c r="AG187" s="125">
        <f t="shared" si="48"/>
        <v>0</v>
      </c>
      <c r="AH187" s="125">
        <f t="shared" si="48"/>
        <v>0</v>
      </c>
      <c r="AI187" s="125">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31"/>
      <c r="C188" s="50">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0</v>
      </c>
      <c r="AE188" s="125">
        <f t="shared" si="48"/>
        <v>0</v>
      </c>
      <c r="AF188" s="125">
        <f t="shared" si="48"/>
        <v>0</v>
      </c>
      <c r="AG188" s="125">
        <f t="shared" si="48"/>
        <v>0</v>
      </c>
      <c r="AH188" s="125">
        <f t="shared" si="48"/>
        <v>0</v>
      </c>
      <c r="AI188" s="125">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31"/>
      <c r="C189" s="50">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0</v>
      </c>
      <c r="AE189" s="125">
        <f t="shared" si="48"/>
        <v>0</v>
      </c>
      <c r="AF189" s="125">
        <f t="shared" si="48"/>
        <v>0</v>
      </c>
      <c r="AG189" s="125">
        <f t="shared" si="48"/>
        <v>0</v>
      </c>
      <c r="AH189" s="125">
        <f t="shared" si="48"/>
        <v>0</v>
      </c>
      <c r="AI189" s="125">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31"/>
      <c r="C190" s="50">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0</v>
      </c>
      <c r="AE190" s="125">
        <f t="shared" si="48"/>
        <v>0</v>
      </c>
      <c r="AF190" s="125">
        <f t="shared" si="48"/>
        <v>0</v>
      </c>
      <c r="AG190" s="125">
        <f t="shared" si="48"/>
        <v>0</v>
      </c>
      <c r="AH190" s="125">
        <f t="shared" si="48"/>
        <v>0</v>
      </c>
      <c r="AI190" s="125">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31"/>
      <c r="C191" s="50">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0</v>
      </c>
      <c r="AE191" s="125">
        <f t="shared" si="48"/>
        <v>0</v>
      </c>
      <c r="AF191" s="125">
        <f t="shared" si="48"/>
        <v>0</v>
      </c>
      <c r="AG191" s="125">
        <f t="shared" si="48"/>
        <v>0</v>
      </c>
      <c r="AH191" s="125">
        <f t="shared" si="48"/>
        <v>0</v>
      </c>
      <c r="AI191" s="125">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31"/>
      <c r="C192" s="50">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0</v>
      </c>
      <c r="AE192" s="125">
        <f t="shared" si="50"/>
        <v>0</v>
      </c>
      <c r="AF192" s="125">
        <f t="shared" si="50"/>
        <v>0</v>
      </c>
      <c r="AG192" s="125">
        <f t="shared" si="50"/>
        <v>0</v>
      </c>
      <c r="AH192" s="125">
        <f t="shared" si="50"/>
        <v>0</v>
      </c>
      <c r="AI192" s="125">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31"/>
      <c r="C193" s="50">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0</v>
      </c>
      <c r="AE193" s="125">
        <f t="shared" si="50"/>
        <v>0</v>
      </c>
      <c r="AF193" s="125">
        <f t="shared" si="50"/>
        <v>0</v>
      </c>
      <c r="AG193" s="125">
        <f t="shared" si="50"/>
        <v>0</v>
      </c>
      <c r="AH193" s="125">
        <f t="shared" si="50"/>
        <v>0</v>
      </c>
      <c r="AI193" s="125">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31"/>
      <c r="C194" s="50">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0</v>
      </c>
      <c r="AE194" s="125">
        <f t="shared" si="50"/>
        <v>0</v>
      </c>
      <c r="AF194" s="125">
        <f t="shared" si="50"/>
        <v>0</v>
      </c>
      <c r="AG194" s="125">
        <f t="shared" si="50"/>
        <v>0</v>
      </c>
      <c r="AH194" s="125">
        <f t="shared" si="50"/>
        <v>0</v>
      </c>
      <c r="AI194" s="125">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31"/>
      <c r="C195" s="50">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0</v>
      </c>
      <c r="AE195" s="125">
        <f t="shared" si="50"/>
        <v>0</v>
      </c>
      <c r="AF195" s="125">
        <f t="shared" si="50"/>
        <v>0</v>
      </c>
      <c r="AG195" s="125">
        <f t="shared" si="50"/>
        <v>0</v>
      </c>
      <c r="AH195" s="125">
        <f t="shared" si="50"/>
        <v>0</v>
      </c>
      <c r="AI195" s="125">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31"/>
      <c r="C196" s="50">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0</v>
      </c>
      <c r="AE196" s="125">
        <f t="shared" si="50"/>
        <v>0</v>
      </c>
      <c r="AF196" s="125">
        <f t="shared" si="50"/>
        <v>0</v>
      </c>
      <c r="AG196" s="125">
        <f t="shared" si="50"/>
        <v>0</v>
      </c>
      <c r="AH196" s="125">
        <f t="shared" si="50"/>
        <v>0</v>
      </c>
      <c r="AI196" s="125">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31"/>
      <c r="C197" s="50">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0</v>
      </c>
      <c r="AE197" s="125">
        <f t="shared" si="50"/>
        <v>0</v>
      </c>
      <c r="AF197" s="125">
        <f t="shared" si="50"/>
        <v>0</v>
      </c>
      <c r="AG197" s="125">
        <f t="shared" si="50"/>
        <v>0</v>
      </c>
      <c r="AH197" s="125">
        <f t="shared" si="50"/>
        <v>0</v>
      </c>
      <c r="AI197" s="125">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31"/>
      <c r="C198" s="50">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0</v>
      </c>
      <c r="AE198" s="125">
        <f t="shared" si="50"/>
        <v>0</v>
      </c>
      <c r="AF198" s="125">
        <f t="shared" si="50"/>
        <v>0</v>
      </c>
      <c r="AG198" s="125">
        <f t="shared" si="50"/>
        <v>0</v>
      </c>
      <c r="AH198" s="125">
        <f t="shared" si="50"/>
        <v>0</v>
      </c>
      <c r="AI198" s="125">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2"/>
      <c r="C199" s="50">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0</v>
      </c>
      <c r="AE199" s="125">
        <f t="shared" si="50"/>
        <v>0</v>
      </c>
      <c r="AF199" s="125">
        <f t="shared" si="50"/>
        <v>0</v>
      </c>
      <c r="AG199" s="125">
        <f t="shared" si="50"/>
        <v>0</v>
      </c>
      <c r="AH199" s="125">
        <f t="shared" si="50"/>
        <v>0</v>
      </c>
      <c r="AI199" s="125">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D3 D38:AJ69 D6:AD37 AJ6:AJ37" name="Table作成編集範囲"/>
    <protectedRange sqref="AE3:AF3" name="Table作成編集範囲_3"/>
    <protectedRange sqref="AE6:AI37" name="Table作成編集範囲_1"/>
  </protectedRanges>
  <dataConsolidate/>
  <mergeCells count="5">
    <mergeCell ref="C2:C3"/>
    <mergeCell ref="AJ2:AJ3"/>
    <mergeCell ref="A4:B5"/>
    <mergeCell ref="AE3:AF3"/>
    <mergeCell ref="AG3:AI3"/>
  </mergeCells>
  <phoneticPr fontId="2"/>
  <conditionalFormatting sqref="D6:AI69">
    <cfRule type="cellIs" dxfId="8" priority="1" operator="equal">
      <formula>1</formula>
    </cfRule>
    <cfRule type="cellIs" dxfId="7" priority="2" operator="equal">
      <formula>"×"</formula>
    </cfRule>
  </conditionalFormatting>
  <conditionalFormatting sqref="AR5:AS70">
    <cfRule type="expression" dxfId="6"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1BE4-80D1-4E7D-A585-9E1493F9A698}">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63</v>
      </c>
      <c r="AI1" t="s">
        <v>64</v>
      </c>
    </row>
    <row r="2" spans="1:49">
      <c r="B2" s="124" t="s">
        <v>133</v>
      </c>
      <c r="C2" s="287" t="s">
        <v>88</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89" t="s">
        <v>55</v>
      </c>
    </row>
    <row r="3" spans="1:49" ht="213" customHeight="1" thickBot="1">
      <c r="B3" s="187" t="str">
        <f>IF(OR(IF(COUNTIF(D6:AC69,"0")&lt;&gt;0,TRUE,FALSE),IF(COUNTIF(D6:AC69,"1")&lt;&gt;0,TRUE,FALSE)),"Search Table","Index Table")</f>
        <v>Index Table</v>
      </c>
      <c r="C3" s="288"/>
      <c r="D3" s="126" t="s">
        <v>65</v>
      </c>
      <c r="E3" s="126" t="s">
        <v>70</v>
      </c>
      <c r="F3" s="126" t="s">
        <v>53</v>
      </c>
      <c r="G3" s="126" t="s">
        <v>52</v>
      </c>
      <c r="H3" s="126" t="s">
        <v>131</v>
      </c>
      <c r="I3" s="126" t="s">
        <v>130</v>
      </c>
      <c r="J3" s="126" t="s">
        <v>135</v>
      </c>
      <c r="K3" s="126" t="s">
        <v>134</v>
      </c>
      <c r="L3" s="127" t="s">
        <v>70</v>
      </c>
      <c r="M3" s="127" t="s">
        <v>66</v>
      </c>
      <c r="N3" s="127" t="s">
        <v>66</v>
      </c>
      <c r="O3" s="127" t="s">
        <v>66</v>
      </c>
      <c r="P3" s="127" t="s">
        <v>66</v>
      </c>
      <c r="Q3" s="127" t="s">
        <v>66</v>
      </c>
      <c r="R3" s="127" t="s">
        <v>66</v>
      </c>
      <c r="S3" s="127" t="s">
        <v>66</v>
      </c>
      <c r="T3" s="127" t="s">
        <v>66</v>
      </c>
      <c r="U3" s="127" t="s">
        <v>66</v>
      </c>
      <c r="V3" s="127" t="s">
        <v>66</v>
      </c>
      <c r="W3" s="127" t="s">
        <v>66</v>
      </c>
      <c r="X3" s="127" t="s">
        <v>66</v>
      </c>
      <c r="Y3" s="127" t="s">
        <v>66</v>
      </c>
      <c r="Z3" s="127" t="s">
        <v>66</v>
      </c>
      <c r="AA3" s="127" t="s">
        <v>66</v>
      </c>
      <c r="AB3" s="127" t="s">
        <v>66</v>
      </c>
      <c r="AC3" s="127" t="s">
        <v>66</v>
      </c>
      <c r="AD3" s="127" t="s">
        <v>66</v>
      </c>
      <c r="AE3" s="295" t="s">
        <v>264</v>
      </c>
      <c r="AF3" s="296"/>
      <c r="AG3" s="295" t="s">
        <v>265</v>
      </c>
      <c r="AH3" s="297"/>
      <c r="AI3" s="298"/>
      <c r="AJ3" s="290"/>
      <c r="AR3" s="93" t="s">
        <v>102</v>
      </c>
    </row>
    <row r="4" spans="1:49" ht="13.8" thickBot="1">
      <c r="A4" s="291" t="s">
        <v>67</v>
      </c>
      <c r="B4" s="292"/>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86</v>
      </c>
      <c r="AS4" s="82"/>
      <c r="AT4" s="82"/>
      <c r="AU4" s="82"/>
      <c r="AV4" s="82"/>
      <c r="AW4" s="83"/>
    </row>
    <row r="5" spans="1:49" ht="13.8" thickBot="1">
      <c r="A5" s="293"/>
      <c r="B5" s="29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u4_sp_ALERT_H_XMGRIP_PD_CRIT[ALERT_H_XMGRIP_PD_NUM_DST] = {</v>
      </c>
      <c r="AS5" s="84" t="str">
        <f ca="1">"static const U4  "&amp;$AW$9&amp;"["&amp;$AW$10&amp;"] = {"</f>
        <v>static const U4  u4_sp_ALERT_H_XMGRIP_PD_MASK[ALERT_H_XMGRIP_PD_NUM_DST] = {</v>
      </c>
      <c r="AT5" s="84" t="str">
        <f ca="1">"static const U1  "&amp;$AW$11&amp;"["&amp;$AW$10&amp;"] = {"</f>
        <v>static const U1  u1_sp_ALERT_H_XMGRIP_PD_DST[ALERT_H_XMGRIP_PD_NUM_DST] = {</v>
      </c>
      <c r="AU5" s="84" t="str">
        <f ca="1">"const ST_ALERT_MTRX "&amp;$AW$12&amp;" = {"</f>
        <v>const ST_ALERT_MTRX st_gp_ALERT_H_XMGRIP_MTRX[3] = {</v>
      </c>
      <c r="AV5" s="66" t="str">
        <f ca="1">"#define "&amp;AW10&amp;REPT(" ",41-LEN(AW10))&amp;"("&amp;AW13&amp;"U)"</f>
        <v>#define ALERT_H_XMGRIP_PD_NUM_DST                (32U)</v>
      </c>
      <c r="AW5" s="67"/>
    </row>
    <row r="6" spans="1:49">
      <c r="B6" s="131" t="str">
        <f ca="1">"Table "&amp;$AW$6</f>
        <v>Table PD</v>
      </c>
      <c r="C6" s="55">
        <f>ROW()-ROW($C$6)</f>
        <v>0</v>
      </c>
      <c r="D6" s="38" t="s">
        <v>71</v>
      </c>
      <c r="E6" s="38" t="s">
        <v>71</v>
      </c>
      <c r="F6" s="38" t="s">
        <v>71</v>
      </c>
      <c r="G6" s="38" t="s">
        <v>71</v>
      </c>
      <c r="H6" s="38" t="s">
        <v>71</v>
      </c>
      <c r="I6" s="38" t="s">
        <v>71</v>
      </c>
      <c r="J6" s="38" t="s">
        <v>71</v>
      </c>
      <c r="K6" s="38" t="s">
        <v>71</v>
      </c>
      <c r="L6" s="38" t="s">
        <v>71</v>
      </c>
      <c r="M6" s="38" t="s">
        <v>71</v>
      </c>
      <c r="N6" s="38" t="s">
        <v>71</v>
      </c>
      <c r="O6" s="38" t="s">
        <v>71</v>
      </c>
      <c r="P6" s="38" t="s">
        <v>71</v>
      </c>
      <c r="Q6" s="38" t="s">
        <v>71</v>
      </c>
      <c r="R6" s="38" t="s">
        <v>71</v>
      </c>
      <c r="S6" s="38" t="s">
        <v>71</v>
      </c>
      <c r="T6" s="38" t="s">
        <v>71</v>
      </c>
      <c r="U6" s="38" t="s">
        <v>71</v>
      </c>
      <c r="V6" s="38" t="s">
        <v>71</v>
      </c>
      <c r="W6" s="38" t="s">
        <v>71</v>
      </c>
      <c r="X6" s="38" t="s">
        <v>71</v>
      </c>
      <c r="Y6" s="38" t="s">
        <v>71</v>
      </c>
      <c r="Z6" s="38" t="s">
        <v>71</v>
      </c>
      <c r="AA6" s="38" t="s">
        <v>71</v>
      </c>
      <c r="AB6" s="38" t="s">
        <v>71</v>
      </c>
      <c r="AC6" s="38" t="s">
        <v>71</v>
      </c>
      <c r="AD6" s="38" t="s">
        <v>71</v>
      </c>
      <c r="AE6" s="38">
        <v>0</v>
      </c>
      <c r="AF6" s="36">
        <v>0</v>
      </c>
      <c r="AG6" s="36">
        <v>0</v>
      </c>
      <c r="AH6" s="36">
        <v>0</v>
      </c>
      <c r="AI6" s="36">
        <v>0</v>
      </c>
      <c r="AJ6" s="54" t="s">
        <v>33</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(U4)0x0000001FU,                                                           /* 00 UNKNOWN                                         */</v>
      </c>
      <c r="AT6" s="64" t="str">
        <f t="shared" ref="AT6:AT69" si="1">IF(AJ6&lt;&gt;"",AL6&amp;IF(AJ7&lt;&gt;"",","," ")&amp;REPT(" ",78-LEN(AL6))&amp;"/* "&amp;IF(C6&lt;10,"0"&amp;C6,C6)&amp;" "&amp;AJ6&amp;REPT(" ",48-LEN(AJ6))&amp;"*/",IF(AJ5&lt;&gt;"","};",""))</f>
        <v xml:space="preserve">    (U1)ALERT_REQ_UNKNOWN,                                                     /* 00 UNKNOWN                                         */</v>
      </c>
      <c r="AU6" s="64" t="s">
        <v>72</v>
      </c>
      <c r="AV6" s="51" t="s">
        <v>74</v>
      </c>
      <c r="AW6" s="68" t="str">
        <f ca="1">UPPER(RIGHT(CELL("filename",A1),LEN(CELL("filename",A1))-FIND("]",CELL("filename",A1))))</f>
        <v>PD</v>
      </c>
    </row>
    <row r="7" spans="1:49">
      <c r="B7" s="131"/>
      <c r="C7" s="50">
        <f t="shared" ref="C7:C69" si="2">ROW()-ROW($C$6)</f>
        <v>1</v>
      </c>
      <c r="D7" s="36" t="s">
        <v>71</v>
      </c>
      <c r="E7" s="36" t="s">
        <v>71</v>
      </c>
      <c r="F7" s="36" t="s">
        <v>71</v>
      </c>
      <c r="G7" s="36" t="s">
        <v>71</v>
      </c>
      <c r="H7" s="36" t="s">
        <v>71</v>
      </c>
      <c r="I7" s="36" t="s">
        <v>71</v>
      </c>
      <c r="J7" s="36" t="s">
        <v>71</v>
      </c>
      <c r="K7" s="36" t="s">
        <v>71</v>
      </c>
      <c r="L7" s="36" t="s">
        <v>71</v>
      </c>
      <c r="M7" s="36" t="s">
        <v>71</v>
      </c>
      <c r="N7" s="36" t="s">
        <v>71</v>
      </c>
      <c r="O7" s="36" t="s">
        <v>71</v>
      </c>
      <c r="P7" s="36" t="s">
        <v>71</v>
      </c>
      <c r="Q7" s="36" t="s">
        <v>71</v>
      </c>
      <c r="R7" s="36" t="s">
        <v>71</v>
      </c>
      <c r="S7" s="36" t="s">
        <v>71</v>
      </c>
      <c r="T7" s="36" t="s">
        <v>71</v>
      </c>
      <c r="U7" s="36" t="s">
        <v>71</v>
      </c>
      <c r="V7" s="36" t="s">
        <v>71</v>
      </c>
      <c r="W7" s="36" t="s">
        <v>71</v>
      </c>
      <c r="X7" s="36" t="s">
        <v>71</v>
      </c>
      <c r="Y7" s="36" t="s">
        <v>71</v>
      </c>
      <c r="Z7" s="36" t="s">
        <v>71</v>
      </c>
      <c r="AA7" s="36" t="s">
        <v>71</v>
      </c>
      <c r="AB7" s="36" t="s">
        <v>71</v>
      </c>
      <c r="AC7" s="36" t="s">
        <v>71</v>
      </c>
      <c r="AD7" s="36" t="s">
        <v>71</v>
      </c>
      <c r="AE7" s="36">
        <v>0</v>
      </c>
      <c r="AF7" s="36">
        <v>0</v>
      </c>
      <c r="AG7" s="36">
        <v>0</v>
      </c>
      <c r="AH7" s="36">
        <v>0</v>
      </c>
      <c r="AI7" s="36">
        <v>1</v>
      </c>
      <c r="AJ7" s="25" t="s">
        <v>258</v>
      </c>
      <c r="AL7" t="str">
        <f t="shared" ca="1" si="0"/>
        <v xml:space="preserve">    (U1)ALERT_REQ_H_XMGRIP_PD_DEACTIV</v>
      </c>
      <c r="AR7" s="64" t="str">
        <f t="shared" ref="AR7:AR70" si="3">IF(AQ72&lt;&gt;"",AQ72,IF(AQ71&lt;&gt;"","};",""))</f>
        <v xml:space="preserve">    (U4)0x00000001U,                                                           /* 01 DEACTIV                                         */</v>
      </c>
      <c r="AS7" s="64" t="str">
        <f t="shared" ref="AS7:AS70" si="4">IF(AQ137&lt;&gt;"",AQ137,IF(AQ136&lt;&gt;"","};",""))</f>
        <v xml:space="preserve">    (U4)0x0000001FU,                                                           /* 01 DEACTIV                                         */</v>
      </c>
      <c r="AT7" s="64" t="str">
        <f t="shared" ca="1" si="1"/>
        <v xml:space="preserve">    (U1)ALERT_REQ_H_XMGRIP_PD_DEACTIV,                                         /* 01 DEACTIV                                         */</v>
      </c>
      <c r="AU7" s="64" t="str">
        <f ca="1">"        &amp;"&amp;$AW$14&amp;","&amp;REPT(" ",69-LEN($AW$14))&amp;"/* fp_u4_SRC_CHK                                      */"</f>
        <v xml:space="preserve">        &amp;u4_s_AlertH_xmgripPdSrcchk,                                           /* fp_u4_SRC_CHK                                      */</v>
      </c>
      <c r="AV7" s="52" t="s">
        <v>75</v>
      </c>
      <c r="AW7" s="130">
        <f>IF(B3="Search Table",1,0)</f>
        <v>0</v>
      </c>
    </row>
    <row r="8" spans="1:49">
      <c r="B8" s="131"/>
      <c r="C8" s="50">
        <f t="shared" si="2"/>
        <v>2</v>
      </c>
      <c r="D8" s="36" t="s">
        <v>71</v>
      </c>
      <c r="E8" s="36" t="s">
        <v>71</v>
      </c>
      <c r="F8" s="36" t="s">
        <v>71</v>
      </c>
      <c r="G8" s="36" t="s">
        <v>71</v>
      </c>
      <c r="H8" s="36" t="s">
        <v>71</v>
      </c>
      <c r="I8" s="36" t="s">
        <v>71</v>
      </c>
      <c r="J8" s="36" t="s">
        <v>71</v>
      </c>
      <c r="K8" s="36" t="s">
        <v>71</v>
      </c>
      <c r="L8" s="36" t="s">
        <v>71</v>
      </c>
      <c r="M8" s="36" t="s">
        <v>71</v>
      </c>
      <c r="N8" s="36" t="s">
        <v>71</v>
      </c>
      <c r="O8" s="36" t="s">
        <v>71</v>
      </c>
      <c r="P8" s="36" t="s">
        <v>71</v>
      </c>
      <c r="Q8" s="36" t="s">
        <v>71</v>
      </c>
      <c r="R8" s="36" t="s">
        <v>71</v>
      </c>
      <c r="S8" s="36" t="s">
        <v>71</v>
      </c>
      <c r="T8" s="36" t="s">
        <v>71</v>
      </c>
      <c r="U8" s="36" t="s">
        <v>71</v>
      </c>
      <c r="V8" s="36" t="s">
        <v>71</v>
      </c>
      <c r="W8" s="36" t="s">
        <v>71</v>
      </c>
      <c r="X8" s="36" t="s">
        <v>71</v>
      </c>
      <c r="Y8" s="36" t="s">
        <v>71</v>
      </c>
      <c r="Z8" s="36" t="s">
        <v>71</v>
      </c>
      <c r="AA8" s="36" t="s">
        <v>71</v>
      </c>
      <c r="AB8" s="36" t="s">
        <v>71</v>
      </c>
      <c r="AC8" s="36" t="s">
        <v>71</v>
      </c>
      <c r="AD8" s="36" t="s">
        <v>71</v>
      </c>
      <c r="AE8" s="36">
        <v>0</v>
      </c>
      <c r="AF8" s="36">
        <v>0</v>
      </c>
      <c r="AG8" s="36">
        <v>0</v>
      </c>
      <c r="AH8" s="36">
        <v>1</v>
      </c>
      <c r="AI8" s="36">
        <v>0</v>
      </c>
      <c r="AJ8" s="25" t="s">
        <v>256</v>
      </c>
      <c r="AL8" t="str">
        <f t="shared" ca="1" si="0"/>
        <v xml:space="preserve">    (U1)ALERT_REQ_H_XMGRIP_PD_UNAVLBL</v>
      </c>
      <c r="AR8" s="64" t="str">
        <f t="shared" si="3"/>
        <v xml:space="preserve">    (U4)0x00000002U,                                                           /* 02 UNAVLBL                                         */</v>
      </c>
      <c r="AS8" s="64" t="str">
        <f t="shared" si="4"/>
        <v xml:space="preserve">    (U4)0x0000001FU,                                                           /* 02 UNAVLBL                                         */</v>
      </c>
      <c r="AT8" s="64" t="str">
        <f ca="1">IF(AJ8&lt;&gt;"",AL8&amp;IF(AJ9&lt;&gt;"",","," ")&amp;REPT(" ",78-LEN(AL8))&amp;"/* "&amp;IF(C8&lt;10,"0"&amp;C8,C8)&amp;" "&amp;AJ8&amp;REPT(" ",48-LEN(AJ8))&amp;"*/",IF(AJ7&lt;&gt;"","};",""))</f>
        <v xml:space="preserve">    (U1)ALERT_REQ_H_XMGRIP_PD_UNAVLBL,                                         /* 02 UNAVLBL                                         */</v>
      </c>
      <c r="AU8" s="64" t="str">
        <f ca="1">IF($AW$15&lt;&gt;"NULL","        &amp;"&amp;$AW$15&amp;","&amp;REPT(" ",69-LEN($AW$15))&amp;"/* fp_vd_XDST                                         */","        vdp_PTR_NA,                                                            /* fp_vd_XDST                                         */")</f>
        <v xml:space="preserve">        vdp_PTR_NA,                                                            /* fp_vd_XDST                                         */</v>
      </c>
      <c r="AV8" s="52" t="s">
        <v>76</v>
      </c>
      <c r="AW8" s="69" t="str">
        <f ca="1">"u4_sp_ALERT_"&amp;IF(AW6&lt;&gt;AW17,$AW$17&amp;"_"&amp;$AW$6,AW17)&amp;"_CRIT"</f>
        <v>u4_sp_ALERT_H_XMGRIP_PD_CRIT</v>
      </c>
    </row>
    <row r="9" spans="1:49">
      <c r="B9" s="131"/>
      <c r="C9" s="50">
        <f t="shared" si="2"/>
        <v>3</v>
      </c>
      <c r="D9" s="36" t="s">
        <v>71</v>
      </c>
      <c r="E9" s="36" t="s">
        <v>71</v>
      </c>
      <c r="F9" s="36" t="s">
        <v>71</v>
      </c>
      <c r="G9" s="36" t="s">
        <v>71</v>
      </c>
      <c r="H9" s="36" t="s">
        <v>71</v>
      </c>
      <c r="I9" s="36" t="s">
        <v>71</v>
      </c>
      <c r="J9" s="36" t="s">
        <v>71</v>
      </c>
      <c r="K9" s="36" t="s">
        <v>71</v>
      </c>
      <c r="L9" s="36" t="s">
        <v>71</v>
      </c>
      <c r="M9" s="36" t="s">
        <v>71</v>
      </c>
      <c r="N9" s="36" t="s">
        <v>71</v>
      </c>
      <c r="O9" s="36" t="s">
        <v>71</v>
      </c>
      <c r="P9" s="36" t="s">
        <v>71</v>
      </c>
      <c r="Q9" s="36" t="s">
        <v>71</v>
      </c>
      <c r="R9" s="36" t="s">
        <v>71</v>
      </c>
      <c r="S9" s="36" t="s">
        <v>71</v>
      </c>
      <c r="T9" s="36" t="s">
        <v>71</v>
      </c>
      <c r="U9" s="36" t="s">
        <v>71</v>
      </c>
      <c r="V9" s="36" t="s">
        <v>71</v>
      </c>
      <c r="W9" s="36" t="s">
        <v>71</v>
      </c>
      <c r="X9" s="36" t="s">
        <v>71</v>
      </c>
      <c r="Y9" s="36" t="s">
        <v>71</v>
      </c>
      <c r="Z9" s="36" t="s">
        <v>71</v>
      </c>
      <c r="AA9" s="36" t="s">
        <v>71</v>
      </c>
      <c r="AB9" s="36" t="s">
        <v>71</v>
      </c>
      <c r="AC9" s="36" t="s">
        <v>71</v>
      </c>
      <c r="AD9" s="36" t="s">
        <v>71</v>
      </c>
      <c r="AE9" s="36">
        <v>0</v>
      </c>
      <c r="AF9" s="36">
        <v>0</v>
      </c>
      <c r="AG9" s="36">
        <v>0</v>
      </c>
      <c r="AH9" s="36">
        <v>1</v>
      </c>
      <c r="AI9" s="36">
        <v>1</v>
      </c>
      <c r="AJ9" s="25" t="s">
        <v>33</v>
      </c>
      <c r="AL9" t="str">
        <f t="shared" si="0"/>
        <v xml:space="preserve">    (U1)ALERT_REQ_UNKNOWN</v>
      </c>
      <c r="AR9" s="64" t="str">
        <f t="shared" si="3"/>
        <v xml:space="preserve">    (U4)0x00000003U,                                                           /* 03 UNKNOWN                                         */</v>
      </c>
      <c r="AS9" s="64" t="str">
        <f t="shared" si="4"/>
        <v xml:space="preserve">    (U4)0x0000001FU,                                                           /* 03 UNKNOWN                                         */</v>
      </c>
      <c r="AT9" s="64" t="str">
        <f t="shared" si="1"/>
        <v xml:space="preserve">    (U1)ALERT_REQ_UNKNOWN,                                                     /* 03 UNKNOWN                                         */</v>
      </c>
      <c r="AU9" s="64"/>
      <c r="AV9" s="52" t="s">
        <v>77</v>
      </c>
      <c r="AW9" s="69" t="str">
        <f ca="1">"u4_sp_ALERT_"&amp;IF(AW6&lt;&gt;AW17,$AW$17&amp;"_"&amp;$AW$6,AW17)&amp;"_MASK"</f>
        <v>u4_sp_ALERT_H_XMGRIP_PD_MASK</v>
      </c>
    </row>
    <row r="10" spans="1:49">
      <c r="B10" s="131"/>
      <c r="C10" s="50">
        <f t="shared" si="2"/>
        <v>4</v>
      </c>
      <c r="D10" s="36" t="s">
        <v>71</v>
      </c>
      <c r="E10" s="36" t="s">
        <v>71</v>
      </c>
      <c r="F10" s="36" t="s">
        <v>71</v>
      </c>
      <c r="G10" s="36" t="s">
        <v>71</v>
      </c>
      <c r="H10" s="36" t="s">
        <v>71</v>
      </c>
      <c r="I10" s="36" t="s">
        <v>71</v>
      </c>
      <c r="J10" s="36" t="s">
        <v>71</v>
      </c>
      <c r="K10" s="36" t="s">
        <v>71</v>
      </c>
      <c r="L10" s="36" t="s">
        <v>71</v>
      </c>
      <c r="M10" s="36" t="s">
        <v>71</v>
      </c>
      <c r="N10" s="36" t="s">
        <v>71</v>
      </c>
      <c r="O10" s="36" t="s">
        <v>71</v>
      </c>
      <c r="P10" s="36" t="s">
        <v>71</v>
      </c>
      <c r="Q10" s="36" t="s">
        <v>71</v>
      </c>
      <c r="R10" s="36" t="s">
        <v>71</v>
      </c>
      <c r="S10" s="36" t="s">
        <v>71</v>
      </c>
      <c r="T10" s="36" t="s">
        <v>71</v>
      </c>
      <c r="U10" s="36" t="s">
        <v>71</v>
      </c>
      <c r="V10" s="36" t="s">
        <v>71</v>
      </c>
      <c r="W10" s="36" t="s">
        <v>71</v>
      </c>
      <c r="X10" s="36" t="s">
        <v>71</v>
      </c>
      <c r="Y10" s="36" t="s">
        <v>71</v>
      </c>
      <c r="Z10" s="36" t="s">
        <v>71</v>
      </c>
      <c r="AA10" s="36" t="s">
        <v>71</v>
      </c>
      <c r="AB10" s="36" t="s">
        <v>71</v>
      </c>
      <c r="AC10" s="36" t="s">
        <v>71</v>
      </c>
      <c r="AD10" s="36" t="s">
        <v>71</v>
      </c>
      <c r="AE10" s="36">
        <v>0</v>
      </c>
      <c r="AF10" s="36">
        <v>0</v>
      </c>
      <c r="AG10" s="36">
        <v>1</v>
      </c>
      <c r="AH10" s="36">
        <v>0</v>
      </c>
      <c r="AI10" s="36">
        <v>0</v>
      </c>
      <c r="AJ10" s="25" t="s">
        <v>33</v>
      </c>
      <c r="AL10" t="str">
        <f t="shared" si="0"/>
        <v xml:space="preserve">    (U1)ALERT_REQ_UNKNOWN</v>
      </c>
      <c r="AR10" s="64" t="str">
        <f t="shared" si="3"/>
        <v xml:space="preserve">    (U4)0x00000004U,                                                           /* 04 UNKNOWN                                         */</v>
      </c>
      <c r="AS10" s="64" t="str">
        <f t="shared" si="4"/>
        <v xml:space="preserve">    (U4)0x0000001FU,                                                           /* 04 UNKNOWN                                         */</v>
      </c>
      <c r="AT10" s="64" t="str">
        <f t="shared" si="1"/>
        <v xml:space="preserve">    (U1)ALERT_REQ_UNKNOWN,                                                     /* 04 UNKNOWN                                         */</v>
      </c>
      <c r="AU10" s="64" t="str">
        <f>IF($AW$7=1,"        &amp;"&amp;$AW$9&amp;"[0],"&amp;REPT(" ",66-LEN($AW$9))&amp;"/* u4p_MASK                                           */","        (const U4 *)vdp_PTR_NA,                                                /* u4p_MASK                                           */")</f>
        <v xml:space="preserve">        (const U4 *)vdp_PTR_NA,                                                /* u4p_MASK                                           */</v>
      </c>
      <c r="AV10" s="52" t="s">
        <v>78</v>
      </c>
      <c r="AW10" s="69" t="str">
        <f ca="1">"ALERT_"&amp;IF(AW6&lt;&gt;AW17,$AW$17&amp;"_"&amp;$AW$6,AW17)&amp;"_NUM_DST"</f>
        <v>ALERT_H_XMGRIP_PD_NUM_DST</v>
      </c>
    </row>
    <row r="11" spans="1:49">
      <c r="B11" s="131"/>
      <c r="C11" s="50">
        <f t="shared" si="2"/>
        <v>5</v>
      </c>
      <c r="D11" s="36" t="s">
        <v>71</v>
      </c>
      <c r="E11" s="36" t="s">
        <v>71</v>
      </c>
      <c r="F11" s="36" t="s">
        <v>71</v>
      </c>
      <c r="G11" s="36" t="s">
        <v>71</v>
      </c>
      <c r="H11" s="36" t="s">
        <v>71</v>
      </c>
      <c r="I11" s="36" t="s">
        <v>71</v>
      </c>
      <c r="J11" s="36" t="s">
        <v>71</v>
      </c>
      <c r="K11" s="36" t="s">
        <v>71</v>
      </c>
      <c r="L11" s="36" t="s">
        <v>71</v>
      </c>
      <c r="M11" s="36" t="s">
        <v>71</v>
      </c>
      <c r="N11" s="36" t="s">
        <v>71</v>
      </c>
      <c r="O11" s="36" t="s">
        <v>71</v>
      </c>
      <c r="P11" s="36" t="s">
        <v>71</v>
      </c>
      <c r="Q11" s="36" t="s">
        <v>71</v>
      </c>
      <c r="R11" s="36" t="s">
        <v>71</v>
      </c>
      <c r="S11" s="36" t="s">
        <v>71</v>
      </c>
      <c r="T11" s="36" t="s">
        <v>71</v>
      </c>
      <c r="U11" s="36" t="s">
        <v>71</v>
      </c>
      <c r="V11" s="36" t="s">
        <v>71</v>
      </c>
      <c r="W11" s="36" t="s">
        <v>71</v>
      </c>
      <c r="X11" s="36" t="s">
        <v>71</v>
      </c>
      <c r="Y11" s="36" t="s">
        <v>71</v>
      </c>
      <c r="Z11" s="36" t="s">
        <v>71</v>
      </c>
      <c r="AA11" s="36" t="s">
        <v>71</v>
      </c>
      <c r="AB11" s="36" t="s">
        <v>71</v>
      </c>
      <c r="AC11" s="36" t="s">
        <v>71</v>
      </c>
      <c r="AD11" s="36" t="s">
        <v>71</v>
      </c>
      <c r="AE11" s="36">
        <v>0</v>
      </c>
      <c r="AF11" s="36">
        <v>0</v>
      </c>
      <c r="AG11" s="36">
        <v>1</v>
      </c>
      <c r="AH11" s="36">
        <v>0</v>
      </c>
      <c r="AI11" s="36">
        <v>1</v>
      </c>
      <c r="AJ11" s="25" t="s">
        <v>33</v>
      </c>
      <c r="AL11" t="str">
        <f t="shared" si="0"/>
        <v xml:space="preserve">    (U1)ALERT_REQ_UNKNOWN</v>
      </c>
      <c r="AR11" s="64" t="str">
        <f t="shared" si="3"/>
        <v xml:space="preserve">    (U4)0x00000005U,                                                           /* 05 UNKNOWN                                         */</v>
      </c>
      <c r="AS11" s="64" t="str">
        <f t="shared" si="4"/>
        <v xml:space="preserve">    (U4)0x0000001FU,                                                           /* 05 UNKNOWN                                         */</v>
      </c>
      <c r="AT11" s="64" t="str">
        <f t="shared" si="1"/>
        <v xml:space="preserve">    (U1)ALERT_REQ_UNKNOWN,                                                     /* 05 UNKNOWN                                         */</v>
      </c>
      <c r="AU11" s="64" t="str">
        <f>IF($AW$7=1,"        &amp;"&amp;$AW$8&amp;"[0],"&amp;REPT(" ",66-LEN($AW$8))&amp;"/* u4p_CRIT                                           */","        (const U4 *)vdp_PTR_NA,                                                /* u4p_CRIT                                           */")</f>
        <v xml:space="preserve">        (const U4 *)vdp_PTR_NA,                                                /* u4p_CRIT                                           */</v>
      </c>
      <c r="AV11" s="52" t="s">
        <v>79</v>
      </c>
      <c r="AW11" s="69" t="str">
        <f ca="1">"u1_sp_ALERT_"&amp;IF(AW6&lt;&gt;AW17,$AW$17&amp;"_"&amp;$AW$6,AW17)&amp;"_DST"</f>
        <v>u1_sp_ALERT_H_XMGRIP_PD_DST</v>
      </c>
    </row>
    <row r="12" spans="1:49">
      <c r="B12" s="131"/>
      <c r="C12" s="50">
        <f t="shared" si="2"/>
        <v>6</v>
      </c>
      <c r="D12" s="36" t="s">
        <v>71</v>
      </c>
      <c r="E12" s="36" t="s">
        <v>71</v>
      </c>
      <c r="F12" s="36" t="s">
        <v>71</v>
      </c>
      <c r="G12" s="36" t="s">
        <v>71</v>
      </c>
      <c r="H12" s="36" t="s">
        <v>71</v>
      </c>
      <c r="I12" s="36" t="s">
        <v>71</v>
      </c>
      <c r="J12" s="36" t="s">
        <v>71</v>
      </c>
      <c r="K12" s="36" t="s">
        <v>71</v>
      </c>
      <c r="L12" s="36" t="s">
        <v>71</v>
      </c>
      <c r="M12" s="36" t="s">
        <v>71</v>
      </c>
      <c r="N12" s="36" t="s">
        <v>71</v>
      </c>
      <c r="O12" s="36" t="s">
        <v>71</v>
      </c>
      <c r="P12" s="36" t="s">
        <v>71</v>
      </c>
      <c r="Q12" s="36" t="s">
        <v>71</v>
      </c>
      <c r="R12" s="36" t="s">
        <v>71</v>
      </c>
      <c r="S12" s="36" t="s">
        <v>71</v>
      </c>
      <c r="T12" s="36" t="s">
        <v>71</v>
      </c>
      <c r="U12" s="36" t="s">
        <v>71</v>
      </c>
      <c r="V12" s="36" t="s">
        <v>71</v>
      </c>
      <c r="W12" s="36" t="s">
        <v>71</v>
      </c>
      <c r="X12" s="36" t="s">
        <v>71</v>
      </c>
      <c r="Y12" s="36" t="s">
        <v>71</v>
      </c>
      <c r="Z12" s="36" t="s">
        <v>71</v>
      </c>
      <c r="AA12" s="36" t="s">
        <v>71</v>
      </c>
      <c r="AB12" s="36" t="s">
        <v>71</v>
      </c>
      <c r="AC12" s="36" t="s">
        <v>71</v>
      </c>
      <c r="AD12" s="36" t="s">
        <v>71</v>
      </c>
      <c r="AE12" s="36">
        <v>0</v>
      </c>
      <c r="AF12" s="36">
        <v>0</v>
      </c>
      <c r="AG12" s="36">
        <v>1</v>
      </c>
      <c r="AH12" s="36">
        <v>1</v>
      </c>
      <c r="AI12" s="36">
        <v>0</v>
      </c>
      <c r="AJ12" s="25" t="s">
        <v>33</v>
      </c>
      <c r="AL12" t="str">
        <f t="shared" si="0"/>
        <v xml:space="preserve">    (U1)ALERT_REQ_UNKNOWN</v>
      </c>
      <c r="AR12" s="64" t="str">
        <f t="shared" si="3"/>
        <v xml:space="preserve">    (U4)0x00000006U,                                                           /* 06 UNKNOWN                                         */</v>
      </c>
      <c r="AS12" s="64" t="str">
        <f t="shared" si="4"/>
        <v xml:space="preserve">    (U4)0x0000001FU,                                                           /* 06 UNKNOWN                                         */</v>
      </c>
      <c r="AT12" s="64" t="str">
        <f t="shared" si="1"/>
        <v xml:space="preserve">    (U1)ALERT_REQ_UNKNOWN,                                                     /* 06 UNKNOWN                                         */</v>
      </c>
      <c r="AU12" s="64"/>
      <c r="AV12" s="52" t="s">
        <v>93</v>
      </c>
      <c r="AW12" s="69" t="str">
        <f ca="1">Matrix!D8&amp;"["&amp;Matrix!D7&amp;"]"</f>
        <v>st_gp_ALERT_H_XMGRIP_MTRX[3]</v>
      </c>
    </row>
    <row r="13" spans="1:49">
      <c r="B13" s="131"/>
      <c r="C13" s="50">
        <f t="shared" si="2"/>
        <v>7</v>
      </c>
      <c r="D13" s="36" t="s">
        <v>71</v>
      </c>
      <c r="E13" s="36" t="s">
        <v>71</v>
      </c>
      <c r="F13" s="36" t="s">
        <v>71</v>
      </c>
      <c r="G13" s="36" t="s">
        <v>71</v>
      </c>
      <c r="H13" s="36" t="s">
        <v>71</v>
      </c>
      <c r="I13" s="36" t="s">
        <v>71</v>
      </c>
      <c r="J13" s="36" t="s">
        <v>71</v>
      </c>
      <c r="K13" s="36" t="s">
        <v>71</v>
      </c>
      <c r="L13" s="36" t="s">
        <v>71</v>
      </c>
      <c r="M13" s="36" t="s">
        <v>71</v>
      </c>
      <c r="N13" s="36" t="s">
        <v>71</v>
      </c>
      <c r="O13" s="36" t="s">
        <v>71</v>
      </c>
      <c r="P13" s="36" t="s">
        <v>71</v>
      </c>
      <c r="Q13" s="36" t="s">
        <v>71</v>
      </c>
      <c r="R13" s="36" t="s">
        <v>71</v>
      </c>
      <c r="S13" s="36" t="s">
        <v>71</v>
      </c>
      <c r="T13" s="36" t="s">
        <v>71</v>
      </c>
      <c r="U13" s="36" t="s">
        <v>71</v>
      </c>
      <c r="V13" s="36" t="s">
        <v>71</v>
      </c>
      <c r="W13" s="36" t="s">
        <v>71</v>
      </c>
      <c r="X13" s="36" t="s">
        <v>71</v>
      </c>
      <c r="Y13" s="36" t="s">
        <v>71</v>
      </c>
      <c r="Z13" s="36" t="s">
        <v>71</v>
      </c>
      <c r="AA13" s="36" t="s">
        <v>71</v>
      </c>
      <c r="AB13" s="36" t="s">
        <v>71</v>
      </c>
      <c r="AC13" s="36" t="s">
        <v>71</v>
      </c>
      <c r="AD13" s="36" t="s">
        <v>71</v>
      </c>
      <c r="AE13" s="36">
        <v>0</v>
      </c>
      <c r="AF13" s="36">
        <v>0</v>
      </c>
      <c r="AG13" s="36">
        <v>1</v>
      </c>
      <c r="AH13" s="36">
        <v>1</v>
      </c>
      <c r="AI13" s="36">
        <v>1</v>
      </c>
      <c r="AJ13" s="25" t="s">
        <v>33</v>
      </c>
      <c r="AL13" t="str">
        <f t="shared" si="0"/>
        <v xml:space="preserve">    (U1)ALERT_REQ_UNKNOWN</v>
      </c>
      <c r="AR13" s="64" t="str">
        <f t="shared" si="3"/>
        <v xml:space="preserve">    (U4)0x00000007U,                                                           /* 07 UNKNOWN                                         */</v>
      </c>
      <c r="AS13" s="64" t="str">
        <f t="shared" si="4"/>
        <v xml:space="preserve">    (U4)0x0000001FU,                                                           /* 07 UNKNOWN                                         */</v>
      </c>
      <c r="AT13" s="64" t="str">
        <f t="shared" si="1"/>
        <v xml:space="preserve">    (U1)ALERT_REQ_UNKNOWN,                                                     /* 07 UNKNOWN                                         */</v>
      </c>
      <c r="AU13" s="64" t="str">
        <f ca="1">"        &amp;"&amp;$AW$11&amp;"[0],"&amp;REPT(" ",66-LEN($AW$11))&amp;"/* u1p_DST                                            */"</f>
        <v xml:space="preserve">        &amp;u1_sp_ALERT_H_XMGRIP_PD_DST[0],                                       /* u1p_DST                                            */</v>
      </c>
      <c r="AV13" s="52" t="s">
        <v>80</v>
      </c>
      <c r="AW13" s="130">
        <f>COUNTA($AJ$6:$AJ$69)</f>
        <v>32</v>
      </c>
    </row>
    <row r="14" spans="1:49">
      <c r="B14" s="131"/>
      <c r="C14" s="50">
        <f t="shared" si="2"/>
        <v>8</v>
      </c>
      <c r="D14" s="36" t="s">
        <v>71</v>
      </c>
      <c r="E14" s="36" t="s">
        <v>71</v>
      </c>
      <c r="F14" s="36" t="s">
        <v>71</v>
      </c>
      <c r="G14" s="36" t="s">
        <v>71</v>
      </c>
      <c r="H14" s="36" t="s">
        <v>71</v>
      </c>
      <c r="I14" s="36" t="s">
        <v>71</v>
      </c>
      <c r="J14" s="36" t="s">
        <v>71</v>
      </c>
      <c r="K14" s="36" t="s">
        <v>71</v>
      </c>
      <c r="L14" s="36" t="s">
        <v>71</v>
      </c>
      <c r="M14" s="36" t="s">
        <v>71</v>
      </c>
      <c r="N14" s="36" t="s">
        <v>71</v>
      </c>
      <c r="O14" s="36" t="s">
        <v>71</v>
      </c>
      <c r="P14" s="36" t="s">
        <v>71</v>
      </c>
      <c r="Q14" s="36" t="s">
        <v>71</v>
      </c>
      <c r="R14" s="36" t="s">
        <v>71</v>
      </c>
      <c r="S14" s="36" t="s">
        <v>71</v>
      </c>
      <c r="T14" s="36" t="s">
        <v>71</v>
      </c>
      <c r="U14" s="36" t="s">
        <v>71</v>
      </c>
      <c r="V14" s="36" t="s">
        <v>71</v>
      </c>
      <c r="W14" s="36" t="s">
        <v>71</v>
      </c>
      <c r="X14" s="36" t="s">
        <v>71</v>
      </c>
      <c r="Y14" s="36" t="s">
        <v>71</v>
      </c>
      <c r="Z14" s="36" t="s">
        <v>71</v>
      </c>
      <c r="AA14" s="36" t="s">
        <v>71</v>
      </c>
      <c r="AB14" s="36" t="s">
        <v>71</v>
      </c>
      <c r="AC14" s="36" t="s">
        <v>71</v>
      </c>
      <c r="AD14" s="36" t="s">
        <v>71</v>
      </c>
      <c r="AE14" s="36">
        <v>0</v>
      </c>
      <c r="AF14" s="36">
        <v>1</v>
      </c>
      <c r="AG14" s="36">
        <v>0</v>
      </c>
      <c r="AH14" s="36">
        <v>0</v>
      </c>
      <c r="AI14" s="36">
        <v>0</v>
      </c>
      <c r="AJ14" s="25" t="s">
        <v>33</v>
      </c>
      <c r="AL14" t="str">
        <f t="shared" si="0"/>
        <v xml:space="preserve">    (U1)ALERT_REQ_UNKNOWN</v>
      </c>
      <c r="AR14" s="64" t="str">
        <f t="shared" si="3"/>
        <v xml:space="preserve">    (U4)0x00000008U,                                                           /* 08 UNKNOWN                                         */</v>
      </c>
      <c r="AS14" s="64" t="str">
        <f t="shared" si="4"/>
        <v xml:space="preserve">    (U4)0x0000001FU,                                                           /* 08 UNKNOWN                                         */</v>
      </c>
      <c r="AT14" s="64" t="str">
        <f t="shared" si="1"/>
        <v xml:space="preserve">    (U1)ALERT_REQ_UNKNOWN,                                                     /* 08 UNKNOWN                                         */</v>
      </c>
      <c r="AU14" s="64" t="str">
        <f ca="1">"        (U2)"&amp;$AW$10&amp;","&amp;REPT(" ",66-LEN($AW$10))&amp;"/* u2_num_srch                                        */"</f>
        <v xml:space="preserve">        (U2)ALERT_H_XMGRIP_PD_NUM_DST,                                         /* u2_num_srch                                        */</v>
      </c>
      <c r="AV14" s="52" t="s">
        <v>81</v>
      </c>
      <c r="AW14" s="69" t="str">
        <f ca="1">IF(AW6&lt;&gt;AW17,VLOOKUP(AW6,Matrix!$C$13:$G$37,4,FALSE),Matrix!F13)</f>
        <v>u4_s_AlertH_xmgripPdSrcchk</v>
      </c>
    </row>
    <row r="15" spans="1:49">
      <c r="B15" s="131"/>
      <c r="C15" s="50">
        <f t="shared" si="2"/>
        <v>9</v>
      </c>
      <c r="D15" s="36" t="s">
        <v>71</v>
      </c>
      <c r="E15" s="36" t="s">
        <v>71</v>
      </c>
      <c r="F15" s="36" t="s">
        <v>71</v>
      </c>
      <c r="G15" s="36" t="s">
        <v>71</v>
      </c>
      <c r="H15" s="36" t="s">
        <v>71</v>
      </c>
      <c r="I15" s="36" t="s">
        <v>71</v>
      </c>
      <c r="J15" s="36" t="s">
        <v>71</v>
      </c>
      <c r="K15" s="36" t="s">
        <v>71</v>
      </c>
      <c r="L15" s="36" t="s">
        <v>71</v>
      </c>
      <c r="M15" s="36" t="s">
        <v>71</v>
      </c>
      <c r="N15" s="36" t="s">
        <v>71</v>
      </c>
      <c r="O15" s="36" t="s">
        <v>71</v>
      </c>
      <c r="P15" s="36" t="s">
        <v>71</v>
      </c>
      <c r="Q15" s="36" t="s">
        <v>71</v>
      </c>
      <c r="R15" s="36" t="s">
        <v>71</v>
      </c>
      <c r="S15" s="36" t="s">
        <v>71</v>
      </c>
      <c r="T15" s="36" t="s">
        <v>71</v>
      </c>
      <c r="U15" s="36" t="s">
        <v>71</v>
      </c>
      <c r="V15" s="36" t="s">
        <v>71</v>
      </c>
      <c r="W15" s="36" t="s">
        <v>71</v>
      </c>
      <c r="X15" s="36" t="s">
        <v>71</v>
      </c>
      <c r="Y15" s="36" t="s">
        <v>71</v>
      </c>
      <c r="Z15" s="36" t="s">
        <v>71</v>
      </c>
      <c r="AA15" s="36" t="s">
        <v>71</v>
      </c>
      <c r="AB15" s="36" t="s">
        <v>71</v>
      </c>
      <c r="AC15" s="36" t="s">
        <v>71</v>
      </c>
      <c r="AD15" s="36" t="s">
        <v>71</v>
      </c>
      <c r="AE15" s="36">
        <v>0</v>
      </c>
      <c r="AF15" s="36">
        <v>1</v>
      </c>
      <c r="AG15" s="36">
        <v>0</v>
      </c>
      <c r="AH15" s="36">
        <v>0</v>
      </c>
      <c r="AI15" s="36">
        <v>1</v>
      </c>
      <c r="AJ15" s="25" t="s">
        <v>33</v>
      </c>
      <c r="AL15" t="str">
        <f t="shared" si="0"/>
        <v xml:space="preserve">    (U1)ALERT_REQ_UNKNOWN</v>
      </c>
      <c r="AR15" s="64" t="str">
        <f t="shared" si="3"/>
        <v xml:space="preserve">    (U4)0x00000009U,                                                           /* 09 UNKNOWN                                         */</v>
      </c>
      <c r="AS15" s="64" t="str">
        <f t="shared" si="4"/>
        <v xml:space="preserve">    (U4)0x0000001FU,                                                           /* 09 UNKNOWN                                         */</v>
      </c>
      <c r="AT15" s="64" t="str">
        <f t="shared" si="1"/>
        <v xml:space="preserve">    (U1)ALERT_REQ_UNKNOWN,                                                     /* 09 UNKNOWN                                         */</v>
      </c>
      <c r="AU15" s="64" t="str">
        <f ca="1">"        (U1)"&amp;$AW$16&amp;REPT(" ",67-LEN($AW$16))&amp;"/* u1_vom_act                                         */"</f>
        <v xml:space="preserve">        (U1)ALERT_VOM_IGN_ON                                                   /* u1_vom_act                                         */</v>
      </c>
      <c r="AV15" s="52" t="s">
        <v>84</v>
      </c>
      <c r="AW15" s="69" t="str">
        <f ca="1">IF(AW6&lt;&gt;AW17,VLOOKUP(AW6,Matrix!$C$13:$G$37,5,FALSE),Matrix!G13)</f>
        <v>NULL</v>
      </c>
    </row>
    <row r="16" spans="1:49">
      <c r="B16" s="131"/>
      <c r="C16" s="50">
        <f t="shared" si="2"/>
        <v>10</v>
      </c>
      <c r="D16" s="36" t="s">
        <v>71</v>
      </c>
      <c r="E16" s="36" t="s">
        <v>71</v>
      </c>
      <c r="F16" s="36" t="s">
        <v>71</v>
      </c>
      <c r="G16" s="36" t="s">
        <v>71</v>
      </c>
      <c r="H16" s="36" t="s">
        <v>71</v>
      </c>
      <c r="I16" s="36" t="s">
        <v>71</v>
      </c>
      <c r="J16" s="36" t="s">
        <v>71</v>
      </c>
      <c r="K16" s="36" t="s">
        <v>71</v>
      </c>
      <c r="L16" s="36" t="s">
        <v>71</v>
      </c>
      <c r="M16" s="36" t="s">
        <v>71</v>
      </c>
      <c r="N16" s="36" t="s">
        <v>71</v>
      </c>
      <c r="O16" s="36" t="s">
        <v>71</v>
      </c>
      <c r="P16" s="36" t="s">
        <v>71</v>
      </c>
      <c r="Q16" s="36" t="s">
        <v>71</v>
      </c>
      <c r="R16" s="36" t="s">
        <v>71</v>
      </c>
      <c r="S16" s="36" t="s">
        <v>71</v>
      </c>
      <c r="T16" s="36" t="s">
        <v>71</v>
      </c>
      <c r="U16" s="36" t="s">
        <v>71</v>
      </c>
      <c r="V16" s="36" t="s">
        <v>71</v>
      </c>
      <c r="W16" s="36" t="s">
        <v>71</v>
      </c>
      <c r="X16" s="36" t="s">
        <v>71</v>
      </c>
      <c r="Y16" s="36" t="s">
        <v>71</v>
      </c>
      <c r="Z16" s="36" t="s">
        <v>71</v>
      </c>
      <c r="AA16" s="36" t="s">
        <v>71</v>
      </c>
      <c r="AB16" s="36" t="s">
        <v>71</v>
      </c>
      <c r="AC16" s="36" t="s">
        <v>71</v>
      </c>
      <c r="AD16" s="36" t="s">
        <v>71</v>
      </c>
      <c r="AE16" s="36">
        <v>0</v>
      </c>
      <c r="AF16" s="36">
        <v>1</v>
      </c>
      <c r="AG16" s="36">
        <v>0</v>
      </c>
      <c r="AH16" s="36">
        <v>1</v>
      </c>
      <c r="AI16" s="36">
        <v>0</v>
      </c>
      <c r="AJ16" s="25" t="s">
        <v>33</v>
      </c>
      <c r="AL16" t="str">
        <f t="shared" si="0"/>
        <v xml:space="preserve">    (U1)ALERT_REQ_UNKNOWN</v>
      </c>
      <c r="AR16" s="64" t="str">
        <f t="shared" si="3"/>
        <v xml:space="preserve">    (U4)0x0000000AU,                                                           /* 10 UNKNOWN                                         */</v>
      </c>
      <c r="AS16" s="64" t="str">
        <f t="shared" si="4"/>
        <v xml:space="preserve">    (U4)0x0000001FU,                                                           /* 10 UNKNOWN                                         */</v>
      </c>
      <c r="AT16" s="64" t="str">
        <f t="shared" si="1"/>
        <v xml:space="preserve">    (U1)ALERT_REQ_UNKNOWN,                                                     /* 10 UNKNOWN                                         */</v>
      </c>
      <c r="AU16" s="64" t="s">
        <v>73</v>
      </c>
      <c r="AV16" s="52" t="s">
        <v>82</v>
      </c>
      <c r="AW16" s="69" t="str">
        <f ca="1">IF(AW6&lt;&gt;AW17,VLOOKUP(AW6,Matrix!$C$13:$G$37,2,FALSE),Matrix!D13)</f>
        <v>ALERT_VOM_IGN_ON</v>
      </c>
    </row>
    <row r="17" spans="2:49" ht="13.8" thickBot="1">
      <c r="B17" s="131"/>
      <c r="C17" s="50">
        <f t="shared" si="2"/>
        <v>11</v>
      </c>
      <c r="D17" s="36" t="s">
        <v>71</v>
      </c>
      <c r="E17" s="36" t="s">
        <v>71</v>
      </c>
      <c r="F17" s="36" t="s">
        <v>71</v>
      </c>
      <c r="G17" s="36" t="s">
        <v>71</v>
      </c>
      <c r="H17" s="36" t="s">
        <v>71</v>
      </c>
      <c r="I17" s="36" t="s">
        <v>71</v>
      </c>
      <c r="J17" s="36" t="s">
        <v>71</v>
      </c>
      <c r="K17" s="36" t="s">
        <v>71</v>
      </c>
      <c r="L17" s="36" t="s">
        <v>71</v>
      </c>
      <c r="M17" s="36" t="s">
        <v>71</v>
      </c>
      <c r="N17" s="36" t="s">
        <v>71</v>
      </c>
      <c r="O17" s="36" t="s">
        <v>71</v>
      </c>
      <c r="P17" s="36" t="s">
        <v>71</v>
      </c>
      <c r="Q17" s="36" t="s">
        <v>71</v>
      </c>
      <c r="R17" s="36" t="s">
        <v>71</v>
      </c>
      <c r="S17" s="36" t="s">
        <v>71</v>
      </c>
      <c r="T17" s="36" t="s">
        <v>71</v>
      </c>
      <c r="U17" s="36" t="s">
        <v>71</v>
      </c>
      <c r="V17" s="36" t="s">
        <v>71</v>
      </c>
      <c r="W17" s="36" t="s">
        <v>71</v>
      </c>
      <c r="X17" s="36" t="s">
        <v>71</v>
      </c>
      <c r="Y17" s="36" t="s">
        <v>71</v>
      </c>
      <c r="Z17" s="36" t="s">
        <v>71</v>
      </c>
      <c r="AA17" s="36" t="s">
        <v>71</v>
      </c>
      <c r="AB17" s="36" t="s">
        <v>71</v>
      </c>
      <c r="AC17" s="36" t="s">
        <v>71</v>
      </c>
      <c r="AD17" s="36" t="s">
        <v>71</v>
      </c>
      <c r="AE17" s="36">
        <v>0</v>
      </c>
      <c r="AF17" s="36">
        <v>1</v>
      </c>
      <c r="AG17" s="36">
        <v>0</v>
      </c>
      <c r="AH17" s="36">
        <v>1</v>
      </c>
      <c r="AI17" s="36">
        <v>1</v>
      </c>
      <c r="AJ17" s="25" t="s">
        <v>33</v>
      </c>
      <c r="AL17" t="str">
        <f t="shared" si="0"/>
        <v xml:space="preserve">    (U1)ALERT_REQ_UNKNOWN</v>
      </c>
      <c r="AR17" s="64" t="str">
        <f t="shared" si="3"/>
        <v xml:space="preserve">    (U4)0x0000000BU,                                                           /* 11 UNKNOWN                                         */</v>
      </c>
      <c r="AS17" s="64" t="str">
        <f t="shared" si="4"/>
        <v xml:space="preserve">    (U4)0x0000001FU,                                                           /* 11 UNKNOWN                                         */</v>
      </c>
      <c r="AT17" s="64" t="str">
        <f t="shared" si="1"/>
        <v xml:space="preserve">    (U1)ALERT_REQ_UNKNOWN,                                                     /* 11 UNKNOWN                                         */</v>
      </c>
      <c r="AU17" s="65" t="s">
        <v>85</v>
      </c>
      <c r="AV17" s="53" t="s">
        <v>83</v>
      </c>
      <c r="AW17" s="70" t="str">
        <f ca="1">UPPER(Matrix!$D$6)</f>
        <v>H_XMGRIP</v>
      </c>
    </row>
    <row r="18" spans="2:49">
      <c r="B18" s="131"/>
      <c r="C18" s="50">
        <f t="shared" si="2"/>
        <v>12</v>
      </c>
      <c r="D18" s="36" t="s">
        <v>71</v>
      </c>
      <c r="E18" s="36" t="s">
        <v>71</v>
      </c>
      <c r="F18" s="36" t="s">
        <v>71</v>
      </c>
      <c r="G18" s="36" t="s">
        <v>71</v>
      </c>
      <c r="H18" s="36" t="s">
        <v>71</v>
      </c>
      <c r="I18" s="36" t="s">
        <v>71</v>
      </c>
      <c r="J18" s="36" t="s">
        <v>71</v>
      </c>
      <c r="K18" s="36" t="s">
        <v>71</v>
      </c>
      <c r="L18" s="36" t="s">
        <v>71</v>
      </c>
      <c r="M18" s="36" t="s">
        <v>71</v>
      </c>
      <c r="N18" s="36" t="s">
        <v>71</v>
      </c>
      <c r="O18" s="36" t="s">
        <v>71</v>
      </c>
      <c r="P18" s="36" t="s">
        <v>71</v>
      </c>
      <c r="Q18" s="36" t="s">
        <v>71</v>
      </c>
      <c r="R18" s="36" t="s">
        <v>71</v>
      </c>
      <c r="S18" s="36" t="s">
        <v>71</v>
      </c>
      <c r="T18" s="36" t="s">
        <v>71</v>
      </c>
      <c r="U18" s="36" t="s">
        <v>71</v>
      </c>
      <c r="V18" s="36" t="s">
        <v>71</v>
      </c>
      <c r="W18" s="36" t="s">
        <v>71</v>
      </c>
      <c r="X18" s="36" t="s">
        <v>71</v>
      </c>
      <c r="Y18" s="36" t="s">
        <v>71</v>
      </c>
      <c r="Z18" s="36" t="s">
        <v>71</v>
      </c>
      <c r="AA18" s="36" t="s">
        <v>71</v>
      </c>
      <c r="AB18" s="36" t="s">
        <v>71</v>
      </c>
      <c r="AC18" s="36" t="s">
        <v>71</v>
      </c>
      <c r="AD18" s="36" t="s">
        <v>71</v>
      </c>
      <c r="AE18" s="36">
        <v>0</v>
      </c>
      <c r="AF18" s="36">
        <v>1</v>
      </c>
      <c r="AG18" s="36">
        <v>1</v>
      </c>
      <c r="AH18" s="36">
        <v>0</v>
      </c>
      <c r="AI18" s="36">
        <v>0</v>
      </c>
      <c r="AJ18" s="25" t="s">
        <v>33</v>
      </c>
      <c r="AL18" t="str">
        <f t="shared" si="0"/>
        <v xml:space="preserve">    (U1)ALERT_REQ_UNKNOWN</v>
      </c>
      <c r="AR18" s="64" t="str">
        <f t="shared" si="3"/>
        <v xml:space="preserve">    (U4)0x0000000CU,                                                           /* 12 UNKNOWN                                         */</v>
      </c>
      <c r="AS18" s="64" t="str">
        <f t="shared" si="4"/>
        <v xml:space="preserve">    (U4)0x0000001FU,                                                           /* 12 UNKNOWN                                         */</v>
      </c>
      <c r="AT18" s="64" t="str">
        <f t="shared" si="1"/>
        <v xml:space="preserve">    (U1)ALERT_REQ_UNKNOWN,                                                     /* 12 UNKNOWN                                         */</v>
      </c>
    </row>
    <row r="19" spans="2:49">
      <c r="B19" s="131"/>
      <c r="C19" s="50">
        <f t="shared" si="2"/>
        <v>13</v>
      </c>
      <c r="D19" s="36" t="s">
        <v>71</v>
      </c>
      <c r="E19" s="36" t="s">
        <v>71</v>
      </c>
      <c r="F19" s="36" t="s">
        <v>71</v>
      </c>
      <c r="G19" s="36" t="s">
        <v>71</v>
      </c>
      <c r="H19" s="36" t="s">
        <v>71</v>
      </c>
      <c r="I19" s="36" t="s">
        <v>71</v>
      </c>
      <c r="J19" s="36" t="s">
        <v>71</v>
      </c>
      <c r="K19" s="36" t="s">
        <v>71</v>
      </c>
      <c r="L19" s="36" t="s">
        <v>71</v>
      </c>
      <c r="M19" s="36" t="s">
        <v>71</v>
      </c>
      <c r="N19" s="36" t="s">
        <v>71</v>
      </c>
      <c r="O19" s="36" t="s">
        <v>71</v>
      </c>
      <c r="P19" s="36" t="s">
        <v>71</v>
      </c>
      <c r="Q19" s="36" t="s">
        <v>71</v>
      </c>
      <c r="R19" s="36" t="s">
        <v>71</v>
      </c>
      <c r="S19" s="36" t="s">
        <v>71</v>
      </c>
      <c r="T19" s="36" t="s">
        <v>71</v>
      </c>
      <c r="U19" s="36" t="s">
        <v>71</v>
      </c>
      <c r="V19" s="36" t="s">
        <v>71</v>
      </c>
      <c r="W19" s="36" t="s">
        <v>71</v>
      </c>
      <c r="X19" s="36" t="s">
        <v>71</v>
      </c>
      <c r="Y19" s="36" t="s">
        <v>71</v>
      </c>
      <c r="Z19" s="36" t="s">
        <v>71</v>
      </c>
      <c r="AA19" s="36" t="s">
        <v>71</v>
      </c>
      <c r="AB19" s="36" t="s">
        <v>71</v>
      </c>
      <c r="AC19" s="36" t="s">
        <v>71</v>
      </c>
      <c r="AD19" s="36" t="s">
        <v>71</v>
      </c>
      <c r="AE19" s="36">
        <v>0</v>
      </c>
      <c r="AF19" s="36">
        <v>1</v>
      </c>
      <c r="AG19" s="36">
        <v>1</v>
      </c>
      <c r="AH19" s="36">
        <v>0</v>
      </c>
      <c r="AI19" s="36">
        <v>1</v>
      </c>
      <c r="AJ19" s="25" t="s">
        <v>33</v>
      </c>
      <c r="AL19" t="str">
        <f t="shared" si="0"/>
        <v xml:space="preserve">    (U1)ALERT_REQ_UNKNOWN</v>
      </c>
      <c r="AR19" s="64" t="str">
        <f t="shared" si="3"/>
        <v xml:space="preserve">    (U4)0x0000000DU,                                                           /* 13 UNKNOWN                                         */</v>
      </c>
      <c r="AS19" s="64" t="str">
        <f t="shared" si="4"/>
        <v xml:space="preserve">    (U4)0x0000001FU,                                                           /* 13 UNKNOWN                                         */</v>
      </c>
      <c r="AT19" s="64" t="str">
        <f t="shared" si="1"/>
        <v xml:space="preserve">    (U1)ALERT_REQ_UNKNOWN,                                                     /* 13 UNKNOWN                                         */</v>
      </c>
    </row>
    <row r="20" spans="2:49">
      <c r="B20" s="131"/>
      <c r="C20" s="50">
        <f t="shared" si="2"/>
        <v>14</v>
      </c>
      <c r="D20" s="36" t="s">
        <v>71</v>
      </c>
      <c r="E20" s="36" t="s">
        <v>71</v>
      </c>
      <c r="F20" s="36" t="s">
        <v>71</v>
      </c>
      <c r="G20" s="36" t="s">
        <v>71</v>
      </c>
      <c r="H20" s="36" t="s">
        <v>71</v>
      </c>
      <c r="I20" s="36" t="s">
        <v>71</v>
      </c>
      <c r="J20" s="36" t="s">
        <v>71</v>
      </c>
      <c r="K20" s="36" t="s">
        <v>71</v>
      </c>
      <c r="L20" s="36" t="s">
        <v>71</v>
      </c>
      <c r="M20" s="36" t="s">
        <v>71</v>
      </c>
      <c r="N20" s="36" t="s">
        <v>71</v>
      </c>
      <c r="O20" s="36" t="s">
        <v>71</v>
      </c>
      <c r="P20" s="36" t="s">
        <v>71</v>
      </c>
      <c r="Q20" s="36" t="s">
        <v>71</v>
      </c>
      <c r="R20" s="36" t="s">
        <v>71</v>
      </c>
      <c r="S20" s="36" t="s">
        <v>71</v>
      </c>
      <c r="T20" s="36" t="s">
        <v>71</v>
      </c>
      <c r="U20" s="36" t="s">
        <v>71</v>
      </c>
      <c r="V20" s="36" t="s">
        <v>71</v>
      </c>
      <c r="W20" s="36" t="s">
        <v>71</v>
      </c>
      <c r="X20" s="36" t="s">
        <v>71</v>
      </c>
      <c r="Y20" s="36" t="s">
        <v>71</v>
      </c>
      <c r="Z20" s="36" t="s">
        <v>71</v>
      </c>
      <c r="AA20" s="36" t="s">
        <v>71</v>
      </c>
      <c r="AB20" s="36" t="s">
        <v>71</v>
      </c>
      <c r="AC20" s="36" t="s">
        <v>71</v>
      </c>
      <c r="AD20" s="36" t="s">
        <v>71</v>
      </c>
      <c r="AE20" s="36">
        <v>0</v>
      </c>
      <c r="AF20" s="36">
        <v>1</v>
      </c>
      <c r="AG20" s="36">
        <v>1</v>
      </c>
      <c r="AH20" s="36">
        <v>1</v>
      </c>
      <c r="AI20" s="36">
        <v>0</v>
      </c>
      <c r="AJ20" s="25" t="s">
        <v>33</v>
      </c>
      <c r="AL20" t="str">
        <f t="shared" si="0"/>
        <v xml:space="preserve">    (U1)ALERT_REQ_UNKNOWN</v>
      </c>
      <c r="AR20" s="64" t="str">
        <f t="shared" si="3"/>
        <v xml:space="preserve">    (U4)0x0000000EU,                                                           /* 14 UNKNOWN                                         */</v>
      </c>
      <c r="AS20" s="64" t="str">
        <f t="shared" si="4"/>
        <v xml:space="preserve">    (U4)0x0000001FU,                                                           /* 14 UNKNOWN                                         */</v>
      </c>
      <c r="AT20" s="64" t="str">
        <f t="shared" si="1"/>
        <v xml:space="preserve">    (U1)ALERT_REQ_UNKNOWN,                                                     /* 14 UNKNOWN                                         */</v>
      </c>
    </row>
    <row r="21" spans="2:49">
      <c r="B21" s="131"/>
      <c r="C21" s="50">
        <f t="shared" si="2"/>
        <v>15</v>
      </c>
      <c r="D21" s="36" t="s">
        <v>71</v>
      </c>
      <c r="E21" s="36" t="s">
        <v>71</v>
      </c>
      <c r="F21" s="36" t="s">
        <v>71</v>
      </c>
      <c r="G21" s="36" t="s">
        <v>71</v>
      </c>
      <c r="H21" s="36" t="s">
        <v>71</v>
      </c>
      <c r="I21" s="36" t="s">
        <v>71</v>
      </c>
      <c r="J21" s="36" t="s">
        <v>71</v>
      </c>
      <c r="K21" s="36" t="s">
        <v>71</v>
      </c>
      <c r="L21" s="36" t="s">
        <v>71</v>
      </c>
      <c r="M21" s="36" t="s">
        <v>71</v>
      </c>
      <c r="N21" s="36" t="s">
        <v>71</v>
      </c>
      <c r="O21" s="36" t="s">
        <v>71</v>
      </c>
      <c r="P21" s="36" t="s">
        <v>71</v>
      </c>
      <c r="Q21" s="36" t="s">
        <v>71</v>
      </c>
      <c r="R21" s="36" t="s">
        <v>71</v>
      </c>
      <c r="S21" s="36" t="s">
        <v>71</v>
      </c>
      <c r="T21" s="36" t="s">
        <v>71</v>
      </c>
      <c r="U21" s="36" t="s">
        <v>71</v>
      </c>
      <c r="V21" s="36" t="s">
        <v>71</v>
      </c>
      <c r="W21" s="36" t="s">
        <v>71</v>
      </c>
      <c r="X21" s="36" t="s">
        <v>71</v>
      </c>
      <c r="Y21" s="36" t="s">
        <v>71</v>
      </c>
      <c r="Z21" s="36" t="s">
        <v>71</v>
      </c>
      <c r="AA21" s="36" t="s">
        <v>71</v>
      </c>
      <c r="AB21" s="36" t="s">
        <v>71</v>
      </c>
      <c r="AC21" s="36" t="s">
        <v>71</v>
      </c>
      <c r="AD21" s="36" t="s">
        <v>71</v>
      </c>
      <c r="AE21" s="36">
        <v>0</v>
      </c>
      <c r="AF21" s="36">
        <v>1</v>
      </c>
      <c r="AG21" s="36">
        <v>1</v>
      </c>
      <c r="AH21" s="36">
        <v>1</v>
      </c>
      <c r="AI21" s="36">
        <v>1</v>
      </c>
      <c r="AJ21" s="25" t="s">
        <v>33</v>
      </c>
      <c r="AL21" t="str">
        <f t="shared" si="0"/>
        <v xml:space="preserve">    (U1)ALERT_REQ_UNKNOWN</v>
      </c>
      <c r="AR21" s="64" t="str">
        <f t="shared" si="3"/>
        <v xml:space="preserve">    (U4)0x0000000FU,                                                           /* 15 UNKNOWN                                         */</v>
      </c>
      <c r="AS21" s="64" t="str">
        <f t="shared" si="4"/>
        <v xml:space="preserve">    (U4)0x0000001FU,                                                           /* 15 UNKNOWN                                         */</v>
      </c>
      <c r="AT21" s="64" t="str">
        <f t="shared" si="1"/>
        <v xml:space="preserve">    (U1)ALERT_REQ_UNKNOWN,                                                     /* 15 UNKNOWN                                         */</v>
      </c>
    </row>
    <row r="22" spans="2:49">
      <c r="B22" s="131"/>
      <c r="C22" s="50">
        <f t="shared" si="2"/>
        <v>16</v>
      </c>
      <c r="D22" s="36" t="s">
        <v>71</v>
      </c>
      <c r="E22" s="36" t="s">
        <v>71</v>
      </c>
      <c r="F22" s="36" t="s">
        <v>71</v>
      </c>
      <c r="G22" s="36" t="s">
        <v>71</v>
      </c>
      <c r="H22" s="36" t="s">
        <v>71</v>
      </c>
      <c r="I22" s="36" t="s">
        <v>71</v>
      </c>
      <c r="J22" s="36" t="s">
        <v>71</v>
      </c>
      <c r="K22" s="36" t="s">
        <v>71</v>
      </c>
      <c r="L22" s="36" t="s">
        <v>71</v>
      </c>
      <c r="M22" s="36" t="s">
        <v>71</v>
      </c>
      <c r="N22" s="36" t="s">
        <v>71</v>
      </c>
      <c r="O22" s="36" t="s">
        <v>71</v>
      </c>
      <c r="P22" s="36" t="s">
        <v>71</v>
      </c>
      <c r="Q22" s="36" t="s">
        <v>71</v>
      </c>
      <c r="R22" s="36" t="s">
        <v>71</v>
      </c>
      <c r="S22" s="36" t="s">
        <v>71</v>
      </c>
      <c r="T22" s="36" t="s">
        <v>71</v>
      </c>
      <c r="U22" s="36" t="s">
        <v>71</v>
      </c>
      <c r="V22" s="36" t="s">
        <v>71</v>
      </c>
      <c r="W22" s="36" t="s">
        <v>71</v>
      </c>
      <c r="X22" s="36" t="s">
        <v>71</v>
      </c>
      <c r="Y22" s="36" t="s">
        <v>71</v>
      </c>
      <c r="Z22" s="36" t="s">
        <v>71</v>
      </c>
      <c r="AA22" s="36" t="s">
        <v>71</v>
      </c>
      <c r="AB22" s="36" t="s">
        <v>71</v>
      </c>
      <c r="AC22" s="36" t="s">
        <v>71</v>
      </c>
      <c r="AD22" s="36" t="s">
        <v>71</v>
      </c>
      <c r="AE22" s="36">
        <v>1</v>
      </c>
      <c r="AF22" s="36">
        <v>0</v>
      </c>
      <c r="AG22" s="36">
        <v>0</v>
      </c>
      <c r="AH22" s="36">
        <v>0</v>
      </c>
      <c r="AI22" s="36">
        <v>0</v>
      </c>
      <c r="AJ22" s="25" t="s">
        <v>33</v>
      </c>
      <c r="AL22" t="str">
        <f t="shared" si="0"/>
        <v xml:space="preserve">    (U1)ALERT_REQ_UNKNOWN</v>
      </c>
      <c r="AR22" s="64" t="str">
        <f t="shared" si="3"/>
        <v xml:space="preserve">    (U4)0x00000010U,                                                           /* 16 UNKNOWN                                         */</v>
      </c>
      <c r="AS22" s="64" t="str">
        <f t="shared" si="4"/>
        <v xml:space="preserve">    (U4)0x0000001FU,                                                           /* 16 UNKNOWN                                         */</v>
      </c>
      <c r="AT22" s="64" t="str">
        <f t="shared" si="1"/>
        <v xml:space="preserve">    (U1)ALERT_REQ_UNKNOWN,                                                     /* 16 UNKNOWN                                         */</v>
      </c>
    </row>
    <row r="23" spans="2:49">
      <c r="B23" s="131"/>
      <c r="C23" s="50">
        <f t="shared" si="2"/>
        <v>17</v>
      </c>
      <c r="D23" s="36" t="s">
        <v>71</v>
      </c>
      <c r="E23" s="36" t="s">
        <v>71</v>
      </c>
      <c r="F23" s="36" t="s">
        <v>71</v>
      </c>
      <c r="G23" s="36" t="s">
        <v>71</v>
      </c>
      <c r="H23" s="36" t="s">
        <v>71</v>
      </c>
      <c r="I23" s="36" t="s">
        <v>71</v>
      </c>
      <c r="J23" s="36" t="s">
        <v>71</v>
      </c>
      <c r="K23" s="36" t="s">
        <v>71</v>
      </c>
      <c r="L23" s="36" t="s">
        <v>71</v>
      </c>
      <c r="M23" s="36" t="s">
        <v>71</v>
      </c>
      <c r="N23" s="36" t="s">
        <v>71</v>
      </c>
      <c r="O23" s="36" t="s">
        <v>71</v>
      </c>
      <c r="P23" s="36" t="s">
        <v>71</v>
      </c>
      <c r="Q23" s="36" t="s">
        <v>71</v>
      </c>
      <c r="R23" s="36" t="s">
        <v>71</v>
      </c>
      <c r="S23" s="36" t="s">
        <v>71</v>
      </c>
      <c r="T23" s="36" t="s">
        <v>71</v>
      </c>
      <c r="U23" s="36" t="s">
        <v>71</v>
      </c>
      <c r="V23" s="36" t="s">
        <v>71</v>
      </c>
      <c r="W23" s="36" t="s">
        <v>71</v>
      </c>
      <c r="X23" s="36" t="s">
        <v>71</v>
      </c>
      <c r="Y23" s="36" t="s">
        <v>71</v>
      </c>
      <c r="Z23" s="36" t="s">
        <v>71</v>
      </c>
      <c r="AA23" s="36" t="s">
        <v>71</v>
      </c>
      <c r="AB23" s="36" t="s">
        <v>71</v>
      </c>
      <c r="AC23" s="36" t="s">
        <v>71</v>
      </c>
      <c r="AD23" s="36" t="s">
        <v>71</v>
      </c>
      <c r="AE23" s="36">
        <v>1</v>
      </c>
      <c r="AF23" s="36">
        <v>0</v>
      </c>
      <c r="AG23" s="36">
        <v>0</v>
      </c>
      <c r="AH23" s="36">
        <v>0</v>
      </c>
      <c r="AI23" s="36">
        <v>1</v>
      </c>
      <c r="AJ23" s="25" t="s">
        <v>33</v>
      </c>
      <c r="AL23" t="str">
        <f t="shared" si="0"/>
        <v xml:space="preserve">    (U1)ALERT_REQ_UNKNOWN</v>
      </c>
      <c r="AR23" s="64" t="str">
        <f t="shared" si="3"/>
        <v xml:space="preserve">    (U4)0x00000011U,                                                           /* 17 UNKNOWN                                         */</v>
      </c>
      <c r="AS23" s="64" t="str">
        <f t="shared" si="4"/>
        <v xml:space="preserve">    (U4)0x0000001FU,                                                           /* 17 UNKNOWN                                         */</v>
      </c>
      <c r="AT23" s="64" t="str">
        <f t="shared" si="1"/>
        <v xml:space="preserve">    (U1)ALERT_REQ_UNKNOWN,                                                     /* 17 UNKNOWN                                         */</v>
      </c>
    </row>
    <row r="24" spans="2:49">
      <c r="B24" s="131"/>
      <c r="C24" s="50">
        <f t="shared" si="2"/>
        <v>18</v>
      </c>
      <c r="D24" s="36" t="s">
        <v>71</v>
      </c>
      <c r="E24" s="36" t="s">
        <v>71</v>
      </c>
      <c r="F24" s="36" t="s">
        <v>71</v>
      </c>
      <c r="G24" s="36" t="s">
        <v>71</v>
      </c>
      <c r="H24" s="36" t="s">
        <v>71</v>
      </c>
      <c r="I24" s="36" t="s">
        <v>71</v>
      </c>
      <c r="J24" s="36" t="s">
        <v>71</v>
      </c>
      <c r="K24" s="36" t="s">
        <v>71</v>
      </c>
      <c r="L24" s="36" t="s">
        <v>71</v>
      </c>
      <c r="M24" s="36" t="s">
        <v>71</v>
      </c>
      <c r="N24" s="36" t="s">
        <v>71</v>
      </c>
      <c r="O24" s="36" t="s">
        <v>71</v>
      </c>
      <c r="P24" s="36" t="s">
        <v>71</v>
      </c>
      <c r="Q24" s="36" t="s">
        <v>71</v>
      </c>
      <c r="R24" s="36" t="s">
        <v>71</v>
      </c>
      <c r="S24" s="36" t="s">
        <v>71</v>
      </c>
      <c r="T24" s="36" t="s">
        <v>71</v>
      </c>
      <c r="U24" s="36" t="s">
        <v>71</v>
      </c>
      <c r="V24" s="36" t="s">
        <v>71</v>
      </c>
      <c r="W24" s="36" t="s">
        <v>71</v>
      </c>
      <c r="X24" s="36" t="s">
        <v>71</v>
      </c>
      <c r="Y24" s="36" t="s">
        <v>71</v>
      </c>
      <c r="Z24" s="36" t="s">
        <v>71</v>
      </c>
      <c r="AA24" s="36" t="s">
        <v>71</v>
      </c>
      <c r="AB24" s="36" t="s">
        <v>71</v>
      </c>
      <c r="AC24" s="36" t="s">
        <v>71</v>
      </c>
      <c r="AD24" s="36" t="s">
        <v>71</v>
      </c>
      <c r="AE24" s="36">
        <v>1</v>
      </c>
      <c r="AF24" s="36">
        <v>0</v>
      </c>
      <c r="AG24" s="36">
        <v>0</v>
      </c>
      <c r="AH24" s="36">
        <v>1</v>
      </c>
      <c r="AI24" s="36">
        <v>0</v>
      </c>
      <c r="AJ24" s="25" t="s">
        <v>33</v>
      </c>
      <c r="AL24" t="str">
        <f t="shared" si="0"/>
        <v xml:space="preserve">    (U1)ALERT_REQ_UNKNOWN</v>
      </c>
      <c r="AR24" s="64" t="str">
        <f t="shared" si="3"/>
        <v xml:space="preserve">    (U4)0x00000012U,                                                           /* 18 UNKNOWN                                         */</v>
      </c>
      <c r="AS24" s="64" t="str">
        <f t="shared" si="4"/>
        <v xml:space="preserve">    (U4)0x0000001FU,                                                           /* 18 UNKNOWN                                         */</v>
      </c>
      <c r="AT24" s="64" t="str">
        <f t="shared" si="1"/>
        <v xml:space="preserve">    (U1)ALERT_REQ_UNKNOWN,                                                     /* 18 UNKNOWN                                         */</v>
      </c>
    </row>
    <row r="25" spans="2:49">
      <c r="B25" s="131"/>
      <c r="C25" s="50">
        <f t="shared" si="2"/>
        <v>19</v>
      </c>
      <c r="D25" s="36" t="s">
        <v>71</v>
      </c>
      <c r="E25" s="36" t="s">
        <v>71</v>
      </c>
      <c r="F25" s="36" t="s">
        <v>71</v>
      </c>
      <c r="G25" s="36" t="s">
        <v>71</v>
      </c>
      <c r="H25" s="36" t="s">
        <v>71</v>
      </c>
      <c r="I25" s="36" t="s">
        <v>71</v>
      </c>
      <c r="J25" s="36" t="s">
        <v>71</v>
      </c>
      <c r="K25" s="36" t="s">
        <v>71</v>
      </c>
      <c r="L25" s="36" t="s">
        <v>71</v>
      </c>
      <c r="M25" s="36" t="s">
        <v>71</v>
      </c>
      <c r="N25" s="36" t="s">
        <v>71</v>
      </c>
      <c r="O25" s="36" t="s">
        <v>71</v>
      </c>
      <c r="P25" s="36" t="s">
        <v>71</v>
      </c>
      <c r="Q25" s="36" t="s">
        <v>71</v>
      </c>
      <c r="R25" s="36" t="s">
        <v>71</v>
      </c>
      <c r="S25" s="36" t="s">
        <v>71</v>
      </c>
      <c r="T25" s="36" t="s">
        <v>71</v>
      </c>
      <c r="U25" s="36" t="s">
        <v>71</v>
      </c>
      <c r="V25" s="36" t="s">
        <v>71</v>
      </c>
      <c r="W25" s="36" t="s">
        <v>71</v>
      </c>
      <c r="X25" s="36" t="s">
        <v>71</v>
      </c>
      <c r="Y25" s="36" t="s">
        <v>71</v>
      </c>
      <c r="Z25" s="36" t="s">
        <v>71</v>
      </c>
      <c r="AA25" s="36" t="s">
        <v>71</v>
      </c>
      <c r="AB25" s="36" t="s">
        <v>71</v>
      </c>
      <c r="AC25" s="36" t="s">
        <v>71</v>
      </c>
      <c r="AD25" s="36" t="s">
        <v>71</v>
      </c>
      <c r="AE25" s="36">
        <v>1</v>
      </c>
      <c r="AF25" s="36">
        <v>0</v>
      </c>
      <c r="AG25" s="36">
        <v>0</v>
      </c>
      <c r="AH25" s="36">
        <v>1</v>
      </c>
      <c r="AI25" s="36">
        <v>1</v>
      </c>
      <c r="AJ25" s="25" t="s">
        <v>33</v>
      </c>
      <c r="AL25" t="str">
        <f t="shared" si="0"/>
        <v xml:space="preserve">    (U1)ALERT_REQ_UNKNOWN</v>
      </c>
      <c r="AR25" s="64" t="str">
        <f t="shared" si="3"/>
        <v xml:space="preserve">    (U4)0x00000013U,                                                           /* 19 UNKNOWN                                         */</v>
      </c>
      <c r="AS25" s="64" t="str">
        <f t="shared" si="4"/>
        <v xml:space="preserve">    (U4)0x0000001FU,                                                           /* 19 UNKNOWN                                         */</v>
      </c>
      <c r="AT25" s="64" t="str">
        <f t="shared" si="1"/>
        <v xml:space="preserve">    (U1)ALERT_REQ_UNKNOWN,                                                     /* 19 UNKNOWN                                         */</v>
      </c>
    </row>
    <row r="26" spans="2:49">
      <c r="B26" s="131"/>
      <c r="C26" s="50">
        <f t="shared" si="2"/>
        <v>20</v>
      </c>
      <c r="D26" s="36" t="s">
        <v>71</v>
      </c>
      <c r="E26" s="36" t="s">
        <v>71</v>
      </c>
      <c r="F26" s="36" t="s">
        <v>71</v>
      </c>
      <c r="G26" s="36" t="s">
        <v>71</v>
      </c>
      <c r="H26" s="36" t="s">
        <v>71</v>
      </c>
      <c r="I26" s="36" t="s">
        <v>71</v>
      </c>
      <c r="J26" s="36" t="s">
        <v>71</v>
      </c>
      <c r="K26" s="36" t="s">
        <v>71</v>
      </c>
      <c r="L26" s="36" t="s">
        <v>71</v>
      </c>
      <c r="M26" s="36" t="s">
        <v>71</v>
      </c>
      <c r="N26" s="36" t="s">
        <v>71</v>
      </c>
      <c r="O26" s="36" t="s">
        <v>71</v>
      </c>
      <c r="P26" s="36" t="s">
        <v>71</v>
      </c>
      <c r="Q26" s="36" t="s">
        <v>71</v>
      </c>
      <c r="R26" s="36" t="s">
        <v>71</v>
      </c>
      <c r="S26" s="36" t="s">
        <v>71</v>
      </c>
      <c r="T26" s="36" t="s">
        <v>71</v>
      </c>
      <c r="U26" s="36" t="s">
        <v>71</v>
      </c>
      <c r="V26" s="36" t="s">
        <v>71</v>
      </c>
      <c r="W26" s="36" t="s">
        <v>71</v>
      </c>
      <c r="X26" s="36" t="s">
        <v>71</v>
      </c>
      <c r="Y26" s="36" t="s">
        <v>71</v>
      </c>
      <c r="Z26" s="36" t="s">
        <v>71</v>
      </c>
      <c r="AA26" s="36" t="s">
        <v>71</v>
      </c>
      <c r="AB26" s="36" t="s">
        <v>71</v>
      </c>
      <c r="AC26" s="36" t="s">
        <v>71</v>
      </c>
      <c r="AD26" s="36" t="s">
        <v>71</v>
      </c>
      <c r="AE26" s="36">
        <v>1</v>
      </c>
      <c r="AF26" s="36">
        <v>0</v>
      </c>
      <c r="AG26" s="36">
        <v>1</v>
      </c>
      <c r="AH26" s="36">
        <v>0</v>
      </c>
      <c r="AI26" s="36">
        <v>0</v>
      </c>
      <c r="AJ26" s="25" t="s">
        <v>33</v>
      </c>
      <c r="AL26" t="str">
        <f t="shared" si="0"/>
        <v xml:space="preserve">    (U1)ALERT_REQ_UNKNOWN</v>
      </c>
      <c r="AR26" s="64" t="str">
        <f t="shared" si="3"/>
        <v xml:space="preserve">    (U4)0x00000014U,                                                           /* 20 UNKNOWN                                         */</v>
      </c>
      <c r="AS26" s="64" t="str">
        <f t="shared" si="4"/>
        <v xml:space="preserve">    (U4)0x0000001FU,                                                           /* 20 UNKNOWN                                         */</v>
      </c>
      <c r="AT26" s="64" t="str">
        <f t="shared" si="1"/>
        <v xml:space="preserve">    (U1)ALERT_REQ_UNKNOWN,                                                     /* 20 UNKNOWN                                         */</v>
      </c>
    </row>
    <row r="27" spans="2:49">
      <c r="B27" s="131"/>
      <c r="C27" s="50">
        <f t="shared" si="2"/>
        <v>21</v>
      </c>
      <c r="D27" s="36" t="s">
        <v>71</v>
      </c>
      <c r="E27" s="36" t="s">
        <v>71</v>
      </c>
      <c r="F27" s="36" t="s">
        <v>71</v>
      </c>
      <c r="G27" s="36" t="s">
        <v>71</v>
      </c>
      <c r="H27" s="36" t="s">
        <v>71</v>
      </c>
      <c r="I27" s="36" t="s">
        <v>71</v>
      </c>
      <c r="J27" s="36" t="s">
        <v>71</v>
      </c>
      <c r="K27" s="36" t="s">
        <v>71</v>
      </c>
      <c r="L27" s="36" t="s">
        <v>71</v>
      </c>
      <c r="M27" s="36" t="s">
        <v>71</v>
      </c>
      <c r="N27" s="36" t="s">
        <v>71</v>
      </c>
      <c r="O27" s="36" t="s">
        <v>71</v>
      </c>
      <c r="P27" s="36" t="s">
        <v>71</v>
      </c>
      <c r="Q27" s="36" t="s">
        <v>71</v>
      </c>
      <c r="R27" s="36" t="s">
        <v>71</v>
      </c>
      <c r="S27" s="36" t="s">
        <v>71</v>
      </c>
      <c r="T27" s="36" t="s">
        <v>71</v>
      </c>
      <c r="U27" s="36" t="s">
        <v>71</v>
      </c>
      <c r="V27" s="36" t="s">
        <v>71</v>
      </c>
      <c r="W27" s="36" t="s">
        <v>71</v>
      </c>
      <c r="X27" s="36" t="s">
        <v>71</v>
      </c>
      <c r="Y27" s="36" t="s">
        <v>71</v>
      </c>
      <c r="Z27" s="36" t="s">
        <v>71</v>
      </c>
      <c r="AA27" s="36" t="s">
        <v>71</v>
      </c>
      <c r="AB27" s="36" t="s">
        <v>71</v>
      </c>
      <c r="AC27" s="36" t="s">
        <v>71</v>
      </c>
      <c r="AD27" s="36" t="s">
        <v>71</v>
      </c>
      <c r="AE27" s="36">
        <v>1</v>
      </c>
      <c r="AF27" s="36">
        <v>0</v>
      </c>
      <c r="AG27" s="36">
        <v>1</v>
      </c>
      <c r="AH27" s="36">
        <v>0</v>
      </c>
      <c r="AI27" s="36">
        <v>1</v>
      </c>
      <c r="AJ27" s="25" t="s">
        <v>33</v>
      </c>
      <c r="AL27" t="str">
        <f t="shared" si="0"/>
        <v xml:space="preserve">    (U1)ALERT_REQ_UNKNOWN</v>
      </c>
      <c r="AR27" s="64" t="str">
        <f t="shared" si="3"/>
        <v xml:space="preserve">    (U4)0x00000015U,                                                           /* 21 UNKNOWN                                         */</v>
      </c>
      <c r="AS27" s="64" t="str">
        <f t="shared" si="4"/>
        <v xml:space="preserve">    (U4)0x0000001FU,                                                           /* 21 UNKNOWN                                         */</v>
      </c>
      <c r="AT27" s="64" t="str">
        <f t="shared" si="1"/>
        <v xml:space="preserve">    (U1)ALERT_REQ_UNKNOWN,                                                     /* 21 UNKNOWN                                         */</v>
      </c>
    </row>
    <row r="28" spans="2:49">
      <c r="B28" s="131"/>
      <c r="C28" s="50">
        <f t="shared" si="2"/>
        <v>22</v>
      </c>
      <c r="D28" s="36" t="s">
        <v>71</v>
      </c>
      <c r="E28" s="36" t="s">
        <v>71</v>
      </c>
      <c r="F28" s="36" t="s">
        <v>71</v>
      </c>
      <c r="G28" s="36" t="s">
        <v>71</v>
      </c>
      <c r="H28" s="36" t="s">
        <v>71</v>
      </c>
      <c r="I28" s="36" t="s">
        <v>71</v>
      </c>
      <c r="J28" s="36" t="s">
        <v>71</v>
      </c>
      <c r="K28" s="36" t="s">
        <v>71</v>
      </c>
      <c r="L28" s="36" t="s">
        <v>71</v>
      </c>
      <c r="M28" s="36" t="s">
        <v>71</v>
      </c>
      <c r="N28" s="36" t="s">
        <v>71</v>
      </c>
      <c r="O28" s="36" t="s">
        <v>71</v>
      </c>
      <c r="P28" s="36" t="s">
        <v>71</v>
      </c>
      <c r="Q28" s="36" t="s">
        <v>71</v>
      </c>
      <c r="R28" s="36" t="s">
        <v>71</v>
      </c>
      <c r="S28" s="36" t="s">
        <v>71</v>
      </c>
      <c r="T28" s="36" t="s">
        <v>71</v>
      </c>
      <c r="U28" s="36" t="s">
        <v>71</v>
      </c>
      <c r="V28" s="36" t="s">
        <v>71</v>
      </c>
      <c r="W28" s="36" t="s">
        <v>71</v>
      </c>
      <c r="X28" s="36" t="s">
        <v>71</v>
      </c>
      <c r="Y28" s="36" t="s">
        <v>71</v>
      </c>
      <c r="Z28" s="36" t="s">
        <v>71</v>
      </c>
      <c r="AA28" s="36" t="s">
        <v>71</v>
      </c>
      <c r="AB28" s="36" t="s">
        <v>71</v>
      </c>
      <c r="AC28" s="36" t="s">
        <v>71</v>
      </c>
      <c r="AD28" s="36" t="s">
        <v>71</v>
      </c>
      <c r="AE28" s="36">
        <v>1</v>
      </c>
      <c r="AF28" s="36">
        <v>0</v>
      </c>
      <c r="AG28" s="36">
        <v>1</v>
      </c>
      <c r="AH28" s="36">
        <v>1</v>
      </c>
      <c r="AI28" s="36">
        <v>0</v>
      </c>
      <c r="AJ28" s="25" t="s">
        <v>33</v>
      </c>
      <c r="AL28" t="str">
        <f t="shared" si="0"/>
        <v xml:space="preserve">    (U1)ALERT_REQ_UNKNOWN</v>
      </c>
      <c r="AR28" s="64" t="str">
        <f t="shared" si="3"/>
        <v xml:space="preserve">    (U4)0x00000016U,                                                           /* 22 UNKNOWN                                         */</v>
      </c>
      <c r="AS28" s="64" t="str">
        <f t="shared" si="4"/>
        <v xml:space="preserve">    (U4)0x0000001FU,                                                           /* 22 UNKNOWN                                         */</v>
      </c>
      <c r="AT28" s="64" t="str">
        <f t="shared" si="1"/>
        <v xml:space="preserve">    (U1)ALERT_REQ_UNKNOWN,                                                     /* 22 UNKNOWN                                         */</v>
      </c>
    </row>
    <row r="29" spans="2:49">
      <c r="B29" s="131"/>
      <c r="C29" s="50">
        <f t="shared" si="2"/>
        <v>23</v>
      </c>
      <c r="D29" s="36" t="s">
        <v>71</v>
      </c>
      <c r="E29" s="36" t="s">
        <v>71</v>
      </c>
      <c r="F29" s="36" t="s">
        <v>71</v>
      </c>
      <c r="G29" s="36" t="s">
        <v>71</v>
      </c>
      <c r="H29" s="36" t="s">
        <v>71</v>
      </c>
      <c r="I29" s="36" t="s">
        <v>71</v>
      </c>
      <c r="J29" s="36" t="s">
        <v>71</v>
      </c>
      <c r="K29" s="36" t="s">
        <v>71</v>
      </c>
      <c r="L29" s="36" t="s">
        <v>71</v>
      </c>
      <c r="M29" s="36" t="s">
        <v>71</v>
      </c>
      <c r="N29" s="36" t="s">
        <v>71</v>
      </c>
      <c r="O29" s="36" t="s">
        <v>71</v>
      </c>
      <c r="P29" s="36" t="s">
        <v>71</v>
      </c>
      <c r="Q29" s="36" t="s">
        <v>71</v>
      </c>
      <c r="R29" s="36" t="s">
        <v>71</v>
      </c>
      <c r="S29" s="36" t="s">
        <v>71</v>
      </c>
      <c r="T29" s="36" t="s">
        <v>71</v>
      </c>
      <c r="U29" s="36" t="s">
        <v>71</v>
      </c>
      <c r="V29" s="36" t="s">
        <v>71</v>
      </c>
      <c r="W29" s="36" t="s">
        <v>71</v>
      </c>
      <c r="X29" s="36" t="s">
        <v>71</v>
      </c>
      <c r="Y29" s="36" t="s">
        <v>71</v>
      </c>
      <c r="Z29" s="36" t="s">
        <v>71</v>
      </c>
      <c r="AA29" s="36" t="s">
        <v>71</v>
      </c>
      <c r="AB29" s="36" t="s">
        <v>71</v>
      </c>
      <c r="AC29" s="36" t="s">
        <v>71</v>
      </c>
      <c r="AD29" s="36" t="s">
        <v>71</v>
      </c>
      <c r="AE29" s="36">
        <v>1</v>
      </c>
      <c r="AF29" s="36">
        <v>0</v>
      </c>
      <c r="AG29" s="36">
        <v>1</v>
      </c>
      <c r="AH29" s="36">
        <v>1</v>
      </c>
      <c r="AI29" s="36">
        <v>1</v>
      </c>
      <c r="AJ29" s="25" t="s">
        <v>33</v>
      </c>
      <c r="AL29" t="str">
        <f t="shared" si="0"/>
        <v xml:space="preserve">    (U1)ALERT_REQ_UNKNOWN</v>
      </c>
      <c r="AR29" s="64" t="str">
        <f t="shared" si="3"/>
        <v xml:space="preserve">    (U4)0x00000017U,                                                           /* 23 UNKNOWN                                         */</v>
      </c>
      <c r="AS29" s="64" t="str">
        <f t="shared" si="4"/>
        <v xml:space="preserve">    (U4)0x0000001FU,                                                           /* 23 UNKNOWN                                         */</v>
      </c>
      <c r="AT29" s="64" t="str">
        <f t="shared" si="1"/>
        <v xml:space="preserve">    (U1)ALERT_REQ_UNKNOWN,                                                     /* 23 UNKNOWN                                         */</v>
      </c>
    </row>
    <row r="30" spans="2:49">
      <c r="B30" s="131"/>
      <c r="C30" s="50">
        <f t="shared" si="2"/>
        <v>24</v>
      </c>
      <c r="D30" s="36" t="s">
        <v>71</v>
      </c>
      <c r="E30" s="36" t="s">
        <v>71</v>
      </c>
      <c r="F30" s="36" t="s">
        <v>71</v>
      </c>
      <c r="G30" s="36" t="s">
        <v>71</v>
      </c>
      <c r="H30" s="36" t="s">
        <v>71</v>
      </c>
      <c r="I30" s="36" t="s">
        <v>71</v>
      </c>
      <c r="J30" s="36" t="s">
        <v>71</v>
      </c>
      <c r="K30" s="36" t="s">
        <v>71</v>
      </c>
      <c r="L30" s="36" t="s">
        <v>71</v>
      </c>
      <c r="M30" s="36" t="s">
        <v>71</v>
      </c>
      <c r="N30" s="36" t="s">
        <v>71</v>
      </c>
      <c r="O30" s="36" t="s">
        <v>71</v>
      </c>
      <c r="P30" s="36" t="s">
        <v>71</v>
      </c>
      <c r="Q30" s="36" t="s">
        <v>71</v>
      </c>
      <c r="R30" s="36" t="s">
        <v>71</v>
      </c>
      <c r="S30" s="36" t="s">
        <v>71</v>
      </c>
      <c r="T30" s="36" t="s">
        <v>71</v>
      </c>
      <c r="U30" s="36" t="s">
        <v>71</v>
      </c>
      <c r="V30" s="36" t="s">
        <v>71</v>
      </c>
      <c r="W30" s="36" t="s">
        <v>71</v>
      </c>
      <c r="X30" s="36" t="s">
        <v>71</v>
      </c>
      <c r="Y30" s="36" t="s">
        <v>71</v>
      </c>
      <c r="Z30" s="36" t="s">
        <v>71</v>
      </c>
      <c r="AA30" s="36" t="s">
        <v>71</v>
      </c>
      <c r="AB30" s="36" t="s">
        <v>71</v>
      </c>
      <c r="AC30" s="36" t="s">
        <v>71</v>
      </c>
      <c r="AD30" s="36" t="s">
        <v>71</v>
      </c>
      <c r="AE30" s="36">
        <v>1</v>
      </c>
      <c r="AF30" s="36">
        <v>1</v>
      </c>
      <c r="AG30" s="36">
        <v>0</v>
      </c>
      <c r="AH30" s="36">
        <v>0</v>
      </c>
      <c r="AI30" s="36">
        <v>0</v>
      </c>
      <c r="AJ30" s="25" t="s">
        <v>33</v>
      </c>
      <c r="AL30" t="str">
        <f t="shared" si="0"/>
        <v xml:space="preserve">    (U1)ALERT_REQ_UNKNOWN</v>
      </c>
      <c r="AR30" s="64" t="str">
        <f t="shared" si="3"/>
        <v xml:space="preserve">    (U4)0x00000018U,                                                           /* 24 UNKNOWN                                         */</v>
      </c>
      <c r="AS30" s="64" t="str">
        <f t="shared" si="4"/>
        <v xml:space="preserve">    (U4)0x0000001FU,                                                           /* 24 UNKNOWN                                         */</v>
      </c>
      <c r="AT30" s="64" t="str">
        <f t="shared" si="1"/>
        <v xml:space="preserve">    (U1)ALERT_REQ_UNKNOWN,                                                     /* 24 UNKNOWN                                         */</v>
      </c>
    </row>
    <row r="31" spans="2:49">
      <c r="B31" s="131"/>
      <c r="C31" s="50">
        <f t="shared" si="2"/>
        <v>25</v>
      </c>
      <c r="D31" s="36" t="s">
        <v>71</v>
      </c>
      <c r="E31" s="36" t="s">
        <v>71</v>
      </c>
      <c r="F31" s="36" t="s">
        <v>71</v>
      </c>
      <c r="G31" s="36" t="s">
        <v>71</v>
      </c>
      <c r="H31" s="36" t="s">
        <v>71</v>
      </c>
      <c r="I31" s="36" t="s">
        <v>71</v>
      </c>
      <c r="J31" s="36" t="s">
        <v>71</v>
      </c>
      <c r="K31" s="36" t="s">
        <v>71</v>
      </c>
      <c r="L31" s="36" t="s">
        <v>71</v>
      </c>
      <c r="M31" s="36" t="s">
        <v>71</v>
      </c>
      <c r="N31" s="36" t="s">
        <v>71</v>
      </c>
      <c r="O31" s="36" t="s">
        <v>71</v>
      </c>
      <c r="P31" s="36" t="s">
        <v>71</v>
      </c>
      <c r="Q31" s="36" t="s">
        <v>71</v>
      </c>
      <c r="R31" s="36" t="s">
        <v>71</v>
      </c>
      <c r="S31" s="36" t="s">
        <v>71</v>
      </c>
      <c r="T31" s="36" t="s">
        <v>71</v>
      </c>
      <c r="U31" s="36" t="s">
        <v>71</v>
      </c>
      <c r="V31" s="36" t="s">
        <v>71</v>
      </c>
      <c r="W31" s="36" t="s">
        <v>71</v>
      </c>
      <c r="X31" s="36" t="s">
        <v>71</v>
      </c>
      <c r="Y31" s="36" t="s">
        <v>71</v>
      </c>
      <c r="Z31" s="36" t="s">
        <v>71</v>
      </c>
      <c r="AA31" s="36" t="s">
        <v>71</v>
      </c>
      <c r="AB31" s="36" t="s">
        <v>71</v>
      </c>
      <c r="AC31" s="36" t="s">
        <v>71</v>
      </c>
      <c r="AD31" s="36" t="s">
        <v>71</v>
      </c>
      <c r="AE31" s="36">
        <v>1</v>
      </c>
      <c r="AF31" s="36">
        <v>1</v>
      </c>
      <c r="AG31" s="36">
        <v>0</v>
      </c>
      <c r="AH31" s="36">
        <v>0</v>
      </c>
      <c r="AI31" s="36">
        <v>1</v>
      </c>
      <c r="AJ31" s="25" t="s">
        <v>33</v>
      </c>
      <c r="AL31" t="str">
        <f t="shared" si="0"/>
        <v xml:space="preserve">    (U1)ALERT_REQ_UNKNOWN</v>
      </c>
      <c r="AR31" s="64" t="str">
        <f t="shared" si="3"/>
        <v xml:space="preserve">    (U4)0x00000019U,                                                           /* 25 UNKNOWN                                         */</v>
      </c>
      <c r="AS31" s="64" t="str">
        <f t="shared" si="4"/>
        <v xml:space="preserve">    (U4)0x0000001FU,                                                           /* 25 UNKNOWN                                         */</v>
      </c>
      <c r="AT31" s="64" t="str">
        <f t="shared" si="1"/>
        <v xml:space="preserve">    (U1)ALERT_REQ_UNKNOWN,                                                     /* 25 UNKNOWN                                         */</v>
      </c>
    </row>
    <row r="32" spans="2:49">
      <c r="B32" s="131"/>
      <c r="C32" s="50">
        <f t="shared" si="2"/>
        <v>26</v>
      </c>
      <c r="D32" s="36" t="s">
        <v>71</v>
      </c>
      <c r="E32" s="36" t="s">
        <v>71</v>
      </c>
      <c r="F32" s="36" t="s">
        <v>71</v>
      </c>
      <c r="G32" s="36" t="s">
        <v>71</v>
      </c>
      <c r="H32" s="36" t="s">
        <v>71</v>
      </c>
      <c r="I32" s="36" t="s">
        <v>71</v>
      </c>
      <c r="J32" s="36" t="s">
        <v>71</v>
      </c>
      <c r="K32" s="36" t="s">
        <v>71</v>
      </c>
      <c r="L32" s="36" t="s">
        <v>71</v>
      </c>
      <c r="M32" s="36" t="s">
        <v>71</v>
      </c>
      <c r="N32" s="36" t="s">
        <v>71</v>
      </c>
      <c r="O32" s="36" t="s">
        <v>71</v>
      </c>
      <c r="P32" s="36" t="s">
        <v>71</v>
      </c>
      <c r="Q32" s="36" t="s">
        <v>71</v>
      </c>
      <c r="R32" s="36" t="s">
        <v>71</v>
      </c>
      <c r="S32" s="36" t="s">
        <v>71</v>
      </c>
      <c r="T32" s="36" t="s">
        <v>71</v>
      </c>
      <c r="U32" s="36" t="s">
        <v>71</v>
      </c>
      <c r="V32" s="36" t="s">
        <v>71</v>
      </c>
      <c r="W32" s="36" t="s">
        <v>71</v>
      </c>
      <c r="X32" s="36" t="s">
        <v>71</v>
      </c>
      <c r="Y32" s="36" t="s">
        <v>71</v>
      </c>
      <c r="Z32" s="36" t="s">
        <v>71</v>
      </c>
      <c r="AA32" s="36" t="s">
        <v>71</v>
      </c>
      <c r="AB32" s="36" t="s">
        <v>71</v>
      </c>
      <c r="AC32" s="36" t="s">
        <v>71</v>
      </c>
      <c r="AD32" s="36" t="s">
        <v>71</v>
      </c>
      <c r="AE32" s="36">
        <v>1</v>
      </c>
      <c r="AF32" s="36">
        <v>1</v>
      </c>
      <c r="AG32" s="36">
        <v>0</v>
      </c>
      <c r="AH32" s="36">
        <v>1</v>
      </c>
      <c r="AI32" s="36">
        <v>0</v>
      </c>
      <c r="AJ32" s="25" t="s">
        <v>33</v>
      </c>
      <c r="AL32" t="str">
        <f t="shared" si="0"/>
        <v xml:space="preserve">    (U1)ALERT_REQ_UNKNOWN</v>
      </c>
      <c r="AR32" s="64" t="str">
        <f t="shared" si="3"/>
        <v xml:space="preserve">    (U4)0x0000001AU,                                                           /* 26 UNKNOWN                                         */</v>
      </c>
      <c r="AS32" s="64" t="str">
        <f t="shared" si="4"/>
        <v xml:space="preserve">    (U4)0x0000001FU,                                                           /* 26 UNKNOWN                                         */</v>
      </c>
      <c r="AT32" s="64" t="str">
        <f t="shared" si="1"/>
        <v xml:space="preserve">    (U1)ALERT_REQ_UNKNOWN,                                                     /* 26 UNKNOWN                                         */</v>
      </c>
    </row>
    <row r="33" spans="2:46">
      <c r="B33" s="131"/>
      <c r="C33" s="50">
        <f t="shared" si="2"/>
        <v>27</v>
      </c>
      <c r="D33" s="36" t="s">
        <v>71</v>
      </c>
      <c r="E33" s="36" t="s">
        <v>71</v>
      </c>
      <c r="F33" s="36" t="s">
        <v>71</v>
      </c>
      <c r="G33" s="36" t="s">
        <v>71</v>
      </c>
      <c r="H33" s="36" t="s">
        <v>71</v>
      </c>
      <c r="I33" s="36" t="s">
        <v>71</v>
      </c>
      <c r="J33" s="36" t="s">
        <v>71</v>
      </c>
      <c r="K33" s="36" t="s">
        <v>71</v>
      </c>
      <c r="L33" s="36" t="s">
        <v>71</v>
      </c>
      <c r="M33" s="36" t="s">
        <v>71</v>
      </c>
      <c r="N33" s="36" t="s">
        <v>71</v>
      </c>
      <c r="O33" s="36" t="s">
        <v>71</v>
      </c>
      <c r="P33" s="36" t="s">
        <v>71</v>
      </c>
      <c r="Q33" s="36" t="s">
        <v>71</v>
      </c>
      <c r="R33" s="36" t="s">
        <v>71</v>
      </c>
      <c r="S33" s="36" t="s">
        <v>71</v>
      </c>
      <c r="T33" s="36" t="s">
        <v>71</v>
      </c>
      <c r="U33" s="36" t="s">
        <v>71</v>
      </c>
      <c r="V33" s="36" t="s">
        <v>71</v>
      </c>
      <c r="W33" s="36" t="s">
        <v>71</v>
      </c>
      <c r="X33" s="36" t="s">
        <v>71</v>
      </c>
      <c r="Y33" s="36" t="s">
        <v>71</v>
      </c>
      <c r="Z33" s="36" t="s">
        <v>71</v>
      </c>
      <c r="AA33" s="36" t="s">
        <v>71</v>
      </c>
      <c r="AB33" s="36" t="s">
        <v>71</v>
      </c>
      <c r="AC33" s="36" t="s">
        <v>71</v>
      </c>
      <c r="AD33" s="36" t="s">
        <v>71</v>
      </c>
      <c r="AE33" s="36">
        <v>1</v>
      </c>
      <c r="AF33" s="36">
        <v>1</v>
      </c>
      <c r="AG33" s="36">
        <v>0</v>
      </c>
      <c r="AH33" s="36">
        <v>1</v>
      </c>
      <c r="AI33" s="36">
        <v>1</v>
      </c>
      <c r="AJ33" s="25" t="s">
        <v>33</v>
      </c>
      <c r="AL33" t="str">
        <f t="shared" si="0"/>
        <v xml:space="preserve">    (U1)ALERT_REQ_UNKNOWN</v>
      </c>
      <c r="AR33" s="64" t="str">
        <f t="shared" si="3"/>
        <v xml:space="preserve">    (U4)0x0000001BU,                                                           /* 27 UNKNOWN                                         */</v>
      </c>
      <c r="AS33" s="64" t="str">
        <f t="shared" si="4"/>
        <v xml:space="preserve">    (U4)0x0000001FU,                                                           /* 27 UNKNOWN                                         */</v>
      </c>
      <c r="AT33" s="64" t="str">
        <f t="shared" si="1"/>
        <v xml:space="preserve">    (U1)ALERT_REQ_UNKNOWN,                                                     /* 27 UNKNOWN                                         */</v>
      </c>
    </row>
    <row r="34" spans="2:46">
      <c r="B34" s="131"/>
      <c r="C34" s="50">
        <f t="shared" si="2"/>
        <v>28</v>
      </c>
      <c r="D34" s="36" t="s">
        <v>71</v>
      </c>
      <c r="E34" s="36" t="s">
        <v>71</v>
      </c>
      <c r="F34" s="36" t="s">
        <v>71</v>
      </c>
      <c r="G34" s="36" t="s">
        <v>71</v>
      </c>
      <c r="H34" s="36" t="s">
        <v>71</v>
      </c>
      <c r="I34" s="36" t="s">
        <v>71</v>
      </c>
      <c r="J34" s="36" t="s">
        <v>71</v>
      </c>
      <c r="K34" s="36" t="s">
        <v>71</v>
      </c>
      <c r="L34" s="36" t="s">
        <v>71</v>
      </c>
      <c r="M34" s="36" t="s">
        <v>71</v>
      </c>
      <c r="N34" s="36" t="s">
        <v>71</v>
      </c>
      <c r="O34" s="36" t="s">
        <v>71</v>
      </c>
      <c r="P34" s="36" t="s">
        <v>71</v>
      </c>
      <c r="Q34" s="36" t="s">
        <v>71</v>
      </c>
      <c r="R34" s="36" t="s">
        <v>71</v>
      </c>
      <c r="S34" s="36" t="s">
        <v>71</v>
      </c>
      <c r="T34" s="36" t="s">
        <v>71</v>
      </c>
      <c r="U34" s="36" t="s">
        <v>71</v>
      </c>
      <c r="V34" s="36" t="s">
        <v>71</v>
      </c>
      <c r="W34" s="36" t="s">
        <v>71</v>
      </c>
      <c r="X34" s="36" t="s">
        <v>71</v>
      </c>
      <c r="Y34" s="36" t="s">
        <v>71</v>
      </c>
      <c r="Z34" s="36" t="s">
        <v>71</v>
      </c>
      <c r="AA34" s="36" t="s">
        <v>71</v>
      </c>
      <c r="AB34" s="36" t="s">
        <v>71</v>
      </c>
      <c r="AC34" s="36" t="s">
        <v>71</v>
      </c>
      <c r="AD34" s="36" t="s">
        <v>71</v>
      </c>
      <c r="AE34" s="36">
        <v>1</v>
      </c>
      <c r="AF34" s="36">
        <v>1</v>
      </c>
      <c r="AG34" s="36">
        <v>1</v>
      </c>
      <c r="AH34" s="36">
        <v>0</v>
      </c>
      <c r="AI34" s="36">
        <v>0</v>
      </c>
      <c r="AJ34" s="25" t="s">
        <v>33</v>
      </c>
      <c r="AL34" t="str">
        <f t="shared" si="0"/>
        <v xml:space="preserve">    (U1)ALERT_REQ_UNKNOWN</v>
      </c>
      <c r="AR34" s="64" t="str">
        <f t="shared" si="3"/>
        <v xml:space="preserve">    (U4)0x0000001CU,                                                           /* 28 UNKNOWN                                         */</v>
      </c>
      <c r="AS34" s="64" t="str">
        <f t="shared" si="4"/>
        <v xml:space="preserve">    (U4)0x0000001FU,                                                           /* 28 UNKNOWN                                         */</v>
      </c>
      <c r="AT34" s="64" t="str">
        <f t="shared" si="1"/>
        <v xml:space="preserve">    (U1)ALERT_REQ_UNKNOWN,                                                     /* 28 UNKNOWN                                         */</v>
      </c>
    </row>
    <row r="35" spans="2:46">
      <c r="B35" s="131"/>
      <c r="C35" s="50">
        <f t="shared" si="2"/>
        <v>29</v>
      </c>
      <c r="D35" s="36" t="s">
        <v>71</v>
      </c>
      <c r="E35" s="36" t="s">
        <v>71</v>
      </c>
      <c r="F35" s="36" t="s">
        <v>71</v>
      </c>
      <c r="G35" s="36" t="s">
        <v>71</v>
      </c>
      <c r="H35" s="36" t="s">
        <v>71</v>
      </c>
      <c r="I35" s="36" t="s">
        <v>71</v>
      </c>
      <c r="J35" s="36" t="s">
        <v>71</v>
      </c>
      <c r="K35" s="36" t="s">
        <v>71</v>
      </c>
      <c r="L35" s="36" t="s">
        <v>71</v>
      </c>
      <c r="M35" s="36" t="s">
        <v>71</v>
      </c>
      <c r="N35" s="36" t="s">
        <v>71</v>
      </c>
      <c r="O35" s="36" t="s">
        <v>71</v>
      </c>
      <c r="P35" s="36" t="s">
        <v>71</v>
      </c>
      <c r="Q35" s="36" t="s">
        <v>71</v>
      </c>
      <c r="R35" s="36" t="s">
        <v>71</v>
      </c>
      <c r="S35" s="36" t="s">
        <v>71</v>
      </c>
      <c r="T35" s="36" t="s">
        <v>71</v>
      </c>
      <c r="U35" s="36" t="s">
        <v>71</v>
      </c>
      <c r="V35" s="36" t="s">
        <v>71</v>
      </c>
      <c r="W35" s="36" t="s">
        <v>71</v>
      </c>
      <c r="X35" s="36" t="s">
        <v>71</v>
      </c>
      <c r="Y35" s="36" t="s">
        <v>71</v>
      </c>
      <c r="Z35" s="36" t="s">
        <v>71</v>
      </c>
      <c r="AA35" s="36" t="s">
        <v>71</v>
      </c>
      <c r="AB35" s="36" t="s">
        <v>71</v>
      </c>
      <c r="AC35" s="36" t="s">
        <v>71</v>
      </c>
      <c r="AD35" s="36" t="s">
        <v>71</v>
      </c>
      <c r="AE35" s="36">
        <v>1</v>
      </c>
      <c r="AF35" s="36">
        <v>1</v>
      </c>
      <c r="AG35" s="36">
        <v>1</v>
      </c>
      <c r="AH35" s="36">
        <v>0</v>
      </c>
      <c r="AI35" s="36">
        <v>1</v>
      </c>
      <c r="AJ35" s="25" t="s">
        <v>33</v>
      </c>
      <c r="AL35" t="str">
        <f t="shared" si="0"/>
        <v xml:space="preserve">    (U1)ALERT_REQ_UNKNOWN</v>
      </c>
      <c r="AR35" s="64" t="str">
        <f t="shared" si="3"/>
        <v xml:space="preserve">    (U4)0x0000001DU,                                                           /* 29 UNKNOWN                                         */</v>
      </c>
      <c r="AS35" s="64" t="str">
        <f t="shared" si="4"/>
        <v xml:space="preserve">    (U4)0x0000001FU,                                                           /* 29 UNKNOWN                                         */</v>
      </c>
      <c r="AT35" s="64" t="str">
        <f t="shared" si="1"/>
        <v xml:space="preserve">    (U1)ALERT_REQ_UNKNOWN,                                                     /* 29 UNKNOWN                                         */</v>
      </c>
    </row>
    <row r="36" spans="2:46">
      <c r="B36" s="131"/>
      <c r="C36" s="50">
        <f t="shared" si="2"/>
        <v>30</v>
      </c>
      <c r="D36" s="36" t="s">
        <v>71</v>
      </c>
      <c r="E36" s="36" t="s">
        <v>71</v>
      </c>
      <c r="F36" s="36" t="s">
        <v>71</v>
      </c>
      <c r="G36" s="36" t="s">
        <v>71</v>
      </c>
      <c r="H36" s="36" t="s">
        <v>71</v>
      </c>
      <c r="I36" s="36" t="s">
        <v>71</v>
      </c>
      <c r="J36" s="36" t="s">
        <v>71</v>
      </c>
      <c r="K36" s="36" t="s">
        <v>71</v>
      </c>
      <c r="L36" s="36" t="s">
        <v>71</v>
      </c>
      <c r="M36" s="36" t="s">
        <v>71</v>
      </c>
      <c r="N36" s="36" t="s">
        <v>71</v>
      </c>
      <c r="O36" s="36" t="s">
        <v>71</v>
      </c>
      <c r="P36" s="36" t="s">
        <v>71</v>
      </c>
      <c r="Q36" s="36" t="s">
        <v>71</v>
      </c>
      <c r="R36" s="36" t="s">
        <v>71</v>
      </c>
      <c r="S36" s="36" t="s">
        <v>71</v>
      </c>
      <c r="T36" s="36" t="s">
        <v>71</v>
      </c>
      <c r="U36" s="36" t="s">
        <v>71</v>
      </c>
      <c r="V36" s="36" t="s">
        <v>71</v>
      </c>
      <c r="W36" s="36" t="s">
        <v>71</v>
      </c>
      <c r="X36" s="36" t="s">
        <v>71</v>
      </c>
      <c r="Y36" s="36" t="s">
        <v>71</v>
      </c>
      <c r="Z36" s="36" t="s">
        <v>71</v>
      </c>
      <c r="AA36" s="36" t="s">
        <v>71</v>
      </c>
      <c r="AB36" s="36" t="s">
        <v>71</v>
      </c>
      <c r="AC36" s="36" t="s">
        <v>71</v>
      </c>
      <c r="AD36" s="36" t="s">
        <v>71</v>
      </c>
      <c r="AE36" s="36">
        <v>1</v>
      </c>
      <c r="AF36" s="36">
        <v>1</v>
      </c>
      <c r="AG36" s="36">
        <v>1</v>
      </c>
      <c r="AH36" s="36">
        <v>1</v>
      </c>
      <c r="AI36" s="36">
        <v>0</v>
      </c>
      <c r="AJ36" s="25" t="s">
        <v>33</v>
      </c>
      <c r="AL36" t="str">
        <f t="shared" si="0"/>
        <v xml:space="preserve">    (U1)ALERT_REQ_UNKNOWN</v>
      </c>
      <c r="AR36" s="64" t="str">
        <f t="shared" si="3"/>
        <v xml:space="preserve">    (U4)0x0000001EU,                                                           /* 30 UNKNOWN                                         */</v>
      </c>
      <c r="AS36" s="64" t="str">
        <f t="shared" si="4"/>
        <v xml:space="preserve">    (U4)0x0000001FU,                                                           /* 30 UNKNOWN                                         */</v>
      </c>
      <c r="AT36" s="64" t="str">
        <f t="shared" si="1"/>
        <v xml:space="preserve">    (U1)ALERT_REQ_UNKNOWN,                                                     /* 30 UNKNOWN                                         */</v>
      </c>
    </row>
    <row r="37" spans="2:46">
      <c r="B37" s="131"/>
      <c r="C37" s="50">
        <f t="shared" si="2"/>
        <v>31</v>
      </c>
      <c r="D37" s="36" t="s">
        <v>71</v>
      </c>
      <c r="E37" s="36" t="s">
        <v>71</v>
      </c>
      <c r="F37" s="36" t="s">
        <v>71</v>
      </c>
      <c r="G37" s="36" t="s">
        <v>71</v>
      </c>
      <c r="H37" s="36" t="s">
        <v>71</v>
      </c>
      <c r="I37" s="36" t="s">
        <v>71</v>
      </c>
      <c r="J37" s="36" t="s">
        <v>71</v>
      </c>
      <c r="K37" s="36" t="s">
        <v>71</v>
      </c>
      <c r="L37" s="36" t="s">
        <v>71</v>
      </c>
      <c r="M37" s="36" t="s">
        <v>71</v>
      </c>
      <c r="N37" s="36" t="s">
        <v>71</v>
      </c>
      <c r="O37" s="36" t="s">
        <v>71</v>
      </c>
      <c r="P37" s="36" t="s">
        <v>71</v>
      </c>
      <c r="Q37" s="36" t="s">
        <v>71</v>
      </c>
      <c r="R37" s="36" t="s">
        <v>71</v>
      </c>
      <c r="S37" s="36" t="s">
        <v>71</v>
      </c>
      <c r="T37" s="36" t="s">
        <v>71</v>
      </c>
      <c r="U37" s="36" t="s">
        <v>71</v>
      </c>
      <c r="V37" s="36" t="s">
        <v>71</v>
      </c>
      <c r="W37" s="36" t="s">
        <v>71</v>
      </c>
      <c r="X37" s="36" t="s">
        <v>71</v>
      </c>
      <c r="Y37" s="36" t="s">
        <v>71</v>
      </c>
      <c r="Z37" s="36" t="s">
        <v>71</v>
      </c>
      <c r="AA37" s="36" t="s">
        <v>71</v>
      </c>
      <c r="AB37" s="36" t="s">
        <v>71</v>
      </c>
      <c r="AC37" s="36" t="s">
        <v>71</v>
      </c>
      <c r="AD37" s="36" t="s">
        <v>71</v>
      </c>
      <c r="AE37" s="36">
        <v>1</v>
      </c>
      <c r="AF37" s="36">
        <v>1</v>
      </c>
      <c r="AG37" s="36">
        <v>1</v>
      </c>
      <c r="AH37" s="36">
        <v>1</v>
      </c>
      <c r="AI37" s="36">
        <v>1</v>
      </c>
      <c r="AJ37" s="25" t="s">
        <v>33</v>
      </c>
      <c r="AL37" t="str">
        <f t="shared" si="0"/>
        <v xml:space="preserve">    (U1)ALERT_REQ_UNKNOWN</v>
      </c>
      <c r="AR37" s="64" t="str">
        <f t="shared" si="3"/>
        <v xml:space="preserve">    (U4)0x0000001FU                                                            /* 31 UNKNOWN                                         */</v>
      </c>
      <c r="AS37" s="64" t="str">
        <f t="shared" si="4"/>
        <v xml:space="preserve">    (U4)0x0000001FU                                                            /* 31 UNKNOWN                                         */</v>
      </c>
      <c r="AT37" s="64" t="str">
        <f t="shared" si="1"/>
        <v xml:space="preserve">    (U1)ALERT_REQ_UNKNOWN                                                      /* 31 UNKNOWN                                         */</v>
      </c>
    </row>
    <row r="38" spans="2:46">
      <c r="B38" s="131"/>
      <c r="C38" s="50">
        <f t="shared" si="2"/>
        <v>32</v>
      </c>
      <c r="D38" s="36" t="s">
        <v>71</v>
      </c>
      <c r="E38" s="36" t="s">
        <v>71</v>
      </c>
      <c r="F38" s="36" t="s">
        <v>71</v>
      </c>
      <c r="G38" s="36" t="s">
        <v>71</v>
      </c>
      <c r="H38" s="36" t="s">
        <v>71</v>
      </c>
      <c r="I38" s="36" t="s">
        <v>71</v>
      </c>
      <c r="J38" s="36" t="s">
        <v>71</v>
      </c>
      <c r="K38" s="36" t="s">
        <v>71</v>
      </c>
      <c r="L38" s="36" t="s">
        <v>71</v>
      </c>
      <c r="M38" s="36" t="s">
        <v>71</v>
      </c>
      <c r="N38" s="36" t="s">
        <v>71</v>
      </c>
      <c r="O38" s="36" t="s">
        <v>71</v>
      </c>
      <c r="P38" s="36" t="s">
        <v>71</v>
      </c>
      <c r="Q38" s="36" t="s">
        <v>71</v>
      </c>
      <c r="R38" s="36" t="s">
        <v>71</v>
      </c>
      <c r="S38" s="36" t="s">
        <v>71</v>
      </c>
      <c r="T38" s="36" t="s">
        <v>71</v>
      </c>
      <c r="U38" s="36" t="s">
        <v>71</v>
      </c>
      <c r="V38" s="36" t="s">
        <v>71</v>
      </c>
      <c r="W38" s="36" t="s">
        <v>71</v>
      </c>
      <c r="X38" s="36" t="s">
        <v>71</v>
      </c>
      <c r="Y38" s="36" t="s">
        <v>71</v>
      </c>
      <c r="Z38" s="36" t="s">
        <v>71</v>
      </c>
      <c r="AA38" s="36" t="s">
        <v>71</v>
      </c>
      <c r="AB38" s="36" t="s">
        <v>71</v>
      </c>
      <c r="AC38" s="36" t="s">
        <v>71</v>
      </c>
      <c r="AD38" s="36" t="s">
        <v>71</v>
      </c>
      <c r="AE38" s="36" t="s">
        <v>71</v>
      </c>
      <c r="AF38" s="36" t="s">
        <v>71</v>
      </c>
      <c r="AG38" s="36" t="s">
        <v>71</v>
      </c>
      <c r="AH38" s="36" t="s">
        <v>71</v>
      </c>
      <c r="AI38" s="36" t="s">
        <v>71</v>
      </c>
      <c r="AJ38" s="25"/>
      <c r="AL38" t="str">
        <f t="shared" ca="1" si="0"/>
        <v xml:space="preserve">    (U1)ALERT_REQ_H_XMGRIP_PD_</v>
      </c>
      <c r="AR38" s="64" t="str">
        <f t="shared" si="3"/>
        <v>};</v>
      </c>
      <c r="AS38" s="64" t="str">
        <f t="shared" si="4"/>
        <v>};</v>
      </c>
      <c r="AT38" s="64" t="str">
        <f t="shared" si="1"/>
        <v>};</v>
      </c>
    </row>
    <row r="39" spans="2:46">
      <c r="B39" s="131"/>
      <c r="C39" s="50">
        <f t="shared" si="2"/>
        <v>33</v>
      </c>
      <c r="D39" s="36" t="s">
        <v>71</v>
      </c>
      <c r="E39" s="36" t="s">
        <v>71</v>
      </c>
      <c r="F39" s="36" t="s">
        <v>71</v>
      </c>
      <c r="G39" s="36" t="s">
        <v>71</v>
      </c>
      <c r="H39" s="36" t="s">
        <v>71</v>
      </c>
      <c r="I39" s="36" t="s">
        <v>71</v>
      </c>
      <c r="J39" s="36" t="s">
        <v>71</v>
      </c>
      <c r="K39" s="36" t="s">
        <v>71</v>
      </c>
      <c r="L39" s="36" t="s">
        <v>71</v>
      </c>
      <c r="M39" s="36" t="s">
        <v>71</v>
      </c>
      <c r="N39" s="36" t="s">
        <v>71</v>
      </c>
      <c r="O39" s="36" t="s">
        <v>71</v>
      </c>
      <c r="P39" s="36" t="s">
        <v>71</v>
      </c>
      <c r="Q39" s="36" t="s">
        <v>71</v>
      </c>
      <c r="R39" s="36" t="s">
        <v>71</v>
      </c>
      <c r="S39" s="36" t="s">
        <v>71</v>
      </c>
      <c r="T39" s="36" t="s">
        <v>71</v>
      </c>
      <c r="U39" s="36" t="s">
        <v>71</v>
      </c>
      <c r="V39" s="36" t="s">
        <v>71</v>
      </c>
      <c r="W39" s="36" t="s">
        <v>71</v>
      </c>
      <c r="X39" s="36" t="s">
        <v>71</v>
      </c>
      <c r="Y39" s="36" t="s">
        <v>71</v>
      </c>
      <c r="Z39" s="36" t="s">
        <v>71</v>
      </c>
      <c r="AA39" s="36" t="s">
        <v>71</v>
      </c>
      <c r="AB39" s="36" t="s">
        <v>71</v>
      </c>
      <c r="AC39" s="36" t="s">
        <v>71</v>
      </c>
      <c r="AD39" s="36" t="s">
        <v>71</v>
      </c>
      <c r="AE39" s="36" t="s">
        <v>71</v>
      </c>
      <c r="AF39" s="36" t="s">
        <v>71</v>
      </c>
      <c r="AG39" s="36" t="s">
        <v>71</v>
      </c>
      <c r="AH39" s="36" t="s">
        <v>71</v>
      </c>
      <c r="AI39" s="36" t="s">
        <v>71</v>
      </c>
      <c r="AJ39" s="25"/>
      <c r="AL39" t="str">
        <f t="shared" ca="1" si="0"/>
        <v xml:space="preserve">    (U1)ALERT_REQ_H_XMGRIP_PD_</v>
      </c>
      <c r="AR39" s="64" t="str">
        <f t="shared" si="3"/>
        <v/>
      </c>
      <c r="AS39" s="64" t="str">
        <f t="shared" si="4"/>
        <v/>
      </c>
      <c r="AT39" s="64" t="str">
        <f t="shared" si="1"/>
        <v/>
      </c>
    </row>
    <row r="40" spans="2:46">
      <c r="B40" s="131"/>
      <c r="C40" s="50">
        <f t="shared" si="2"/>
        <v>34</v>
      </c>
      <c r="D40" s="36" t="s">
        <v>71</v>
      </c>
      <c r="E40" s="36" t="s">
        <v>71</v>
      </c>
      <c r="F40" s="36" t="s">
        <v>71</v>
      </c>
      <c r="G40" s="36" t="s">
        <v>71</v>
      </c>
      <c r="H40" s="36" t="s">
        <v>71</v>
      </c>
      <c r="I40" s="36" t="s">
        <v>71</v>
      </c>
      <c r="J40" s="36" t="s">
        <v>71</v>
      </c>
      <c r="K40" s="36" t="s">
        <v>71</v>
      </c>
      <c r="L40" s="36" t="s">
        <v>71</v>
      </c>
      <c r="M40" s="36" t="s">
        <v>71</v>
      </c>
      <c r="N40" s="36" t="s">
        <v>71</v>
      </c>
      <c r="O40" s="36" t="s">
        <v>71</v>
      </c>
      <c r="P40" s="36" t="s">
        <v>71</v>
      </c>
      <c r="Q40" s="36" t="s">
        <v>71</v>
      </c>
      <c r="R40" s="36" t="s">
        <v>71</v>
      </c>
      <c r="S40" s="36" t="s">
        <v>71</v>
      </c>
      <c r="T40" s="36" t="s">
        <v>71</v>
      </c>
      <c r="U40" s="36" t="s">
        <v>71</v>
      </c>
      <c r="V40" s="36" t="s">
        <v>71</v>
      </c>
      <c r="W40" s="36" t="s">
        <v>71</v>
      </c>
      <c r="X40" s="36" t="s">
        <v>71</v>
      </c>
      <c r="Y40" s="36" t="s">
        <v>71</v>
      </c>
      <c r="Z40" s="36" t="s">
        <v>71</v>
      </c>
      <c r="AA40" s="36" t="s">
        <v>71</v>
      </c>
      <c r="AB40" s="36" t="s">
        <v>71</v>
      </c>
      <c r="AC40" s="36" t="s">
        <v>71</v>
      </c>
      <c r="AD40" s="36" t="s">
        <v>71</v>
      </c>
      <c r="AE40" s="36" t="s">
        <v>71</v>
      </c>
      <c r="AF40" s="36" t="s">
        <v>71</v>
      </c>
      <c r="AG40" s="36" t="s">
        <v>71</v>
      </c>
      <c r="AH40" s="36" t="s">
        <v>71</v>
      </c>
      <c r="AI40" s="36" t="s">
        <v>71</v>
      </c>
      <c r="AJ40" s="25"/>
      <c r="AL40" t="str">
        <f t="shared" ca="1" si="0"/>
        <v xml:space="preserve">    (U1)ALERT_REQ_H_XMGRIP_PD_</v>
      </c>
      <c r="AR40" s="64" t="str">
        <f t="shared" si="3"/>
        <v/>
      </c>
      <c r="AS40" s="64" t="str">
        <f t="shared" si="4"/>
        <v/>
      </c>
      <c r="AT40" s="64" t="str">
        <f t="shared" si="1"/>
        <v/>
      </c>
    </row>
    <row r="41" spans="2:46">
      <c r="B41" s="131"/>
      <c r="C41" s="50">
        <f t="shared" si="2"/>
        <v>35</v>
      </c>
      <c r="D41" s="36" t="s">
        <v>71</v>
      </c>
      <c r="E41" s="36" t="s">
        <v>71</v>
      </c>
      <c r="F41" s="36" t="s">
        <v>71</v>
      </c>
      <c r="G41" s="36" t="s">
        <v>71</v>
      </c>
      <c r="H41" s="36" t="s">
        <v>71</v>
      </c>
      <c r="I41" s="36" t="s">
        <v>71</v>
      </c>
      <c r="J41" s="36" t="s">
        <v>71</v>
      </c>
      <c r="K41" s="36" t="s">
        <v>71</v>
      </c>
      <c r="L41" s="36" t="s">
        <v>71</v>
      </c>
      <c r="M41" s="36" t="s">
        <v>71</v>
      </c>
      <c r="N41" s="36" t="s">
        <v>71</v>
      </c>
      <c r="O41" s="36" t="s">
        <v>71</v>
      </c>
      <c r="P41" s="36" t="s">
        <v>71</v>
      </c>
      <c r="Q41" s="36" t="s">
        <v>71</v>
      </c>
      <c r="R41" s="36" t="s">
        <v>71</v>
      </c>
      <c r="S41" s="36" t="s">
        <v>71</v>
      </c>
      <c r="T41" s="36" t="s">
        <v>71</v>
      </c>
      <c r="U41" s="36" t="s">
        <v>71</v>
      </c>
      <c r="V41" s="36" t="s">
        <v>71</v>
      </c>
      <c r="W41" s="36" t="s">
        <v>71</v>
      </c>
      <c r="X41" s="36" t="s">
        <v>71</v>
      </c>
      <c r="Y41" s="36" t="s">
        <v>71</v>
      </c>
      <c r="Z41" s="36" t="s">
        <v>71</v>
      </c>
      <c r="AA41" s="36" t="s">
        <v>71</v>
      </c>
      <c r="AB41" s="36" t="s">
        <v>71</v>
      </c>
      <c r="AC41" s="36" t="s">
        <v>71</v>
      </c>
      <c r="AD41" s="36" t="s">
        <v>71</v>
      </c>
      <c r="AE41" s="36" t="s">
        <v>71</v>
      </c>
      <c r="AF41" s="36" t="s">
        <v>71</v>
      </c>
      <c r="AG41" s="36" t="s">
        <v>71</v>
      </c>
      <c r="AH41" s="36" t="s">
        <v>71</v>
      </c>
      <c r="AI41" s="36" t="s">
        <v>71</v>
      </c>
      <c r="AJ41" s="25"/>
      <c r="AL41" t="str">
        <f t="shared" ca="1" si="0"/>
        <v xml:space="preserve">    (U1)ALERT_REQ_H_XMGRIP_PD_</v>
      </c>
      <c r="AR41" s="64" t="str">
        <f t="shared" si="3"/>
        <v/>
      </c>
      <c r="AS41" s="64" t="str">
        <f t="shared" si="4"/>
        <v/>
      </c>
      <c r="AT41" s="64" t="str">
        <f t="shared" si="1"/>
        <v/>
      </c>
    </row>
    <row r="42" spans="2:46">
      <c r="B42" s="131"/>
      <c r="C42" s="50">
        <f t="shared" si="2"/>
        <v>36</v>
      </c>
      <c r="D42" s="36" t="s">
        <v>71</v>
      </c>
      <c r="E42" s="36" t="s">
        <v>71</v>
      </c>
      <c r="F42" s="36" t="s">
        <v>71</v>
      </c>
      <c r="G42" s="36" t="s">
        <v>71</v>
      </c>
      <c r="H42" s="36" t="s">
        <v>71</v>
      </c>
      <c r="I42" s="36" t="s">
        <v>71</v>
      </c>
      <c r="J42" s="36" t="s">
        <v>71</v>
      </c>
      <c r="K42" s="36" t="s">
        <v>71</v>
      </c>
      <c r="L42" s="36" t="s">
        <v>71</v>
      </c>
      <c r="M42" s="36" t="s">
        <v>71</v>
      </c>
      <c r="N42" s="36" t="s">
        <v>71</v>
      </c>
      <c r="O42" s="36" t="s">
        <v>71</v>
      </c>
      <c r="P42" s="36" t="s">
        <v>71</v>
      </c>
      <c r="Q42" s="36" t="s">
        <v>71</v>
      </c>
      <c r="R42" s="36" t="s">
        <v>71</v>
      </c>
      <c r="S42" s="36" t="s">
        <v>71</v>
      </c>
      <c r="T42" s="36" t="s">
        <v>71</v>
      </c>
      <c r="U42" s="36" t="s">
        <v>71</v>
      </c>
      <c r="V42" s="36" t="s">
        <v>71</v>
      </c>
      <c r="W42" s="36" t="s">
        <v>71</v>
      </c>
      <c r="X42" s="36" t="s">
        <v>71</v>
      </c>
      <c r="Y42" s="36" t="s">
        <v>71</v>
      </c>
      <c r="Z42" s="36" t="s">
        <v>71</v>
      </c>
      <c r="AA42" s="36" t="s">
        <v>71</v>
      </c>
      <c r="AB42" s="36" t="s">
        <v>71</v>
      </c>
      <c r="AC42" s="36" t="s">
        <v>71</v>
      </c>
      <c r="AD42" s="36" t="s">
        <v>71</v>
      </c>
      <c r="AE42" s="36" t="s">
        <v>71</v>
      </c>
      <c r="AF42" s="36" t="s">
        <v>71</v>
      </c>
      <c r="AG42" s="36" t="s">
        <v>71</v>
      </c>
      <c r="AH42" s="36" t="s">
        <v>71</v>
      </c>
      <c r="AI42" s="36" t="s">
        <v>71</v>
      </c>
      <c r="AJ42" s="25"/>
      <c r="AL42" t="str">
        <f t="shared" ca="1" si="0"/>
        <v xml:space="preserve">    (U1)ALERT_REQ_H_XMGRIP_PD_</v>
      </c>
      <c r="AR42" s="64" t="str">
        <f t="shared" si="3"/>
        <v/>
      </c>
      <c r="AS42" s="64" t="str">
        <f t="shared" si="4"/>
        <v/>
      </c>
      <c r="AT42" s="64" t="str">
        <f t="shared" si="1"/>
        <v/>
      </c>
    </row>
    <row r="43" spans="2:46">
      <c r="B43" s="131"/>
      <c r="C43" s="50">
        <f t="shared" si="2"/>
        <v>37</v>
      </c>
      <c r="D43" s="36" t="s">
        <v>71</v>
      </c>
      <c r="E43" s="36" t="s">
        <v>71</v>
      </c>
      <c r="F43" s="36" t="s">
        <v>71</v>
      </c>
      <c r="G43" s="36" t="s">
        <v>71</v>
      </c>
      <c r="H43" s="36" t="s">
        <v>71</v>
      </c>
      <c r="I43" s="36" t="s">
        <v>71</v>
      </c>
      <c r="J43" s="36" t="s">
        <v>71</v>
      </c>
      <c r="K43" s="36" t="s">
        <v>71</v>
      </c>
      <c r="L43" s="36" t="s">
        <v>71</v>
      </c>
      <c r="M43" s="36" t="s">
        <v>71</v>
      </c>
      <c r="N43" s="36" t="s">
        <v>71</v>
      </c>
      <c r="O43" s="36" t="s">
        <v>71</v>
      </c>
      <c r="P43" s="36" t="s">
        <v>71</v>
      </c>
      <c r="Q43" s="36" t="s">
        <v>71</v>
      </c>
      <c r="R43" s="36" t="s">
        <v>71</v>
      </c>
      <c r="S43" s="36" t="s">
        <v>71</v>
      </c>
      <c r="T43" s="36" t="s">
        <v>71</v>
      </c>
      <c r="U43" s="36" t="s">
        <v>71</v>
      </c>
      <c r="V43" s="36" t="s">
        <v>71</v>
      </c>
      <c r="W43" s="36" t="s">
        <v>71</v>
      </c>
      <c r="X43" s="36" t="s">
        <v>71</v>
      </c>
      <c r="Y43" s="36" t="s">
        <v>71</v>
      </c>
      <c r="Z43" s="36" t="s">
        <v>71</v>
      </c>
      <c r="AA43" s="36" t="s">
        <v>71</v>
      </c>
      <c r="AB43" s="36" t="s">
        <v>71</v>
      </c>
      <c r="AC43" s="36" t="s">
        <v>71</v>
      </c>
      <c r="AD43" s="36" t="s">
        <v>71</v>
      </c>
      <c r="AE43" s="36" t="s">
        <v>71</v>
      </c>
      <c r="AF43" s="36" t="s">
        <v>71</v>
      </c>
      <c r="AG43" s="36" t="s">
        <v>71</v>
      </c>
      <c r="AH43" s="36" t="s">
        <v>71</v>
      </c>
      <c r="AI43" s="36" t="s">
        <v>71</v>
      </c>
      <c r="AJ43" s="25"/>
      <c r="AL43" t="str">
        <f t="shared" ca="1" si="0"/>
        <v xml:space="preserve">    (U1)ALERT_REQ_H_XMGRIP_PD_</v>
      </c>
      <c r="AR43" s="64" t="str">
        <f t="shared" si="3"/>
        <v/>
      </c>
      <c r="AS43" s="64" t="str">
        <f t="shared" si="4"/>
        <v/>
      </c>
      <c r="AT43" s="64" t="str">
        <f t="shared" si="1"/>
        <v/>
      </c>
    </row>
    <row r="44" spans="2:46">
      <c r="B44" s="131"/>
      <c r="C44" s="50">
        <f t="shared" si="2"/>
        <v>38</v>
      </c>
      <c r="D44" s="36" t="s">
        <v>71</v>
      </c>
      <c r="E44" s="36" t="s">
        <v>71</v>
      </c>
      <c r="F44" s="36" t="s">
        <v>71</v>
      </c>
      <c r="G44" s="36" t="s">
        <v>71</v>
      </c>
      <c r="H44" s="36" t="s">
        <v>71</v>
      </c>
      <c r="I44" s="36" t="s">
        <v>71</v>
      </c>
      <c r="J44" s="36" t="s">
        <v>71</v>
      </c>
      <c r="K44" s="36" t="s">
        <v>71</v>
      </c>
      <c r="L44" s="36" t="s">
        <v>71</v>
      </c>
      <c r="M44" s="36" t="s">
        <v>71</v>
      </c>
      <c r="N44" s="36" t="s">
        <v>71</v>
      </c>
      <c r="O44" s="36" t="s">
        <v>71</v>
      </c>
      <c r="P44" s="36" t="s">
        <v>71</v>
      </c>
      <c r="Q44" s="36" t="s">
        <v>71</v>
      </c>
      <c r="R44" s="36" t="s">
        <v>71</v>
      </c>
      <c r="S44" s="36" t="s">
        <v>71</v>
      </c>
      <c r="T44" s="36" t="s">
        <v>71</v>
      </c>
      <c r="U44" s="36" t="s">
        <v>71</v>
      </c>
      <c r="V44" s="36" t="s">
        <v>71</v>
      </c>
      <c r="W44" s="36" t="s">
        <v>71</v>
      </c>
      <c r="X44" s="36" t="s">
        <v>71</v>
      </c>
      <c r="Y44" s="36" t="s">
        <v>71</v>
      </c>
      <c r="Z44" s="36" t="s">
        <v>71</v>
      </c>
      <c r="AA44" s="36" t="s">
        <v>71</v>
      </c>
      <c r="AB44" s="36" t="s">
        <v>71</v>
      </c>
      <c r="AC44" s="36" t="s">
        <v>71</v>
      </c>
      <c r="AD44" s="36" t="s">
        <v>71</v>
      </c>
      <c r="AE44" s="36" t="s">
        <v>71</v>
      </c>
      <c r="AF44" s="36" t="s">
        <v>71</v>
      </c>
      <c r="AG44" s="36" t="s">
        <v>71</v>
      </c>
      <c r="AH44" s="36" t="s">
        <v>71</v>
      </c>
      <c r="AI44" s="36" t="s">
        <v>71</v>
      </c>
      <c r="AJ44" s="25"/>
      <c r="AL44" t="str">
        <f t="shared" ca="1" si="0"/>
        <v xml:space="preserve">    (U1)ALERT_REQ_H_XMGRIP_PD_</v>
      </c>
      <c r="AR44" s="64" t="str">
        <f t="shared" si="3"/>
        <v/>
      </c>
      <c r="AS44" s="64" t="str">
        <f t="shared" si="4"/>
        <v/>
      </c>
      <c r="AT44" s="64" t="str">
        <f t="shared" si="1"/>
        <v/>
      </c>
    </row>
    <row r="45" spans="2:46">
      <c r="B45" s="131"/>
      <c r="C45" s="50">
        <f t="shared" si="2"/>
        <v>39</v>
      </c>
      <c r="D45" s="36" t="s">
        <v>71</v>
      </c>
      <c r="E45" s="36" t="s">
        <v>71</v>
      </c>
      <c r="F45" s="36" t="s">
        <v>71</v>
      </c>
      <c r="G45" s="36" t="s">
        <v>71</v>
      </c>
      <c r="H45" s="36" t="s">
        <v>71</v>
      </c>
      <c r="I45" s="36" t="s">
        <v>71</v>
      </c>
      <c r="J45" s="36" t="s">
        <v>71</v>
      </c>
      <c r="K45" s="36" t="s">
        <v>71</v>
      </c>
      <c r="L45" s="36" t="s">
        <v>71</v>
      </c>
      <c r="M45" s="36" t="s">
        <v>71</v>
      </c>
      <c r="N45" s="36" t="s">
        <v>71</v>
      </c>
      <c r="O45" s="36" t="s">
        <v>71</v>
      </c>
      <c r="P45" s="36" t="s">
        <v>71</v>
      </c>
      <c r="Q45" s="36" t="s">
        <v>71</v>
      </c>
      <c r="R45" s="36" t="s">
        <v>71</v>
      </c>
      <c r="S45" s="36" t="s">
        <v>71</v>
      </c>
      <c r="T45" s="36" t="s">
        <v>71</v>
      </c>
      <c r="U45" s="36" t="s">
        <v>71</v>
      </c>
      <c r="V45" s="36" t="s">
        <v>71</v>
      </c>
      <c r="W45" s="36" t="s">
        <v>71</v>
      </c>
      <c r="X45" s="36" t="s">
        <v>71</v>
      </c>
      <c r="Y45" s="36" t="s">
        <v>71</v>
      </c>
      <c r="Z45" s="36" t="s">
        <v>71</v>
      </c>
      <c r="AA45" s="36" t="s">
        <v>71</v>
      </c>
      <c r="AB45" s="36" t="s">
        <v>71</v>
      </c>
      <c r="AC45" s="36" t="s">
        <v>71</v>
      </c>
      <c r="AD45" s="36" t="s">
        <v>71</v>
      </c>
      <c r="AE45" s="36" t="s">
        <v>71</v>
      </c>
      <c r="AF45" s="36" t="s">
        <v>71</v>
      </c>
      <c r="AG45" s="36" t="s">
        <v>71</v>
      </c>
      <c r="AH45" s="36" t="s">
        <v>71</v>
      </c>
      <c r="AI45" s="36" t="s">
        <v>71</v>
      </c>
      <c r="AJ45" s="25"/>
      <c r="AL45" t="str">
        <f t="shared" ca="1" si="0"/>
        <v xml:space="preserve">    (U1)ALERT_REQ_H_XMGRIP_PD_</v>
      </c>
      <c r="AR45" s="64" t="str">
        <f t="shared" si="3"/>
        <v/>
      </c>
      <c r="AS45" s="64" t="str">
        <f t="shared" si="4"/>
        <v/>
      </c>
      <c r="AT45" s="64" t="str">
        <f t="shared" si="1"/>
        <v/>
      </c>
    </row>
    <row r="46" spans="2:46">
      <c r="B46" s="131"/>
      <c r="C46" s="50">
        <f t="shared" si="2"/>
        <v>40</v>
      </c>
      <c r="D46" s="36" t="s">
        <v>71</v>
      </c>
      <c r="E46" s="36" t="s">
        <v>71</v>
      </c>
      <c r="F46" s="36" t="s">
        <v>71</v>
      </c>
      <c r="G46" s="36" t="s">
        <v>71</v>
      </c>
      <c r="H46" s="36" t="s">
        <v>71</v>
      </c>
      <c r="I46" s="36" t="s">
        <v>71</v>
      </c>
      <c r="J46" s="36" t="s">
        <v>71</v>
      </c>
      <c r="K46" s="36" t="s">
        <v>71</v>
      </c>
      <c r="L46" s="36" t="s">
        <v>71</v>
      </c>
      <c r="M46" s="36" t="s">
        <v>71</v>
      </c>
      <c r="N46" s="36" t="s">
        <v>71</v>
      </c>
      <c r="O46" s="36" t="s">
        <v>71</v>
      </c>
      <c r="P46" s="36" t="s">
        <v>71</v>
      </c>
      <c r="Q46" s="36" t="s">
        <v>71</v>
      </c>
      <c r="R46" s="36" t="s">
        <v>71</v>
      </c>
      <c r="S46" s="36" t="s">
        <v>71</v>
      </c>
      <c r="T46" s="36" t="s">
        <v>71</v>
      </c>
      <c r="U46" s="36" t="s">
        <v>71</v>
      </c>
      <c r="V46" s="36" t="s">
        <v>71</v>
      </c>
      <c r="W46" s="36" t="s">
        <v>71</v>
      </c>
      <c r="X46" s="36" t="s">
        <v>71</v>
      </c>
      <c r="Y46" s="36" t="s">
        <v>71</v>
      </c>
      <c r="Z46" s="36" t="s">
        <v>71</v>
      </c>
      <c r="AA46" s="36" t="s">
        <v>71</v>
      </c>
      <c r="AB46" s="36" t="s">
        <v>71</v>
      </c>
      <c r="AC46" s="36" t="s">
        <v>71</v>
      </c>
      <c r="AD46" s="36" t="s">
        <v>71</v>
      </c>
      <c r="AE46" s="36" t="s">
        <v>71</v>
      </c>
      <c r="AF46" s="36" t="s">
        <v>71</v>
      </c>
      <c r="AG46" s="36" t="s">
        <v>71</v>
      </c>
      <c r="AH46" s="36" t="s">
        <v>71</v>
      </c>
      <c r="AI46" s="36" t="s">
        <v>71</v>
      </c>
      <c r="AJ46" s="25"/>
      <c r="AL46" t="str">
        <f t="shared" ca="1" si="0"/>
        <v xml:space="preserve">    (U1)ALERT_REQ_H_XMGRIP_PD_</v>
      </c>
      <c r="AR46" s="64" t="str">
        <f t="shared" si="3"/>
        <v/>
      </c>
      <c r="AS46" s="64" t="str">
        <f t="shared" si="4"/>
        <v/>
      </c>
      <c r="AT46" s="64" t="str">
        <f t="shared" si="1"/>
        <v/>
      </c>
    </row>
    <row r="47" spans="2:46">
      <c r="B47" s="131"/>
      <c r="C47" s="50">
        <f t="shared" si="2"/>
        <v>41</v>
      </c>
      <c r="D47" s="36" t="s">
        <v>71</v>
      </c>
      <c r="E47" s="36" t="s">
        <v>71</v>
      </c>
      <c r="F47" s="36" t="s">
        <v>71</v>
      </c>
      <c r="G47" s="36" t="s">
        <v>71</v>
      </c>
      <c r="H47" s="36" t="s">
        <v>71</v>
      </c>
      <c r="I47" s="36" t="s">
        <v>71</v>
      </c>
      <c r="J47" s="36" t="s">
        <v>71</v>
      </c>
      <c r="K47" s="36" t="s">
        <v>71</v>
      </c>
      <c r="L47" s="36" t="s">
        <v>71</v>
      </c>
      <c r="M47" s="36" t="s">
        <v>71</v>
      </c>
      <c r="N47" s="36" t="s">
        <v>71</v>
      </c>
      <c r="O47" s="36" t="s">
        <v>71</v>
      </c>
      <c r="P47" s="36" t="s">
        <v>71</v>
      </c>
      <c r="Q47" s="36" t="s">
        <v>71</v>
      </c>
      <c r="R47" s="36" t="s">
        <v>71</v>
      </c>
      <c r="S47" s="36" t="s">
        <v>71</v>
      </c>
      <c r="T47" s="36" t="s">
        <v>71</v>
      </c>
      <c r="U47" s="36" t="s">
        <v>71</v>
      </c>
      <c r="V47" s="36" t="s">
        <v>71</v>
      </c>
      <c r="W47" s="36" t="s">
        <v>71</v>
      </c>
      <c r="X47" s="36" t="s">
        <v>71</v>
      </c>
      <c r="Y47" s="36" t="s">
        <v>71</v>
      </c>
      <c r="Z47" s="36" t="s">
        <v>71</v>
      </c>
      <c r="AA47" s="36" t="s">
        <v>71</v>
      </c>
      <c r="AB47" s="36" t="s">
        <v>71</v>
      </c>
      <c r="AC47" s="36" t="s">
        <v>71</v>
      </c>
      <c r="AD47" s="36" t="s">
        <v>71</v>
      </c>
      <c r="AE47" s="36" t="s">
        <v>71</v>
      </c>
      <c r="AF47" s="36" t="s">
        <v>71</v>
      </c>
      <c r="AG47" s="36" t="s">
        <v>71</v>
      </c>
      <c r="AH47" s="36" t="s">
        <v>71</v>
      </c>
      <c r="AI47" s="36" t="s">
        <v>71</v>
      </c>
      <c r="AJ47" s="25"/>
      <c r="AL47" t="str">
        <f t="shared" ca="1" si="0"/>
        <v xml:space="preserve">    (U1)ALERT_REQ_H_XMGRIP_PD_</v>
      </c>
      <c r="AR47" s="64" t="str">
        <f t="shared" si="3"/>
        <v/>
      </c>
      <c r="AS47" s="64" t="str">
        <f t="shared" si="4"/>
        <v/>
      </c>
      <c r="AT47" s="64" t="str">
        <f t="shared" si="1"/>
        <v/>
      </c>
    </row>
    <row r="48" spans="2:46">
      <c r="B48" s="131"/>
      <c r="C48" s="50">
        <f t="shared" si="2"/>
        <v>42</v>
      </c>
      <c r="D48" s="36" t="s">
        <v>71</v>
      </c>
      <c r="E48" s="36" t="s">
        <v>71</v>
      </c>
      <c r="F48" s="36" t="s">
        <v>71</v>
      </c>
      <c r="G48" s="36" t="s">
        <v>71</v>
      </c>
      <c r="H48" s="36" t="s">
        <v>71</v>
      </c>
      <c r="I48" s="36" t="s">
        <v>71</v>
      </c>
      <c r="J48" s="36" t="s">
        <v>71</v>
      </c>
      <c r="K48" s="36" t="s">
        <v>71</v>
      </c>
      <c r="L48" s="36" t="s">
        <v>71</v>
      </c>
      <c r="M48" s="36" t="s">
        <v>71</v>
      </c>
      <c r="N48" s="36" t="s">
        <v>71</v>
      </c>
      <c r="O48" s="36" t="s">
        <v>71</v>
      </c>
      <c r="P48" s="36" t="s">
        <v>71</v>
      </c>
      <c r="Q48" s="36" t="s">
        <v>71</v>
      </c>
      <c r="R48" s="36" t="s">
        <v>71</v>
      </c>
      <c r="S48" s="36" t="s">
        <v>71</v>
      </c>
      <c r="T48" s="36" t="s">
        <v>71</v>
      </c>
      <c r="U48" s="36" t="s">
        <v>71</v>
      </c>
      <c r="V48" s="36" t="s">
        <v>71</v>
      </c>
      <c r="W48" s="36" t="s">
        <v>71</v>
      </c>
      <c r="X48" s="36" t="s">
        <v>71</v>
      </c>
      <c r="Y48" s="36" t="s">
        <v>71</v>
      </c>
      <c r="Z48" s="36" t="s">
        <v>71</v>
      </c>
      <c r="AA48" s="36" t="s">
        <v>71</v>
      </c>
      <c r="AB48" s="36" t="s">
        <v>71</v>
      </c>
      <c r="AC48" s="36" t="s">
        <v>71</v>
      </c>
      <c r="AD48" s="36" t="s">
        <v>71</v>
      </c>
      <c r="AE48" s="36" t="s">
        <v>71</v>
      </c>
      <c r="AF48" s="36" t="s">
        <v>71</v>
      </c>
      <c r="AG48" s="36" t="s">
        <v>71</v>
      </c>
      <c r="AH48" s="36" t="s">
        <v>71</v>
      </c>
      <c r="AI48" s="36" t="s">
        <v>71</v>
      </c>
      <c r="AJ48" s="25"/>
      <c r="AL48" t="str">
        <f t="shared" ca="1" si="0"/>
        <v xml:space="preserve">    (U1)ALERT_REQ_H_XMGRIP_PD_</v>
      </c>
      <c r="AR48" s="64" t="str">
        <f t="shared" si="3"/>
        <v/>
      </c>
      <c r="AS48" s="64" t="str">
        <f t="shared" si="4"/>
        <v/>
      </c>
      <c r="AT48" s="64" t="str">
        <f t="shared" si="1"/>
        <v/>
      </c>
    </row>
    <row r="49" spans="2:46">
      <c r="B49" s="131"/>
      <c r="C49" s="50">
        <f t="shared" si="2"/>
        <v>43</v>
      </c>
      <c r="D49" s="36" t="s">
        <v>71</v>
      </c>
      <c r="E49" s="36" t="s">
        <v>71</v>
      </c>
      <c r="F49" s="36" t="s">
        <v>71</v>
      </c>
      <c r="G49" s="36" t="s">
        <v>71</v>
      </c>
      <c r="H49" s="36" t="s">
        <v>71</v>
      </c>
      <c r="I49" s="36" t="s">
        <v>71</v>
      </c>
      <c r="J49" s="36" t="s">
        <v>71</v>
      </c>
      <c r="K49" s="36" t="s">
        <v>71</v>
      </c>
      <c r="L49" s="36" t="s">
        <v>71</v>
      </c>
      <c r="M49" s="36" t="s">
        <v>71</v>
      </c>
      <c r="N49" s="36" t="s">
        <v>71</v>
      </c>
      <c r="O49" s="36" t="s">
        <v>71</v>
      </c>
      <c r="P49" s="36" t="s">
        <v>71</v>
      </c>
      <c r="Q49" s="36" t="s">
        <v>71</v>
      </c>
      <c r="R49" s="36" t="s">
        <v>71</v>
      </c>
      <c r="S49" s="36" t="s">
        <v>71</v>
      </c>
      <c r="T49" s="36" t="s">
        <v>71</v>
      </c>
      <c r="U49" s="36" t="s">
        <v>71</v>
      </c>
      <c r="V49" s="36" t="s">
        <v>71</v>
      </c>
      <c r="W49" s="36" t="s">
        <v>71</v>
      </c>
      <c r="X49" s="36" t="s">
        <v>71</v>
      </c>
      <c r="Y49" s="36" t="s">
        <v>71</v>
      </c>
      <c r="Z49" s="36" t="s">
        <v>71</v>
      </c>
      <c r="AA49" s="36" t="s">
        <v>71</v>
      </c>
      <c r="AB49" s="36" t="s">
        <v>71</v>
      </c>
      <c r="AC49" s="36" t="s">
        <v>71</v>
      </c>
      <c r="AD49" s="36" t="s">
        <v>71</v>
      </c>
      <c r="AE49" s="36" t="s">
        <v>71</v>
      </c>
      <c r="AF49" s="36" t="s">
        <v>71</v>
      </c>
      <c r="AG49" s="36" t="s">
        <v>71</v>
      </c>
      <c r="AH49" s="36" t="s">
        <v>71</v>
      </c>
      <c r="AI49" s="36" t="s">
        <v>71</v>
      </c>
      <c r="AJ49" s="25"/>
      <c r="AL49" t="str">
        <f t="shared" ca="1" si="0"/>
        <v xml:space="preserve">    (U1)ALERT_REQ_H_XMGRIP_PD_</v>
      </c>
      <c r="AR49" s="64" t="str">
        <f t="shared" si="3"/>
        <v/>
      </c>
      <c r="AS49" s="64" t="str">
        <f t="shared" si="4"/>
        <v/>
      </c>
      <c r="AT49" s="64" t="str">
        <f t="shared" si="1"/>
        <v/>
      </c>
    </row>
    <row r="50" spans="2:46">
      <c r="B50" s="131"/>
      <c r="C50" s="50">
        <f t="shared" si="2"/>
        <v>44</v>
      </c>
      <c r="D50" s="36" t="s">
        <v>71</v>
      </c>
      <c r="E50" s="36" t="s">
        <v>71</v>
      </c>
      <c r="F50" s="36" t="s">
        <v>71</v>
      </c>
      <c r="G50" s="36" t="s">
        <v>71</v>
      </c>
      <c r="H50" s="36" t="s">
        <v>71</v>
      </c>
      <c r="I50" s="36" t="s">
        <v>71</v>
      </c>
      <c r="J50" s="36" t="s">
        <v>71</v>
      </c>
      <c r="K50" s="36" t="s">
        <v>71</v>
      </c>
      <c r="L50" s="36" t="s">
        <v>71</v>
      </c>
      <c r="M50" s="36" t="s">
        <v>71</v>
      </c>
      <c r="N50" s="36" t="s">
        <v>71</v>
      </c>
      <c r="O50" s="36" t="s">
        <v>71</v>
      </c>
      <c r="P50" s="36" t="s">
        <v>71</v>
      </c>
      <c r="Q50" s="36" t="s">
        <v>71</v>
      </c>
      <c r="R50" s="36" t="s">
        <v>71</v>
      </c>
      <c r="S50" s="36" t="s">
        <v>71</v>
      </c>
      <c r="T50" s="36" t="s">
        <v>71</v>
      </c>
      <c r="U50" s="36" t="s">
        <v>71</v>
      </c>
      <c r="V50" s="36" t="s">
        <v>71</v>
      </c>
      <c r="W50" s="36" t="s">
        <v>71</v>
      </c>
      <c r="X50" s="36" t="s">
        <v>71</v>
      </c>
      <c r="Y50" s="36" t="s">
        <v>71</v>
      </c>
      <c r="Z50" s="36" t="s">
        <v>71</v>
      </c>
      <c r="AA50" s="36" t="s">
        <v>71</v>
      </c>
      <c r="AB50" s="36" t="s">
        <v>71</v>
      </c>
      <c r="AC50" s="36" t="s">
        <v>71</v>
      </c>
      <c r="AD50" s="36" t="s">
        <v>71</v>
      </c>
      <c r="AE50" s="36" t="s">
        <v>71</v>
      </c>
      <c r="AF50" s="36" t="s">
        <v>71</v>
      </c>
      <c r="AG50" s="36" t="s">
        <v>71</v>
      </c>
      <c r="AH50" s="36" t="s">
        <v>71</v>
      </c>
      <c r="AI50" s="36" t="s">
        <v>71</v>
      </c>
      <c r="AJ50" s="25"/>
      <c r="AL50" t="str">
        <f t="shared" ca="1" si="0"/>
        <v xml:space="preserve">    (U1)ALERT_REQ_H_XMGRIP_PD_</v>
      </c>
      <c r="AR50" s="64" t="str">
        <f t="shared" si="3"/>
        <v/>
      </c>
      <c r="AS50" s="64" t="str">
        <f t="shared" si="4"/>
        <v/>
      </c>
      <c r="AT50" s="64" t="str">
        <f t="shared" si="1"/>
        <v/>
      </c>
    </row>
    <row r="51" spans="2:46">
      <c r="B51" s="131"/>
      <c r="C51" s="50">
        <f t="shared" si="2"/>
        <v>45</v>
      </c>
      <c r="D51" s="36" t="s">
        <v>71</v>
      </c>
      <c r="E51" s="36" t="s">
        <v>71</v>
      </c>
      <c r="F51" s="36" t="s">
        <v>71</v>
      </c>
      <c r="G51" s="36" t="s">
        <v>71</v>
      </c>
      <c r="H51" s="36" t="s">
        <v>71</v>
      </c>
      <c r="I51" s="36" t="s">
        <v>71</v>
      </c>
      <c r="J51" s="36" t="s">
        <v>71</v>
      </c>
      <c r="K51" s="36" t="s">
        <v>71</v>
      </c>
      <c r="L51" s="36" t="s">
        <v>71</v>
      </c>
      <c r="M51" s="36" t="s">
        <v>71</v>
      </c>
      <c r="N51" s="36" t="s">
        <v>71</v>
      </c>
      <c r="O51" s="36" t="s">
        <v>71</v>
      </c>
      <c r="P51" s="36" t="s">
        <v>71</v>
      </c>
      <c r="Q51" s="36" t="s">
        <v>71</v>
      </c>
      <c r="R51" s="36" t="s">
        <v>71</v>
      </c>
      <c r="S51" s="36" t="s">
        <v>71</v>
      </c>
      <c r="T51" s="36" t="s">
        <v>71</v>
      </c>
      <c r="U51" s="36" t="s">
        <v>71</v>
      </c>
      <c r="V51" s="36" t="s">
        <v>71</v>
      </c>
      <c r="W51" s="36" t="s">
        <v>71</v>
      </c>
      <c r="X51" s="36" t="s">
        <v>71</v>
      </c>
      <c r="Y51" s="36" t="s">
        <v>71</v>
      </c>
      <c r="Z51" s="36" t="s">
        <v>71</v>
      </c>
      <c r="AA51" s="36" t="s">
        <v>71</v>
      </c>
      <c r="AB51" s="36" t="s">
        <v>71</v>
      </c>
      <c r="AC51" s="36" t="s">
        <v>71</v>
      </c>
      <c r="AD51" s="36" t="s">
        <v>71</v>
      </c>
      <c r="AE51" s="36" t="s">
        <v>71</v>
      </c>
      <c r="AF51" s="36" t="s">
        <v>71</v>
      </c>
      <c r="AG51" s="36" t="s">
        <v>71</v>
      </c>
      <c r="AH51" s="36" t="s">
        <v>71</v>
      </c>
      <c r="AI51" s="36" t="s">
        <v>71</v>
      </c>
      <c r="AJ51" s="25"/>
      <c r="AL51" t="str">
        <f t="shared" ca="1" si="0"/>
        <v xml:space="preserve">    (U1)ALERT_REQ_H_XMGRIP_PD_</v>
      </c>
      <c r="AR51" s="64" t="str">
        <f t="shared" si="3"/>
        <v/>
      </c>
      <c r="AS51" s="64" t="str">
        <f t="shared" si="4"/>
        <v/>
      </c>
      <c r="AT51" s="64" t="str">
        <f t="shared" si="1"/>
        <v/>
      </c>
    </row>
    <row r="52" spans="2:46">
      <c r="B52" s="131"/>
      <c r="C52" s="50">
        <f t="shared" si="2"/>
        <v>46</v>
      </c>
      <c r="D52" s="36" t="s">
        <v>71</v>
      </c>
      <c r="E52" s="36" t="s">
        <v>71</v>
      </c>
      <c r="F52" s="36" t="s">
        <v>71</v>
      </c>
      <c r="G52" s="36" t="s">
        <v>71</v>
      </c>
      <c r="H52" s="36" t="s">
        <v>71</v>
      </c>
      <c r="I52" s="36" t="s">
        <v>71</v>
      </c>
      <c r="J52" s="36" t="s">
        <v>71</v>
      </c>
      <c r="K52" s="36" t="s">
        <v>71</v>
      </c>
      <c r="L52" s="36" t="s">
        <v>71</v>
      </c>
      <c r="M52" s="36" t="s">
        <v>71</v>
      </c>
      <c r="N52" s="36" t="s">
        <v>71</v>
      </c>
      <c r="O52" s="36" t="s">
        <v>71</v>
      </c>
      <c r="P52" s="36" t="s">
        <v>71</v>
      </c>
      <c r="Q52" s="36" t="s">
        <v>71</v>
      </c>
      <c r="R52" s="36" t="s">
        <v>71</v>
      </c>
      <c r="S52" s="36" t="s">
        <v>71</v>
      </c>
      <c r="T52" s="36" t="s">
        <v>71</v>
      </c>
      <c r="U52" s="36" t="s">
        <v>71</v>
      </c>
      <c r="V52" s="36" t="s">
        <v>71</v>
      </c>
      <c r="W52" s="36" t="s">
        <v>71</v>
      </c>
      <c r="X52" s="36" t="s">
        <v>71</v>
      </c>
      <c r="Y52" s="36" t="s">
        <v>71</v>
      </c>
      <c r="Z52" s="36" t="s">
        <v>71</v>
      </c>
      <c r="AA52" s="36" t="s">
        <v>71</v>
      </c>
      <c r="AB52" s="36" t="s">
        <v>71</v>
      </c>
      <c r="AC52" s="36" t="s">
        <v>71</v>
      </c>
      <c r="AD52" s="36" t="s">
        <v>71</v>
      </c>
      <c r="AE52" s="36" t="s">
        <v>71</v>
      </c>
      <c r="AF52" s="36" t="s">
        <v>71</v>
      </c>
      <c r="AG52" s="36" t="s">
        <v>71</v>
      </c>
      <c r="AH52" s="36" t="s">
        <v>71</v>
      </c>
      <c r="AI52" s="36" t="s">
        <v>71</v>
      </c>
      <c r="AJ52" s="25"/>
      <c r="AL52" t="str">
        <f t="shared" ca="1" si="0"/>
        <v xml:space="preserve">    (U1)ALERT_REQ_H_XMGRIP_PD_</v>
      </c>
      <c r="AR52" s="64" t="str">
        <f t="shared" si="3"/>
        <v/>
      </c>
      <c r="AS52" s="64" t="str">
        <f t="shared" si="4"/>
        <v/>
      </c>
      <c r="AT52" s="64" t="str">
        <f t="shared" si="1"/>
        <v/>
      </c>
    </row>
    <row r="53" spans="2:46">
      <c r="B53" s="131"/>
      <c r="C53" s="50">
        <f t="shared" si="2"/>
        <v>47</v>
      </c>
      <c r="D53" s="36" t="s">
        <v>71</v>
      </c>
      <c r="E53" s="36" t="s">
        <v>71</v>
      </c>
      <c r="F53" s="36" t="s">
        <v>71</v>
      </c>
      <c r="G53" s="36" t="s">
        <v>71</v>
      </c>
      <c r="H53" s="36" t="s">
        <v>71</v>
      </c>
      <c r="I53" s="36" t="s">
        <v>71</v>
      </c>
      <c r="J53" s="36" t="s">
        <v>71</v>
      </c>
      <c r="K53" s="36" t="s">
        <v>71</v>
      </c>
      <c r="L53" s="36" t="s">
        <v>71</v>
      </c>
      <c r="M53" s="36" t="s">
        <v>71</v>
      </c>
      <c r="N53" s="36" t="s">
        <v>71</v>
      </c>
      <c r="O53" s="36" t="s">
        <v>71</v>
      </c>
      <c r="P53" s="36" t="s">
        <v>71</v>
      </c>
      <c r="Q53" s="36" t="s">
        <v>71</v>
      </c>
      <c r="R53" s="36" t="s">
        <v>71</v>
      </c>
      <c r="S53" s="36" t="s">
        <v>71</v>
      </c>
      <c r="T53" s="36" t="s">
        <v>71</v>
      </c>
      <c r="U53" s="36" t="s">
        <v>71</v>
      </c>
      <c r="V53" s="36" t="s">
        <v>71</v>
      </c>
      <c r="W53" s="36" t="s">
        <v>71</v>
      </c>
      <c r="X53" s="36" t="s">
        <v>71</v>
      </c>
      <c r="Y53" s="36" t="s">
        <v>71</v>
      </c>
      <c r="Z53" s="36" t="s">
        <v>71</v>
      </c>
      <c r="AA53" s="36" t="s">
        <v>71</v>
      </c>
      <c r="AB53" s="36" t="s">
        <v>71</v>
      </c>
      <c r="AC53" s="36" t="s">
        <v>71</v>
      </c>
      <c r="AD53" s="36" t="s">
        <v>71</v>
      </c>
      <c r="AE53" s="36" t="s">
        <v>71</v>
      </c>
      <c r="AF53" s="36" t="s">
        <v>71</v>
      </c>
      <c r="AG53" s="36" t="s">
        <v>71</v>
      </c>
      <c r="AH53" s="36" t="s">
        <v>71</v>
      </c>
      <c r="AI53" s="36" t="s">
        <v>71</v>
      </c>
      <c r="AJ53" s="25"/>
      <c r="AL53" t="str">
        <f t="shared" ca="1" si="0"/>
        <v xml:space="preserve">    (U1)ALERT_REQ_H_XMGRIP_PD_</v>
      </c>
      <c r="AR53" s="64" t="str">
        <f t="shared" si="3"/>
        <v/>
      </c>
      <c r="AS53" s="64" t="str">
        <f t="shared" si="4"/>
        <v/>
      </c>
      <c r="AT53" s="64" t="str">
        <f t="shared" si="1"/>
        <v/>
      </c>
    </row>
    <row r="54" spans="2:46">
      <c r="B54" s="131"/>
      <c r="C54" s="50">
        <f t="shared" si="2"/>
        <v>48</v>
      </c>
      <c r="D54" s="36" t="s">
        <v>71</v>
      </c>
      <c r="E54" s="36" t="s">
        <v>71</v>
      </c>
      <c r="F54" s="36" t="s">
        <v>71</v>
      </c>
      <c r="G54" s="36" t="s">
        <v>71</v>
      </c>
      <c r="H54" s="36" t="s">
        <v>71</v>
      </c>
      <c r="I54" s="36" t="s">
        <v>71</v>
      </c>
      <c r="J54" s="36" t="s">
        <v>71</v>
      </c>
      <c r="K54" s="36" t="s">
        <v>71</v>
      </c>
      <c r="L54" s="36" t="s">
        <v>71</v>
      </c>
      <c r="M54" s="36" t="s">
        <v>71</v>
      </c>
      <c r="N54" s="36" t="s">
        <v>71</v>
      </c>
      <c r="O54" s="36" t="s">
        <v>71</v>
      </c>
      <c r="P54" s="36" t="s">
        <v>71</v>
      </c>
      <c r="Q54" s="36" t="s">
        <v>71</v>
      </c>
      <c r="R54" s="36" t="s">
        <v>71</v>
      </c>
      <c r="S54" s="36" t="s">
        <v>71</v>
      </c>
      <c r="T54" s="36" t="s">
        <v>71</v>
      </c>
      <c r="U54" s="36" t="s">
        <v>71</v>
      </c>
      <c r="V54" s="36" t="s">
        <v>71</v>
      </c>
      <c r="W54" s="36" t="s">
        <v>71</v>
      </c>
      <c r="X54" s="36" t="s">
        <v>71</v>
      </c>
      <c r="Y54" s="36" t="s">
        <v>71</v>
      </c>
      <c r="Z54" s="36" t="s">
        <v>71</v>
      </c>
      <c r="AA54" s="36" t="s">
        <v>71</v>
      </c>
      <c r="AB54" s="36" t="s">
        <v>71</v>
      </c>
      <c r="AC54" s="36" t="s">
        <v>71</v>
      </c>
      <c r="AD54" s="36" t="s">
        <v>71</v>
      </c>
      <c r="AE54" s="36" t="s">
        <v>71</v>
      </c>
      <c r="AF54" s="36" t="s">
        <v>71</v>
      </c>
      <c r="AG54" s="36" t="s">
        <v>71</v>
      </c>
      <c r="AH54" s="36" t="s">
        <v>71</v>
      </c>
      <c r="AI54" s="36" t="s">
        <v>71</v>
      </c>
      <c r="AJ54" s="25"/>
      <c r="AL54" t="str">
        <f t="shared" ca="1" si="0"/>
        <v xml:space="preserve">    (U1)ALERT_REQ_H_XMGRIP_PD_</v>
      </c>
      <c r="AR54" s="64" t="str">
        <f t="shared" si="3"/>
        <v/>
      </c>
      <c r="AS54" s="64" t="str">
        <f t="shared" si="4"/>
        <v/>
      </c>
      <c r="AT54" s="64" t="str">
        <f t="shared" si="1"/>
        <v/>
      </c>
    </row>
    <row r="55" spans="2:46">
      <c r="B55" s="131"/>
      <c r="C55" s="50">
        <f t="shared" si="2"/>
        <v>49</v>
      </c>
      <c r="D55" s="36" t="s">
        <v>71</v>
      </c>
      <c r="E55" s="36" t="s">
        <v>71</v>
      </c>
      <c r="F55" s="36" t="s">
        <v>71</v>
      </c>
      <c r="G55" s="36" t="s">
        <v>71</v>
      </c>
      <c r="H55" s="36" t="s">
        <v>71</v>
      </c>
      <c r="I55" s="36" t="s">
        <v>71</v>
      </c>
      <c r="J55" s="36" t="s">
        <v>71</v>
      </c>
      <c r="K55" s="36" t="s">
        <v>71</v>
      </c>
      <c r="L55" s="36" t="s">
        <v>71</v>
      </c>
      <c r="M55" s="36" t="s">
        <v>71</v>
      </c>
      <c r="N55" s="36" t="s">
        <v>71</v>
      </c>
      <c r="O55" s="36" t="s">
        <v>71</v>
      </c>
      <c r="P55" s="36" t="s">
        <v>71</v>
      </c>
      <c r="Q55" s="36" t="s">
        <v>71</v>
      </c>
      <c r="R55" s="36" t="s">
        <v>71</v>
      </c>
      <c r="S55" s="36" t="s">
        <v>71</v>
      </c>
      <c r="T55" s="36" t="s">
        <v>71</v>
      </c>
      <c r="U55" s="36" t="s">
        <v>71</v>
      </c>
      <c r="V55" s="36" t="s">
        <v>71</v>
      </c>
      <c r="W55" s="36" t="s">
        <v>71</v>
      </c>
      <c r="X55" s="36" t="s">
        <v>71</v>
      </c>
      <c r="Y55" s="36" t="s">
        <v>71</v>
      </c>
      <c r="Z55" s="36" t="s">
        <v>71</v>
      </c>
      <c r="AA55" s="36" t="s">
        <v>71</v>
      </c>
      <c r="AB55" s="36" t="s">
        <v>71</v>
      </c>
      <c r="AC55" s="36" t="s">
        <v>71</v>
      </c>
      <c r="AD55" s="36" t="s">
        <v>71</v>
      </c>
      <c r="AE55" s="36" t="s">
        <v>71</v>
      </c>
      <c r="AF55" s="36" t="s">
        <v>71</v>
      </c>
      <c r="AG55" s="36" t="s">
        <v>71</v>
      </c>
      <c r="AH55" s="36" t="s">
        <v>71</v>
      </c>
      <c r="AI55" s="36" t="s">
        <v>71</v>
      </c>
      <c r="AJ55" s="25"/>
      <c r="AL55" t="str">
        <f t="shared" ca="1" si="0"/>
        <v xml:space="preserve">    (U1)ALERT_REQ_H_XMGRIP_PD_</v>
      </c>
      <c r="AR55" s="64" t="str">
        <f t="shared" si="3"/>
        <v/>
      </c>
      <c r="AS55" s="64" t="str">
        <f t="shared" si="4"/>
        <v/>
      </c>
      <c r="AT55" s="64" t="str">
        <f t="shared" si="1"/>
        <v/>
      </c>
    </row>
    <row r="56" spans="2:46">
      <c r="B56" s="131"/>
      <c r="C56" s="50">
        <f t="shared" si="2"/>
        <v>50</v>
      </c>
      <c r="D56" s="36" t="s">
        <v>71</v>
      </c>
      <c r="E56" s="36" t="s">
        <v>71</v>
      </c>
      <c r="F56" s="36" t="s">
        <v>71</v>
      </c>
      <c r="G56" s="36" t="s">
        <v>71</v>
      </c>
      <c r="H56" s="36" t="s">
        <v>71</v>
      </c>
      <c r="I56" s="36" t="s">
        <v>71</v>
      </c>
      <c r="J56" s="36" t="s">
        <v>71</v>
      </c>
      <c r="K56" s="36" t="s">
        <v>71</v>
      </c>
      <c r="L56" s="36" t="s">
        <v>71</v>
      </c>
      <c r="M56" s="36" t="s">
        <v>71</v>
      </c>
      <c r="N56" s="36" t="s">
        <v>71</v>
      </c>
      <c r="O56" s="36" t="s">
        <v>71</v>
      </c>
      <c r="P56" s="36" t="s">
        <v>71</v>
      </c>
      <c r="Q56" s="36" t="s">
        <v>71</v>
      </c>
      <c r="R56" s="36" t="s">
        <v>71</v>
      </c>
      <c r="S56" s="36" t="s">
        <v>71</v>
      </c>
      <c r="T56" s="36" t="s">
        <v>71</v>
      </c>
      <c r="U56" s="36" t="s">
        <v>71</v>
      </c>
      <c r="V56" s="36" t="s">
        <v>71</v>
      </c>
      <c r="W56" s="36" t="s">
        <v>71</v>
      </c>
      <c r="X56" s="36" t="s">
        <v>71</v>
      </c>
      <c r="Y56" s="36" t="s">
        <v>71</v>
      </c>
      <c r="Z56" s="36" t="s">
        <v>71</v>
      </c>
      <c r="AA56" s="36" t="s">
        <v>71</v>
      </c>
      <c r="AB56" s="36" t="s">
        <v>71</v>
      </c>
      <c r="AC56" s="36" t="s">
        <v>71</v>
      </c>
      <c r="AD56" s="36" t="s">
        <v>71</v>
      </c>
      <c r="AE56" s="36" t="s">
        <v>71</v>
      </c>
      <c r="AF56" s="36" t="s">
        <v>71</v>
      </c>
      <c r="AG56" s="36" t="s">
        <v>71</v>
      </c>
      <c r="AH56" s="36" t="s">
        <v>71</v>
      </c>
      <c r="AI56" s="36" t="s">
        <v>71</v>
      </c>
      <c r="AJ56" s="25"/>
      <c r="AL56" t="str">
        <f t="shared" ca="1" si="0"/>
        <v xml:space="preserve">    (U1)ALERT_REQ_H_XMGRIP_PD_</v>
      </c>
      <c r="AR56" s="64" t="str">
        <f t="shared" si="3"/>
        <v/>
      </c>
      <c r="AS56" s="64" t="str">
        <f t="shared" si="4"/>
        <v/>
      </c>
      <c r="AT56" s="64" t="str">
        <f t="shared" si="1"/>
        <v/>
      </c>
    </row>
    <row r="57" spans="2:46">
      <c r="B57" s="131"/>
      <c r="C57" s="50">
        <f t="shared" si="2"/>
        <v>51</v>
      </c>
      <c r="D57" s="36" t="s">
        <v>71</v>
      </c>
      <c r="E57" s="36" t="s">
        <v>71</v>
      </c>
      <c r="F57" s="36" t="s">
        <v>71</v>
      </c>
      <c r="G57" s="36" t="s">
        <v>71</v>
      </c>
      <c r="H57" s="36" t="s">
        <v>71</v>
      </c>
      <c r="I57" s="36" t="s">
        <v>71</v>
      </c>
      <c r="J57" s="36" t="s">
        <v>71</v>
      </c>
      <c r="K57" s="36" t="s">
        <v>71</v>
      </c>
      <c r="L57" s="36" t="s">
        <v>71</v>
      </c>
      <c r="M57" s="36" t="s">
        <v>71</v>
      </c>
      <c r="N57" s="36" t="s">
        <v>71</v>
      </c>
      <c r="O57" s="36" t="s">
        <v>71</v>
      </c>
      <c r="P57" s="36" t="s">
        <v>71</v>
      </c>
      <c r="Q57" s="36" t="s">
        <v>71</v>
      </c>
      <c r="R57" s="36" t="s">
        <v>71</v>
      </c>
      <c r="S57" s="36" t="s">
        <v>71</v>
      </c>
      <c r="T57" s="36" t="s">
        <v>71</v>
      </c>
      <c r="U57" s="36" t="s">
        <v>71</v>
      </c>
      <c r="V57" s="36" t="s">
        <v>71</v>
      </c>
      <c r="W57" s="36" t="s">
        <v>71</v>
      </c>
      <c r="X57" s="36" t="s">
        <v>71</v>
      </c>
      <c r="Y57" s="36" t="s">
        <v>71</v>
      </c>
      <c r="Z57" s="36" t="s">
        <v>71</v>
      </c>
      <c r="AA57" s="36" t="s">
        <v>71</v>
      </c>
      <c r="AB57" s="36" t="s">
        <v>71</v>
      </c>
      <c r="AC57" s="36" t="s">
        <v>71</v>
      </c>
      <c r="AD57" s="36" t="s">
        <v>71</v>
      </c>
      <c r="AE57" s="36" t="s">
        <v>71</v>
      </c>
      <c r="AF57" s="36" t="s">
        <v>71</v>
      </c>
      <c r="AG57" s="36" t="s">
        <v>71</v>
      </c>
      <c r="AH57" s="36" t="s">
        <v>71</v>
      </c>
      <c r="AI57" s="36" t="s">
        <v>71</v>
      </c>
      <c r="AJ57" s="25"/>
      <c r="AL57" t="str">
        <f t="shared" ca="1" si="0"/>
        <v xml:space="preserve">    (U1)ALERT_REQ_H_XMGRIP_PD_</v>
      </c>
      <c r="AR57" s="64" t="str">
        <f t="shared" si="3"/>
        <v/>
      </c>
      <c r="AS57" s="64" t="str">
        <f t="shared" si="4"/>
        <v/>
      </c>
      <c r="AT57" s="64" t="str">
        <f t="shared" si="1"/>
        <v/>
      </c>
    </row>
    <row r="58" spans="2:46">
      <c r="B58" s="131"/>
      <c r="C58" s="50">
        <f t="shared" si="2"/>
        <v>52</v>
      </c>
      <c r="D58" s="36" t="s">
        <v>71</v>
      </c>
      <c r="E58" s="36" t="s">
        <v>71</v>
      </c>
      <c r="F58" s="36" t="s">
        <v>71</v>
      </c>
      <c r="G58" s="36" t="s">
        <v>71</v>
      </c>
      <c r="H58" s="36" t="s">
        <v>71</v>
      </c>
      <c r="I58" s="36" t="s">
        <v>71</v>
      </c>
      <c r="J58" s="36" t="s">
        <v>71</v>
      </c>
      <c r="K58" s="36" t="s">
        <v>71</v>
      </c>
      <c r="L58" s="36" t="s">
        <v>71</v>
      </c>
      <c r="M58" s="36" t="s">
        <v>71</v>
      </c>
      <c r="N58" s="36" t="s">
        <v>71</v>
      </c>
      <c r="O58" s="36" t="s">
        <v>71</v>
      </c>
      <c r="P58" s="36" t="s">
        <v>71</v>
      </c>
      <c r="Q58" s="36" t="s">
        <v>71</v>
      </c>
      <c r="R58" s="36" t="s">
        <v>71</v>
      </c>
      <c r="S58" s="36" t="s">
        <v>71</v>
      </c>
      <c r="T58" s="36" t="s">
        <v>71</v>
      </c>
      <c r="U58" s="36" t="s">
        <v>71</v>
      </c>
      <c r="V58" s="36" t="s">
        <v>71</v>
      </c>
      <c r="W58" s="36" t="s">
        <v>71</v>
      </c>
      <c r="X58" s="36" t="s">
        <v>71</v>
      </c>
      <c r="Y58" s="36" t="s">
        <v>71</v>
      </c>
      <c r="Z58" s="36" t="s">
        <v>71</v>
      </c>
      <c r="AA58" s="36" t="s">
        <v>71</v>
      </c>
      <c r="AB58" s="36" t="s">
        <v>71</v>
      </c>
      <c r="AC58" s="36" t="s">
        <v>71</v>
      </c>
      <c r="AD58" s="36" t="s">
        <v>71</v>
      </c>
      <c r="AE58" s="36" t="s">
        <v>71</v>
      </c>
      <c r="AF58" s="36" t="s">
        <v>71</v>
      </c>
      <c r="AG58" s="36" t="s">
        <v>71</v>
      </c>
      <c r="AH58" s="36" t="s">
        <v>71</v>
      </c>
      <c r="AI58" s="36" t="s">
        <v>71</v>
      </c>
      <c r="AJ58" s="25"/>
      <c r="AL58" t="str">
        <f t="shared" ca="1" si="0"/>
        <v xml:space="preserve">    (U1)ALERT_REQ_H_XMGRIP_PD_</v>
      </c>
      <c r="AR58" s="64" t="str">
        <f t="shared" si="3"/>
        <v/>
      </c>
      <c r="AS58" s="64" t="str">
        <f t="shared" si="4"/>
        <v/>
      </c>
      <c r="AT58" s="64" t="str">
        <f t="shared" si="1"/>
        <v/>
      </c>
    </row>
    <row r="59" spans="2:46">
      <c r="B59" s="131"/>
      <c r="C59" s="50">
        <f t="shared" si="2"/>
        <v>53</v>
      </c>
      <c r="D59" s="36" t="s">
        <v>71</v>
      </c>
      <c r="E59" s="36" t="s">
        <v>71</v>
      </c>
      <c r="F59" s="36" t="s">
        <v>71</v>
      </c>
      <c r="G59" s="36" t="s">
        <v>71</v>
      </c>
      <c r="H59" s="36" t="s">
        <v>71</v>
      </c>
      <c r="I59" s="36" t="s">
        <v>71</v>
      </c>
      <c r="J59" s="36" t="s">
        <v>71</v>
      </c>
      <c r="K59" s="36" t="s">
        <v>71</v>
      </c>
      <c r="L59" s="36" t="s">
        <v>71</v>
      </c>
      <c r="M59" s="36" t="s">
        <v>71</v>
      </c>
      <c r="N59" s="36" t="s">
        <v>71</v>
      </c>
      <c r="O59" s="36" t="s">
        <v>71</v>
      </c>
      <c r="P59" s="36" t="s">
        <v>71</v>
      </c>
      <c r="Q59" s="36" t="s">
        <v>71</v>
      </c>
      <c r="R59" s="36" t="s">
        <v>71</v>
      </c>
      <c r="S59" s="36" t="s">
        <v>71</v>
      </c>
      <c r="T59" s="36" t="s">
        <v>71</v>
      </c>
      <c r="U59" s="36" t="s">
        <v>71</v>
      </c>
      <c r="V59" s="36" t="s">
        <v>71</v>
      </c>
      <c r="W59" s="36" t="s">
        <v>71</v>
      </c>
      <c r="X59" s="36" t="s">
        <v>71</v>
      </c>
      <c r="Y59" s="36" t="s">
        <v>71</v>
      </c>
      <c r="Z59" s="36" t="s">
        <v>71</v>
      </c>
      <c r="AA59" s="36" t="s">
        <v>71</v>
      </c>
      <c r="AB59" s="36" t="s">
        <v>71</v>
      </c>
      <c r="AC59" s="36" t="s">
        <v>71</v>
      </c>
      <c r="AD59" s="36" t="s">
        <v>71</v>
      </c>
      <c r="AE59" s="36" t="s">
        <v>71</v>
      </c>
      <c r="AF59" s="36" t="s">
        <v>71</v>
      </c>
      <c r="AG59" s="36" t="s">
        <v>71</v>
      </c>
      <c r="AH59" s="36" t="s">
        <v>71</v>
      </c>
      <c r="AI59" s="36" t="s">
        <v>71</v>
      </c>
      <c r="AJ59" s="25"/>
      <c r="AL59" t="str">
        <f t="shared" ca="1" si="0"/>
        <v xml:space="preserve">    (U1)ALERT_REQ_H_XMGRIP_PD_</v>
      </c>
      <c r="AR59" s="64" t="str">
        <f t="shared" si="3"/>
        <v/>
      </c>
      <c r="AS59" s="64" t="str">
        <f t="shared" si="4"/>
        <v/>
      </c>
      <c r="AT59" s="64" t="str">
        <f t="shared" si="1"/>
        <v/>
      </c>
    </row>
    <row r="60" spans="2:46">
      <c r="B60" s="131"/>
      <c r="C60" s="50">
        <f t="shared" si="2"/>
        <v>54</v>
      </c>
      <c r="D60" s="36" t="s">
        <v>71</v>
      </c>
      <c r="E60" s="36" t="s">
        <v>71</v>
      </c>
      <c r="F60" s="36" t="s">
        <v>71</v>
      </c>
      <c r="G60" s="36" t="s">
        <v>71</v>
      </c>
      <c r="H60" s="36" t="s">
        <v>71</v>
      </c>
      <c r="I60" s="36" t="s">
        <v>71</v>
      </c>
      <c r="J60" s="36" t="s">
        <v>71</v>
      </c>
      <c r="K60" s="36" t="s">
        <v>71</v>
      </c>
      <c r="L60" s="36" t="s">
        <v>71</v>
      </c>
      <c r="M60" s="36" t="s">
        <v>71</v>
      </c>
      <c r="N60" s="36" t="s">
        <v>71</v>
      </c>
      <c r="O60" s="36" t="s">
        <v>71</v>
      </c>
      <c r="P60" s="36" t="s">
        <v>71</v>
      </c>
      <c r="Q60" s="36" t="s">
        <v>71</v>
      </c>
      <c r="R60" s="36" t="s">
        <v>71</v>
      </c>
      <c r="S60" s="36" t="s">
        <v>71</v>
      </c>
      <c r="T60" s="36" t="s">
        <v>71</v>
      </c>
      <c r="U60" s="36" t="s">
        <v>71</v>
      </c>
      <c r="V60" s="36" t="s">
        <v>71</v>
      </c>
      <c r="W60" s="36" t="s">
        <v>71</v>
      </c>
      <c r="X60" s="36" t="s">
        <v>71</v>
      </c>
      <c r="Y60" s="36" t="s">
        <v>71</v>
      </c>
      <c r="Z60" s="36" t="s">
        <v>71</v>
      </c>
      <c r="AA60" s="36" t="s">
        <v>71</v>
      </c>
      <c r="AB60" s="36" t="s">
        <v>71</v>
      </c>
      <c r="AC60" s="36" t="s">
        <v>71</v>
      </c>
      <c r="AD60" s="36" t="s">
        <v>71</v>
      </c>
      <c r="AE60" s="36" t="s">
        <v>71</v>
      </c>
      <c r="AF60" s="36" t="s">
        <v>71</v>
      </c>
      <c r="AG60" s="36" t="s">
        <v>71</v>
      </c>
      <c r="AH60" s="36" t="s">
        <v>71</v>
      </c>
      <c r="AI60" s="36" t="s">
        <v>71</v>
      </c>
      <c r="AJ60" s="25"/>
      <c r="AL60" t="str">
        <f t="shared" ca="1" si="0"/>
        <v xml:space="preserve">    (U1)ALERT_REQ_H_XMGRIP_PD_</v>
      </c>
      <c r="AR60" s="64" t="str">
        <f t="shared" si="3"/>
        <v/>
      </c>
      <c r="AS60" s="64" t="str">
        <f t="shared" si="4"/>
        <v/>
      </c>
      <c r="AT60" s="64" t="str">
        <f t="shared" si="1"/>
        <v/>
      </c>
    </row>
    <row r="61" spans="2:46">
      <c r="B61" s="131"/>
      <c r="C61" s="50">
        <f t="shared" si="2"/>
        <v>55</v>
      </c>
      <c r="D61" s="36" t="s">
        <v>71</v>
      </c>
      <c r="E61" s="36" t="s">
        <v>71</v>
      </c>
      <c r="F61" s="36" t="s">
        <v>71</v>
      </c>
      <c r="G61" s="36" t="s">
        <v>71</v>
      </c>
      <c r="H61" s="36" t="s">
        <v>71</v>
      </c>
      <c r="I61" s="36" t="s">
        <v>71</v>
      </c>
      <c r="J61" s="36" t="s">
        <v>71</v>
      </c>
      <c r="K61" s="36" t="s">
        <v>71</v>
      </c>
      <c r="L61" s="36" t="s">
        <v>71</v>
      </c>
      <c r="M61" s="36" t="s">
        <v>71</v>
      </c>
      <c r="N61" s="36" t="s">
        <v>71</v>
      </c>
      <c r="O61" s="36" t="s">
        <v>71</v>
      </c>
      <c r="P61" s="36" t="s">
        <v>71</v>
      </c>
      <c r="Q61" s="36" t="s">
        <v>71</v>
      </c>
      <c r="R61" s="36" t="s">
        <v>71</v>
      </c>
      <c r="S61" s="36" t="s">
        <v>71</v>
      </c>
      <c r="T61" s="36" t="s">
        <v>71</v>
      </c>
      <c r="U61" s="36" t="s">
        <v>71</v>
      </c>
      <c r="V61" s="36" t="s">
        <v>71</v>
      </c>
      <c r="W61" s="36" t="s">
        <v>71</v>
      </c>
      <c r="X61" s="36" t="s">
        <v>71</v>
      </c>
      <c r="Y61" s="36" t="s">
        <v>71</v>
      </c>
      <c r="Z61" s="36" t="s">
        <v>71</v>
      </c>
      <c r="AA61" s="36" t="s">
        <v>71</v>
      </c>
      <c r="AB61" s="36" t="s">
        <v>71</v>
      </c>
      <c r="AC61" s="36" t="s">
        <v>71</v>
      </c>
      <c r="AD61" s="36" t="s">
        <v>71</v>
      </c>
      <c r="AE61" s="36" t="s">
        <v>71</v>
      </c>
      <c r="AF61" s="36" t="s">
        <v>71</v>
      </c>
      <c r="AG61" s="36" t="s">
        <v>71</v>
      </c>
      <c r="AH61" s="36" t="s">
        <v>71</v>
      </c>
      <c r="AI61" s="36" t="s">
        <v>71</v>
      </c>
      <c r="AJ61" s="25"/>
      <c r="AL61" t="str">
        <f t="shared" ca="1" si="0"/>
        <v xml:space="preserve">    (U1)ALERT_REQ_H_XMGRIP_PD_</v>
      </c>
      <c r="AR61" s="64" t="str">
        <f t="shared" si="3"/>
        <v/>
      </c>
      <c r="AS61" s="64" t="str">
        <f t="shared" si="4"/>
        <v/>
      </c>
      <c r="AT61" s="64" t="str">
        <f t="shared" si="1"/>
        <v/>
      </c>
    </row>
    <row r="62" spans="2:46">
      <c r="B62" s="131"/>
      <c r="C62" s="50">
        <f t="shared" si="2"/>
        <v>56</v>
      </c>
      <c r="D62" s="36" t="s">
        <v>71</v>
      </c>
      <c r="E62" s="36" t="s">
        <v>71</v>
      </c>
      <c r="F62" s="36" t="s">
        <v>71</v>
      </c>
      <c r="G62" s="36" t="s">
        <v>71</v>
      </c>
      <c r="H62" s="36" t="s">
        <v>71</v>
      </c>
      <c r="I62" s="36" t="s">
        <v>71</v>
      </c>
      <c r="J62" s="36" t="s">
        <v>71</v>
      </c>
      <c r="K62" s="36" t="s">
        <v>71</v>
      </c>
      <c r="L62" s="36" t="s">
        <v>71</v>
      </c>
      <c r="M62" s="36" t="s">
        <v>71</v>
      </c>
      <c r="N62" s="36" t="s">
        <v>71</v>
      </c>
      <c r="O62" s="36" t="s">
        <v>71</v>
      </c>
      <c r="P62" s="36" t="s">
        <v>71</v>
      </c>
      <c r="Q62" s="36" t="s">
        <v>71</v>
      </c>
      <c r="R62" s="36" t="s">
        <v>71</v>
      </c>
      <c r="S62" s="36" t="s">
        <v>71</v>
      </c>
      <c r="T62" s="36" t="s">
        <v>71</v>
      </c>
      <c r="U62" s="36" t="s">
        <v>71</v>
      </c>
      <c r="V62" s="36" t="s">
        <v>71</v>
      </c>
      <c r="W62" s="36" t="s">
        <v>71</v>
      </c>
      <c r="X62" s="36" t="s">
        <v>71</v>
      </c>
      <c r="Y62" s="36" t="s">
        <v>71</v>
      </c>
      <c r="Z62" s="36" t="s">
        <v>71</v>
      </c>
      <c r="AA62" s="36" t="s">
        <v>71</v>
      </c>
      <c r="AB62" s="36" t="s">
        <v>71</v>
      </c>
      <c r="AC62" s="36" t="s">
        <v>71</v>
      </c>
      <c r="AD62" s="36" t="s">
        <v>71</v>
      </c>
      <c r="AE62" s="36" t="s">
        <v>71</v>
      </c>
      <c r="AF62" s="36" t="s">
        <v>71</v>
      </c>
      <c r="AG62" s="36" t="s">
        <v>71</v>
      </c>
      <c r="AH62" s="36" t="s">
        <v>71</v>
      </c>
      <c r="AI62" s="36" t="s">
        <v>71</v>
      </c>
      <c r="AJ62" s="25"/>
      <c r="AL62" t="str">
        <f t="shared" ca="1" si="0"/>
        <v xml:space="preserve">    (U1)ALERT_REQ_H_XMGRIP_PD_</v>
      </c>
      <c r="AR62" s="64" t="str">
        <f t="shared" si="3"/>
        <v/>
      </c>
      <c r="AS62" s="64" t="str">
        <f t="shared" si="4"/>
        <v/>
      </c>
      <c r="AT62" s="64" t="str">
        <f t="shared" si="1"/>
        <v/>
      </c>
    </row>
    <row r="63" spans="2:46">
      <c r="B63" s="131"/>
      <c r="C63" s="50">
        <f t="shared" si="2"/>
        <v>57</v>
      </c>
      <c r="D63" s="36" t="s">
        <v>71</v>
      </c>
      <c r="E63" s="36" t="s">
        <v>71</v>
      </c>
      <c r="F63" s="36" t="s">
        <v>71</v>
      </c>
      <c r="G63" s="36" t="s">
        <v>71</v>
      </c>
      <c r="H63" s="36" t="s">
        <v>71</v>
      </c>
      <c r="I63" s="36" t="s">
        <v>71</v>
      </c>
      <c r="J63" s="36" t="s">
        <v>71</v>
      </c>
      <c r="K63" s="36" t="s">
        <v>71</v>
      </c>
      <c r="L63" s="36" t="s">
        <v>71</v>
      </c>
      <c r="M63" s="36" t="s">
        <v>71</v>
      </c>
      <c r="N63" s="36" t="s">
        <v>71</v>
      </c>
      <c r="O63" s="36" t="s">
        <v>71</v>
      </c>
      <c r="P63" s="36" t="s">
        <v>71</v>
      </c>
      <c r="Q63" s="36" t="s">
        <v>71</v>
      </c>
      <c r="R63" s="36" t="s">
        <v>71</v>
      </c>
      <c r="S63" s="36" t="s">
        <v>71</v>
      </c>
      <c r="T63" s="36" t="s">
        <v>71</v>
      </c>
      <c r="U63" s="36" t="s">
        <v>71</v>
      </c>
      <c r="V63" s="36" t="s">
        <v>71</v>
      </c>
      <c r="W63" s="36" t="s">
        <v>71</v>
      </c>
      <c r="X63" s="36" t="s">
        <v>71</v>
      </c>
      <c r="Y63" s="36" t="s">
        <v>71</v>
      </c>
      <c r="Z63" s="36" t="s">
        <v>71</v>
      </c>
      <c r="AA63" s="36" t="s">
        <v>71</v>
      </c>
      <c r="AB63" s="36" t="s">
        <v>71</v>
      </c>
      <c r="AC63" s="36" t="s">
        <v>71</v>
      </c>
      <c r="AD63" s="36" t="s">
        <v>71</v>
      </c>
      <c r="AE63" s="36" t="s">
        <v>71</v>
      </c>
      <c r="AF63" s="36" t="s">
        <v>71</v>
      </c>
      <c r="AG63" s="36" t="s">
        <v>71</v>
      </c>
      <c r="AH63" s="36" t="s">
        <v>71</v>
      </c>
      <c r="AI63" s="36" t="s">
        <v>71</v>
      </c>
      <c r="AJ63" s="25"/>
      <c r="AL63" t="str">
        <f t="shared" ca="1" si="0"/>
        <v xml:space="preserve">    (U1)ALERT_REQ_H_XMGRIP_PD_</v>
      </c>
      <c r="AR63" s="64" t="str">
        <f t="shared" si="3"/>
        <v/>
      </c>
      <c r="AS63" s="64" t="str">
        <f t="shared" si="4"/>
        <v/>
      </c>
      <c r="AT63" s="64" t="str">
        <f t="shared" si="1"/>
        <v/>
      </c>
    </row>
    <row r="64" spans="2:46">
      <c r="B64" s="131"/>
      <c r="C64" s="50">
        <f t="shared" si="2"/>
        <v>58</v>
      </c>
      <c r="D64" s="36" t="s">
        <v>71</v>
      </c>
      <c r="E64" s="36" t="s">
        <v>71</v>
      </c>
      <c r="F64" s="36" t="s">
        <v>71</v>
      </c>
      <c r="G64" s="36" t="s">
        <v>71</v>
      </c>
      <c r="H64" s="36" t="s">
        <v>71</v>
      </c>
      <c r="I64" s="36" t="s">
        <v>71</v>
      </c>
      <c r="J64" s="36" t="s">
        <v>71</v>
      </c>
      <c r="K64" s="36" t="s">
        <v>71</v>
      </c>
      <c r="L64" s="36" t="s">
        <v>71</v>
      </c>
      <c r="M64" s="36" t="s">
        <v>71</v>
      </c>
      <c r="N64" s="36" t="s">
        <v>71</v>
      </c>
      <c r="O64" s="36" t="s">
        <v>71</v>
      </c>
      <c r="P64" s="36" t="s">
        <v>71</v>
      </c>
      <c r="Q64" s="36" t="s">
        <v>71</v>
      </c>
      <c r="R64" s="36" t="s">
        <v>71</v>
      </c>
      <c r="S64" s="36" t="s">
        <v>71</v>
      </c>
      <c r="T64" s="36" t="s">
        <v>71</v>
      </c>
      <c r="U64" s="36" t="s">
        <v>71</v>
      </c>
      <c r="V64" s="36" t="s">
        <v>71</v>
      </c>
      <c r="W64" s="36" t="s">
        <v>71</v>
      </c>
      <c r="X64" s="36" t="s">
        <v>71</v>
      </c>
      <c r="Y64" s="36" t="s">
        <v>71</v>
      </c>
      <c r="Z64" s="36" t="s">
        <v>71</v>
      </c>
      <c r="AA64" s="36" t="s">
        <v>71</v>
      </c>
      <c r="AB64" s="36" t="s">
        <v>71</v>
      </c>
      <c r="AC64" s="36" t="s">
        <v>71</v>
      </c>
      <c r="AD64" s="36" t="s">
        <v>71</v>
      </c>
      <c r="AE64" s="36" t="s">
        <v>71</v>
      </c>
      <c r="AF64" s="36" t="s">
        <v>71</v>
      </c>
      <c r="AG64" s="36" t="s">
        <v>71</v>
      </c>
      <c r="AH64" s="36" t="s">
        <v>71</v>
      </c>
      <c r="AI64" s="36" t="s">
        <v>71</v>
      </c>
      <c r="AJ64" s="25"/>
      <c r="AL64" t="str">
        <f t="shared" ca="1" si="0"/>
        <v xml:space="preserve">    (U1)ALERT_REQ_H_XMGRIP_PD_</v>
      </c>
      <c r="AR64" s="64" t="str">
        <f t="shared" si="3"/>
        <v/>
      </c>
      <c r="AS64" s="64" t="str">
        <f t="shared" si="4"/>
        <v/>
      </c>
      <c r="AT64" s="64" t="str">
        <f t="shared" si="1"/>
        <v/>
      </c>
    </row>
    <row r="65" spans="1:46">
      <c r="B65" s="131"/>
      <c r="C65" s="50">
        <f t="shared" si="2"/>
        <v>59</v>
      </c>
      <c r="D65" s="36" t="s">
        <v>71</v>
      </c>
      <c r="E65" s="36" t="s">
        <v>71</v>
      </c>
      <c r="F65" s="36" t="s">
        <v>71</v>
      </c>
      <c r="G65" s="36" t="s">
        <v>71</v>
      </c>
      <c r="H65" s="36" t="s">
        <v>71</v>
      </c>
      <c r="I65" s="36" t="s">
        <v>71</v>
      </c>
      <c r="J65" s="36" t="s">
        <v>71</v>
      </c>
      <c r="K65" s="36" t="s">
        <v>71</v>
      </c>
      <c r="L65" s="36" t="s">
        <v>71</v>
      </c>
      <c r="M65" s="36" t="s">
        <v>71</v>
      </c>
      <c r="N65" s="36" t="s">
        <v>71</v>
      </c>
      <c r="O65" s="36" t="s">
        <v>71</v>
      </c>
      <c r="P65" s="36" t="s">
        <v>71</v>
      </c>
      <c r="Q65" s="36" t="s">
        <v>71</v>
      </c>
      <c r="R65" s="36" t="s">
        <v>71</v>
      </c>
      <c r="S65" s="36" t="s">
        <v>71</v>
      </c>
      <c r="T65" s="36" t="s">
        <v>71</v>
      </c>
      <c r="U65" s="36" t="s">
        <v>71</v>
      </c>
      <c r="V65" s="36" t="s">
        <v>71</v>
      </c>
      <c r="W65" s="36" t="s">
        <v>71</v>
      </c>
      <c r="X65" s="36" t="s">
        <v>71</v>
      </c>
      <c r="Y65" s="36" t="s">
        <v>71</v>
      </c>
      <c r="Z65" s="36" t="s">
        <v>71</v>
      </c>
      <c r="AA65" s="36" t="s">
        <v>71</v>
      </c>
      <c r="AB65" s="36" t="s">
        <v>71</v>
      </c>
      <c r="AC65" s="36" t="s">
        <v>71</v>
      </c>
      <c r="AD65" s="36" t="s">
        <v>71</v>
      </c>
      <c r="AE65" s="36" t="s">
        <v>71</v>
      </c>
      <c r="AF65" s="36" t="s">
        <v>71</v>
      </c>
      <c r="AG65" s="36" t="s">
        <v>71</v>
      </c>
      <c r="AH65" s="36" t="s">
        <v>71</v>
      </c>
      <c r="AI65" s="36" t="s">
        <v>71</v>
      </c>
      <c r="AJ65" s="25"/>
      <c r="AL65" t="str">
        <f t="shared" ca="1" si="0"/>
        <v xml:space="preserve">    (U1)ALERT_REQ_H_XMGRIP_PD_</v>
      </c>
      <c r="AR65" s="64" t="str">
        <f t="shared" si="3"/>
        <v/>
      </c>
      <c r="AS65" s="64" t="str">
        <f t="shared" si="4"/>
        <v/>
      </c>
      <c r="AT65" s="64" t="str">
        <f t="shared" si="1"/>
        <v/>
      </c>
    </row>
    <row r="66" spans="1:46">
      <c r="B66" s="131"/>
      <c r="C66" s="50">
        <f t="shared" si="2"/>
        <v>60</v>
      </c>
      <c r="D66" s="36" t="s">
        <v>71</v>
      </c>
      <c r="E66" s="36" t="s">
        <v>71</v>
      </c>
      <c r="F66" s="36" t="s">
        <v>71</v>
      </c>
      <c r="G66" s="36" t="s">
        <v>71</v>
      </c>
      <c r="H66" s="36" t="s">
        <v>71</v>
      </c>
      <c r="I66" s="36" t="s">
        <v>71</v>
      </c>
      <c r="J66" s="36" t="s">
        <v>71</v>
      </c>
      <c r="K66" s="36" t="s">
        <v>71</v>
      </c>
      <c r="L66" s="36" t="s">
        <v>71</v>
      </c>
      <c r="M66" s="36" t="s">
        <v>71</v>
      </c>
      <c r="N66" s="36" t="s">
        <v>71</v>
      </c>
      <c r="O66" s="36" t="s">
        <v>71</v>
      </c>
      <c r="P66" s="36" t="s">
        <v>71</v>
      </c>
      <c r="Q66" s="36" t="s">
        <v>71</v>
      </c>
      <c r="R66" s="36" t="s">
        <v>71</v>
      </c>
      <c r="S66" s="36" t="s">
        <v>71</v>
      </c>
      <c r="T66" s="36" t="s">
        <v>71</v>
      </c>
      <c r="U66" s="36" t="s">
        <v>71</v>
      </c>
      <c r="V66" s="36" t="s">
        <v>71</v>
      </c>
      <c r="W66" s="36" t="s">
        <v>71</v>
      </c>
      <c r="X66" s="36" t="s">
        <v>71</v>
      </c>
      <c r="Y66" s="36" t="s">
        <v>71</v>
      </c>
      <c r="Z66" s="36" t="s">
        <v>71</v>
      </c>
      <c r="AA66" s="36" t="s">
        <v>71</v>
      </c>
      <c r="AB66" s="36" t="s">
        <v>71</v>
      </c>
      <c r="AC66" s="36" t="s">
        <v>71</v>
      </c>
      <c r="AD66" s="36" t="s">
        <v>71</v>
      </c>
      <c r="AE66" s="36" t="s">
        <v>71</v>
      </c>
      <c r="AF66" s="36" t="s">
        <v>71</v>
      </c>
      <c r="AG66" s="36" t="s">
        <v>71</v>
      </c>
      <c r="AH66" s="36" t="s">
        <v>71</v>
      </c>
      <c r="AI66" s="36" t="s">
        <v>71</v>
      </c>
      <c r="AJ66" s="25"/>
      <c r="AL66" t="str">
        <f t="shared" ca="1" si="0"/>
        <v xml:space="preserve">    (U1)ALERT_REQ_H_XMGRIP_PD_</v>
      </c>
      <c r="AR66" s="64" t="str">
        <f t="shared" si="3"/>
        <v/>
      </c>
      <c r="AS66" s="64" t="str">
        <f t="shared" si="4"/>
        <v/>
      </c>
      <c r="AT66" s="64" t="str">
        <f t="shared" si="1"/>
        <v/>
      </c>
    </row>
    <row r="67" spans="1:46">
      <c r="B67" s="131"/>
      <c r="C67" s="50">
        <f t="shared" si="2"/>
        <v>61</v>
      </c>
      <c r="D67" s="36" t="s">
        <v>71</v>
      </c>
      <c r="E67" s="36" t="s">
        <v>71</v>
      </c>
      <c r="F67" s="36" t="s">
        <v>71</v>
      </c>
      <c r="G67" s="36" t="s">
        <v>71</v>
      </c>
      <c r="H67" s="36" t="s">
        <v>71</v>
      </c>
      <c r="I67" s="36" t="s">
        <v>71</v>
      </c>
      <c r="J67" s="36" t="s">
        <v>71</v>
      </c>
      <c r="K67" s="36" t="s">
        <v>71</v>
      </c>
      <c r="L67" s="36" t="s">
        <v>71</v>
      </c>
      <c r="M67" s="36" t="s">
        <v>71</v>
      </c>
      <c r="N67" s="36" t="s">
        <v>71</v>
      </c>
      <c r="O67" s="36" t="s">
        <v>71</v>
      </c>
      <c r="P67" s="36" t="s">
        <v>71</v>
      </c>
      <c r="Q67" s="36" t="s">
        <v>71</v>
      </c>
      <c r="R67" s="36" t="s">
        <v>71</v>
      </c>
      <c r="S67" s="36" t="s">
        <v>71</v>
      </c>
      <c r="T67" s="36" t="s">
        <v>71</v>
      </c>
      <c r="U67" s="36" t="s">
        <v>71</v>
      </c>
      <c r="V67" s="36" t="s">
        <v>71</v>
      </c>
      <c r="W67" s="36" t="s">
        <v>71</v>
      </c>
      <c r="X67" s="36" t="s">
        <v>71</v>
      </c>
      <c r="Y67" s="36" t="s">
        <v>71</v>
      </c>
      <c r="Z67" s="36" t="s">
        <v>71</v>
      </c>
      <c r="AA67" s="36" t="s">
        <v>71</v>
      </c>
      <c r="AB67" s="36" t="s">
        <v>71</v>
      </c>
      <c r="AC67" s="36" t="s">
        <v>71</v>
      </c>
      <c r="AD67" s="36" t="s">
        <v>71</v>
      </c>
      <c r="AE67" s="36" t="s">
        <v>71</v>
      </c>
      <c r="AF67" s="36" t="s">
        <v>71</v>
      </c>
      <c r="AG67" s="36" t="s">
        <v>71</v>
      </c>
      <c r="AH67" s="36" t="s">
        <v>71</v>
      </c>
      <c r="AI67" s="36" t="s">
        <v>71</v>
      </c>
      <c r="AJ67" s="25"/>
      <c r="AL67" t="str">
        <f t="shared" ca="1" si="0"/>
        <v xml:space="preserve">    (U1)ALERT_REQ_H_XMGRIP_PD_</v>
      </c>
      <c r="AR67" s="64" t="str">
        <f t="shared" si="3"/>
        <v/>
      </c>
      <c r="AS67" s="64" t="str">
        <f t="shared" si="4"/>
        <v/>
      </c>
      <c r="AT67" s="64" t="str">
        <f t="shared" si="1"/>
        <v/>
      </c>
    </row>
    <row r="68" spans="1:46">
      <c r="B68" s="131"/>
      <c r="C68" s="50">
        <f t="shared" si="2"/>
        <v>62</v>
      </c>
      <c r="D68" s="36" t="s">
        <v>71</v>
      </c>
      <c r="E68" s="36" t="s">
        <v>71</v>
      </c>
      <c r="F68" s="36" t="s">
        <v>71</v>
      </c>
      <c r="G68" s="36" t="s">
        <v>71</v>
      </c>
      <c r="H68" s="36" t="s">
        <v>71</v>
      </c>
      <c r="I68" s="36" t="s">
        <v>71</v>
      </c>
      <c r="J68" s="36" t="s">
        <v>71</v>
      </c>
      <c r="K68" s="36" t="s">
        <v>71</v>
      </c>
      <c r="L68" s="36" t="s">
        <v>71</v>
      </c>
      <c r="M68" s="36" t="s">
        <v>71</v>
      </c>
      <c r="N68" s="36" t="s">
        <v>71</v>
      </c>
      <c r="O68" s="36" t="s">
        <v>71</v>
      </c>
      <c r="P68" s="36" t="s">
        <v>71</v>
      </c>
      <c r="Q68" s="36" t="s">
        <v>71</v>
      </c>
      <c r="R68" s="36" t="s">
        <v>71</v>
      </c>
      <c r="S68" s="36" t="s">
        <v>71</v>
      </c>
      <c r="T68" s="36" t="s">
        <v>71</v>
      </c>
      <c r="U68" s="36" t="s">
        <v>71</v>
      </c>
      <c r="V68" s="36" t="s">
        <v>71</v>
      </c>
      <c r="W68" s="36" t="s">
        <v>71</v>
      </c>
      <c r="X68" s="36" t="s">
        <v>71</v>
      </c>
      <c r="Y68" s="36" t="s">
        <v>71</v>
      </c>
      <c r="Z68" s="36" t="s">
        <v>71</v>
      </c>
      <c r="AA68" s="36" t="s">
        <v>71</v>
      </c>
      <c r="AB68" s="36" t="s">
        <v>71</v>
      </c>
      <c r="AC68" s="36" t="s">
        <v>71</v>
      </c>
      <c r="AD68" s="36" t="s">
        <v>71</v>
      </c>
      <c r="AE68" s="36" t="s">
        <v>71</v>
      </c>
      <c r="AF68" s="36" t="s">
        <v>71</v>
      </c>
      <c r="AG68" s="36" t="s">
        <v>71</v>
      </c>
      <c r="AH68" s="36" t="s">
        <v>71</v>
      </c>
      <c r="AI68" s="36" t="s">
        <v>71</v>
      </c>
      <c r="AJ68" s="25"/>
      <c r="AL68" t="str">
        <f t="shared" ca="1" si="0"/>
        <v xml:space="preserve">    (U1)ALERT_REQ_H_XMGRIP_PD_</v>
      </c>
      <c r="AR68" s="64" t="str">
        <f t="shared" si="3"/>
        <v/>
      </c>
      <c r="AS68" s="64" t="str">
        <f t="shared" si="4"/>
        <v/>
      </c>
      <c r="AT68" s="64" t="str">
        <f t="shared" si="1"/>
        <v/>
      </c>
    </row>
    <row r="69" spans="1:46">
      <c r="B69" s="132"/>
      <c r="C69" s="50">
        <f t="shared" si="2"/>
        <v>63</v>
      </c>
      <c r="D69" s="36" t="s">
        <v>71</v>
      </c>
      <c r="E69" s="36" t="s">
        <v>71</v>
      </c>
      <c r="F69" s="36" t="s">
        <v>71</v>
      </c>
      <c r="G69" s="36" t="s">
        <v>71</v>
      </c>
      <c r="H69" s="36" t="s">
        <v>71</v>
      </c>
      <c r="I69" s="36" t="s">
        <v>71</v>
      </c>
      <c r="J69" s="36" t="s">
        <v>71</v>
      </c>
      <c r="K69" s="36" t="s">
        <v>71</v>
      </c>
      <c r="L69" s="36" t="s">
        <v>71</v>
      </c>
      <c r="M69" s="36" t="s">
        <v>71</v>
      </c>
      <c r="N69" s="36" t="s">
        <v>71</v>
      </c>
      <c r="O69" s="36" t="s">
        <v>71</v>
      </c>
      <c r="P69" s="36" t="s">
        <v>71</v>
      </c>
      <c r="Q69" s="36" t="s">
        <v>71</v>
      </c>
      <c r="R69" s="36" t="s">
        <v>71</v>
      </c>
      <c r="S69" s="36" t="s">
        <v>71</v>
      </c>
      <c r="T69" s="36" t="s">
        <v>71</v>
      </c>
      <c r="U69" s="36" t="s">
        <v>71</v>
      </c>
      <c r="V69" s="36" t="s">
        <v>71</v>
      </c>
      <c r="W69" s="36" t="s">
        <v>71</v>
      </c>
      <c r="X69" s="36" t="s">
        <v>71</v>
      </c>
      <c r="Y69" s="36" t="s">
        <v>71</v>
      </c>
      <c r="Z69" s="36" t="s">
        <v>71</v>
      </c>
      <c r="AA69" s="36" t="s">
        <v>71</v>
      </c>
      <c r="AB69" s="36" t="s">
        <v>71</v>
      </c>
      <c r="AC69" s="36" t="s">
        <v>71</v>
      </c>
      <c r="AD69" s="36" t="s">
        <v>71</v>
      </c>
      <c r="AE69" s="36" t="s">
        <v>71</v>
      </c>
      <c r="AF69" s="36" t="s">
        <v>71</v>
      </c>
      <c r="AG69" s="36" t="s">
        <v>71</v>
      </c>
      <c r="AH69" s="36" t="s">
        <v>71</v>
      </c>
      <c r="AI69" s="36" t="s">
        <v>71</v>
      </c>
      <c r="AJ69" s="25"/>
      <c r="AL69" t="str">
        <f t="shared" ca="1" si="0"/>
        <v xml:space="preserve">    (U1)ALERT_REQ_H_XMGRIP_PD_</v>
      </c>
      <c r="AR69" s="64" t="str">
        <f t="shared" si="3"/>
        <v/>
      </c>
      <c r="AS69" s="64" t="str">
        <f t="shared" si="4"/>
        <v/>
      </c>
      <c r="AT69" s="64" t="str">
        <f t="shared" si="1"/>
        <v/>
      </c>
    </row>
    <row r="70" spans="1:46" ht="13.8" thickBot="1">
      <c r="A70" s="59" t="s">
        <v>68</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5" t="str">
        <f t="shared" si="3"/>
        <v/>
      </c>
      <c r="AS70" s="65" t="str">
        <f t="shared" si="4"/>
        <v/>
      </c>
      <c r="AT70" s="65" t="str">
        <f t="shared" ref="AT70" si="5">IF(AJ70&lt;&gt;"",AL70&amp;IF(AJ71&lt;&gt;"",","," ")&amp;REPT(" ",78-LEN(AL70))&amp;"/* "&amp;IF(C70&lt;10,"0"&amp;C70,C70)&amp;" "&amp;AJ70&amp;REPT(" ",48-LEN(AJ70))&amp;"*/",IF(AJ69&lt;&gt;"","};",""))</f>
        <v/>
      </c>
    </row>
    <row r="71" spans="1:46">
      <c r="B71" s="133" t="str">
        <f ca="1">IF(B6&lt;&gt;"",B6,"")</f>
        <v>Table PD</v>
      </c>
      <c r="C71" s="50">
        <f>IF(C6&lt;&gt;"",C6,"")</f>
        <v>0</v>
      </c>
      <c r="D71" s="125">
        <f t="shared" ref="D71:AI78" si="6">IF(D6=1,1,0)</f>
        <v>0</v>
      </c>
      <c r="E71" s="125">
        <f t="shared" si="6"/>
        <v>0</v>
      </c>
      <c r="F71" s="125">
        <f t="shared" si="6"/>
        <v>0</v>
      </c>
      <c r="G71" s="125">
        <f t="shared" si="6"/>
        <v>0</v>
      </c>
      <c r="H71" s="125">
        <f t="shared" si="6"/>
        <v>0</v>
      </c>
      <c r="I71" s="125">
        <f t="shared" si="6"/>
        <v>0</v>
      </c>
      <c r="J71" s="125">
        <f t="shared" si="6"/>
        <v>0</v>
      </c>
      <c r="K71" s="125">
        <f t="shared" si="6"/>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 t="shared" si="6"/>
        <v>0</v>
      </c>
      <c r="AB71" s="125">
        <f t="shared" si="6"/>
        <v>0</v>
      </c>
      <c r="AC71" s="125">
        <f t="shared" si="6"/>
        <v>0</v>
      </c>
      <c r="AD71" s="125">
        <f t="shared" si="6"/>
        <v>0</v>
      </c>
      <c r="AE71" s="125">
        <f t="shared" si="6"/>
        <v>0</v>
      </c>
      <c r="AF71" s="125">
        <f t="shared" si="6"/>
        <v>0</v>
      </c>
      <c r="AG71" s="125">
        <f t="shared" si="6"/>
        <v>0</v>
      </c>
      <c r="AH71" s="125">
        <f t="shared" si="6"/>
        <v>0</v>
      </c>
      <c r="AI71" s="125">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50">
        <f t="shared" ref="C72:C134" si="9">IF(C7&lt;&gt;"",C7,"")</f>
        <v>1</v>
      </c>
      <c r="D72" s="125">
        <f t="shared" si="6"/>
        <v>0</v>
      </c>
      <c r="E72" s="125">
        <f t="shared" si="6"/>
        <v>0</v>
      </c>
      <c r="F72" s="125">
        <f t="shared" si="6"/>
        <v>0</v>
      </c>
      <c r="G72" s="125">
        <f t="shared" si="6"/>
        <v>0</v>
      </c>
      <c r="H72" s="125">
        <f t="shared" si="6"/>
        <v>0</v>
      </c>
      <c r="I72" s="125">
        <f t="shared" si="6"/>
        <v>0</v>
      </c>
      <c r="J72" s="125">
        <f t="shared" si="6"/>
        <v>0</v>
      </c>
      <c r="K72" s="125">
        <f t="shared" si="6"/>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 t="shared" si="6"/>
        <v>0</v>
      </c>
      <c r="AB72" s="125">
        <f t="shared" si="6"/>
        <v>0</v>
      </c>
      <c r="AC72" s="125">
        <f t="shared" si="6"/>
        <v>0</v>
      </c>
      <c r="AD72" s="125">
        <f t="shared" si="6"/>
        <v>0</v>
      </c>
      <c r="AE72" s="125">
        <f t="shared" si="6"/>
        <v>0</v>
      </c>
      <c r="AF72" s="125">
        <f t="shared" si="6"/>
        <v>0</v>
      </c>
      <c r="AG72" s="125">
        <f t="shared" si="6"/>
        <v>0</v>
      </c>
      <c r="AH72" s="125">
        <f t="shared" si="6"/>
        <v>0</v>
      </c>
      <c r="AI72" s="125">
        <f t="shared" si="6"/>
        <v>1</v>
      </c>
      <c r="AJ72" s="50" t="str">
        <f t="shared" si="7"/>
        <v>DEACTIV</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DEACTIV                                         */</v>
      </c>
    </row>
    <row r="73" spans="1:46">
      <c r="B73" s="131"/>
      <c r="C73" s="50">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50" t="str">
        <f t="shared" si="7"/>
        <v>UNAVLBL</v>
      </c>
      <c r="AK73" s="63"/>
      <c r="AL73" s="63" t="str">
        <f t="shared" si="10"/>
        <v>02</v>
      </c>
      <c r="AM73" s="63" t="str">
        <f t="shared" si="11"/>
        <v>00</v>
      </c>
      <c r="AN73" s="63" t="str">
        <f t="shared" si="12"/>
        <v>00</v>
      </c>
      <c r="AO73" s="63" t="str">
        <f t="shared" si="13"/>
        <v>00</v>
      </c>
      <c r="AQ73" t="str">
        <f t="shared" si="8"/>
        <v xml:space="preserve">    (U4)0x00000002U,                                                           /* 02 UNAVLBL                                         */</v>
      </c>
    </row>
    <row r="74" spans="1:46">
      <c r="B74" s="131"/>
      <c r="C74" s="50">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31"/>
      <c r="C75" s="50">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50" t="str">
        <f t="shared" si="7"/>
        <v>UNKNOWN</v>
      </c>
      <c r="AK75" s="63"/>
      <c r="AL75" s="63" t="str">
        <f t="shared" si="10"/>
        <v>04</v>
      </c>
      <c r="AM75" s="63" t="str">
        <f t="shared" si="11"/>
        <v>00</v>
      </c>
      <c r="AN75" s="63" t="str">
        <f t="shared" si="12"/>
        <v>00</v>
      </c>
      <c r="AO75" s="63" t="str">
        <f t="shared" si="13"/>
        <v>00</v>
      </c>
      <c r="AQ75" t="str">
        <f t="shared" si="8"/>
        <v xml:space="preserve">    (U4)0x00000004U,                                                           /* 04 UNKNOWN                                         */</v>
      </c>
    </row>
    <row r="76" spans="1:46">
      <c r="B76" s="131"/>
      <c r="C76" s="50">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50" t="str">
        <f t="shared" si="7"/>
        <v>UNKNOWN</v>
      </c>
      <c r="AK76" s="63"/>
      <c r="AL76" s="63" t="str">
        <f t="shared" si="10"/>
        <v>05</v>
      </c>
      <c r="AM76" s="63" t="str">
        <f t="shared" si="11"/>
        <v>00</v>
      </c>
      <c r="AN76" s="63" t="str">
        <f t="shared" si="12"/>
        <v>00</v>
      </c>
      <c r="AO76" s="63" t="str">
        <f t="shared" si="13"/>
        <v>00</v>
      </c>
      <c r="AQ76" t="str">
        <f t="shared" si="8"/>
        <v xml:space="preserve">    (U4)0x00000005U,                                                           /* 05 UNKNOWN                                         */</v>
      </c>
    </row>
    <row r="77" spans="1:46">
      <c r="B77" s="131"/>
      <c r="C77" s="50">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1"/>
      <c r="C78" s="50">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50" t="str">
        <f t="shared" si="7"/>
        <v>UNKNOWN</v>
      </c>
      <c r="AK78" s="63"/>
      <c r="AL78" s="63" t="str">
        <f t="shared" si="10"/>
        <v>07</v>
      </c>
      <c r="AM78" s="63" t="str">
        <f t="shared" si="11"/>
        <v>00</v>
      </c>
      <c r="AN78" s="63" t="str">
        <f t="shared" si="12"/>
        <v>00</v>
      </c>
      <c r="AO78" s="63" t="str">
        <f t="shared" si="13"/>
        <v>00</v>
      </c>
      <c r="AQ78" t="str">
        <f t="shared" si="8"/>
        <v xml:space="preserve">    (U4)0x00000007U,                                                           /* 07 UNKNOWN                                         */</v>
      </c>
    </row>
    <row r="79" spans="1:46">
      <c r="B79" s="131"/>
      <c r="C79" s="50">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1</v>
      </c>
      <c r="AG79" s="125">
        <f t="shared" si="15"/>
        <v>0</v>
      </c>
      <c r="AH79" s="125">
        <f t="shared" si="15"/>
        <v>0</v>
      </c>
      <c r="AI79" s="125">
        <f t="shared" si="15"/>
        <v>0</v>
      </c>
      <c r="AJ79" s="50" t="str">
        <f t="shared" si="7"/>
        <v>UNKNOWN</v>
      </c>
      <c r="AK79" s="63"/>
      <c r="AL79" s="63" t="str">
        <f t="shared" si="10"/>
        <v>08</v>
      </c>
      <c r="AM79" s="63" t="str">
        <f t="shared" si="11"/>
        <v>00</v>
      </c>
      <c r="AN79" s="63" t="str">
        <f t="shared" si="12"/>
        <v>00</v>
      </c>
      <c r="AO79" s="63" t="str">
        <f t="shared" si="13"/>
        <v>00</v>
      </c>
      <c r="AQ79" t="str">
        <f t="shared" si="8"/>
        <v xml:space="preserve">    (U4)0x00000008U,                                                           /* 08 UNKNOWN                                         */</v>
      </c>
    </row>
    <row r="80" spans="1:46">
      <c r="B80" s="131"/>
      <c r="C80" s="50">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1</v>
      </c>
      <c r="AG80" s="125">
        <f t="shared" si="15"/>
        <v>0</v>
      </c>
      <c r="AH80" s="125">
        <f t="shared" si="15"/>
        <v>0</v>
      </c>
      <c r="AI80" s="125">
        <f t="shared" si="15"/>
        <v>1</v>
      </c>
      <c r="AJ80" s="50" t="str">
        <f t="shared" si="7"/>
        <v>UNKNOWN</v>
      </c>
      <c r="AK80" s="63"/>
      <c r="AL80" s="63" t="str">
        <f t="shared" si="10"/>
        <v>09</v>
      </c>
      <c r="AM80" s="63" t="str">
        <f t="shared" si="11"/>
        <v>00</v>
      </c>
      <c r="AN80" s="63" t="str">
        <f t="shared" si="12"/>
        <v>00</v>
      </c>
      <c r="AO80" s="63" t="str">
        <f t="shared" si="13"/>
        <v>00</v>
      </c>
      <c r="AQ80" t="str">
        <f t="shared" si="8"/>
        <v xml:space="preserve">    (U4)0x00000009U,                                                           /* 09 UNKNOWN                                         */</v>
      </c>
    </row>
    <row r="81" spans="2:43">
      <c r="B81" s="131"/>
      <c r="C81" s="50">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1</v>
      </c>
      <c r="AG81" s="125">
        <f t="shared" si="15"/>
        <v>0</v>
      </c>
      <c r="AH81" s="125">
        <f t="shared" si="15"/>
        <v>1</v>
      </c>
      <c r="AI81" s="125">
        <f t="shared" si="15"/>
        <v>0</v>
      </c>
      <c r="AJ81" s="50" t="str">
        <f t="shared" si="7"/>
        <v>UNKNOWN</v>
      </c>
      <c r="AK81" s="63"/>
      <c r="AL81" s="63" t="str">
        <f t="shared" si="10"/>
        <v>0A</v>
      </c>
      <c r="AM81" s="63" t="str">
        <f t="shared" si="11"/>
        <v>00</v>
      </c>
      <c r="AN81" s="63" t="str">
        <f t="shared" si="12"/>
        <v>00</v>
      </c>
      <c r="AO81" s="63" t="str">
        <f t="shared" si="13"/>
        <v>00</v>
      </c>
      <c r="AQ81" t="str">
        <f t="shared" si="8"/>
        <v xml:space="preserve">    (U4)0x0000000AU,                                                           /* 10 UNKNOWN                                         */</v>
      </c>
    </row>
    <row r="82" spans="2:43">
      <c r="B82" s="131"/>
      <c r="C82" s="50">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1</v>
      </c>
      <c r="AG82" s="125">
        <f t="shared" si="15"/>
        <v>0</v>
      </c>
      <c r="AH82" s="125">
        <f t="shared" si="15"/>
        <v>1</v>
      </c>
      <c r="AI82" s="125">
        <f t="shared" si="15"/>
        <v>1</v>
      </c>
      <c r="AJ82" s="50" t="str">
        <f t="shared" si="7"/>
        <v>UNKNOWN</v>
      </c>
      <c r="AK82" s="63"/>
      <c r="AL82" s="63" t="str">
        <f t="shared" si="10"/>
        <v>0B</v>
      </c>
      <c r="AM82" s="63" t="str">
        <f t="shared" si="11"/>
        <v>00</v>
      </c>
      <c r="AN82" s="63" t="str">
        <f t="shared" si="12"/>
        <v>00</v>
      </c>
      <c r="AO82" s="63" t="str">
        <f t="shared" si="13"/>
        <v>00</v>
      </c>
      <c r="AQ82" t="str">
        <f t="shared" si="8"/>
        <v xml:space="preserve">    (U4)0x0000000BU,                                                           /* 11 UNKNOWN                                         */</v>
      </c>
    </row>
    <row r="83" spans="2:43">
      <c r="B83" s="131"/>
      <c r="C83" s="50">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1</v>
      </c>
      <c r="AG83" s="125">
        <f t="shared" si="15"/>
        <v>1</v>
      </c>
      <c r="AH83" s="125">
        <f t="shared" si="15"/>
        <v>0</v>
      </c>
      <c r="AI83" s="125">
        <f t="shared" si="15"/>
        <v>0</v>
      </c>
      <c r="AJ83" s="50" t="str">
        <f t="shared" si="7"/>
        <v>UNKNOWN</v>
      </c>
      <c r="AK83" s="63"/>
      <c r="AL83" s="63" t="str">
        <f t="shared" si="10"/>
        <v>0C</v>
      </c>
      <c r="AM83" s="63" t="str">
        <f t="shared" si="11"/>
        <v>00</v>
      </c>
      <c r="AN83" s="63" t="str">
        <f t="shared" si="12"/>
        <v>00</v>
      </c>
      <c r="AO83" s="63" t="str">
        <f t="shared" si="13"/>
        <v>00</v>
      </c>
      <c r="AQ83" t="str">
        <f t="shared" si="8"/>
        <v xml:space="preserve">    (U4)0x0000000CU,                                                           /* 12 UNKNOWN                                         */</v>
      </c>
    </row>
    <row r="84" spans="2:43">
      <c r="B84" s="131"/>
      <c r="C84" s="50">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1</v>
      </c>
      <c r="AG84" s="125">
        <f t="shared" si="15"/>
        <v>1</v>
      </c>
      <c r="AH84" s="125">
        <f t="shared" si="15"/>
        <v>0</v>
      </c>
      <c r="AI84" s="125">
        <f t="shared" si="15"/>
        <v>1</v>
      </c>
      <c r="AJ84" s="50" t="str">
        <f t="shared" si="7"/>
        <v>UNKNOWN</v>
      </c>
      <c r="AK84" s="63"/>
      <c r="AL84" s="63" t="str">
        <f t="shared" si="10"/>
        <v>0D</v>
      </c>
      <c r="AM84" s="63" t="str">
        <f t="shared" si="11"/>
        <v>00</v>
      </c>
      <c r="AN84" s="63" t="str">
        <f t="shared" si="12"/>
        <v>00</v>
      </c>
      <c r="AO84" s="63" t="str">
        <f t="shared" si="13"/>
        <v>00</v>
      </c>
      <c r="AQ84" t="str">
        <f t="shared" si="8"/>
        <v xml:space="preserve">    (U4)0x0000000DU,                                                           /* 13 UNKNOWN                                         */</v>
      </c>
    </row>
    <row r="85" spans="2:43">
      <c r="B85" s="131"/>
      <c r="C85" s="50">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1</v>
      </c>
      <c r="AG85" s="125">
        <f t="shared" si="15"/>
        <v>1</v>
      </c>
      <c r="AH85" s="125">
        <f t="shared" si="15"/>
        <v>1</v>
      </c>
      <c r="AI85" s="125">
        <f t="shared" si="15"/>
        <v>0</v>
      </c>
      <c r="AJ85" s="50" t="str">
        <f t="shared" si="7"/>
        <v>UNKNOWN</v>
      </c>
      <c r="AK85" s="63"/>
      <c r="AL85" s="63" t="str">
        <f t="shared" si="10"/>
        <v>0E</v>
      </c>
      <c r="AM85" s="63" t="str">
        <f t="shared" si="11"/>
        <v>00</v>
      </c>
      <c r="AN85" s="63" t="str">
        <f t="shared" si="12"/>
        <v>00</v>
      </c>
      <c r="AO85" s="63" t="str">
        <f t="shared" si="13"/>
        <v>00</v>
      </c>
      <c r="AQ85" t="str">
        <f t="shared" si="8"/>
        <v xml:space="preserve">    (U4)0x0000000EU,                                                           /* 14 UNKNOWN                                         */</v>
      </c>
    </row>
    <row r="86" spans="2:43">
      <c r="B86" s="131"/>
      <c r="C86" s="50">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1</v>
      </c>
      <c r="AG86" s="125">
        <f t="shared" si="15"/>
        <v>1</v>
      </c>
      <c r="AH86" s="125">
        <f t="shared" si="15"/>
        <v>1</v>
      </c>
      <c r="AI86" s="125">
        <f t="shared" ref="AI86" si="16">IF(AI21=1,1,0)</f>
        <v>1</v>
      </c>
      <c r="AJ86" s="50" t="str">
        <f t="shared" si="7"/>
        <v>UNKNOWN</v>
      </c>
      <c r="AK86" s="63"/>
      <c r="AL86" s="63" t="str">
        <f t="shared" si="10"/>
        <v>0F</v>
      </c>
      <c r="AM86" s="63" t="str">
        <f t="shared" si="11"/>
        <v>00</v>
      </c>
      <c r="AN86" s="63" t="str">
        <f t="shared" si="12"/>
        <v>00</v>
      </c>
      <c r="AO86" s="63" t="str">
        <f t="shared" si="13"/>
        <v>00</v>
      </c>
      <c r="AQ86" t="str">
        <f t="shared" si="8"/>
        <v xml:space="preserve">    (U4)0x0000000FU,                                                           /* 15 UNKNOWN                                         */</v>
      </c>
    </row>
    <row r="87" spans="2:43">
      <c r="B87" s="131"/>
      <c r="C87" s="50">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1</v>
      </c>
      <c r="AF87" s="125">
        <f t="shared" si="17"/>
        <v>0</v>
      </c>
      <c r="AG87" s="125">
        <f t="shared" si="17"/>
        <v>0</v>
      </c>
      <c r="AH87" s="125">
        <f t="shared" si="17"/>
        <v>0</v>
      </c>
      <c r="AI87" s="125">
        <f t="shared" si="17"/>
        <v>0</v>
      </c>
      <c r="AJ87" s="50" t="str">
        <f t="shared" si="7"/>
        <v>UNKNOWN</v>
      </c>
      <c r="AK87" s="63"/>
      <c r="AL87" s="63" t="str">
        <f t="shared" si="10"/>
        <v>10</v>
      </c>
      <c r="AM87" s="63" t="str">
        <f t="shared" si="11"/>
        <v>00</v>
      </c>
      <c r="AN87" s="63" t="str">
        <f t="shared" si="12"/>
        <v>00</v>
      </c>
      <c r="AO87" s="63" t="str">
        <f t="shared" si="13"/>
        <v>00</v>
      </c>
      <c r="AQ87" t="str">
        <f t="shared" si="8"/>
        <v xml:space="preserve">    (U4)0x00000010U,                                                           /* 16 UNKNOWN                                         */</v>
      </c>
    </row>
    <row r="88" spans="2:43">
      <c r="B88" s="131"/>
      <c r="C88" s="50">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1</v>
      </c>
      <c r="AF88" s="125">
        <f t="shared" si="17"/>
        <v>0</v>
      </c>
      <c r="AG88" s="125">
        <f t="shared" si="17"/>
        <v>0</v>
      </c>
      <c r="AH88" s="125">
        <f t="shared" si="17"/>
        <v>0</v>
      </c>
      <c r="AI88" s="125">
        <f t="shared" si="17"/>
        <v>1</v>
      </c>
      <c r="AJ88" s="50" t="str">
        <f t="shared" si="7"/>
        <v>UNKNOWN</v>
      </c>
      <c r="AK88" s="63"/>
      <c r="AL88" s="63" t="str">
        <f t="shared" si="10"/>
        <v>11</v>
      </c>
      <c r="AM88" s="63" t="str">
        <f t="shared" si="11"/>
        <v>00</v>
      </c>
      <c r="AN88" s="63" t="str">
        <f t="shared" si="12"/>
        <v>00</v>
      </c>
      <c r="AO88" s="63" t="str">
        <f t="shared" si="13"/>
        <v>00</v>
      </c>
      <c r="AQ88" t="str">
        <f t="shared" si="8"/>
        <v xml:space="preserve">    (U4)0x00000011U,                                                           /* 17 UNKNOWN                                         */</v>
      </c>
    </row>
    <row r="89" spans="2:43">
      <c r="B89" s="131"/>
      <c r="C89" s="50">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1</v>
      </c>
      <c r="AF89" s="125">
        <f t="shared" si="17"/>
        <v>0</v>
      </c>
      <c r="AG89" s="125">
        <f t="shared" si="17"/>
        <v>0</v>
      </c>
      <c r="AH89" s="125">
        <f t="shared" si="17"/>
        <v>1</v>
      </c>
      <c r="AI89" s="125">
        <f t="shared" si="17"/>
        <v>0</v>
      </c>
      <c r="AJ89" s="50" t="str">
        <f t="shared" si="7"/>
        <v>UNKNOWN</v>
      </c>
      <c r="AK89" s="63"/>
      <c r="AL89" s="63" t="str">
        <f t="shared" si="10"/>
        <v>12</v>
      </c>
      <c r="AM89" s="63" t="str">
        <f t="shared" si="11"/>
        <v>00</v>
      </c>
      <c r="AN89" s="63" t="str">
        <f t="shared" si="12"/>
        <v>00</v>
      </c>
      <c r="AO89" s="63" t="str">
        <f t="shared" si="13"/>
        <v>00</v>
      </c>
      <c r="AQ89" t="str">
        <f t="shared" si="8"/>
        <v xml:space="preserve">    (U4)0x00000012U,                                                           /* 18 UNKNOWN                                         */</v>
      </c>
    </row>
    <row r="90" spans="2:43">
      <c r="B90" s="131"/>
      <c r="C90" s="50">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1</v>
      </c>
      <c r="AF90" s="125">
        <f t="shared" si="17"/>
        <v>0</v>
      </c>
      <c r="AG90" s="125">
        <f t="shared" si="17"/>
        <v>0</v>
      </c>
      <c r="AH90" s="125">
        <f t="shared" si="17"/>
        <v>1</v>
      </c>
      <c r="AI90" s="125">
        <f t="shared" si="17"/>
        <v>1</v>
      </c>
      <c r="AJ90" s="50" t="str">
        <f t="shared" si="7"/>
        <v>UNKNOWN</v>
      </c>
      <c r="AK90" s="63"/>
      <c r="AL90" s="63" t="str">
        <f t="shared" si="10"/>
        <v>13</v>
      </c>
      <c r="AM90" s="63" t="str">
        <f t="shared" si="11"/>
        <v>00</v>
      </c>
      <c r="AN90" s="63" t="str">
        <f t="shared" si="12"/>
        <v>00</v>
      </c>
      <c r="AO90" s="63" t="str">
        <f t="shared" si="13"/>
        <v>00</v>
      </c>
      <c r="AQ90" t="str">
        <f t="shared" si="8"/>
        <v xml:space="preserve">    (U4)0x00000013U,                                                           /* 19 UNKNOWN                                         */</v>
      </c>
    </row>
    <row r="91" spans="2:43">
      <c r="B91" s="131"/>
      <c r="C91" s="50">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1</v>
      </c>
      <c r="AF91" s="125">
        <f t="shared" si="17"/>
        <v>0</v>
      </c>
      <c r="AG91" s="125">
        <f t="shared" si="17"/>
        <v>1</v>
      </c>
      <c r="AH91" s="125">
        <f t="shared" si="17"/>
        <v>0</v>
      </c>
      <c r="AI91" s="125">
        <f t="shared" si="17"/>
        <v>0</v>
      </c>
      <c r="AJ91" s="50" t="str">
        <f t="shared" si="7"/>
        <v>UNKNOWN</v>
      </c>
      <c r="AK91" s="63"/>
      <c r="AL91" s="63" t="str">
        <f t="shared" si="10"/>
        <v>14</v>
      </c>
      <c r="AM91" s="63" t="str">
        <f t="shared" si="11"/>
        <v>00</v>
      </c>
      <c r="AN91" s="63" t="str">
        <f t="shared" si="12"/>
        <v>00</v>
      </c>
      <c r="AO91" s="63" t="str">
        <f t="shared" si="13"/>
        <v>00</v>
      </c>
      <c r="AQ91" t="str">
        <f t="shared" si="8"/>
        <v xml:space="preserve">    (U4)0x00000014U,                                                           /* 20 UNKNOWN                                         */</v>
      </c>
    </row>
    <row r="92" spans="2:43">
      <c r="B92" s="131"/>
      <c r="C92" s="50">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1</v>
      </c>
      <c r="AF92" s="125">
        <f t="shared" si="17"/>
        <v>0</v>
      </c>
      <c r="AG92" s="125">
        <f t="shared" si="17"/>
        <v>1</v>
      </c>
      <c r="AH92" s="125">
        <f t="shared" si="17"/>
        <v>0</v>
      </c>
      <c r="AI92" s="125">
        <f t="shared" si="17"/>
        <v>1</v>
      </c>
      <c r="AJ92" s="50" t="str">
        <f t="shared" si="7"/>
        <v>UNKNOWN</v>
      </c>
      <c r="AK92" s="63"/>
      <c r="AL92" s="63" t="str">
        <f t="shared" si="10"/>
        <v>15</v>
      </c>
      <c r="AM92" s="63" t="str">
        <f t="shared" si="11"/>
        <v>00</v>
      </c>
      <c r="AN92" s="63" t="str">
        <f t="shared" si="12"/>
        <v>00</v>
      </c>
      <c r="AO92" s="63" t="str">
        <f t="shared" si="13"/>
        <v>00</v>
      </c>
      <c r="AQ92" t="str">
        <f t="shared" si="8"/>
        <v xml:space="preserve">    (U4)0x00000015U,                                                           /* 21 UNKNOWN                                         */</v>
      </c>
    </row>
    <row r="93" spans="2:43">
      <c r="B93" s="131"/>
      <c r="C93" s="50">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1</v>
      </c>
      <c r="AF93" s="125">
        <f t="shared" si="17"/>
        <v>0</v>
      </c>
      <c r="AG93" s="125">
        <f t="shared" si="17"/>
        <v>1</v>
      </c>
      <c r="AH93" s="125">
        <f t="shared" si="17"/>
        <v>1</v>
      </c>
      <c r="AI93" s="125">
        <f t="shared" si="17"/>
        <v>0</v>
      </c>
      <c r="AJ93" s="50" t="str">
        <f t="shared" si="7"/>
        <v>UNKNOWN</v>
      </c>
      <c r="AK93" s="63"/>
      <c r="AL93" s="63" t="str">
        <f t="shared" si="10"/>
        <v>16</v>
      </c>
      <c r="AM93" s="63" t="str">
        <f t="shared" si="11"/>
        <v>00</v>
      </c>
      <c r="AN93" s="63" t="str">
        <f t="shared" si="12"/>
        <v>00</v>
      </c>
      <c r="AO93" s="63" t="str">
        <f t="shared" si="13"/>
        <v>00</v>
      </c>
      <c r="AQ93" t="str">
        <f t="shared" si="8"/>
        <v xml:space="preserve">    (U4)0x00000016U,                                                           /* 22 UNKNOWN                                         */</v>
      </c>
    </row>
    <row r="94" spans="2:43">
      <c r="B94" s="131"/>
      <c r="C94" s="50">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1</v>
      </c>
      <c r="AF94" s="125">
        <f t="shared" si="17"/>
        <v>0</v>
      </c>
      <c r="AG94" s="125">
        <f t="shared" si="17"/>
        <v>1</v>
      </c>
      <c r="AH94" s="125">
        <f t="shared" si="17"/>
        <v>1</v>
      </c>
      <c r="AI94" s="125">
        <f t="shared" ref="AI94" si="18">IF(AI29=1,1,0)</f>
        <v>1</v>
      </c>
      <c r="AJ94" s="50" t="str">
        <f t="shared" si="7"/>
        <v>UNKNOWN</v>
      </c>
      <c r="AK94" s="63"/>
      <c r="AL94" s="63" t="str">
        <f t="shared" si="10"/>
        <v>17</v>
      </c>
      <c r="AM94" s="63" t="str">
        <f t="shared" si="11"/>
        <v>00</v>
      </c>
      <c r="AN94" s="63" t="str">
        <f t="shared" si="12"/>
        <v>00</v>
      </c>
      <c r="AO94" s="63" t="str">
        <f t="shared" si="13"/>
        <v>00</v>
      </c>
      <c r="AQ94" t="str">
        <f t="shared" si="8"/>
        <v xml:space="preserve">    (U4)0x00000017U,                                                           /* 23 UNKNOWN                                         */</v>
      </c>
    </row>
    <row r="95" spans="2:43">
      <c r="B95" s="131"/>
      <c r="C95" s="50">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1</v>
      </c>
      <c r="AF95" s="125">
        <f t="shared" si="19"/>
        <v>1</v>
      </c>
      <c r="AG95" s="125">
        <f t="shared" si="19"/>
        <v>0</v>
      </c>
      <c r="AH95" s="125">
        <f t="shared" si="19"/>
        <v>0</v>
      </c>
      <c r="AI95" s="125">
        <f t="shared" si="19"/>
        <v>0</v>
      </c>
      <c r="AJ95" s="50" t="str">
        <f t="shared" si="7"/>
        <v>UNKNOWN</v>
      </c>
      <c r="AK95" s="63"/>
      <c r="AL95" s="63" t="str">
        <f t="shared" si="10"/>
        <v>18</v>
      </c>
      <c r="AM95" s="63" t="str">
        <f t="shared" si="11"/>
        <v>00</v>
      </c>
      <c r="AN95" s="63" t="str">
        <f t="shared" si="12"/>
        <v>00</v>
      </c>
      <c r="AO95" s="63" t="str">
        <f t="shared" si="13"/>
        <v>00</v>
      </c>
      <c r="AQ95" t="str">
        <f t="shared" si="8"/>
        <v xml:space="preserve">    (U4)0x00000018U,                                                           /* 24 UNKNOWN                                         */</v>
      </c>
    </row>
    <row r="96" spans="2:43">
      <c r="B96" s="131"/>
      <c r="C96" s="50">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1</v>
      </c>
      <c r="AF96" s="125">
        <f t="shared" si="19"/>
        <v>1</v>
      </c>
      <c r="AG96" s="125">
        <f t="shared" si="19"/>
        <v>0</v>
      </c>
      <c r="AH96" s="125">
        <f t="shared" si="19"/>
        <v>0</v>
      </c>
      <c r="AI96" s="125">
        <f t="shared" si="19"/>
        <v>1</v>
      </c>
      <c r="AJ96" s="50" t="str">
        <f t="shared" si="7"/>
        <v>UNKNOWN</v>
      </c>
      <c r="AK96" s="63"/>
      <c r="AL96" s="63" t="str">
        <f t="shared" si="10"/>
        <v>19</v>
      </c>
      <c r="AM96" s="63" t="str">
        <f t="shared" si="11"/>
        <v>00</v>
      </c>
      <c r="AN96" s="63" t="str">
        <f t="shared" si="12"/>
        <v>00</v>
      </c>
      <c r="AO96" s="63" t="str">
        <f t="shared" si="13"/>
        <v>00</v>
      </c>
      <c r="AQ96" t="str">
        <f t="shared" si="8"/>
        <v xml:space="preserve">    (U4)0x00000019U,                                                           /* 25 UNKNOWN                                         */</v>
      </c>
    </row>
    <row r="97" spans="2:43">
      <c r="B97" s="131"/>
      <c r="C97" s="50">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1</v>
      </c>
      <c r="AF97" s="125">
        <f t="shared" si="19"/>
        <v>1</v>
      </c>
      <c r="AG97" s="125">
        <f t="shared" si="19"/>
        <v>0</v>
      </c>
      <c r="AH97" s="125">
        <f t="shared" si="19"/>
        <v>1</v>
      </c>
      <c r="AI97" s="125">
        <f t="shared" si="19"/>
        <v>0</v>
      </c>
      <c r="AJ97" s="50" t="str">
        <f t="shared" si="7"/>
        <v>UNKNOWN</v>
      </c>
      <c r="AK97" s="63"/>
      <c r="AL97" s="63" t="str">
        <f t="shared" si="10"/>
        <v>1A</v>
      </c>
      <c r="AM97" s="63" t="str">
        <f t="shared" si="11"/>
        <v>00</v>
      </c>
      <c r="AN97" s="63" t="str">
        <f t="shared" si="12"/>
        <v>00</v>
      </c>
      <c r="AO97" s="63" t="str">
        <f t="shared" si="13"/>
        <v>00</v>
      </c>
      <c r="AQ97" t="str">
        <f t="shared" si="8"/>
        <v xml:space="preserve">    (U4)0x0000001AU,                                                           /* 26 UNKNOWN                                         */</v>
      </c>
    </row>
    <row r="98" spans="2:43">
      <c r="B98" s="131"/>
      <c r="C98" s="50">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1</v>
      </c>
      <c r="AF98" s="125">
        <f t="shared" si="19"/>
        <v>1</v>
      </c>
      <c r="AG98" s="125">
        <f t="shared" si="19"/>
        <v>0</v>
      </c>
      <c r="AH98" s="125">
        <f t="shared" si="19"/>
        <v>1</v>
      </c>
      <c r="AI98" s="125">
        <f t="shared" si="19"/>
        <v>1</v>
      </c>
      <c r="AJ98" s="50" t="str">
        <f t="shared" si="7"/>
        <v>UNKNOWN</v>
      </c>
      <c r="AK98" s="63"/>
      <c r="AL98" s="63" t="str">
        <f t="shared" si="10"/>
        <v>1B</v>
      </c>
      <c r="AM98" s="63" t="str">
        <f t="shared" si="11"/>
        <v>00</v>
      </c>
      <c r="AN98" s="63" t="str">
        <f t="shared" si="12"/>
        <v>00</v>
      </c>
      <c r="AO98" s="63" t="str">
        <f t="shared" si="13"/>
        <v>00</v>
      </c>
      <c r="AQ98" t="str">
        <f t="shared" si="8"/>
        <v xml:space="preserve">    (U4)0x0000001BU,                                                           /* 27 UNKNOWN                                         */</v>
      </c>
    </row>
    <row r="99" spans="2:43">
      <c r="B99" s="131"/>
      <c r="C99" s="50">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1</v>
      </c>
      <c r="AF99" s="125">
        <f t="shared" si="19"/>
        <v>1</v>
      </c>
      <c r="AG99" s="125">
        <f t="shared" si="19"/>
        <v>1</v>
      </c>
      <c r="AH99" s="125">
        <f t="shared" si="19"/>
        <v>0</v>
      </c>
      <c r="AI99" s="125">
        <f t="shared" si="19"/>
        <v>0</v>
      </c>
      <c r="AJ99" s="50" t="str">
        <f t="shared" si="7"/>
        <v>UNKNOWN</v>
      </c>
      <c r="AK99" s="63"/>
      <c r="AL99" s="63" t="str">
        <f t="shared" si="10"/>
        <v>1C</v>
      </c>
      <c r="AM99" s="63" t="str">
        <f t="shared" si="11"/>
        <v>00</v>
      </c>
      <c r="AN99" s="63" t="str">
        <f t="shared" si="12"/>
        <v>00</v>
      </c>
      <c r="AO99" s="63" t="str">
        <f t="shared" si="13"/>
        <v>00</v>
      </c>
      <c r="AQ99" t="str">
        <f t="shared" si="8"/>
        <v xml:space="preserve">    (U4)0x0000001CU,                                                           /* 28 UNKNOWN                                         */</v>
      </c>
    </row>
    <row r="100" spans="2:43">
      <c r="B100" s="131"/>
      <c r="C100" s="50">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1</v>
      </c>
      <c r="AF100" s="125">
        <f t="shared" si="19"/>
        <v>1</v>
      </c>
      <c r="AG100" s="125">
        <f t="shared" si="19"/>
        <v>1</v>
      </c>
      <c r="AH100" s="125">
        <f t="shared" si="19"/>
        <v>0</v>
      </c>
      <c r="AI100" s="125">
        <f t="shared" si="19"/>
        <v>1</v>
      </c>
      <c r="AJ100" s="50" t="str">
        <f t="shared" si="7"/>
        <v>UNKNOWN</v>
      </c>
      <c r="AK100" s="63"/>
      <c r="AL100" s="63" t="str">
        <f t="shared" si="10"/>
        <v>1D</v>
      </c>
      <c r="AM100" s="63" t="str">
        <f t="shared" si="11"/>
        <v>00</v>
      </c>
      <c r="AN100" s="63" t="str">
        <f t="shared" si="12"/>
        <v>00</v>
      </c>
      <c r="AO100" s="63" t="str">
        <f t="shared" si="13"/>
        <v>00</v>
      </c>
      <c r="AQ100" t="str">
        <f t="shared" si="8"/>
        <v xml:space="preserve">    (U4)0x0000001DU,                                                           /* 29 UNKNOWN                                         */</v>
      </c>
    </row>
    <row r="101" spans="2:43">
      <c r="B101" s="131"/>
      <c r="C101" s="50">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1</v>
      </c>
      <c r="AF101" s="125">
        <f t="shared" si="19"/>
        <v>1</v>
      </c>
      <c r="AG101" s="125">
        <f t="shared" si="19"/>
        <v>1</v>
      </c>
      <c r="AH101" s="125">
        <f t="shared" si="19"/>
        <v>1</v>
      </c>
      <c r="AI101" s="125">
        <f t="shared" si="19"/>
        <v>0</v>
      </c>
      <c r="AJ101" s="50" t="str">
        <f t="shared" si="7"/>
        <v>UNKNOWN</v>
      </c>
      <c r="AK101" s="63"/>
      <c r="AL101" s="63" t="str">
        <f t="shared" si="10"/>
        <v>1E</v>
      </c>
      <c r="AM101" s="63" t="str">
        <f t="shared" si="11"/>
        <v>00</v>
      </c>
      <c r="AN101" s="63" t="str">
        <f t="shared" si="12"/>
        <v>00</v>
      </c>
      <c r="AO101" s="63" t="str">
        <f t="shared" si="13"/>
        <v>00</v>
      </c>
      <c r="AQ101" t="str">
        <f t="shared" si="8"/>
        <v xml:space="preserve">    (U4)0x0000001EU,                                                           /* 30 UNKNOWN                                         */</v>
      </c>
    </row>
    <row r="102" spans="2:43">
      <c r="B102" s="131"/>
      <c r="C102" s="50">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1</v>
      </c>
      <c r="AF102" s="125">
        <f t="shared" si="19"/>
        <v>1</v>
      </c>
      <c r="AG102" s="125">
        <f t="shared" si="19"/>
        <v>1</v>
      </c>
      <c r="AH102" s="125">
        <f t="shared" si="19"/>
        <v>1</v>
      </c>
      <c r="AI102" s="125">
        <f t="shared" ref="AI102" si="20">IF(AI37=1,1,0)</f>
        <v>1</v>
      </c>
      <c r="AJ102" s="50" t="str">
        <f t="shared" si="7"/>
        <v>UNKNOWN</v>
      </c>
      <c r="AK102" s="63"/>
      <c r="AL102" s="63" t="str">
        <f t="shared" si="10"/>
        <v>1F</v>
      </c>
      <c r="AM102" s="63" t="str">
        <f t="shared" si="11"/>
        <v>00</v>
      </c>
      <c r="AN102" s="63" t="str">
        <f t="shared" si="12"/>
        <v>00</v>
      </c>
      <c r="AO102" s="63" t="str">
        <f t="shared" si="13"/>
        <v>00</v>
      </c>
      <c r="AQ102" t="str">
        <f t="shared" si="8"/>
        <v xml:space="preserve">    (U4)0x0000001FU                                                            /* 31 UNKNOWN                                         */</v>
      </c>
    </row>
    <row r="103" spans="2:43">
      <c r="B103" s="131"/>
      <c r="C103" s="50">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0</v>
      </c>
      <c r="AE103" s="125">
        <f t="shared" si="21"/>
        <v>0</v>
      </c>
      <c r="AF103" s="125">
        <f t="shared" si="21"/>
        <v>0</v>
      </c>
      <c r="AG103" s="125">
        <f t="shared" si="21"/>
        <v>0</v>
      </c>
      <c r="AH103" s="125">
        <f t="shared" si="21"/>
        <v>0</v>
      </c>
      <c r="AI103" s="125">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31"/>
      <c r="C104" s="50">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0</v>
      </c>
      <c r="AE104" s="125">
        <f t="shared" si="21"/>
        <v>0</v>
      </c>
      <c r="AF104" s="125">
        <f t="shared" si="21"/>
        <v>0</v>
      </c>
      <c r="AG104" s="125">
        <f t="shared" si="21"/>
        <v>0</v>
      </c>
      <c r="AH104" s="125">
        <f t="shared" si="21"/>
        <v>0</v>
      </c>
      <c r="AI104" s="125">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31"/>
      <c r="C105" s="50">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0</v>
      </c>
      <c r="AE105" s="125">
        <f t="shared" si="21"/>
        <v>0</v>
      </c>
      <c r="AF105" s="125">
        <f t="shared" si="21"/>
        <v>0</v>
      </c>
      <c r="AG105" s="125">
        <f t="shared" si="21"/>
        <v>0</v>
      </c>
      <c r="AH105" s="125">
        <f t="shared" si="21"/>
        <v>0</v>
      </c>
      <c r="AI105" s="125">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31"/>
      <c r="C106" s="50">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0</v>
      </c>
      <c r="AE106" s="125">
        <f t="shared" si="21"/>
        <v>0</v>
      </c>
      <c r="AF106" s="125">
        <f t="shared" si="21"/>
        <v>0</v>
      </c>
      <c r="AG106" s="125">
        <f t="shared" si="21"/>
        <v>0</v>
      </c>
      <c r="AH106" s="125">
        <f t="shared" si="21"/>
        <v>0</v>
      </c>
      <c r="AI106" s="125">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31"/>
      <c r="C107" s="50">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0</v>
      </c>
      <c r="AE107" s="125">
        <f t="shared" si="21"/>
        <v>0</v>
      </c>
      <c r="AF107" s="125">
        <f t="shared" si="21"/>
        <v>0</v>
      </c>
      <c r="AG107" s="125">
        <f t="shared" si="21"/>
        <v>0</v>
      </c>
      <c r="AH107" s="125">
        <f t="shared" si="21"/>
        <v>0</v>
      </c>
      <c r="AI107" s="125">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31"/>
      <c r="C108" s="50">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0</v>
      </c>
      <c r="AE108" s="125">
        <f t="shared" si="21"/>
        <v>0</v>
      </c>
      <c r="AF108" s="125">
        <f t="shared" si="21"/>
        <v>0</v>
      </c>
      <c r="AG108" s="125">
        <f t="shared" si="21"/>
        <v>0</v>
      </c>
      <c r="AH108" s="125">
        <f t="shared" si="21"/>
        <v>0</v>
      </c>
      <c r="AI108" s="125">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31"/>
      <c r="C109" s="50">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0</v>
      </c>
      <c r="AE109" s="125">
        <f t="shared" si="21"/>
        <v>0</v>
      </c>
      <c r="AF109" s="125">
        <f t="shared" si="21"/>
        <v>0</v>
      </c>
      <c r="AG109" s="125">
        <f t="shared" si="21"/>
        <v>0</v>
      </c>
      <c r="AH109" s="125">
        <f t="shared" si="21"/>
        <v>0</v>
      </c>
      <c r="AI109" s="125">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31"/>
      <c r="C110" s="50">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0</v>
      </c>
      <c r="AE110" s="125">
        <f t="shared" si="21"/>
        <v>0</v>
      </c>
      <c r="AF110" s="125">
        <f t="shared" si="21"/>
        <v>0</v>
      </c>
      <c r="AG110" s="125">
        <f t="shared" si="21"/>
        <v>0</v>
      </c>
      <c r="AH110" s="125">
        <f t="shared" si="21"/>
        <v>0</v>
      </c>
      <c r="AI110" s="125">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31"/>
      <c r="C111" s="50">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0</v>
      </c>
      <c r="AE111" s="125">
        <f t="shared" si="23"/>
        <v>0</v>
      </c>
      <c r="AF111" s="125">
        <f t="shared" si="23"/>
        <v>0</v>
      </c>
      <c r="AG111" s="125">
        <f t="shared" si="23"/>
        <v>0</v>
      </c>
      <c r="AH111" s="125">
        <f t="shared" si="23"/>
        <v>0</v>
      </c>
      <c r="AI111" s="125">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31"/>
      <c r="C112" s="50">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0</v>
      </c>
      <c r="AE112" s="125">
        <f t="shared" si="23"/>
        <v>0</v>
      </c>
      <c r="AF112" s="125">
        <f t="shared" si="23"/>
        <v>0</v>
      </c>
      <c r="AG112" s="125">
        <f t="shared" si="23"/>
        <v>0</v>
      </c>
      <c r="AH112" s="125">
        <f t="shared" si="23"/>
        <v>0</v>
      </c>
      <c r="AI112" s="125">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31"/>
      <c r="C113" s="50">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0</v>
      </c>
      <c r="AE113" s="125">
        <f t="shared" si="23"/>
        <v>0</v>
      </c>
      <c r="AF113" s="125">
        <f t="shared" si="23"/>
        <v>0</v>
      </c>
      <c r="AG113" s="125">
        <f t="shared" si="23"/>
        <v>0</v>
      </c>
      <c r="AH113" s="125">
        <f t="shared" si="23"/>
        <v>0</v>
      </c>
      <c r="AI113" s="125">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31"/>
      <c r="C114" s="50">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0</v>
      </c>
      <c r="AE114" s="125">
        <f t="shared" si="23"/>
        <v>0</v>
      </c>
      <c r="AF114" s="125">
        <f t="shared" si="23"/>
        <v>0</v>
      </c>
      <c r="AG114" s="125">
        <f t="shared" si="23"/>
        <v>0</v>
      </c>
      <c r="AH114" s="125">
        <f t="shared" si="23"/>
        <v>0</v>
      </c>
      <c r="AI114" s="125">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31"/>
      <c r="C115" s="50">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0</v>
      </c>
      <c r="AE115" s="125">
        <f t="shared" si="23"/>
        <v>0</v>
      </c>
      <c r="AF115" s="125">
        <f t="shared" si="23"/>
        <v>0</v>
      </c>
      <c r="AG115" s="125">
        <f t="shared" si="23"/>
        <v>0</v>
      </c>
      <c r="AH115" s="125">
        <f t="shared" si="23"/>
        <v>0</v>
      </c>
      <c r="AI115" s="125">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31"/>
      <c r="C116" s="50">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0</v>
      </c>
      <c r="AE116" s="125">
        <f t="shared" si="23"/>
        <v>0</v>
      </c>
      <c r="AF116" s="125">
        <f t="shared" si="23"/>
        <v>0</v>
      </c>
      <c r="AG116" s="125">
        <f t="shared" si="23"/>
        <v>0</v>
      </c>
      <c r="AH116" s="125">
        <f t="shared" si="23"/>
        <v>0</v>
      </c>
      <c r="AI116" s="125">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31"/>
      <c r="C117" s="50">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0</v>
      </c>
      <c r="AE117" s="125">
        <f t="shared" si="23"/>
        <v>0</v>
      </c>
      <c r="AF117" s="125">
        <f t="shared" si="23"/>
        <v>0</v>
      </c>
      <c r="AG117" s="125">
        <f t="shared" si="23"/>
        <v>0</v>
      </c>
      <c r="AH117" s="125">
        <f t="shared" si="23"/>
        <v>0</v>
      </c>
      <c r="AI117" s="125">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31"/>
      <c r="C118" s="50">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0</v>
      </c>
      <c r="AE118" s="125">
        <f t="shared" si="23"/>
        <v>0</v>
      </c>
      <c r="AF118" s="125">
        <f t="shared" si="23"/>
        <v>0</v>
      </c>
      <c r="AG118" s="125">
        <f t="shared" si="23"/>
        <v>0</v>
      </c>
      <c r="AH118" s="125">
        <f t="shared" si="23"/>
        <v>0</v>
      </c>
      <c r="AI118" s="125">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31"/>
      <c r="C119" s="50">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0</v>
      </c>
      <c r="AE119" s="125">
        <f t="shared" si="25"/>
        <v>0</v>
      </c>
      <c r="AF119" s="125">
        <f t="shared" si="25"/>
        <v>0</v>
      </c>
      <c r="AG119" s="125">
        <f t="shared" si="25"/>
        <v>0</v>
      </c>
      <c r="AH119" s="125">
        <f t="shared" si="25"/>
        <v>0</v>
      </c>
      <c r="AI119" s="125">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31"/>
      <c r="C120" s="50">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0</v>
      </c>
      <c r="AE120" s="125">
        <f t="shared" si="25"/>
        <v>0</v>
      </c>
      <c r="AF120" s="125">
        <f t="shared" si="25"/>
        <v>0</v>
      </c>
      <c r="AG120" s="125">
        <f t="shared" si="25"/>
        <v>0</v>
      </c>
      <c r="AH120" s="125">
        <f t="shared" si="25"/>
        <v>0</v>
      </c>
      <c r="AI120" s="125">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31"/>
      <c r="C121" s="50">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0</v>
      </c>
      <c r="AE121" s="125">
        <f t="shared" si="25"/>
        <v>0</v>
      </c>
      <c r="AF121" s="125">
        <f t="shared" si="25"/>
        <v>0</v>
      </c>
      <c r="AG121" s="125">
        <f t="shared" si="25"/>
        <v>0</v>
      </c>
      <c r="AH121" s="125">
        <f t="shared" si="25"/>
        <v>0</v>
      </c>
      <c r="AI121" s="125">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31"/>
      <c r="C122" s="50">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0</v>
      </c>
      <c r="AE122" s="125">
        <f t="shared" si="25"/>
        <v>0</v>
      </c>
      <c r="AF122" s="125">
        <f t="shared" si="25"/>
        <v>0</v>
      </c>
      <c r="AG122" s="125">
        <f t="shared" si="25"/>
        <v>0</v>
      </c>
      <c r="AH122" s="125">
        <f t="shared" si="25"/>
        <v>0</v>
      </c>
      <c r="AI122" s="125">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31"/>
      <c r="C123" s="50">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0</v>
      </c>
      <c r="AE123" s="125">
        <f t="shared" si="25"/>
        <v>0</v>
      </c>
      <c r="AF123" s="125">
        <f t="shared" si="25"/>
        <v>0</v>
      </c>
      <c r="AG123" s="125">
        <f t="shared" si="25"/>
        <v>0</v>
      </c>
      <c r="AH123" s="125">
        <f t="shared" si="25"/>
        <v>0</v>
      </c>
      <c r="AI123" s="125">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31"/>
      <c r="C124" s="50">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0</v>
      </c>
      <c r="AE124" s="125">
        <f t="shared" si="25"/>
        <v>0</v>
      </c>
      <c r="AF124" s="125">
        <f t="shared" si="25"/>
        <v>0</v>
      </c>
      <c r="AG124" s="125">
        <f t="shared" si="25"/>
        <v>0</v>
      </c>
      <c r="AH124" s="125">
        <f t="shared" si="25"/>
        <v>0</v>
      </c>
      <c r="AI124" s="125">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31"/>
      <c r="C125" s="50">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0</v>
      </c>
      <c r="AE125" s="125">
        <f t="shared" si="25"/>
        <v>0</v>
      </c>
      <c r="AF125" s="125">
        <f t="shared" si="25"/>
        <v>0</v>
      </c>
      <c r="AG125" s="125">
        <f t="shared" si="25"/>
        <v>0</v>
      </c>
      <c r="AH125" s="125">
        <f t="shared" si="25"/>
        <v>0</v>
      </c>
      <c r="AI125" s="125">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31"/>
      <c r="C126" s="50">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0</v>
      </c>
      <c r="AE126" s="125">
        <f t="shared" si="25"/>
        <v>0</v>
      </c>
      <c r="AF126" s="125">
        <f t="shared" si="25"/>
        <v>0</v>
      </c>
      <c r="AG126" s="125">
        <f t="shared" si="25"/>
        <v>0</v>
      </c>
      <c r="AH126" s="125">
        <f t="shared" si="25"/>
        <v>0</v>
      </c>
      <c r="AI126" s="125">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31"/>
      <c r="C127" s="50">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0</v>
      </c>
      <c r="AE127" s="125">
        <f t="shared" si="27"/>
        <v>0</v>
      </c>
      <c r="AF127" s="125">
        <f t="shared" si="27"/>
        <v>0</v>
      </c>
      <c r="AG127" s="125">
        <f t="shared" si="27"/>
        <v>0</v>
      </c>
      <c r="AH127" s="125">
        <f t="shared" si="27"/>
        <v>0</v>
      </c>
      <c r="AI127" s="125">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31"/>
      <c r="C128" s="50">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0</v>
      </c>
      <c r="AE128" s="125">
        <f t="shared" si="27"/>
        <v>0</v>
      </c>
      <c r="AF128" s="125">
        <f t="shared" si="27"/>
        <v>0</v>
      </c>
      <c r="AG128" s="125">
        <f t="shared" si="27"/>
        <v>0</v>
      </c>
      <c r="AH128" s="125">
        <f t="shared" si="27"/>
        <v>0</v>
      </c>
      <c r="AI128" s="125">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31"/>
      <c r="C129" s="50">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0</v>
      </c>
      <c r="AE129" s="125">
        <f t="shared" si="27"/>
        <v>0</v>
      </c>
      <c r="AF129" s="125">
        <f t="shared" si="27"/>
        <v>0</v>
      </c>
      <c r="AG129" s="125">
        <f t="shared" si="27"/>
        <v>0</v>
      </c>
      <c r="AH129" s="125">
        <f t="shared" si="27"/>
        <v>0</v>
      </c>
      <c r="AI129" s="125">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31"/>
      <c r="C130" s="50">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0</v>
      </c>
      <c r="AE130" s="125">
        <f t="shared" si="27"/>
        <v>0</v>
      </c>
      <c r="AF130" s="125">
        <f t="shared" si="27"/>
        <v>0</v>
      </c>
      <c r="AG130" s="125">
        <f t="shared" si="27"/>
        <v>0</v>
      </c>
      <c r="AH130" s="125">
        <f t="shared" si="27"/>
        <v>0</v>
      </c>
      <c r="AI130" s="125">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31"/>
      <c r="C131" s="50">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0</v>
      </c>
      <c r="AE131" s="125">
        <f t="shared" si="27"/>
        <v>0</v>
      </c>
      <c r="AF131" s="125">
        <f t="shared" si="27"/>
        <v>0</v>
      </c>
      <c r="AG131" s="125">
        <f t="shared" si="27"/>
        <v>0</v>
      </c>
      <c r="AH131" s="125">
        <f t="shared" si="27"/>
        <v>0</v>
      </c>
      <c r="AI131" s="125">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31"/>
      <c r="C132" s="50">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0</v>
      </c>
      <c r="AE132" s="125">
        <f t="shared" si="27"/>
        <v>0</v>
      </c>
      <c r="AF132" s="125">
        <f t="shared" si="27"/>
        <v>0</v>
      </c>
      <c r="AG132" s="125">
        <f t="shared" si="27"/>
        <v>0</v>
      </c>
      <c r="AH132" s="125">
        <f t="shared" si="27"/>
        <v>0</v>
      </c>
      <c r="AI132" s="125">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31"/>
      <c r="C133" s="50">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0</v>
      </c>
      <c r="AE133" s="125">
        <f t="shared" si="27"/>
        <v>0</v>
      </c>
      <c r="AF133" s="125">
        <f t="shared" si="27"/>
        <v>0</v>
      </c>
      <c r="AG133" s="125">
        <f t="shared" si="27"/>
        <v>0</v>
      </c>
      <c r="AH133" s="125">
        <f t="shared" si="27"/>
        <v>0</v>
      </c>
      <c r="AI133" s="125">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2"/>
      <c r="C134" s="50">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0</v>
      </c>
      <c r="AE134" s="125">
        <f t="shared" si="27"/>
        <v>0</v>
      </c>
      <c r="AF134" s="125">
        <f t="shared" si="27"/>
        <v>0</v>
      </c>
      <c r="AG134" s="125">
        <f t="shared" si="27"/>
        <v>0</v>
      </c>
      <c r="AH134" s="125">
        <f t="shared" si="27"/>
        <v>0</v>
      </c>
      <c r="AI134" s="125">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69</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3" t="str">
        <f ca="1">IF(B6&lt;&gt;"",B6,"")</f>
        <v>Table PD</v>
      </c>
      <c r="C136" s="50">
        <f>IF(C6&lt;&gt;"",C6,"")</f>
        <v>0</v>
      </c>
      <c r="D136" s="125">
        <f t="shared" ref="D136:AI143" si="29">IF(OR(D6=0,D6=1),1,0)</f>
        <v>0</v>
      </c>
      <c r="E136" s="125">
        <f t="shared" si="29"/>
        <v>0</v>
      </c>
      <c r="F136" s="125">
        <f t="shared" si="29"/>
        <v>0</v>
      </c>
      <c r="G136" s="125">
        <f t="shared" si="29"/>
        <v>0</v>
      </c>
      <c r="H136" s="125">
        <f t="shared" si="29"/>
        <v>0</v>
      </c>
      <c r="I136" s="125">
        <f t="shared" si="29"/>
        <v>0</v>
      </c>
      <c r="J136" s="125">
        <f t="shared" si="29"/>
        <v>0</v>
      </c>
      <c r="K136" s="125">
        <f t="shared" si="29"/>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 t="shared" si="29"/>
        <v>0</v>
      </c>
      <c r="AB136" s="125">
        <f t="shared" si="29"/>
        <v>0</v>
      </c>
      <c r="AC136" s="125">
        <f t="shared" si="29"/>
        <v>0</v>
      </c>
      <c r="AD136" s="125">
        <f t="shared" si="29"/>
        <v>0</v>
      </c>
      <c r="AE136" s="125">
        <f t="shared" si="29"/>
        <v>1</v>
      </c>
      <c r="AF136" s="125">
        <f t="shared" si="29"/>
        <v>1</v>
      </c>
      <c r="AG136" s="125">
        <f t="shared" si="29"/>
        <v>1</v>
      </c>
      <c r="AH136" s="125">
        <f t="shared" si="29"/>
        <v>1</v>
      </c>
      <c r="AI136" s="125">
        <f t="shared" si="29"/>
        <v>1</v>
      </c>
      <c r="AJ136" s="50" t="str">
        <f t="shared" ref="AJ136:AJ199" si="30">IF(AJ6&lt;&gt;"",AJ6,"")</f>
        <v>UNKNOWN</v>
      </c>
      <c r="AK136" s="63"/>
      <c r="AL136" s="63" t="str">
        <f>BIN2HEX(AB136&amp;AC136&amp;AD136&amp;AE136&amp;AF136&amp;AG136&amp;AH136&amp;AI136,2)</f>
        <v>1F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1"/>
      <c r="C137" s="50">
        <f t="shared" ref="C137:C199" si="32">IF(C7&lt;&gt;"",C7,"")</f>
        <v>1</v>
      </c>
      <c r="D137" s="125">
        <f t="shared" si="29"/>
        <v>0</v>
      </c>
      <c r="E137" s="125">
        <f t="shared" si="29"/>
        <v>0</v>
      </c>
      <c r="F137" s="125">
        <f t="shared" si="29"/>
        <v>0</v>
      </c>
      <c r="G137" s="125">
        <f t="shared" si="29"/>
        <v>0</v>
      </c>
      <c r="H137" s="125">
        <f t="shared" si="29"/>
        <v>0</v>
      </c>
      <c r="I137" s="125">
        <f t="shared" si="29"/>
        <v>0</v>
      </c>
      <c r="J137" s="125">
        <f t="shared" si="29"/>
        <v>0</v>
      </c>
      <c r="K137" s="125">
        <f t="shared" si="29"/>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 t="shared" si="29"/>
        <v>0</v>
      </c>
      <c r="AB137" s="125">
        <f t="shared" si="29"/>
        <v>0</v>
      </c>
      <c r="AC137" s="125">
        <f t="shared" si="29"/>
        <v>0</v>
      </c>
      <c r="AD137" s="125">
        <f t="shared" si="29"/>
        <v>0</v>
      </c>
      <c r="AE137" s="125">
        <f t="shared" si="29"/>
        <v>1</v>
      </c>
      <c r="AF137" s="125">
        <f t="shared" si="29"/>
        <v>1</v>
      </c>
      <c r="AG137" s="125">
        <f t="shared" si="29"/>
        <v>1</v>
      </c>
      <c r="AH137" s="125">
        <f t="shared" si="29"/>
        <v>1</v>
      </c>
      <c r="AI137" s="125">
        <f t="shared" si="29"/>
        <v>1</v>
      </c>
      <c r="AJ137" s="50" t="str">
        <f t="shared" si="30"/>
        <v>DEACTIV</v>
      </c>
      <c r="AK137" s="63"/>
      <c r="AL137" s="63" t="str">
        <f t="shared" ref="AL137:AL199" si="33">BIN2HEX(AB137&amp;AC137&amp;AD137&amp;AE137&amp;AF137&amp;AG137&amp;AH137&amp;AI137,2)</f>
        <v>1F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(U4)0x0000001FU,                                                           /* 01 DEACTIV                                         */</v>
      </c>
    </row>
    <row r="138" spans="1:43">
      <c r="B138" s="131"/>
      <c r="C138" s="50">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0</v>
      </c>
      <c r="AE138" s="125">
        <f t="shared" si="29"/>
        <v>1</v>
      </c>
      <c r="AF138" s="125">
        <f t="shared" si="29"/>
        <v>1</v>
      </c>
      <c r="AG138" s="125">
        <f t="shared" si="29"/>
        <v>1</v>
      </c>
      <c r="AH138" s="125">
        <f t="shared" si="29"/>
        <v>1</v>
      </c>
      <c r="AI138" s="125">
        <f t="shared" si="29"/>
        <v>1</v>
      </c>
      <c r="AJ138" s="50" t="str">
        <f t="shared" si="30"/>
        <v>UNAVLBL</v>
      </c>
      <c r="AK138" s="63"/>
      <c r="AL138" s="63" t="str">
        <f t="shared" si="33"/>
        <v>1F</v>
      </c>
      <c r="AM138" s="63" t="str">
        <f t="shared" si="34"/>
        <v>00</v>
      </c>
      <c r="AN138" s="63" t="str">
        <f t="shared" si="35"/>
        <v>00</v>
      </c>
      <c r="AO138" s="63" t="str">
        <f t="shared" si="36"/>
        <v>00</v>
      </c>
      <c r="AQ138" t="str">
        <f t="shared" si="31"/>
        <v xml:space="preserve">    (U4)0x0000001FU,                                                           /* 02 UNAVLBL                                         */</v>
      </c>
    </row>
    <row r="139" spans="1:43">
      <c r="B139" s="131"/>
      <c r="C139" s="50">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0</v>
      </c>
      <c r="AE139" s="125">
        <f t="shared" si="29"/>
        <v>1</v>
      </c>
      <c r="AF139" s="125">
        <f t="shared" si="29"/>
        <v>1</v>
      </c>
      <c r="AG139" s="125">
        <f t="shared" si="29"/>
        <v>1</v>
      </c>
      <c r="AH139" s="125">
        <f t="shared" si="29"/>
        <v>1</v>
      </c>
      <c r="AI139" s="125">
        <f t="shared" si="29"/>
        <v>1</v>
      </c>
      <c r="AJ139" s="50" t="str">
        <f t="shared" si="30"/>
        <v>UNKNOWN</v>
      </c>
      <c r="AK139" s="63"/>
      <c r="AL139" s="63" t="str">
        <f t="shared" si="33"/>
        <v>1F</v>
      </c>
      <c r="AM139" s="63" t="str">
        <f t="shared" si="34"/>
        <v>00</v>
      </c>
      <c r="AN139" s="63" t="str">
        <f t="shared" si="35"/>
        <v>00</v>
      </c>
      <c r="AO139" s="63" t="str">
        <f t="shared" si="36"/>
        <v>00</v>
      </c>
      <c r="AQ139" t="str">
        <f t="shared" si="31"/>
        <v xml:space="preserve">    (U4)0x0000001FU,                                                           /* 03 UNKNOWN                                         */</v>
      </c>
    </row>
    <row r="140" spans="1:43">
      <c r="B140" s="131"/>
      <c r="C140" s="50">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0</v>
      </c>
      <c r="AE140" s="125">
        <f t="shared" si="29"/>
        <v>1</v>
      </c>
      <c r="AF140" s="125">
        <f t="shared" si="29"/>
        <v>1</v>
      </c>
      <c r="AG140" s="125">
        <f t="shared" si="29"/>
        <v>1</v>
      </c>
      <c r="AH140" s="125">
        <f t="shared" si="29"/>
        <v>1</v>
      </c>
      <c r="AI140" s="125">
        <f t="shared" si="29"/>
        <v>1</v>
      </c>
      <c r="AJ140" s="50" t="str">
        <f t="shared" si="30"/>
        <v>UNKNOWN</v>
      </c>
      <c r="AK140" s="63"/>
      <c r="AL140" s="63" t="str">
        <f t="shared" si="33"/>
        <v>1F</v>
      </c>
      <c r="AM140" s="63" t="str">
        <f t="shared" si="34"/>
        <v>00</v>
      </c>
      <c r="AN140" s="63" t="str">
        <f t="shared" si="35"/>
        <v>00</v>
      </c>
      <c r="AO140" s="63" t="str">
        <f t="shared" si="36"/>
        <v>00</v>
      </c>
      <c r="AQ140" t="str">
        <f t="shared" si="31"/>
        <v xml:space="preserve">    (U4)0x0000001FU,                                                           /* 04 UNKNOWN                                         */</v>
      </c>
    </row>
    <row r="141" spans="1:43">
      <c r="B141" s="131"/>
      <c r="C141" s="50">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0</v>
      </c>
      <c r="AE141" s="125">
        <f t="shared" si="29"/>
        <v>1</v>
      </c>
      <c r="AF141" s="125">
        <f t="shared" si="29"/>
        <v>1</v>
      </c>
      <c r="AG141" s="125">
        <f t="shared" si="29"/>
        <v>1</v>
      </c>
      <c r="AH141" s="125">
        <f t="shared" si="29"/>
        <v>1</v>
      </c>
      <c r="AI141" s="125">
        <f t="shared" si="29"/>
        <v>1</v>
      </c>
      <c r="AJ141" s="50" t="str">
        <f t="shared" si="30"/>
        <v>UNKNOWN</v>
      </c>
      <c r="AK141" s="63"/>
      <c r="AL141" s="63" t="str">
        <f t="shared" si="33"/>
        <v>1F</v>
      </c>
      <c r="AM141" s="63" t="str">
        <f t="shared" si="34"/>
        <v>00</v>
      </c>
      <c r="AN141" s="63" t="str">
        <f t="shared" si="35"/>
        <v>00</v>
      </c>
      <c r="AO141" s="63" t="str">
        <f t="shared" si="36"/>
        <v>00</v>
      </c>
      <c r="AQ141" t="str">
        <f t="shared" si="31"/>
        <v xml:space="preserve">    (U4)0x0000001FU,                                                           /* 05 UNKNOWN                                         */</v>
      </c>
    </row>
    <row r="142" spans="1:43">
      <c r="B142" s="131"/>
      <c r="C142" s="50">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0</v>
      </c>
      <c r="AE142" s="125">
        <f t="shared" si="29"/>
        <v>1</v>
      </c>
      <c r="AF142" s="125">
        <f t="shared" si="29"/>
        <v>1</v>
      </c>
      <c r="AG142" s="125">
        <f t="shared" si="29"/>
        <v>1</v>
      </c>
      <c r="AH142" s="125">
        <f t="shared" si="29"/>
        <v>1</v>
      </c>
      <c r="AI142" s="125">
        <f t="shared" si="29"/>
        <v>1</v>
      </c>
      <c r="AJ142" s="50" t="str">
        <f t="shared" si="30"/>
        <v>UNKNOWN</v>
      </c>
      <c r="AK142" s="63"/>
      <c r="AL142" s="63" t="str">
        <f t="shared" si="33"/>
        <v>1F</v>
      </c>
      <c r="AM142" s="63" t="str">
        <f t="shared" si="34"/>
        <v>00</v>
      </c>
      <c r="AN142" s="63" t="str">
        <f t="shared" si="35"/>
        <v>00</v>
      </c>
      <c r="AO142" s="63" t="str">
        <f t="shared" si="36"/>
        <v>00</v>
      </c>
      <c r="AQ142" t="str">
        <f t="shared" si="31"/>
        <v xml:space="preserve">    (U4)0x0000001FU,                                                           /* 06 UNKNOWN                                         */</v>
      </c>
    </row>
    <row r="143" spans="1:43">
      <c r="B143" s="131"/>
      <c r="C143" s="50">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0</v>
      </c>
      <c r="AE143" s="125">
        <f t="shared" si="29"/>
        <v>1</v>
      </c>
      <c r="AF143" s="125">
        <f t="shared" si="29"/>
        <v>1</v>
      </c>
      <c r="AG143" s="125">
        <f t="shared" si="29"/>
        <v>1</v>
      </c>
      <c r="AH143" s="125">
        <f t="shared" si="29"/>
        <v>1</v>
      </c>
      <c r="AI143" s="125">
        <f t="shared" ref="AI143" si="37">IF(OR(AI13=0,AI13=1),1,0)</f>
        <v>1</v>
      </c>
      <c r="AJ143" s="50" t="str">
        <f t="shared" si="30"/>
        <v>UNKNOWN</v>
      </c>
      <c r="AK143" s="63"/>
      <c r="AL143" s="63" t="str">
        <f t="shared" si="33"/>
        <v>1F</v>
      </c>
      <c r="AM143" s="63" t="str">
        <f t="shared" si="34"/>
        <v>00</v>
      </c>
      <c r="AN143" s="63" t="str">
        <f t="shared" si="35"/>
        <v>00</v>
      </c>
      <c r="AO143" s="63" t="str">
        <f t="shared" si="36"/>
        <v>00</v>
      </c>
      <c r="AQ143" t="str">
        <f t="shared" si="31"/>
        <v xml:space="preserve">    (U4)0x0000001FU,                                                           /* 07 UNKNOWN                                         */</v>
      </c>
    </row>
    <row r="144" spans="1:43">
      <c r="B144" s="131"/>
      <c r="C144" s="50">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0</v>
      </c>
      <c r="AE144" s="125">
        <f t="shared" si="38"/>
        <v>1</v>
      </c>
      <c r="AF144" s="125">
        <f t="shared" si="38"/>
        <v>1</v>
      </c>
      <c r="AG144" s="125">
        <f t="shared" si="38"/>
        <v>1</v>
      </c>
      <c r="AH144" s="125">
        <f t="shared" si="38"/>
        <v>1</v>
      </c>
      <c r="AI144" s="125">
        <f t="shared" si="38"/>
        <v>1</v>
      </c>
      <c r="AJ144" s="50" t="str">
        <f t="shared" si="30"/>
        <v>UNKNOWN</v>
      </c>
      <c r="AK144" s="63"/>
      <c r="AL144" s="63" t="str">
        <f t="shared" si="33"/>
        <v>1F</v>
      </c>
      <c r="AM144" s="63" t="str">
        <f t="shared" si="34"/>
        <v>00</v>
      </c>
      <c r="AN144" s="63" t="str">
        <f t="shared" si="35"/>
        <v>00</v>
      </c>
      <c r="AO144" s="63" t="str">
        <f t="shared" si="36"/>
        <v>00</v>
      </c>
      <c r="AQ144" t="str">
        <f t="shared" si="31"/>
        <v xml:space="preserve">    (U4)0x0000001FU,                                                           /* 08 UNKNOWN                                         */</v>
      </c>
    </row>
    <row r="145" spans="2:43">
      <c r="B145" s="131"/>
      <c r="C145" s="50">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0</v>
      </c>
      <c r="AE145" s="125">
        <f t="shared" si="38"/>
        <v>1</v>
      </c>
      <c r="AF145" s="125">
        <f t="shared" si="38"/>
        <v>1</v>
      </c>
      <c r="AG145" s="125">
        <f t="shared" si="38"/>
        <v>1</v>
      </c>
      <c r="AH145" s="125">
        <f t="shared" si="38"/>
        <v>1</v>
      </c>
      <c r="AI145" s="125">
        <f t="shared" si="38"/>
        <v>1</v>
      </c>
      <c r="AJ145" s="50" t="str">
        <f t="shared" si="30"/>
        <v>UNKNOWN</v>
      </c>
      <c r="AK145" s="63"/>
      <c r="AL145" s="63" t="str">
        <f t="shared" si="33"/>
        <v>1F</v>
      </c>
      <c r="AM145" s="63" t="str">
        <f t="shared" si="34"/>
        <v>00</v>
      </c>
      <c r="AN145" s="63" t="str">
        <f t="shared" si="35"/>
        <v>00</v>
      </c>
      <c r="AO145" s="63" t="str">
        <f t="shared" si="36"/>
        <v>00</v>
      </c>
      <c r="AQ145" t="str">
        <f t="shared" si="31"/>
        <v xml:space="preserve">    (U4)0x0000001FU,                                                           /* 09 UNKNOWN                                         */</v>
      </c>
    </row>
    <row r="146" spans="2:43">
      <c r="B146" s="131"/>
      <c r="C146" s="50">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0</v>
      </c>
      <c r="AE146" s="125">
        <f t="shared" si="38"/>
        <v>1</v>
      </c>
      <c r="AF146" s="125">
        <f t="shared" si="38"/>
        <v>1</v>
      </c>
      <c r="AG146" s="125">
        <f t="shared" si="38"/>
        <v>1</v>
      </c>
      <c r="AH146" s="125">
        <f t="shared" si="38"/>
        <v>1</v>
      </c>
      <c r="AI146" s="125">
        <f t="shared" si="38"/>
        <v>1</v>
      </c>
      <c r="AJ146" s="50" t="str">
        <f t="shared" si="30"/>
        <v>UNKNOWN</v>
      </c>
      <c r="AK146" s="63"/>
      <c r="AL146" s="63" t="str">
        <f t="shared" si="33"/>
        <v>1F</v>
      </c>
      <c r="AM146" s="63" t="str">
        <f t="shared" si="34"/>
        <v>00</v>
      </c>
      <c r="AN146" s="63" t="str">
        <f t="shared" si="35"/>
        <v>00</v>
      </c>
      <c r="AO146" s="63" t="str">
        <f t="shared" si="36"/>
        <v>00</v>
      </c>
      <c r="AQ146" t="str">
        <f t="shared" si="31"/>
        <v xml:space="preserve">    (U4)0x0000001FU,                                                           /* 10 UNKNOWN                                         */</v>
      </c>
    </row>
    <row r="147" spans="2:43">
      <c r="B147" s="131"/>
      <c r="C147" s="50">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0</v>
      </c>
      <c r="AE147" s="125">
        <f t="shared" si="38"/>
        <v>1</v>
      </c>
      <c r="AF147" s="125">
        <f t="shared" si="38"/>
        <v>1</v>
      </c>
      <c r="AG147" s="125">
        <f t="shared" si="38"/>
        <v>1</v>
      </c>
      <c r="AH147" s="125">
        <f t="shared" si="38"/>
        <v>1</v>
      </c>
      <c r="AI147" s="125">
        <f t="shared" si="38"/>
        <v>1</v>
      </c>
      <c r="AJ147" s="50" t="str">
        <f t="shared" si="30"/>
        <v>UNKNOWN</v>
      </c>
      <c r="AK147" s="63"/>
      <c r="AL147" s="63" t="str">
        <f t="shared" si="33"/>
        <v>1F</v>
      </c>
      <c r="AM147" s="63" t="str">
        <f t="shared" si="34"/>
        <v>00</v>
      </c>
      <c r="AN147" s="63" t="str">
        <f t="shared" si="35"/>
        <v>00</v>
      </c>
      <c r="AO147" s="63" t="str">
        <f t="shared" si="36"/>
        <v>00</v>
      </c>
      <c r="AQ147" t="str">
        <f t="shared" si="31"/>
        <v xml:space="preserve">    (U4)0x0000001FU,                                                           /* 11 UNKNOWN                                         */</v>
      </c>
    </row>
    <row r="148" spans="2:43">
      <c r="B148" s="131"/>
      <c r="C148" s="50">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0</v>
      </c>
      <c r="AE148" s="125">
        <f t="shared" si="38"/>
        <v>1</v>
      </c>
      <c r="AF148" s="125">
        <f t="shared" si="38"/>
        <v>1</v>
      </c>
      <c r="AG148" s="125">
        <f t="shared" si="38"/>
        <v>1</v>
      </c>
      <c r="AH148" s="125">
        <f t="shared" si="38"/>
        <v>1</v>
      </c>
      <c r="AI148" s="125">
        <f t="shared" si="38"/>
        <v>1</v>
      </c>
      <c r="AJ148" s="50" t="str">
        <f t="shared" si="30"/>
        <v>UNKNOWN</v>
      </c>
      <c r="AK148" s="63"/>
      <c r="AL148" s="63" t="str">
        <f t="shared" si="33"/>
        <v>1F</v>
      </c>
      <c r="AM148" s="63" t="str">
        <f t="shared" si="34"/>
        <v>00</v>
      </c>
      <c r="AN148" s="63" t="str">
        <f t="shared" si="35"/>
        <v>00</v>
      </c>
      <c r="AO148" s="63" t="str">
        <f t="shared" si="36"/>
        <v>00</v>
      </c>
      <c r="AQ148" t="str">
        <f t="shared" si="31"/>
        <v xml:space="preserve">    (U4)0x0000001FU,                                                           /* 12 UNKNOWN                                         */</v>
      </c>
    </row>
    <row r="149" spans="2:43">
      <c r="B149" s="131"/>
      <c r="C149" s="50">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0</v>
      </c>
      <c r="AE149" s="125">
        <f t="shared" si="38"/>
        <v>1</v>
      </c>
      <c r="AF149" s="125">
        <f t="shared" si="38"/>
        <v>1</v>
      </c>
      <c r="AG149" s="125">
        <f t="shared" si="38"/>
        <v>1</v>
      </c>
      <c r="AH149" s="125">
        <f t="shared" si="38"/>
        <v>1</v>
      </c>
      <c r="AI149" s="125">
        <f t="shared" si="38"/>
        <v>1</v>
      </c>
      <c r="AJ149" s="50" t="str">
        <f t="shared" si="30"/>
        <v>UNKNOWN</v>
      </c>
      <c r="AK149" s="63"/>
      <c r="AL149" s="63" t="str">
        <f t="shared" si="33"/>
        <v>1F</v>
      </c>
      <c r="AM149" s="63" t="str">
        <f t="shared" si="34"/>
        <v>00</v>
      </c>
      <c r="AN149" s="63" t="str">
        <f t="shared" si="35"/>
        <v>00</v>
      </c>
      <c r="AO149" s="63" t="str">
        <f t="shared" si="36"/>
        <v>00</v>
      </c>
      <c r="AQ149" t="str">
        <f t="shared" si="31"/>
        <v xml:space="preserve">    (U4)0x0000001FU,                                                           /* 13 UNKNOWN                                         */</v>
      </c>
    </row>
    <row r="150" spans="2:43">
      <c r="B150" s="131"/>
      <c r="C150" s="50">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0</v>
      </c>
      <c r="AE150" s="125">
        <f t="shared" si="38"/>
        <v>1</v>
      </c>
      <c r="AF150" s="125">
        <f t="shared" si="38"/>
        <v>1</v>
      </c>
      <c r="AG150" s="125">
        <f t="shared" si="38"/>
        <v>1</v>
      </c>
      <c r="AH150" s="125">
        <f t="shared" si="38"/>
        <v>1</v>
      </c>
      <c r="AI150" s="125">
        <f t="shared" si="38"/>
        <v>1</v>
      </c>
      <c r="AJ150" s="50" t="str">
        <f t="shared" si="30"/>
        <v>UNKNOWN</v>
      </c>
      <c r="AK150" s="63"/>
      <c r="AL150" s="63" t="str">
        <f t="shared" si="33"/>
        <v>1F</v>
      </c>
      <c r="AM150" s="63" t="str">
        <f t="shared" si="34"/>
        <v>00</v>
      </c>
      <c r="AN150" s="63" t="str">
        <f t="shared" si="35"/>
        <v>00</v>
      </c>
      <c r="AO150" s="63" t="str">
        <f t="shared" si="36"/>
        <v>00</v>
      </c>
      <c r="AQ150" t="str">
        <f t="shared" si="31"/>
        <v xml:space="preserve">    (U4)0x0000001FU,                                                           /* 14 UNKNOWN                                         */</v>
      </c>
    </row>
    <row r="151" spans="2:43">
      <c r="B151" s="131"/>
      <c r="C151" s="50">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0</v>
      </c>
      <c r="AE151" s="125">
        <f t="shared" si="38"/>
        <v>1</v>
      </c>
      <c r="AF151" s="125">
        <f t="shared" si="38"/>
        <v>1</v>
      </c>
      <c r="AG151" s="125">
        <f t="shared" si="38"/>
        <v>1</v>
      </c>
      <c r="AH151" s="125">
        <f t="shared" si="38"/>
        <v>1</v>
      </c>
      <c r="AI151" s="125">
        <f t="shared" ref="AI151" si="39">IF(OR(AI21=0,AI21=1),1,0)</f>
        <v>1</v>
      </c>
      <c r="AJ151" s="50" t="str">
        <f t="shared" si="30"/>
        <v>UNKNOWN</v>
      </c>
      <c r="AK151" s="63"/>
      <c r="AL151" s="63" t="str">
        <f t="shared" si="33"/>
        <v>1F</v>
      </c>
      <c r="AM151" s="63" t="str">
        <f t="shared" si="34"/>
        <v>00</v>
      </c>
      <c r="AN151" s="63" t="str">
        <f t="shared" si="35"/>
        <v>00</v>
      </c>
      <c r="AO151" s="63" t="str">
        <f t="shared" si="36"/>
        <v>00</v>
      </c>
      <c r="AQ151" t="str">
        <f t="shared" si="31"/>
        <v xml:space="preserve">    (U4)0x0000001FU,                                                           /* 15 UNKNOWN                                         */</v>
      </c>
    </row>
    <row r="152" spans="2:43">
      <c r="B152" s="131"/>
      <c r="C152" s="50">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0</v>
      </c>
      <c r="AE152" s="125">
        <f t="shared" si="40"/>
        <v>1</v>
      </c>
      <c r="AF152" s="125">
        <f t="shared" si="40"/>
        <v>1</v>
      </c>
      <c r="AG152" s="125">
        <f t="shared" si="40"/>
        <v>1</v>
      </c>
      <c r="AH152" s="125">
        <f t="shared" si="40"/>
        <v>1</v>
      </c>
      <c r="AI152" s="125">
        <f t="shared" si="40"/>
        <v>1</v>
      </c>
      <c r="AJ152" s="50" t="str">
        <f t="shared" si="30"/>
        <v>UNKNOWN</v>
      </c>
      <c r="AK152" s="63"/>
      <c r="AL152" s="63" t="str">
        <f t="shared" si="33"/>
        <v>1F</v>
      </c>
      <c r="AM152" s="63" t="str">
        <f t="shared" si="34"/>
        <v>00</v>
      </c>
      <c r="AN152" s="63" t="str">
        <f t="shared" si="35"/>
        <v>00</v>
      </c>
      <c r="AO152" s="63" t="str">
        <f t="shared" si="36"/>
        <v>00</v>
      </c>
      <c r="AQ152" t="str">
        <f t="shared" si="31"/>
        <v xml:space="preserve">    (U4)0x0000001FU,                                                           /* 16 UNKNOWN                                         */</v>
      </c>
    </row>
    <row r="153" spans="2:43">
      <c r="B153" s="131"/>
      <c r="C153" s="50">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0</v>
      </c>
      <c r="AE153" s="125">
        <f t="shared" si="40"/>
        <v>1</v>
      </c>
      <c r="AF153" s="125">
        <f t="shared" si="40"/>
        <v>1</v>
      </c>
      <c r="AG153" s="125">
        <f t="shared" si="40"/>
        <v>1</v>
      </c>
      <c r="AH153" s="125">
        <f t="shared" si="40"/>
        <v>1</v>
      </c>
      <c r="AI153" s="125">
        <f t="shared" si="40"/>
        <v>1</v>
      </c>
      <c r="AJ153" s="50" t="str">
        <f t="shared" si="30"/>
        <v>UNKNOWN</v>
      </c>
      <c r="AK153" s="63"/>
      <c r="AL153" s="63" t="str">
        <f t="shared" si="33"/>
        <v>1F</v>
      </c>
      <c r="AM153" s="63" t="str">
        <f t="shared" si="34"/>
        <v>00</v>
      </c>
      <c r="AN153" s="63" t="str">
        <f t="shared" si="35"/>
        <v>00</v>
      </c>
      <c r="AO153" s="63" t="str">
        <f t="shared" si="36"/>
        <v>00</v>
      </c>
      <c r="AQ153" t="str">
        <f t="shared" si="31"/>
        <v xml:space="preserve">    (U4)0x0000001FU,                                                           /* 17 UNKNOWN                                         */</v>
      </c>
    </row>
    <row r="154" spans="2:43">
      <c r="B154" s="131"/>
      <c r="C154" s="50">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0</v>
      </c>
      <c r="AE154" s="125">
        <f t="shared" si="40"/>
        <v>1</v>
      </c>
      <c r="AF154" s="125">
        <f t="shared" si="40"/>
        <v>1</v>
      </c>
      <c r="AG154" s="125">
        <f t="shared" si="40"/>
        <v>1</v>
      </c>
      <c r="AH154" s="125">
        <f t="shared" si="40"/>
        <v>1</v>
      </c>
      <c r="AI154" s="125">
        <f t="shared" si="40"/>
        <v>1</v>
      </c>
      <c r="AJ154" s="50" t="str">
        <f t="shared" si="30"/>
        <v>UNKNOWN</v>
      </c>
      <c r="AK154" s="63"/>
      <c r="AL154" s="63" t="str">
        <f t="shared" si="33"/>
        <v>1F</v>
      </c>
      <c r="AM154" s="63" t="str">
        <f t="shared" si="34"/>
        <v>00</v>
      </c>
      <c r="AN154" s="63" t="str">
        <f t="shared" si="35"/>
        <v>00</v>
      </c>
      <c r="AO154" s="63" t="str">
        <f t="shared" si="36"/>
        <v>00</v>
      </c>
      <c r="AQ154" t="str">
        <f t="shared" si="31"/>
        <v xml:space="preserve">    (U4)0x0000001FU,                                                           /* 18 UNKNOWN                                         */</v>
      </c>
    </row>
    <row r="155" spans="2:43">
      <c r="B155" s="131"/>
      <c r="C155" s="50">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0</v>
      </c>
      <c r="AE155" s="125">
        <f t="shared" si="40"/>
        <v>1</v>
      </c>
      <c r="AF155" s="125">
        <f t="shared" si="40"/>
        <v>1</v>
      </c>
      <c r="AG155" s="125">
        <f t="shared" si="40"/>
        <v>1</v>
      </c>
      <c r="AH155" s="125">
        <f t="shared" si="40"/>
        <v>1</v>
      </c>
      <c r="AI155" s="125">
        <f t="shared" si="40"/>
        <v>1</v>
      </c>
      <c r="AJ155" s="50" t="str">
        <f t="shared" si="30"/>
        <v>UNKNOWN</v>
      </c>
      <c r="AK155" s="63"/>
      <c r="AL155" s="63" t="str">
        <f t="shared" si="33"/>
        <v>1F</v>
      </c>
      <c r="AM155" s="63" t="str">
        <f t="shared" si="34"/>
        <v>00</v>
      </c>
      <c r="AN155" s="63" t="str">
        <f t="shared" si="35"/>
        <v>00</v>
      </c>
      <c r="AO155" s="63" t="str">
        <f t="shared" si="36"/>
        <v>00</v>
      </c>
      <c r="AQ155" t="str">
        <f t="shared" si="31"/>
        <v xml:space="preserve">    (U4)0x0000001FU,                                                           /* 19 UNKNOWN                                         */</v>
      </c>
    </row>
    <row r="156" spans="2:43">
      <c r="B156" s="131"/>
      <c r="C156" s="50">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0</v>
      </c>
      <c r="AE156" s="125">
        <f t="shared" si="40"/>
        <v>1</v>
      </c>
      <c r="AF156" s="125">
        <f t="shared" si="40"/>
        <v>1</v>
      </c>
      <c r="AG156" s="125">
        <f t="shared" si="40"/>
        <v>1</v>
      </c>
      <c r="AH156" s="125">
        <f t="shared" si="40"/>
        <v>1</v>
      </c>
      <c r="AI156" s="125">
        <f t="shared" si="40"/>
        <v>1</v>
      </c>
      <c r="AJ156" s="50" t="str">
        <f t="shared" si="30"/>
        <v>UNKNOWN</v>
      </c>
      <c r="AK156" s="63"/>
      <c r="AL156" s="63" t="str">
        <f t="shared" si="33"/>
        <v>1F</v>
      </c>
      <c r="AM156" s="63" t="str">
        <f t="shared" si="34"/>
        <v>00</v>
      </c>
      <c r="AN156" s="63" t="str">
        <f t="shared" si="35"/>
        <v>00</v>
      </c>
      <c r="AO156" s="63" t="str">
        <f t="shared" si="36"/>
        <v>00</v>
      </c>
      <c r="AQ156" t="str">
        <f t="shared" si="31"/>
        <v xml:space="preserve">    (U4)0x0000001FU,                                                           /* 20 UNKNOWN                                         */</v>
      </c>
    </row>
    <row r="157" spans="2:43">
      <c r="B157" s="131"/>
      <c r="C157" s="50">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0</v>
      </c>
      <c r="AE157" s="125">
        <f t="shared" si="40"/>
        <v>1</v>
      </c>
      <c r="AF157" s="125">
        <f t="shared" si="40"/>
        <v>1</v>
      </c>
      <c r="AG157" s="125">
        <f t="shared" si="40"/>
        <v>1</v>
      </c>
      <c r="AH157" s="125">
        <f t="shared" si="40"/>
        <v>1</v>
      </c>
      <c r="AI157" s="125">
        <f t="shared" si="40"/>
        <v>1</v>
      </c>
      <c r="AJ157" s="50" t="str">
        <f t="shared" si="30"/>
        <v>UNKNOWN</v>
      </c>
      <c r="AK157" s="63"/>
      <c r="AL157" s="63" t="str">
        <f t="shared" si="33"/>
        <v>1F</v>
      </c>
      <c r="AM157" s="63" t="str">
        <f t="shared" si="34"/>
        <v>00</v>
      </c>
      <c r="AN157" s="63" t="str">
        <f t="shared" si="35"/>
        <v>00</v>
      </c>
      <c r="AO157" s="63" t="str">
        <f t="shared" si="36"/>
        <v>00</v>
      </c>
      <c r="AQ157" t="str">
        <f t="shared" si="31"/>
        <v xml:space="preserve">    (U4)0x0000001FU,                                                           /* 21 UNKNOWN                                         */</v>
      </c>
    </row>
    <row r="158" spans="2:43">
      <c r="B158" s="131"/>
      <c r="C158" s="50">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0</v>
      </c>
      <c r="AE158" s="125">
        <f t="shared" si="40"/>
        <v>1</v>
      </c>
      <c r="AF158" s="125">
        <f t="shared" si="40"/>
        <v>1</v>
      </c>
      <c r="AG158" s="125">
        <f t="shared" si="40"/>
        <v>1</v>
      </c>
      <c r="AH158" s="125">
        <f t="shared" si="40"/>
        <v>1</v>
      </c>
      <c r="AI158" s="125">
        <f t="shared" si="40"/>
        <v>1</v>
      </c>
      <c r="AJ158" s="50" t="str">
        <f t="shared" si="30"/>
        <v>UNKNOWN</v>
      </c>
      <c r="AK158" s="63"/>
      <c r="AL158" s="63" t="str">
        <f t="shared" si="33"/>
        <v>1F</v>
      </c>
      <c r="AM158" s="63" t="str">
        <f t="shared" si="34"/>
        <v>00</v>
      </c>
      <c r="AN158" s="63" t="str">
        <f t="shared" si="35"/>
        <v>00</v>
      </c>
      <c r="AO158" s="63" t="str">
        <f t="shared" si="36"/>
        <v>00</v>
      </c>
      <c r="AQ158" t="str">
        <f t="shared" si="31"/>
        <v xml:space="preserve">    (U4)0x0000001FU,                                                           /* 22 UNKNOWN                                         */</v>
      </c>
    </row>
    <row r="159" spans="2:43">
      <c r="B159" s="131"/>
      <c r="C159" s="50">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0</v>
      </c>
      <c r="AE159" s="125">
        <f t="shared" si="40"/>
        <v>1</v>
      </c>
      <c r="AF159" s="125">
        <f t="shared" si="40"/>
        <v>1</v>
      </c>
      <c r="AG159" s="125">
        <f t="shared" si="40"/>
        <v>1</v>
      </c>
      <c r="AH159" s="125">
        <f t="shared" si="40"/>
        <v>1</v>
      </c>
      <c r="AI159" s="125">
        <f t="shared" ref="AI159" si="41">IF(OR(AI29=0,AI29=1),1,0)</f>
        <v>1</v>
      </c>
      <c r="AJ159" s="50" t="str">
        <f t="shared" si="30"/>
        <v>UNKNOWN</v>
      </c>
      <c r="AK159" s="63"/>
      <c r="AL159" s="63" t="str">
        <f t="shared" si="33"/>
        <v>1F</v>
      </c>
      <c r="AM159" s="63" t="str">
        <f t="shared" si="34"/>
        <v>00</v>
      </c>
      <c r="AN159" s="63" t="str">
        <f t="shared" si="35"/>
        <v>00</v>
      </c>
      <c r="AO159" s="63" t="str">
        <f t="shared" si="36"/>
        <v>00</v>
      </c>
      <c r="AQ159" t="str">
        <f t="shared" si="31"/>
        <v xml:space="preserve">    (U4)0x0000001FU,                                                           /* 23 UNKNOWN                                         */</v>
      </c>
    </row>
    <row r="160" spans="2:43">
      <c r="B160" s="131"/>
      <c r="C160" s="50">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0</v>
      </c>
      <c r="AE160" s="125">
        <f t="shared" si="42"/>
        <v>1</v>
      </c>
      <c r="AF160" s="125">
        <f t="shared" si="42"/>
        <v>1</v>
      </c>
      <c r="AG160" s="125">
        <f t="shared" si="42"/>
        <v>1</v>
      </c>
      <c r="AH160" s="125">
        <f t="shared" si="42"/>
        <v>1</v>
      </c>
      <c r="AI160" s="125">
        <f t="shared" si="42"/>
        <v>1</v>
      </c>
      <c r="AJ160" s="50" t="str">
        <f t="shared" si="30"/>
        <v>UNKNOWN</v>
      </c>
      <c r="AK160" s="63"/>
      <c r="AL160" s="63" t="str">
        <f t="shared" si="33"/>
        <v>1F</v>
      </c>
      <c r="AM160" s="63" t="str">
        <f t="shared" si="34"/>
        <v>00</v>
      </c>
      <c r="AN160" s="63" t="str">
        <f t="shared" si="35"/>
        <v>00</v>
      </c>
      <c r="AO160" s="63" t="str">
        <f t="shared" si="36"/>
        <v>00</v>
      </c>
      <c r="AQ160" t="str">
        <f t="shared" si="31"/>
        <v xml:space="preserve">    (U4)0x0000001FU,                                                           /* 24 UNKNOWN                                         */</v>
      </c>
    </row>
    <row r="161" spans="2:43">
      <c r="B161" s="131"/>
      <c r="C161" s="50">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0</v>
      </c>
      <c r="AE161" s="125">
        <f t="shared" si="42"/>
        <v>1</v>
      </c>
      <c r="AF161" s="125">
        <f t="shared" si="42"/>
        <v>1</v>
      </c>
      <c r="AG161" s="125">
        <f t="shared" si="42"/>
        <v>1</v>
      </c>
      <c r="AH161" s="125">
        <f t="shared" si="42"/>
        <v>1</v>
      </c>
      <c r="AI161" s="125">
        <f t="shared" si="42"/>
        <v>1</v>
      </c>
      <c r="AJ161" s="50" t="str">
        <f t="shared" si="30"/>
        <v>UNKNOWN</v>
      </c>
      <c r="AK161" s="63"/>
      <c r="AL161" s="63" t="str">
        <f t="shared" si="33"/>
        <v>1F</v>
      </c>
      <c r="AM161" s="63" t="str">
        <f t="shared" si="34"/>
        <v>00</v>
      </c>
      <c r="AN161" s="63" t="str">
        <f t="shared" si="35"/>
        <v>00</v>
      </c>
      <c r="AO161" s="63" t="str">
        <f t="shared" si="36"/>
        <v>00</v>
      </c>
      <c r="AQ161" t="str">
        <f t="shared" si="31"/>
        <v xml:space="preserve">    (U4)0x0000001FU,                                                           /* 25 UNKNOWN                                         */</v>
      </c>
    </row>
    <row r="162" spans="2:43">
      <c r="B162" s="131"/>
      <c r="C162" s="50">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0</v>
      </c>
      <c r="AE162" s="125">
        <f t="shared" si="42"/>
        <v>1</v>
      </c>
      <c r="AF162" s="125">
        <f t="shared" si="42"/>
        <v>1</v>
      </c>
      <c r="AG162" s="125">
        <f t="shared" si="42"/>
        <v>1</v>
      </c>
      <c r="AH162" s="125">
        <f t="shared" si="42"/>
        <v>1</v>
      </c>
      <c r="AI162" s="125">
        <f t="shared" si="42"/>
        <v>1</v>
      </c>
      <c r="AJ162" s="50" t="str">
        <f t="shared" si="30"/>
        <v>UNKNOWN</v>
      </c>
      <c r="AK162" s="63"/>
      <c r="AL162" s="63" t="str">
        <f t="shared" si="33"/>
        <v>1F</v>
      </c>
      <c r="AM162" s="63" t="str">
        <f t="shared" si="34"/>
        <v>00</v>
      </c>
      <c r="AN162" s="63" t="str">
        <f t="shared" si="35"/>
        <v>00</v>
      </c>
      <c r="AO162" s="63" t="str">
        <f t="shared" si="36"/>
        <v>00</v>
      </c>
      <c r="AQ162" t="str">
        <f t="shared" si="31"/>
        <v xml:space="preserve">    (U4)0x0000001FU,                                                           /* 26 UNKNOWN                                         */</v>
      </c>
    </row>
    <row r="163" spans="2:43">
      <c r="B163" s="131"/>
      <c r="C163" s="50">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0</v>
      </c>
      <c r="AE163" s="125">
        <f t="shared" si="42"/>
        <v>1</v>
      </c>
      <c r="AF163" s="125">
        <f t="shared" si="42"/>
        <v>1</v>
      </c>
      <c r="AG163" s="125">
        <f t="shared" si="42"/>
        <v>1</v>
      </c>
      <c r="AH163" s="125">
        <f t="shared" si="42"/>
        <v>1</v>
      </c>
      <c r="AI163" s="125">
        <f t="shared" si="42"/>
        <v>1</v>
      </c>
      <c r="AJ163" s="50" t="str">
        <f t="shared" si="30"/>
        <v>UNKNOWN</v>
      </c>
      <c r="AK163" s="63"/>
      <c r="AL163" s="63" t="str">
        <f t="shared" si="33"/>
        <v>1F</v>
      </c>
      <c r="AM163" s="63" t="str">
        <f t="shared" si="34"/>
        <v>00</v>
      </c>
      <c r="AN163" s="63" t="str">
        <f t="shared" si="35"/>
        <v>00</v>
      </c>
      <c r="AO163" s="63" t="str">
        <f t="shared" si="36"/>
        <v>00</v>
      </c>
      <c r="AQ163" t="str">
        <f t="shared" si="31"/>
        <v xml:space="preserve">    (U4)0x0000001FU,                                                           /* 27 UNKNOWN                                         */</v>
      </c>
    </row>
    <row r="164" spans="2:43">
      <c r="B164" s="131"/>
      <c r="C164" s="50">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0</v>
      </c>
      <c r="AE164" s="125">
        <f t="shared" si="42"/>
        <v>1</v>
      </c>
      <c r="AF164" s="125">
        <f t="shared" si="42"/>
        <v>1</v>
      </c>
      <c r="AG164" s="125">
        <f t="shared" si="42"/>
        <v>1</v>
      </c>
      <c r="AH164" s="125">
        <f t="shared" si="42"/>
        <v>1</v>
      </c>
      <c r="AI164" s="125">
        <f t="shared" si="42"/>
        <v>1</v>
      </c>
      <c r="AJ164" s="50" t="str">
        <f t="shared" si="30"/>
        <v>UNKNOWN</v>
      </c>
      <c r="AK164" s="63"/>
      <c r="AL164" s="63" t="str">
        <f t="shared" si="33"/>
        <v>1F</v>
      </c>
      <c r="AM164" s="63" t="str">
        <f t="shared" si="34"/>
        <v>00</v>
      </c>
      <c r="AN164" s="63" t="str">
        <f t="shared" si="35"/>
        <v>00</v>
      </c>
      <c r="AO164" s="63" t="str">
        <f t="shared" si="36"/>
        <v>00</v>
      </c>
      <c r="AQ164" t="str">
        <f t="shared" si="31"/>
        <v xml:space="preserve">    (U4)0x0000001FU,                                                           /* 28 UNKNOWN                                         */</v>
      </c>
    </row>
    <row r="165" spans="2:43">
      <c r="B165" s="131"/>
      <c r="C165" s="50">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0</v>
      </c>
      <c r="AE165" s="125">
        <f t="shared" si="42"/>
        <v>1</v>
      </c>
      <c r="AF165" s="125">
        <f t="shared" si="42"/>
        <v>1</v>
      </c>
      <c r="AG165" s="125">
        <f t="shared" si="42"/>
        <v>1</v>
      </c>
      <c r="AH165" s="125">
        <f t="shared" si="42"/>
        <v>1</v>
      </c>
      <c r="AI165" s="125">
        <f t="shared" si="42"/>
        <v>1</v>
      </c>
      <c r="AJ165" s="50" t="str">
        <f t="shared" si="30"/>
        <v>UNKNOWN</v>
      </c>
      <c r="AK165" s="63"/>
      <c r="AL165" s="63" t="str">
        <f t="shared" si="33"/>
        <v>1F</v>
      </c>
      <c r="AM165" s="63" t="str">
        <f t="shared" si="34"/>
        <v>00</v>
      </c>
      <c r="AN165" s="63" t="str">
        <f t="shared" si="35"/>
        <v>00</v>
      </c>
      <c r="AO165" s="63" t="str">
        <f t="shared" si="36"/>
        <v>00</v>
      </c>
      <c r="AQ165" t="str">
        <f t="shared" si="31"/>
        <v xml:space="preserve">    (U4)0x0000001FU,                                                           /* 29 UNKNOWN                                         */</v>
      </c>
    </row>
    <row r="166" spans="2:43">
      <c r="B166" s="131"/>
      <c r="C166" s="50">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0</v>
      </c>
      <c r="AE166" s="125">
        <f t="shared" si="42"/>
        <v>1</v>
      </c>
      <c r="AF166" s="125">
        <f t="shared" si="42"/>
        <v>1</v>
      </c>
      <c r="AG166" s="125">
        <f t="shared" si="42"/>
        <v>1</v>
      </c>
      <c r="AH166" s="125">
        <f t="shared" si="42"/>
        <v>1</v>
      </c>
      <c r="AI166" s="125">
        <f t="shared" si="42"/>
        <v>1</v>
      </c>
      <c r="AJ166" s="50" t="str">
        <f t="shared" si="30"/>
        <v>UNKNOWN</v>
      </c>
      <c r="AK166" s="63"/>
      <c r="AL166" s="63" t="str">
        <f t="shared" si="33"/>
        <v>1F</v>
      </c>
      <c r="AM166" s="63" t="str">
        <f t="shared" si="34"/>
        <v>00</v>
      </c>
      <c r="AN166" s="63" t="str">
        <f t="shared" si="35"/>
        <v>00</v>
      </c>
      <c r="AO166" s="63" t="str">
        <f t="shared" si="36"/>
        <v>00</v>
      </c>
      <c r="AQ166" t="str">
        <f t="shared" si="31"/>
        <v xml:space="preserve">    (U4)0x0000001FU,                                                           /* 30 UNKNOWN                                         */</v>
      </c>
    </row>
    <row r="167" spans="2:43">
      <c r="B167" s="131"/>
      <c r="C167" s="50">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0</v>
      </c>
      <c r="AE167" s="125">
        <f t="shared" si="42"/>
        <v>1</v>
      </c>
      <c r="AF167" s="125">
        <f t="shared" si="42"/>
        <v>1</v>
      </c>
      <c r="AG167" s="125">
        <f t="shared" si="42"/>
        <v>1</v>
      </c>
      <c r="AH167" s="125">
        <f t="shared" si="42"/>
        <v>1</v>
      </c>
      <c r="AI167" s="125">
        <f t="shared" ref="AI167" si="43">IF(OR(AI37=0,AI37=1),1,0)</f>
        <v>1</v>
      </c>
      <c r="AJ167" s="50" t="str">
        <f t="shared" si="30"/>
        <v>UNKNOWN</v>
      </c>
      <c r="AK167" s="63"/>
      <c r="AL167" s="63" t="str">
        <f t="shared" si="33"/>
        <v>1F</v>
      </c>
      <c r="AM167" s="63" t="str">
        <f t="shared" si="34"/>
        <v>00</v>
      </c>
      <c r="AN167" s="63" t="str">
        <f t="shared" si="35"/>
        <v>00</v>
      </c>
      <c r="AO167" s="63" t="str">
        <f t="shared" si="36"/>
        <v>00</v>
      </c>
      <c r="AQ167" t="str">
        <f t="shared" si="31"/>
        <v xml:space="preserve">    (U4)0x0000001FU                                                            /* 31 UNKNOWN                                         */</v>
      </c>
    </row>
    <row r="168" spans="2:43">
      <c r="B168" s="131"/>
      <c r="C168" s="50">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0</v>
      </c>
      <c r="AE168" s="125">
        <f t="shared" si="44"/>
        <v>0</v>
      </c>
      <c r="AF168" s="125">
        <f t="shared" si="44"/>
        <v>0</v>
      </c>
      <c r="AG168" s="125">
        <f t="shared" si="44"/>
        <v>0</v>
      </c>
      <c r="AH168" s="125">
        <f t="shared" si="44"/>
        <v>0</v>
      </c>
      <c r="AI168" s="125">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31"/>
      <c r="C169" s="50">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0</v>
      </c>
      <c r="AE169" s="125">
        <f t="shared" si="44"/>
        <v>0</v>
      </c>
      <c r="AF169" s="125">
        <f t="shared" si="44"/>
        <v>0</v>
      </c>
      <c r="AG169" s="125">
        <f t="shared" si="44"/>
        <v>0</v>
      </c>
      <c r="AH169" s="125">
        <f t="shared" si="44"/>
        <v>0</v>
      </c>
      <c r="AI169" s="125">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31"/>
      <c r="C170" s="50">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0</v>
      </c>
      <c r="AE170" s="125">
        <f t="shared" si="44"/>
        <v>0</v>
      </c>
      <c r="AF170" s="125">
        <f t="shared" si="44"/>
        <v>0</v>
      </c>
      <c r="AG170" s="125">
        <f t="shared" si="44"/>
        <v>0</v>
      </c>
      <c r="AH170" s="125">
        <f t="shared" si="44"/>
        <v>0</v>
      </c>
      <c r="AI170" s="125">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31"/>
      <c r="C171" s="50">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0</v>
      </c>
      <c r="AE171" s="125">
        <f t="shared" si="44"/>
        <v>0</v>
      </c>
      <c r="AF171" s="125">
        <f t="shared" si="44"/>
        <v>0</v>
      </c>
      <c r="AG171" s="125">
        <f t="shared" si="44"/>
        <v>0</v>
      </c>
      <c r="AH171" s="125">
        <f t="shared" si="44"/>
        <v>0</v>
      </c>
      <c r="AI171" s="125">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31"/>
      <c r="C172" s="50">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0</v>
      </c>
      <c r="AE172" s="125">
        <f t="shared" si="44"/>
        <v>0</v>
      </c>
      <c r="AF172" s="125">
        <f t="shared" si="44"/>
        <v>0</v>
      </c>
      <c r="AG172" s="125">
        <f t="shared" si="44"/>
        <v>0</v>
      </c>
      <c r="AH172" s="125">
        <f t="shared" si="44"/>
        <v>0</v>
      </c>
      <c r="AI172" s="125">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31"/>
      <c r="C173" s="50">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0</v>
      </c>
      <c r="AE173" s="125">
        <f t="shared" si="44"/>
        <v>0</v>
      </c>
      <c r="AF173" s="125">
        <f t="shared" si="44"/>
        <v>0</v>
      </c>
      <c r="AG173" s="125">
        <f t="shared" si="44"/>
        <v>0</v>
      </c>
      <c r="AH173" s="125">
        <f t="shared" si="44"/>
        <v>0</v>
      </c>
      <c r="AI173" s="125">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31"/>
      <c r="C174" s="50">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0</v>
      </c>
      <c r="AE174" s="125">
        <f t="shared" si="44"/>
        <v>0</v>
      </c>
      <c r="AF174" s="125">
        <f t="shared" si="44"/>
        <v>0</v>
      </c>
      <c r="AG174" s="125">
        <f t="shared" si="44"/>
        <v>0</v>
      </c>
      <c r="AH174" s="125">
        <f t="shared" si="44"/>
        <v>0</v>
      </c>
      <c r="AI174" s="125">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31"/>
      <c r="C175" s="50">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0</v>
      </c>
      <c r="AE175" s="125">
        <f t="shared" si="44"/>
        <v>0</v>
      </c>
      <c r="AF175" s="125">
        <f t="shared" si="44"/>
        <v>0</v>
      </c>
      <c r="AG175" s="125">
        <f t="shared" si="44"/>
        <v>0</v>
      </c>
      <c r="AH175" s="125">
        <f t="shared" si="44"/>
        <v>0</v>
      </c>
      <c r="AI175" s="125">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31"/>
      <c r="C176" s="50">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0</v>
      </c>
      <c r="AE176" s="125">
        <f t="shared" si="46"/>
        <v>0</v>
      </c>
      <c r="AF176" s="125">
        <f t="shared" si="46"/>
        <v>0</v>
      </c>
      <c r="AG176" s="125">
        <f t="shared" si="46"/>
        <v>0</v>
      </c>
      <c r="AH176" s="125">
        <f t="shared" si="46"/>
        <v>0</v>
      </c>
      <c r="AI176" s="125">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31"/>
      <c r="C177" s="50">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0</v>
      </c>
      <c r="AE177" s="125">
        <f t="shared" si="46"/>
        <v>0</v>
      </c>
      <c r="AF177" s="125">
        <f t="shared" si="46"/>
        <v>0</v>
      </c>
      <c r="AG177" s="125">
        <f t="shared" si="46"/>
        <v>0</v>
      </c>
      <c r="AH177" s="125">
        <f t="shared" si="46"/>
        <v>0</v>
      </c>
      <c r="AI177" s="125">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31"/>
      <c r="C178" s="50">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0</v>
      </c>
      <c r="AE178" s="125">
        <f t="shared" si="46"/>
        <v>0</v>
      </c>
      <c r="AF178" s="125">
        <f t="shared" si="46"/>
        <v>0</v>
      </c>
      <c r="AG178" s="125">
        <f t="shared" si="46"/>
        <v>0</v>
      </c>
      <c r="AH178" s="125">
        <f t="shared" si="46"/>
        <v>0</v>
      </c>
      <c r="AI178" s="125">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31"/>
      <c r="C179" s="50">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0</v>
      </c>
      <c r="AE179" s="125">
        <f t="shared" si="46"/>
        <v>0</v>
      </c>
      <c r="AF179" s="125">
        <f t="shared" si="46"/>
        <v>0</v>
      </c>
      <c r="AG179" s="125">
        <f t="shared" si="46"/>
        <v>0</v>
      </c>
      <c r="AH179" s="125">
        <f t="shared" si="46"/>
        <v>0</v>
      </c>
      <c r="AI179" s="125">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31"/>
      <c r="C180" s="50">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0</v>
      </c>
      <c r="AE180" s="125">
        <f t="shared" si="46"/>
        <v>0</v>
      </c>
      <c r="AF180" s="125">
        <f t="shared" si="46"/>
        <v>0</v>
      </c>
      <c r="AG180" s="125">
        <f t="shared" si="46"/>
        <v>0</v>
      </c>
      <c r="AH180" s="125">
        <f t="shared" si="46"/>
        <v>0</v>
      </c>
      <c r="AI180" s="125">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31"/>
      <c r="C181" s="50">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0</v>
      </c>
      <c r="AE181" s="125">
        <f t="shared" si="46"/>
        <v>0</v>
      </c>
      <c r="AF181" s="125">
        <f t="shared" si="46"/>
        <v>0</v>
      </c>
      <c r="AG181" s="125">
        <f t="shared" si="46"/>
        <v>0</v>
      </c>
      <c r="AH181" s="125">
        <f t="shared" si="46"/>
        <v>0</v>
      </c>
      <c r="AI181" s="125">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31"/>
      <c r="C182" s="50">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0</v>
      </c>
      <c r="AE182" s="125">
        <f t="shared" si="46"/>
        <v>0</v>
      </c>
      <c r="AF182" s="125">
        <f t="shared" si="46"/>
        <v>0</v>
      </c>
      <c r="AG182" s="125">
        <f t="shared" si="46"/>
        <v>0</v>
      </c>
      <c r="AH182" s="125">
        <f t="shared" si="46"/>
        <v>0</v>
      </c>
      <c r="AI182" s="125">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31"/>
      <c r="C183" s="50">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0</v>
      </c>
      <c r="AE183" s="125">
        <f t="shared" si="46"/>
        <v>0</v>
      </c>
      <c r="AF183" s="125">
        <f t="shared" si="46"/>
        <v>0</v>
      </c>
      <c r="AG183" s="125">
        <f t="shared" si="46"/>
        <v>0</v>
      </c>
      <c r="AH183" s="125">
        <f t="shared" si="46"/>
        <v>0</v>
      </c>
      <c r="AI183" s="125">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31"/>
      <c r="C184" s="50">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0</v>
      </c>
      <c r="AE184" s="125">
        <f t="shared" si="48"/>
        <v>0</v>
      </c>
      <c r="AF184" s="125">
        <f t="shared" si="48"/>
        <v>0</v>
      </c>
      <c r="AG184" s="125">
        <f t="shared" si="48"/>
        <v>0</v>
      </c>
      <c r="AH184" s="125">
        <f t="shared" si="48"/>
        <v>0</v>
      </c>
      <c r="AI184" s="125">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31"/>
      <c r="C185" s="50">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0</v>
      </c>
      <c r="AE185" s="125">
        <f t="shared" si="48"/>
        <v>0</v>
      </c>
      <c r="AF185" s="125">
        <f t="shared" si="48"/>
        <v>0</v>
      </c>
      <c r="AG185" s="125">
        <f t="shared" si="48"/>
        <v>0</v>
      </c>
      <c r="AH185" s="125">
        <f t="shared" si="48"/>
        <v>0</v>
      </c>
      <c r="AI185" s="125">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31"/>
      <c r="C186" s="50">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0</v>
      </c>
      <c r="AE186" s="125">
        <f t="shared" si="48"/>
        <v>0</v>
      </c>
      <c r="AF186" s="125">
        <f t="shared" si="48"/>
        <v>0</v>
      </c>
      <c r="AG186" s="125">
        <f t="shared" si="48"/>
        <v>0</v>
      </c>
      <c r="AH186" s="125">
        <f t="shared" si="48"/>
        <v>0</v>
      </c>
      <c r="AI186" s="125">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31"/>
      <c r="C187" s="50">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0</v>
      </c>
      <c r="AE187" s="125">
        <f t="shared" si="48"/>
        <v>0</v>
      </c>
      <c r="AF187" s="125">
        <f t="shared" si="48"/>
        <v>0</v>
      </c>
      <c r="AG187" s="125">
        <f t="shared" si="48"/>
        <v>0</v>
      </c>
      <c r="AH187" s="125">
        <f t="shared" si="48"/>
        <v>0</v>
      </c>
      <c r="AI187" s="125">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31"/>
      <c r="C188" s="50">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0</v>
      </c>
      <c r="AE188" s="125">
        <f t="shared" si="48"/>
        <v>0</v>
      </c>
      <c r="AF188" s="125">
        <f t="shared" si="48"/>
        <v>0</v>
      </c>
      <c r="AG188" s="125">
        <f t="shared" si="48"/>
        <v>0</v>
      </c>
      <c r="AH188" s="125">
        <f t="shared" si="48"/>
        <v>0</v>
      </c>
      <c r="AI188" s="125">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31"/>
      <c r="C189" s="50">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0</v>
      </c>
      <c r="AE189" s="125">
        <f t="shared" si="48"/>
        <v>0</v>
      </c>
      <c r="AF189" s="125">
        <f t="shared" si="48"/>
        <v>0</v>
      </c>
      <c r="AG189" s="125">
        <f t="shared" si="48"/>
        <v>0</v>
      </c>
      <c r="AH189" s="125">
        <f t="shared" si="48"/>
        <v>0</v>
      </c>
      <c r="AI189" s="125">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31"/>
      <c r="C190" s="50">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0</v>
      </c>
      <c r="AE190" s="125">
        <f t="shared" si="48"/>
        <v>0</v>
      </c>
      <c r="AF190" s="125">
        <f t="shared" si="48"/>
        <v>0</v>
      </c>
      <c r="AG190" s="125">
        <f t="shared" si="48"/>
        <v>0</v>
      </c>
      <c r="AH190" s="125">
        <f t="shared" si="48"/>
        <v>0</v>
      </c>
      <c r="AI190" s="125">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31"/>
      <c r="C191" s="50">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0</v>
      </c>
      <c r="AE191" s="125">
        <f t="shared" si="48"/>
        <v>0</v>
      </c>
      <c r="AF191" s="125">
        <f t="shared" si="48"/>
        <v>0</v>
      </c>
      <c r="AG191" s="125">
        <f t="shared" si="48"/>
        <v>0</v>
      </c>
      <c r="AH191" s="125">
        <f t="shared" si="48"/>
        <v>0</v>
      </c>
      <c r="AI191" s="125">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31"/>
      <c r="C192" s="50">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0</v>
      </c>
      <c r="AE192" s="125">
        <f t="shared" si="50"/>
        <v>0</v>
      </c>
      <c r="AF192" s="125">
        <f t="shared" si="50"/>
        <v>0</v>
      </c>
      <c r="AG192" s="125">
        <f t="shared" si="50"/>
        <v>0</v>
      </c>
      <c r="AH192" s="125">
        <f t="shared" si="50"/>
        <v>0</v>
      </c>
      <c r="AI192" s="125">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31"/>
      <c r="C193" s="50">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0</v>
      </c>
      <c r="AE193" s="125">
        <f t="shared" si="50"/>
        <v>0</v>
      </c>
      <c r="AF193" s="125">
        <f t="shared" si="50"/>
        <v>0</v>
      </c>
      <c r="AG193" s="125">
        <f t="shared" si="50"/>
        <v>0</v>
      </c>
      <c r="AH193" s="125">
        <f t="shared" si="50"/>
        <v>0</v>
      </c>
      <c r="AI193" s="125">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31"/>
      <c r="C194" s="50">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0</v>
      </c>
      <c r="AE194" s="125">
        <f t="shared" si="50"/>
        <v>0</v>
      </c>
      <c r="AF194" s="125">
        <f t="shared" si="50"/>
        <v>0</v>
      </c>
      <c r="AG194" s="125">
        <f t="shared" si="50"/>
        <v>0</v>
      </c>
      <c r="AH194" s="125">
        <f t="shared" si="50"/>
        <v>0</v>
      </c>
      <c r="AI194" s="125">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31"/>
      <c r="C195" s="50">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0</v>
      </c>
      <c r="AE195" s="125">
        <f t="shared" si="50"/>
        <v>0</v>
      </c>
      <c r="AF195" s="125">
        <f t="shared" si="50"/>
        <v>0</v>
      </c>
      <c r="AG195" s="125">
        <f t="shared" si="50"/>
        <v>0</v>
      </c>
      <c r="AH195" s="125">
        <f t="shared" si="50"/>
        <v>0</v>
      </c>
      <c r="AI195" s="125">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31"/>
      <c r="C196" s="50">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0</v>
      </c>
      <c r="AE196" s="125">
        <f t="shared" si="50"/>
        <v>0</v>
      </c>
      <c r="AF196" s="125">
        <f t="shared" si="50"/>
        <v>0</v>
      </c>
      <c r="AG196" s="125">
        <f t="shared" si="50"/>
        <v>0</v>
      </c>
      <c r="AH196" s="125">
        <f t="shared" si="50"/>
        <v>0</v>
      </c>
      <c r="AI196" s="125">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31"/>
      <c r="C197" s="50">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0</v>
      </c>
      <c r="AE197" s="125">
        <f t="shared" si="50"/>
        <v>0</v>
      </c>
      <c r="AF197" s="125">
        <f t="shared" si="50"/>
        <v>0</v>
      </c>
      <c r="AG197" s="125">
        <f t="shared" si="50"/>
        <v>0</v>
      </c>
      <c r="AH197" s="125">
        <f t="shared" si="50"/>
        <v>0</v>
      </c>
      <c r="AI197" s="125">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31"/>
      <c r="C198" s="50">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0</v>
      </c>
      <c r="AE198" s="125">
        <f t="shared" si="50"/>
        <v>0</v>
      </c>
      <c r="AF198" s="125">
        <f t="shared" si="50"/>
        <v>0</v>
      </c>
      <c r="AG198" s="125">
        <f t="shared" si="50"/>
        <v>0</v>
      </c>
      <c r="AH198" s="125">
        <f t="shared" si="50"/>
        <v>0</v>
      </c>
      <c r="AI198" s="125">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2"/>
      <c r="C199" s="50">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0</v>
      </c>
      <c r="AE199" s="125">
        <f t="shared" si="50"/>
        <v>0</v>
      </c>
      <c r="AF199" s="125">
        <f t="shared" si="50"/>
        <v>0</v>
      </c>
      <c r="AG199" s="125">
        <f t="shared" si="50"/>
        <v>0</v>
      </c>
      <c r="AH199" s="125">
        <f t="shared" si="50"/>
        <v>0</v>
      </c>
      <c r="AI199" s="125">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D3 D38:AJ69 D6:AD37 AJ6:AJ37" name="Table作成編集範囲"/>
    <protectedRange sqref="AE3:AF3" name="Table作成編集範囲_3"/>
    <protectedRange sqref="AE6:AI37" name="Table作成編集範囲_1"/>
  </protectedRanges>
  <dataConsolidate/>
  <mergeCells count="5">
    <mergeCell ref="C2:C3"/>
    <mergeCell ref="AJ2:AJ3"/>
    <mergeCell ref="A4:B5"/>
    <mergeCell ref="AE3:AF3"/>
    <mergeCell ref="AG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7F5A40D-2772-4B2F-BCCA-EF4C9A015CC4}">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1183-A62A-4F8F-A832-EACA3E1C6E21}">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63</v>
      </c>
      <c r="AI1" t="s">
        <v>64</v>
      </c>
    </row>
    <row r="2" spans="1:49">
      <c r="B2" s="124" t="s">
        <v>133</v>
      </c>
      <c r="C2" s="287" t="s">
        <v>88</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89" t="s">
        <v>55</v>
      </c>
    </row>
    <row r="3" spans="1:49" ht="213" customHeight="1" thickBot="1">
      <c r="B3" s="187" t="str">
        <f>IF(OR(IF(COUNTIF(D6:AC69,"0")&lt;&gt;0,TRUE,FALSE),IF(COUNTIF(D6:AC69,"1")&lt;&gt;0,TRUE,FALSE)),"Search Table","Index Table")</f>
        <v>Index Table</v>
      </c>
      <c r="C3" s="288"/>
      <c r="D3" s="126" t="s">
        <v>65</v>
      </c>
      <c r="E3" s="126" t="s">
        <v>70</v>
      </c>
      <c r="F3" s="126" t="s">
        <v>53</v>
      </c>
      <c r="G3" s="126" t="s">
        <v>52</v>
      </c>
      <c r="H3" s="126" t="s">
        <v>131</v>
      </c>
      <c r="I3" s="126" t="s">
        <v>130</v>
      </c>
      <c r="J3" s="126" t="s">
        <v>135</v>
      </c>
      <c r="K3" s="126" t="s">
        <v>134</v>
      </c>
      <c r="L3" s="127" t="s">
        <v>70</v>
      </c>
      <c r="M3" s="127" t="s">
        <v>66</v>
      </c>
      <c r="N3" s="127" t="s">
        <v>66</v>
      </c>
      <c r="O3" s="127" t="s">
        <v>66</v>
      </c>
      <c r="P3" s="127" t="s">
        <v>66</v>
      </c>
      <c r="Q3" s="127" t="s">
        <v>66</v>
      </c>
      <c r="R3" s="127" t="s">
        <v>66</v>
      </c>
      <c r="S3" s="127" t="s">
        <v>66</v>
      </c>
      <c r="T3" s="127" t="s">
        <v>66</v>
      </c>
      <c r="U3" s="127" t="s">
        <v>66</v>
      </c>
      <c r="V3" s="127" t="s">
        <v>66</v>
      </c>
      <c r="W3" s="127" t="s">
        <v>66</v>
      </c>
      <c r="X3" s="127" t="s">
        <v>66</v>
      </c>
      <c r="Y3" s="127" t="s">
        <v>66</v>
      </c>
      <c r="Z3" s="127" t="s">
        <v>66</v>
      </c>
      <c r="AA3" s="127" t="s">
        <v>66</v>
      </c>
      <c r="AB3" s="127" t="s">
        <v>66</v>
      </c>
      <c r="AC3" s="127" t="s">
        <v>66</v>
      </c>
      <c r="AD3" s="127" t="s">
        <v>66</v>
      </c>
      <c r="AE3" s="127" t="s">
        <v>66</v>
      </c>
      <c r="AF3" s="209" t="s">
        <v>264</v>
      </c>
      <c r="AG3" s="295" t="s">
        <v>266</v>
      </c>
      <c r="AH3" s="299"/>
      <c r="AI3" s="296"/>
      <c r="AJ3" s="290"/>
      <c r="AR3" s="93" t="s">
        <v>102</v>
      </c>
    </row>
    <row r="4" spans="1:49" ht="13.8" thickBot="1">
      <c r="A4" s="291" t="s">
        <v>67</v>
      </c>
      <c r="B4" s="292"/>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86</v>
      </c>
      <c r="AS4" s="82"/>
      <c r="AT4" s="82"/>
      <c r="AU4" s="82"/>
      <c r="AV4" s="82"/>
      <c r="AW4" s="83"/>
    </row>
    <row r="5" spans="1:49" ht="13.8" thickBot="1">
      <c r="A5" s="293"/>
      <c r="B5" s="294"/>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u4_sp_ALERT_H_XMGRIP_BC_CRIT[ALERT_H_XMGRIP_BC_NUM_DST] = {</v>
      </c>
      <c r="AS5" s="84" t="str">
        <f ca="1">"static const U4  "&amp;$AW$9&amp;"["&amp;$AW$10&amp;"] = {"</f>
        <v>static const U4  u4_sp_ALERT_H_XMGRIP_BC_MASK[ALERT_H_XMGRIP_BC_NUM_DST] = {</v>
      </c>
      <c r="AT5" s="84" t="str">
        <f ca="1">"static const U1  "&amp;$AW$11&amp;"["&amp;$AW$10&amp;"] = {"</f>
        <v>static const U1  u1_sp_ALERT_H_XMGRIP_BC_DST[ALERT_H_XMGRIP_BC_NUM_DST] = {</v>
      </c>
      <c r="AU5" s="84" t="str">
        <f ca="1">"const ST_ALERT_MTRX "&amp;$AW$12&amp;" = {"</f>
        <v>const ST_ALERT_MTRX st_gp_ALERT_H_XMGRIP_MTRX[3] = {</v>
      </c>
      <c r="AV5" s="66" t="str">
        <f ca="1">"#define "&amp;AW10&amp;REPT(" ",41-LEN(AW10))&amp;"("&amp;AW13&amp;"U)"</f>
        <v>#define ALERT_H_XMGRIP_BC_NUM_DST                (16U)</v>
      </c>
      <c r="AW5" s="67"/>
    </row>
    <row r="6" spans="1:49">
      <c r="B6" s="131" t="str">
        <f ca="1">"Table "&amp;$AW$6</f>
        <v>Table BC</v>
      </c>
      <c r="C6" s="55">
        <f>ROW()-ROW($C$6)</f>
        <v>0</v>
      </c>
      <c r="D6" s="38" t="s">
        <v>71</v>
      </c>
      <c r="E6" s="38" t="s">
        <v>71</v>
      </c>
      <c r="F6" s="38" t="s">
        <v>71</v>
      </c>
      <c r="G6" s="38" t="s">
        <v>71</v>
      </c>
      <c r="H6" s="38" t="s">
        <v>71</v>
      </c>
      <c r="I6" s="38" t="s">
        <v>71</v>
      </c>
      <c r="J6" s="38" t="s">
        <v>71</v>
      </c>
      <c r="K6" s="38" t="s">
        <v>71</v>
      </c>
      <c r="L6" s="38" t="s">
        <v>71</v>
      </c>
      <c r="M6" s="38" t="s">
        <v>71</v>
      </c>
      <c r="N6" s="38" t="s">
        <v>71</v>
      </c>
      <c r="O6" s="38" t="s">
        <v>71</v>
      </c>
      <c r="P6" s="38" t="s">
        <v>71</v>
      </c>
      <c r="Q6" s="38" t="s">
        <v>71</v>
      </c>
      <c r="R6" s="38" t="s">
        <v>71</v>
      </c>
      <c r="S6" s="38" t="s">
        <v>71</v>
      </c>
      <c r="T6" s="38" t="s">
        <v>71</v>
      </c>
      <c r="U6" s="38" t="s">
        <v>71</v>
      </c>
      <c r="V6" s="38" t="s">
        <v>71</v>
      </c>
      <c r="W6" s="38" t="s">
        <v>71</v>
      </c>
      <c r="X6" s="38" t="s">
        <v>71</v>
      </c>
      <c r="Y6" s="38" t="s">
        <v>71</v>
      </c>
      <c r="Z6" s="38" t="s">
        <v>71</v>
      </c>
      <c r="AA6" s="38" t="s">
        <v>71</v>
      </c>
      <c r="AB6" s="38" t="s">
        <v>71</v>
      </c>
      <c r="AC6" s="38" t="s">
        <v>71</v>
      </c>
      <c r="AD6" s="38" t="s">
        <v>71</v>
      </c>
      <c r="AE6" s="38" t="s">
        <v>71</v>
      </c>
      <c r="AF6" s="36">
        <v>0</v>
      </c>
      <c r="AG6" s="36">
        <v>0</v>
      </c>
      <c r="AH6" s="36">
        <v>0</v>
      </c>
      <c r="AI6" s="36">
        <v>0</v>
      </c>
      <c r="AJ6" s="54" t="s">
        <v>33</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(U4)0x0000000FU,                                                           /* 00 UNKNOWN                                         */</v>
      </c>
      <c r="AT6" s="64" t="str">
        <f t="shared" ref="AT6:AT69" si="1">IF(AJ6&lt;&gt;"",AL6&amp;IF(AJ7&lt;&gt;"",","," ")&amp;REPT(" ",78-LEN(AL6))&amp;"/* "&amp;IF(C6&lt;10,"0"&amp;C6,C6)&amp;" "&amp;AJ6&amp;REPT(" ",48-LEN(AJ6))&amp;"*/",IF(AJ5&lt;&gt;"","};",""))</f>
        <v xml:space="preserve">    (U1)ALERT_REQ_UNKNOWN,                                                     /* 00 UNKNOWN                                         */</v>
      </c>
      <c r="AU6" s="64" t="s">
        <v>72</v>
      </c>
      <c r="AV6" s="51" t="s">
        <v>74</v>
      </c>
      <c r="AW6" s="68" t="str">
        <f ca="1">UPPER(RIGHT(CELL("filename",A1),LEN(CELL("filename",A1))-FIND("]",CELL("filename",A1))))</f>
        <v>BC</v>
      </c>
    </row>
    <row r="7" spans="1:49">
      <c r="B7" s="131"/>
      <c r="C7" s="50">
        <f t="shared" ref="C7:C69" si="2">ROW()-ROW($C$6)</f>
        <v>1</v>
      </c>
      <c r="D7" s="36" t="s">
        <v>71</v>
      </c>
      <c r="E7" s="36" t="s">
        <v>71</v>
      </c>
      <c r="F7" s="36" t="s">
        <v>71</v>
      </c>
      <c r="G7" s="36" t="s">
        <v>71</v>
      </c>
      <c r="H7" s="36" t="s">
        <v>71</v>
      </c>
      <c r="I7" s="36" t="s">
        <v>71</v>
      </c>
      <c r="J7" s="36" t="s">
        <v>71</v>
      </c>
      <c r="K7" s="36" t="s">
        <v>71</v>
      </c>
      <c r="L7" s="36" t="s">
        <v>71</v>
      </c>
      <c r="M7" s="36" t="s">
        <v>71</v>
      </c>
      <c r="N7" s="36" t="s">
        <v>71</v>
      </c>
      <c r="O7" s="36" t="s">
        <v>71</v>
      </c>
      <c r="P7" s="36" t="s">
        <v>71</v>
      </c>
      <c r="Q7" s="36" t="s">
        <v>71</v>
      </c>
      <c r="R7" s="36" t="s">
        <v>71</v>
      </c>
      <c r="S7" s="36" t="s">
        <v>71</v>
      </c>
      <c r="T7" s="36" t="s">
        <v>71</v>
      </c>
      <c r="U7" s="36" t="s">
        <v>71</v>
      </c>
      <c r="V7" s="36" t="s">
        <v>71</v>
      </c>
      <c r="W7" s="36" t="s">
        <v>71</v>
      </c>
      <c r="X7" s="36" t="s">
        <v>71</v>
      </c>
      <c r="Y7" s="36" t="s">
        <v>71</v>
      </c>
      <c r="Z7" s="36" t="s">
        <v>71</v>
      </c>
      <c r="AA7" s="36" t="s">
        <v>71</v>
      </c>
      <c r="AB7" s="36" t="s">
        <v>71</v>
      </c>
      <c r="AC7" s="36" t="s">
        <v>71</v>
      </c>
      <c r="AD7" s="36" t="s">
        <v>71</v>
      </c>
      <c r="AE7" s="36" t="s">
        <v>71</v>
      </c>
      <c r="AF7" s="36">
        <v>0</v>
      </c>
      <c r="AG7" s="36">
        <v>0</v>
      </c>
      <c r="AH7" s="36">
        <v>0</v>
      </c>
      <c r="AI7" s="36">
        <v>1</v>
      </c>
      <c r="AJ7" s="25" t="s">
        <v>143</v>
      </c>
      <c r="AL7" t="str">
        <f t="shared" ca="1" si="0"/>
        <v xml:space="preserve">    (U1)ALERT_REQ_H_XMGRIP_BC_SINGLE</v>
      </c>
      <c r="AR7" s="64" t="str">
        <f t="shared" ref="AR7:AR70" si="3">IF(AQ72&lt;&gt;"",AQ72,IF(AQ71&lt;&gt;"","};",""))</f>
        <v xml:space="preserve">    (U4)0x00000001U,                                                           /* 01 SINGLE                                          */</v>
      </c>
      <c r="AS7" s="64" t="str">
        <f t="shared" ref="AS7:AS70" si="4">IF(AQ137&lt;&gt;"",AQ137,IF(AQ136&lt;&gt;"","};",""))</f>
        <v xml:space="preserve">    (U4)0x0000000FU,                                                           /* 01 SINGLE                                          */</v>
      </c>
      <c r="AT7" s="64" t="str">
        <f t="shared" ca="1" si="1"/>
        <v xml:space="preserve">    (U1)ALERT_REQ_H_XMGRIP_BC_SINGLE,                                          /* 01 SINGLE                                          */</v>
      </c>
      <c r="AU7" s="64" t="str">
        <f ca="1">"        &amp;"&amp;$AW$14&amp;","&amp;REPT(" ",69-LEN($AW$14))&amp;"/* fp_u4_SRC_CHK                                      */"</f>
        <v xml:space="preserve">        &amp;u4_s_AlertH_xmgripBcSrcchk,                                           /* fp_u4_SRC_CHK                                      */</v>
      </c>
      <c r="AV7" s="52" t="s">
        <v>75</v>
      </c>
      <c r="AW7" s="130">
        <f>IF(B3="Search Table",1,0)</f>
        <v>0</v>
      </c>
    </row>
    <row r="8" spans="1:49">
      <c r="B8" s="131"/>
      <c r="C8" s="50">
        <f t="shared" si="2"/>
        <v>2</v>
      </c>
      <c r="D8" s="36" t="s">
        <v>71</v>
      </c>
      <c r="E8" s="36" t="s">
        <v>71</v>
      </c>
      <c r="F8" s="36" t="s">
        <v>71</v>
      </c>
      <c r="G8" s="36" t="s">
        <v>71</v>
      </c>
      <c r="H8" s="36" t="s">
        <v>71</v>
      </c>
      <c r="I8" s="36" t="s">
        <v>71</v>
      </c>
      <c r="J8" s="36" t="s">
        <v>71</v>
      </c>
      <c r="K8" s="36" t="s">
        <v>71</v>
      </c>
      <c r="L8" s="36" t="s">
        <v>71</v>
      </c>
      <c r="M8" s="36" t="s">
        <v>71</v>
      </c>
      <c r="N8" s="36" t="s">
        <v>71</v>
      </c>
      <c r="O8" s="36" t="s">
        <v>71</v>
      </c>
      <c r="P8" s="36" t="s">
        <v>71</v>
      </c>
      <c r="Q8" s="36" t="s">
        <v>71</v>
      </c>
      <c r="R8" s="36" t="s">
        <v>71</v>
      </c>
      <c r="S8" s="36" t="s">
        <v>71</v>
      </c>
      <c r="T8" s="36" t="s">
        <v>71</v>
      </c>
      <c r="U8" s="36" t="s">
        <v>71</v>
      </c>
      <c r="V8" s="36" t="s">
        <v>71</v>
      </c>
      <c r="W8" s="36" t="s">
        <v>71</v>
      </c>
      <c r="X8" s="36" t="s">
        <v>71</v>
      </c>
      <c r="Y8" s="36" t="s">
        <v>71</v>
      </c>
      <c r="Z8" s="36" t="s">
        <v>71</v>
      </c>
      <c r="AA8" s="36" t="s">
        <v>71</v>
      </c>
      <c r="AB8" s="36" t="s">
        <v>71</v>
      </c>
      <c r="AC8" s="36" t="s">
        <v>71</v>
      </c>
      <c r="AD8" s="36" t="s">
        <v>71</v>
      </c>
      <c r="AE8" s="36" t="s">
        <v>71</v>
      </c>
      <c r="AF8" s="36">
        <v>0</v>
      </c>
      <c r="AG8" s="36">
        <v>0</v>
      </c>
      <c r="AH8" s="36">
        <v>1</v>
      </c>
      <c r="AI8" s="36">
        <v>0</v>
      </c>
      <c r="AJ8" s="25" t="s">
        <v>261</v>
      </c>
      <c r="AL8" t="str">
        <f t="shared" ca="1" si="0"/>
        <v xml:space="preserve">    (U1)ALERT_REQ_H_XMGRIP_BC_DOUBLE</v>
      </c>
      <c r="AR8" s="64" t="str">
        <f t="shared" si="3"/>
        <v xml:space="preserve">    (U4)0x00000002U,                                                           /* 02 DOUBLE                                          */</v>
      </c>
      <c r="AS8" s="64" t="str">
        <f t="shared" si="4"/>
        <v xml:space="preserve">    (U4)0x0000000FU,                                                           /* 02 DOUBLE                                          */</v>
      </c>
      <c r="AT8" s="64" t="str">
        <f ca="1">IF(AJ8&lt;&gt;"",AL8&amp;IF(AJ9&lt;&gt;"",","," ")&amp;REPT(" ",78-LEN(AL8))&amp;"/* "&amp;IF(C8&lt;10,"0"&amp;C8,C8)&amp;" "&amp;AJ8&amp;REPT(" ",48-LEN(AJ8))&amp;"*/",IF(AJ7&lt;&gt;"","};",""))</f>
        <v xml:space="preserve">    (U1)ALERT_REQ_H_XMGRIP_BC_DOUBLE,                                          /* 02 DOUBLE                                          */</v>
      </c>
      <c r="AU8" s="64" t="str">
        <f ca="1">IF($AW$15&lt;&gt;"NULL","        &amp;"&amp;$AW$15&amp;","&amp;REPT(" ",69-LEN($AW$15))&amp;"/* fp_vd_XDST                                         */","        vdp_PTR_NA,                                                            /* fp_vd_XDST                                         */")</f>
        <v xml:space="preserve">        vdp_PTR_NA,                                                            /* fp_vd_XDST                                         */</v>
      </c>
      <c r="AV8" s="52" t="s">
        <v>76</v>
      </c>
      <c r="AW8" s="69" t="str">
        <f ca="1">"u4_sp_ALERT_"&amp;IF(AW6&lt;&gt;AW17,$AW$17&amp;"_"&amp;$AW$6,AW17)&amp;"_CRIT"</f>
        <v>u4_sp_ALERT_H_XMGRIP_BC_CRIT</v>
      </c>
    </row>
    <row r="9" spans="1:49">
      <c r="B9" s="131"/>
      <c r="C9" s="50">
        <f t="shared" si="2"/>
        <v>3</v>
      </c>
      <c r="D9" s="36" t="s">
        <v>71</v>
      </c>
      <c r="E9" s="36" t="s">
        <v>71</v>
      </c>
      <c r="F9" s="36" t="s">
        <v>71</v>
      </c>
      <c r="G9" s="36" t="s">
        <v>71</v>
      </c>
      <c r="H9" s="36" t="s">
        <v>71</v>
      </c>
      <c r="I9" s="36" t="s">
        <v>71</v>
      </c>
      <c r="J9" s="36" t="s">
        <v>71</v>
      </c>
      <c r="K9" s="36" t="s">
        <v>71</v>
      </c>
      <c r="L9" s="36" t="s">
        <v>71</v>
      </c>
      <c r="M9" s="36" t="s">
        <v>71</v>
      </c>
      <c r="N9" s="36" t="s">
        <v>71</v>
      </c>
      <c r="O9" s="36" t="s">
        <v>71</v>
      </c>
      <c r="P9" s="36" t="s">
        <v>71</v>
      </c>
      <c r="Q9" s="36" t="s">
        <v>71</v>
      </c>
      <c r="R9" s="36" t="s">
        <v>71</v>
      </c>
      <c r="S9" s="36" t="s">
        <v>71</v>
      </c>
      <c r="T9" s="36" t="s">
        <v>71</v>
      </c>
      <c r="U9" s="36" t="s">
        <v>71</v>
      </c>
      <c r="V9" s="36" t="s">
        <v>71</v>
      </c>
      <c r="W9" s="36" t="s">
        <v>71</v>
      </c>
      <c r="X9" s="36" t="s">
        <v>71</v>
      </c>
      <c r="Y9" s="36" t="s">
        <v>71</v>
      </c>
      <c r="Z9" s="36" t="s">
        <v>71</v>
      </c>
      <c r="AA9" s="36" t="s">
        <v>71</v>
      </c>
      <c r="AB9" s="36" t="s">
        <v>71</v>
      </c>
      <c r="AC9" s="36" t="s">
        <v>71</v>
      </c>
      <c r="AD9" s="36" t="s">
        <v>71</v>
      </c>
      <c r="AE9" s="36" t="s">
        <v>71</v>
      </c>
      <c r="AF9" s="36">
        <v>0</v>
      </c>
      <c r="AG9" s="36">
        <v>0</v>
      </c>
      <c r="AH9" s="36">
        <v>1</v>
      </c>
      <c r="AI9" s="36">
        <v>1</v>
      </c>
      <c r="AJ9" s="25" t="s">
        <v>33</v>
      </c>
      <c r="AL9" t="str">
        <f t="shared" si="0"/>
        <v xml:space="preserve">    (U1)ALERT_REQ_UNKNOWN</v>
      </c>
      <c r="AR9" s="64" t="str">
        <f t="shared" si="3"/>
        <v xml:space="preserve">    (U4)0x00000003U,                                                           /* 03 UNKNOWN                                         */</v>
      </c>
      <c r="AS9" s="64" t="str">
        <f t="shared" si="4"/>
        <v xml:space="preserve">    (U4)0x0000000FU,                                                           /* 03 UNKNOWN                                         */</v>
      </c>
      <c r="AT9" s="64" t="str">
        <f t="shared" si="1"/>
        <v xml:space="preserve">    (U1)ALERT_REQ_UNKNOWN,                                                     /* 03 UNKNOWN                                         */</v>
      </c>
      <c r="AU9" s="64"/>
      <c r="AV9" s="52" t="s">
        <v>77</v>
      </c>
      <c r="AW9" s="69" t="str">
        <f ca="1">"u4_sp_ALERT_"&amp;IF(AW6&lt;&gt;AW17,$AW$17&amp;"_"&amp;$AW$6,AW17)&amp;"_MASK"</f>
        <v>u4_sp_ALERT_H_XMGRIP_BC_MASK</v>
      </c>
    </row>
    <row r="10" spans="1:49">
      <c r="B10" s="131"/>
      <c r="C10" s="50">
        <f t="shared" si="2"/>
        <v>4</v>
      </c>
      <c r="D10" s="36" t="s">
        <v>71</v>
      </c>
      <c r="E10" s="36" t="s">
        <v>71</v>
      </c>
      <c r="F10" s="36" t="s">
        <v>71</v>
      </c>
      <c r="G10" s="36" t="s">
        <v>71</v>
      </c>
      <c r="H10" s="36" t="s">
        <v>71</v>
      </c>
      <c r="I10" s="36" t="s">
        <v>71</v>
      </c>
      <c r="J10" s="36" t="s">
        <v>71</v>
      </c>
      <c r="K10" s="36" t="s">
        <v>71</v>
      </c>
      <c r="L10" s="36" t="s">
        <v>71</v>
      </c>
      <c r="M10" s="36" t="s">
        <v>71</v>
      </c>
      <c r="N10" s="36" t="s">
        <v>71</v>
      </c>
      <c r="O10" s="36" t="s">
        <v>71</v>
      </c>
      <c r="P10" s="36" t="s">
        <v>71</v>
      </c>
      <c r="Q10" s="36" t="s">
        <v>71</v>
      </c>
      <c r="R10" s="36" t="s">
        <v>71</v>
      </c>
      <c r="S10" s="36" t="s">
        <v>71</v>
      </c>
      <c r="T10" s="36" t="s">
        <v>71</v>
      </c>
      <c r="U10" s="36" t="s">
        <v>71</v>
      </c>
      <c r="V10" s="36" t="s">
        <v>71</v>
      </c>
      <c r="W10" s="36" t="s">
        <v>71</v>
      </c>
      <c r="X10" s="36" t="s">
        <v>71</v>
      </c>
      <c r="Y10" s="36" t="s">
        <v>71</v>
      </c>
      <c r="Z10" s="36" t="s">
        <v>71</v>
      </c>
      <c r="AA10" s="36" t="s">
        <v>71</v>
      </c>
      <c r="AB10" s="36" t="s">
        <v>71</v>
      </c>
      <c r="AC10" s="36" t="s">
        <v>71</v>
      </c>
      <c r="AD10" s="36" t="s">
        <v>71</v>
      </c>
      <c r="AE10" s="36" t="s">
        <v>71</v>
      </c>
      <c r="AF10" s="36">
        <v>0</v>
      </c>
      <c r="AG10" s="36">
        <v>1</v>
      </c>
      <c r="AH10" s="36">
        <v>0</v>
      </c>
      <c r="AI10" s="36">
        <v>0</v>
      </c>
      <c r="AJ10" s="25" t="s">
        <v>33</v>
      </c>
      <c r="AL10" t="str">
        <f t="shared" si="0"/>
        <v xml:space="preserve">    (U1)ALERT_REQ_UNKNOWN</v>
      </c>
      <c r="AR10" s="64" t="str">
        <f t="shared" si="3"/>
        <v xml:space="preserve">    (U4)0x00000004U,                                                           /* 04 UNKNOWN                                         */</v>
      </c>
      <c r="AS10" s="64" t="str">
        <f t="shared" si="4"/>
        <v xml:space="preserve">    (U4)0x0000000FU,                                                           /* 04 UNKNOWN                                         */</v>
      </c>
      <c r="AT10" s="64" t="str">
        <f t="shared" si="1"/>
        <v xml:space="preserve">    (U1)ALERT_REQ_UNKNOWN,                                                     /* 04 UNKNOWN                                         */</v>
      </c>
      <c r="AU10" s="64" t="str">
        <f>IF($AW$7=1,"        &amp;"&amp;$AW$9&amp;"[0],"&amp;REPT(" ",66-LEN($AW$9))&amp;"/* u4p_MASK                                           */","        (const U4 *)vdp_PTR_NA,                                                /* u4p_MASK                                           */")</f>
        <v xml:space="preserve">        (const U4 *)vdp_PTR_NA,                                                /* u4p_MASK                                           */</v>
      </c>
      <c r="AV10" s="52" t="s">
        <v>78</v>
      </c>
      <c r="AW10" s="69" t="str">
        <f ca="1">"ALERT_"&amp;IF(AW6&lt;&gt;AW17,$AW$17&amp;"_"&amp;$AW$6,AW17)&amp;"_NUM_DST"</f>
        <v>ALERT_H_XMGRIP_BC_NUM_DST</v>
      </c>
    </row>
    <row r="11" spans="1:49">
      <c r="B11" s="131"/>
      <c r="C11" s="50">
        <f t="shared" si="2"/>
        <v>5</v>
      </c>
      <c r="D11" s="36" t="s">
        <v>71</v>
      </c>
      <c r="E11" s="36" t="s">
        <v>71</v>
      </c>
      <c r="F11" s="36" t="s">
        <v>71</v>
      </c>
      <c r="G11" s="36" t="s">
        <v>71</v>
      </c>
      <c r="H11" s="36" t="s">
        <v>71</v>
      </c>
      <c r="I11" s="36" t="s">
        <v>71</v>
      </c>
      <c r="J11" s="36" t="s">
        <v>71</v>
      </c>
      <c r="K11" s="36" t="s">
        <v>71</v>
      </c>
      <c r="L11" s="36" t="s">
        <v>71</v>
      </c>
      <c r="M11" s="36" t="s">
        <v>71</v>
      </c>
      <c r="N11" s="36" t="s">
        <v>71</v>
      </c>
      <c r="O11" s="36" t="s">
        <v>71</v>
      </c>
      <c r="P11" s="36" t="s">
        <v>71</v>
      </c>
      <c r="Q11" s="36" t="s">
        <v>71</v>
      </c>
      <c r="R11" s="36" t="s">
        <v>71</v>
      </c>
      <c r="S11" s="36" t="s">
        <v>71</v>
      </c>
      <c r="T11" s="36" t="s">
        <v>71</v>
      </c>
      <c r="U11" s="36" t="s">
        <v>71</v>
      </c>
      <c r="V11" s="36" t="s">
        <v>71</v>
      </c>
      <c r="W11" s="36" t="s">
        <v>71</v>
      </c>
      <c r="X11" s="36" t="s">
        <v>71</v>
      </c>
      <c r="Y11" s="36" t="s">
        <v>71</v>
      </c>
      <c r="Z11" s="36" t="s">
        <v>71</v>
      </c>
      <c r="AA11" s="36" t="s">
        <v>71</v>
      </c>
      <c r="AB11" s="36" t="s">
        <v>71</v>
      </c>
      <c r="AC11" s="36" t="s">
        <v>71</v>
      </c>
      <c r="AD11" s="36" t="s">
        <v>71</v>
      </c>
      <c r="AE11" s="36" t="s">
        <v>71</v>
      </c>
      <c r="AF11" s="36">
        <v>0</v>
      </c>
      <c r="AG11" s="36">
        <v>1</v>
      </c>
      <c r="AH11" s="36">
        <v>0</v>
      </c>
      <c r="AI11" s="36">
        <v>1</v>
      </c>
      <c r="AJ11" s="25" t="s">
        <v>33</v>
      </c>
      <c r="AL11" t="str">
        <f t="shared" si="0"/>
        <v xml:space="preserve">    (U1)ALERT_REQ_UNKNOWN</v>
      </c>
      <c r="AR11" s="64" t="str">
        <f t="shared" si="3"/>
        <v xml:space="preserve">    (U4)0x00000005U,                                                           /* 05 UNKNOWN                                         */</v>
      </c>
      <c r="AS11" s="64" t="str">
        <f t="shared" si="4"/>
        <v xml:space="preserve">    (U4)0x0000000FU,                                                           /* 05 UNKNOWN                                         */</v>
      </c>
      <c r="AT11" s="64" t="str">
        <f t="shared" si="1"/>
        <v xml:space="preserve">    (U1)ALERT_REQ_UNKNOWN,                                                     /* 05 UNKNOWN                                         */</v>
      </c>
      <c r="AU11" s="64" t="str">
        <f>IF($AW$7=1,"        &amp;"&amp;$AW$8&amp;"[0],"&amp;REPT(" ",66-LEN($AW$8))&amp;"/* u4p_CRIT                                           */","        (const U4 *)vdp_PTR_NA,                                                /* u4p_CRIT                                           */")</f>
        <v xml:space="preserve">        (const U4 *)vdp_PTR_NA,                                                /* u4p_CRIT                                           */</v>
      </c>
      <c r="AV11" s="52" t="s">
        <v>79</v>
      </c>
      <c r="AW11" s="69" t="str">
        <f ca="1">"u1_sp_ALERT_"&amp;IF(AW6&lt;&gt;AW17,$AW$17&amp;"_"&amp;$AW$6,AW17)&amp;"_DST"</f>
        <v>u1_sp_ALERT_H_XMGRIP_BC_DST</v>
      </c>
    </row>
    <row r="12" spans="1:49">
      <c r="B12" s="131"/>
      <c r="C12" s="50">
        <f t="shared" si="2"/>
        <v>6</v>
      </c>
      <c r="D12" s="36" t="s">
        <v>71</v>
      </c>
      <c r="E12" s="36" t="s">
        <v>71</v>
      </c>
      <c r="F12" s="36" t="s">
        <v>71</v>
      </c>
      <c r="G12" s="36" t="s">
        <v>71</v>
      </c>
      <c r="H12" s="36" t="s">
        <v>71</v>
      </c>
      <c r="I12" s="36" t="s">
        <v>71</v>
      </c>
      <c r="J12" s="36" t="s">
        <v>71</v>
      </c>
      <c r="K12" s="36" t="s">
        <v>71</v>
      </c>
      <c r="L12" s="36" t="s">
        <v>71</v>
      </c>
      <c r="M12" s="36" t="s">
        <v>71</v>
      </c>
      <c r="N12" s="36" t="s">
        <v>71</v>
      </c>
      <c r="O12" s="36" t="s">
        <v>71</v>
      </c>
      <c r="P12" s="36" t="s">
        <v>71</v>
      </c>
      <c r="Q12" s="36" t="s">
        <v>71</v>
      </c>
      <c r="R12" s="36" t="s">
        <v>71</v>
      </c>
      <c r="S12" s="36" t="s">
        <v>71</v>
      </c>
      <c r="T12" s="36" t="s">
        <v>71</v>
      </c>
      <c r="U12" s="36" t="s">
        <v>71</v>
      </c>
      <c r="V12" s="36" t="s">
        <v>71</v>
      </c>
      <c r="W12" s="36" t="s">
        <v>71</v>
      </c>
      <c r="X12" s="36" t="s">
        <v>71</v>
      </c>
      <c r="Y12" s="36" t="s">
        <v>71</v>
      </c>
      <c r="Z12" s="36" t="s">
        <v>71</v>
      </c>
      <c r="AA12" s="36" t="s">
        <v>71</v>
      </c>
      <c r="AB12" s="36" t="s">
        <v>71</v>
      </c>
      <c r="AC12" s="36" t="s">
        <v>71</v>
      </c>
      <c r="AD12" s="36" t="s">
        <v>71</v>
      </c>
      <c r="AE12" s="36" t="s">
        <v>71</v>
      </c>
      <c r="AF12" s="36">
        <v>0</v>
      </c>
      <c r="AG12" s="36">
        <v>1</v>
      </c>
      <c r="AH12" s="36">
        <v>1</v>
      </c>
      <c r="AI12" s="36">
        <v>0</v>
      </c>
      <c r="AJ12" s="25" t="s">
        <v>33</v>
      </c>
      <c r="AL12" t="str">
        <f t="shared" si="0"/>
        <v xml:space="preserve">    (U1)ALERT_REQ_UNKNOWN</v>
      </c>
      <c r="AR12" s="64" t="str">
        <f t="shared" si="3"/>
        <v xml:space="preserve">    (U4)0x00000006U,                                                           /* 06 UNKNOWN                                         */</v>
      </c>
      <c r="AS12" s="64" t="str">
        <f t="shared" si="4"/>
        <v xml:space="preserve">    (U4)0x0000000FU,                                                           /* 06 UNKNOWN                                         */</v>
      </c>
      <c r="AT12" s="64" t="str">
        <f t="shared" si="1"/>
        <v xml:space="preserve">    (U1)ALERT_REQ_UNKNOWN,                                                     /* 06 UNKNOWN                                         */</v>
      </c>
      <c r="AU12" s="64"/>
      <c r="AV12" s="52" t="s">
        <v>93</v>
      </c>
      <c r="AW12" s="69" t="str">
        <f ca="1">Matrix!D8&amp;"["&amp;Matrix!D7&amp;"]"</f>
        <v>st_gp_ALERT_H_XMGRIP_MTRX[3]</v>
      </c>
    </row>
    <row r="13" spans="1:49">
      <c r="B13" s="131"/>
      <c r="C13" s="50">
        <f t="shared" si="2"/>
        <v>7</v>
      </c>
      <c r="D13" s="36" t="s">
        <v>71</v>
      </c>
      <c r="E13" s="36" t="s">
        <v>71</v>
      </c>
      <c r="F13" s="36" t="s">
        <v>71</v>
      </c>
      <c r="G13" s="36" t="s">
        <v>71</v>
      </c>
      <c r="H13" s="36" t="s">
        <v>71</v>
      </c>
      <c r="I13" s="36" t="s">
        <v>71</v>
      </c>
      <c r="J13" s="36" t="s">
        <v>71</v>
      </c>
      <c r="K13" s="36" t="s">
        <v>71</v>
      </c>
      <c r="L13" s="36" t="s">
        <v>71</v>
      </c>
      <c r="M13" s="36" t="s">
        <v>71</v>
      </c>
      <c r="N13" s="36" t="s">
        <v>71</v>
      </c>
      <c r="O13" s="36" t="s">
        <v>71</v>
      </c>
      <c r="P13" s="36" t="s">
        <v>71</v>
      </c>
      <c r="Q13" s="36" t="s">
        <v>71</v>
      </c>
      <c r="R13" s="36" t="s">
        <v>71</v>
      </c>
      <c r="S13" s="36" t="s">
        <v>71</v>
      </c>
      <c r="T13" s="36" t="s">
        <v>71</v>
      </c>
      <c r="U13" s="36" t="s">
        <v>71</v>
      </c>
      <c r="V13" s="36" t="s">
        <v>71</v>
      </c>
      <c r="W13" s="36" t="s">
        <v>71</v>
      </c>
      <c r="X13" s="36" t="s">
        <v>71</v>
      </c>
      <c r="Y13" s="36" t="s">
        <v>71</v>
      </c>
      <c r="Z13" s="36" t="s">
        <v>71</v>
      </c>
      <c r="AA13" s="36" t="s">
        <v>71</v>
      </c>
      <c r="AB13" s="36" t="s">
        <v>71</v>
      </c>
      <c r="AC13" s="36" t="s">
        <v>71</v>
      </c>
      <c r="AD13" s="36" t="s">
        <v>71</v>
      </c>
      <c r="AE13" s="36" t="s">
        <v>71</v>
      </c>
      <c r="AF13" s="36">
        <v>0</v>
      </c>
      <c r="AG13" s="36">
        <v>1</v>
      </c>
      <c r="AH13" s="36">
        <v>1</v>
      </c>
      <c r="AI13" s="36">
        <v>1</v>
      </c>
      <c r="AJ13" s="25" t="s">
        <v>33</v>
      </c>
      <c r="AL13" t="str">
        <f t="shared" si="0"/>
        <v xml:space="preserve">    (U1)ALERT_REQ_UNKNOWN</v>
      </c>
      <c r="AR13" s="64" t="str">
        <f t="shared" si="3"/>
        <v xml:space="preserve">    (U4)0x00000007U,                                                           /* 07 UNKNOWN                                         */</v>
      </c>
      <c r="AS13" s="64" t="str">
        <f t="shared" si="4"/>
        <v xml:space="preserve">    (U4)0x0000000FU,                                                           /* 07 UNKNOWN                                         */</v>
      </c>
      <c r="AT13" s="64" t="str">
        <f t="shared" si="1"/>
        <v xml:space="preserve">    (U1)ALERT_REQ_UNKNOWN,                                                     /* 07 UNKNOWN                                         */</v>
      </c>
      <c r="AU13" s="64" t="str">
        <f ca="1">"        &amp;"&amp;$AW$11&amp;"[0],"&amp;REPT(" ",66-LEN($AW$11))&amp;"/* u1p_DST                                            */"</f>
        <v xml:space="preserve">        &amp;u1_sp_ALERT_H_XMGRIP_BC_DST[0],                                       /* u1p_DST                                            */</v>
      </c>
      <c r="AV13" s="52" t="s">
        <v>80</v>
      </c>
      <c r="AW13" s="130">
        <f>COUNTA($AJ$6:$AJ$69)</f>
        <v>16</v>
      </c>
    </row>
    <row r="14" spans="1:49">
      <c r="B14" s="131"/>
      <c r="C14" s="50">
        <f t="shared" si="2"/>
        <v>8</v>
      </c>
      <c r="D14" s="36" t="s">
        <v>71</v>
      </c>
      <c r="E14" s="36" t="s">
        <v>71</v>
      </c>
      <c r="F14" s="36" t="s">
        <v>71</v>
      </c>
      <c r="G14" s="36" t="s">
        <v>71</v>
      </c>
      <c r="H14" s="36" t="s">
        <v>71</v>
      </c>
      <c r="I14" s="36" t="s">
        <v>71</v>
      </c>
      <c r="J14" s="36" t="s">
        <v>71</v>
      </c>
      <c r="K14" s="36" t="s">
        <v>71</v>
      </c>
      <c r="L14" s="36" t="s">
        <v>71</v>
      </c>
      <c r="M14" s="36" t="s">
        <v>71</v>
      </c>
      <c r="N14" s="36" t="s">
        <v>71</v>
      </c>
      <c r="O14" s="36" t="s">
        <v>71</v>
      </c>
      <c r="P14" s="36" t="s">
        <v>71</v>
      </c>
      <c r="Q14" s="36" t="s">
        <v>71</v>
      </c>
      <c r="R14" s="36" t="s">
        <v>71</v>
      </c>
      <c r="S14" s="36" t="s">
        <v>71</v>
      </c>
      <c r="T14" s="36" t="s">
        <v>71</v>
      </c>
      <c r="U14" s="36" t="s">
        <v>71</v>
      </c>
      <c r="V14" s="36" t="s">
        <v>71</v>
      </c>
      <c r="W14" s="36" t="s">
        <v>71</v>
      </c>
      <c r="X14" s="36" t="s">
        <v>71</v>
      </c>
      <c r="Y14" s="36" t="s">
        <v>71</v>
      </c>
      <c r="Z14" s="36" t="s">
        <v>71</v>
      </c>
      <c r="AA14" s="36" t="s">
        <v>71</v>
      </c>
      <c r="AB14" s="36" t="s">
        <v>71</v>
      </c>
      <c r="AC14" s="36" t="s">
        <v>71</v>
      </c>
      <c r="AD14" s="36" t="s">
        <v>71</v>
      </c>
      <c r="AE14" s="36" t="s">
        <v>71</v>
      </c>
      <c r="AF14" s="36">
        <v>1</v>
      </c>
      <c r="AG14" s="36">
        <v>0</v>
      </c>
      <c r="AH14" s="36">
        <v>0</v>
      </c>
      <c r="AI14" s="36">
        <v>0</v>
      </c>
      <c r="AJ14" s="25" t="s">
        <v>33</v>
      </c>
      <c r="AL14" t="str">
        <f t="shared" si="0"/>
        <v xml:space="preserve">    (U1)ALERT_REQ_UNKNOWN</v>
      </c>
      <c r="AR14" s="64" t="str">
        <f t="shared" si="3"/>
        <v xml:space="preserve">    (U4)0x00000008U,                                                           /* 08 UNKNOWN                                         */</v>
      </c>
      <c r="AS14" s="64" t="str">
        <f t="shared" si="4"/>
        <v xml:space="preserve">    (U4)0x0000000FU,                                                           /* 08 UNKNOWN                                         */</v>
      </c>
      <c r="AT14" s="64" t="str">
        <f t="shared" si="1"/>
        <v xml:space="preserve">    (U1)ALERT_REQ_UNKNOWN,                                                     /* 08 UNKNOWN                                         */</v>
      </c>
      <c r="AU14" s="64" t="str">
        <f ca="1">"        (U2)"&amp;$AW$10&amp;","&amp;REPT(" ",66-LEN($AW$10))&amp;"/* u2_num_srch                                        */"</f>
        <v xml:space="preserve">        (U2)ALERT_H_XMGRIP_BC_NUM_DST,                                         /* u2_num_srch                                        */</v>
      </c>
      <c r="AV14" s="52" t="s">
        <v>81</v>
      </c>
      <c r="AW14" s="69" t="str">
        <f ca="1">IF(AW6&lt;&gt;AW17,VLOOKUP(AW6,Matrix!$C$13:$G$37,4,FALSE),Matrix!F13)</f>
        <v>u4_s_AlertH_xmgripBcSrcchk</v>
      </c>
    </row>
    <row r="15" spans="1:49">
      <c r="B15" s="131"/>
      <c r="C15" s="50">
        <f t="shared" si="2"/>
        <v>9</v>
      </c>
      <c r="D15" s="36" t="s">
        <v>71</v>
      </c>
      <c r="E15" s="36" t="s">
        <v>71</v>
      </c>
      <c r="F15" s="36" t="s">
        <v>71</v>
      </c>
      <c r="G15" s="36" t="s">
        <v>71</v>
      </c>
      <c r="H15" s="36" t="s">
        <v>71</v>
      </c>
      <c r="I15" s="36" t="s">
        <v>71</v>
      </c>
      <c r="J15" s="36" t="s">
        <v>71</v>
      </c>
      <c r="K15" s="36" t="s">
        <v>71</v>
      </c>
      <c r="L15" s="36" t="s">
        <v>71</v>
      </c>
      <c r="M15" s="36" t="s">
        <v>71</v>
      </c>
      <c r="N15" s="36" t="s">
        <v>71</v>
      </c>
      <c r="O15" s="36" t="s">
        <v>71</v>
      </c>
      <c r="P15" s="36" t="s">
        <v>71</v>
      </c>
      <c r="Q15" s="36" t="s">
        <v>71</v>
      </c>
      <c r="R15" s="36" t="s">
        <v>71</v>
      </c>
      <c r="S15" s="36" t="s">
        <v>71</v>
      </c>
      <c r="T15" s="36" t="s">
        <v>71</v>
      </c>
      <c r="U15" s="36" t="s">
        <v>71</v>
      </c>
      <c r="V15" s="36" t="s">
        <v>71</v>
      </c>
      <c r="W15" s="36" t="s">
        <v>71</v>
      </c>
      <c r="X15" s="36" t="s">
        <v>71</v>
      </c>
      <c r="Y15" s="36" t="s">
        <v>71</v>
      </c>
      <c r="Z15" s="36" t="s">
        <v>71</v>
      </c>
      <c r="AA15" s="36" t="s">
        <v>71</v>
      </c>
      <c r="AB15" s="36" t="s">
        <v>71</v>
      </c>
      <c r="AC15" s="36" t="s">
        <v>71</v>
      </c>
      <c r="AD15" s="36" t="s">
        <v>71</v>
      </c>
      <c r="AE15" s="36" t="s">
        <v>71</v>
      </c>
      <c r="AF15" s="36">
        <v>1</v>
      </c>
      <c r="AG15" s="36">
        <v>0</v>
      </c>
      <c r="AH15" s="36">
        <v>0</v>
      </c>
      <c r="AI15" s="36">
        <v>1</v>
      </c>
      <c r="AJ15" s="25" t="s">
        <v>33</v>
      </c>
      <c r="AL15" t="str">
        <f t="shared" si="0"/>
        <v xml:space="preserve">    (U1)ALERT_REQ_UNKNOWN</v>
      </c>
      <c r="AR15" s="64" t="str">
        <f t="shared" si="3"/>
        <v xml:space="preserve">    (U4)0x00000009U,                                                           /* 09 UNKNOWN                                         */</v>
      </c>
      <c r="AS15" s="64" t="str">
        <f t="shared" si="4"/>
        <v xml:space="preserve">    (U4)0x0000000FU,                                                           /* 09 UNKNOWN                                         */</v>
      </c>
      <c r="AT15" s="64" t="str">
        <f t="shared" si="1"/>
        <v xml:space="preserve">    (U1)ALERT_REQ_UNKNOWN,                                                     /* 09 UNKNOWN                                         */</v>
      </c>
      <c r="AU15" s="64" t="str">
        <f ca="1">"        (U1)"&amp;$AW$16&amp;REPT(" ",67-LEN($AW$16))&amp;"/* u1_vom_act                                         */"</f>
        <v xml:space="preserve">        (U1)ALERT_VOM_IGN_ON                                                   /* u1_vom_act                                         */</v>
      </c>
      <c r="AV15" s="52" t="s">
        <v>84</v>
      </c>
      <c r="AW15" s="69" t="str">
        <f ca="1">IF(AW6&lt;&gt;AW17,VLOOKUP(AW6,Matrix!$C$13:$G$37,5,FALSE),Matrix!G13)</f>
        <v>NULL</v>
      </c>
    </row>
    <row r="16" spans="1:49">
      <c r="B16" s="131"/>
      <c r="C16" s="50">
        <f t="shared" si="2"/>
        <v>10</v>
      </c>
      <c r="D16" s="36" t="s">
        <v>71</v>
      </c>
      <c r="E16" s="36" t="s">
        <v>71</v>
      </c>
      <c r="F16" s="36" t="s">
        <v>71</v>
      </c>
      <c r="G16" s="36" t="s">
        <v>71</v>
      </c>
      <c r="H16" s="36" t="s">
        <v>71</v>
      </c>
      <c r="I16" s="36" t="s">
        <v>71</v>
      </c>
      <c r="J16" s="36" t="s">
        <v>71</v>
      </c>
      <c r="K16" s="36" t="s">
        <v>71</v>
      </c>
      <c r="L16" s="36" t="s">
        <v>71</v>
      </c>
      <c r="M16" s="36" t="s">
        <v>71</v>
      </c>
      <c r="N16" s="36" t="s">
        <v>71</v>
      </c>
      <c r="O16" s="36" t="s">
        <v>71</v>
      </c>
      <c r="P16" s="36" t="s">
        <v>71</v>
      </c>
      <c r="Q16" s="36" t="s">
        <v>71</v>
      </c>
      <c r="R16" s="36" t="s">
        <v>71</v>
      </c>
      <c r="S16" s="36" t="s">
        <v>71</v>
      </c>
      <c r="T16" s="36" t="s">
        <v>71</v>
      </c>
      <c r="U16" s="36" t="s">
        <v>71</v>
      </c>
      <c r="V16" s="36" t="s">
        <v>71</v>
      </c>
      <c r="W16" s="36" t="s">
        <v>71</v>
      </c>
      <c r="X16" s="36" t="s">
        <v>71</v>
      </c>
      <c r="Y16" s="36" t="s">
        <v>71</v>
      </c>
      <c r="Z16" s="36" t="s">
        <v>71</v>
      </c>
      <c r="AA16" s="36" t="s">
        <v>71</v>
      </c>
      <c r="AB16" s="36" t="s">
        <v>71</v>
      </c>
      <c r="AC16" s="36" t="s">
        <v>71</v>
      </c>
      <c r="AD16" s="36" t="s">
        <v>71</v>
      </c>
      <c r="AE16" s="36" t="s">
        <v>71</v>
      </c>
      <c r="AF16" s="36">
        <v>1</v>
      </c>
      <c r="AG16" s="36">
        <v>0</v>
      </c>
      <c r="AH16" s="36">
        <v>1</v>
      </c>
      <c r="AI16" s="36">
        <v>0</v>
      </c>
      <c r="AJ16" s="25" t="s">
        <v>33</v>
      </c>
      <c r="AL16" t="str">
        <f t="shared" si="0"/>
        <v xml:space="preserve">    (U1)ALERT_REQ_UNKNOWN</v>
      </c>
      <c r="AR16" s="64" t="str">
        <f t="shared" si="3"/>
        <v xml:space="preserve">    (U4)0x0000000AU,                                                           /* 10 UNKNOWN                                         */</v>
      </c>
      <c r="AS16" s="64" t="str">
        <f t="shared" si="4"/>
        <v xml:space="preserve">    (U4)0x0000000FU,                                                           /* 10 UNKNOWN                                         */</v>
      </c>
      <c r="AT16" s="64" t="str">
        <f t="shared" si="1"/>
        <v xml:space="preserve">    (U1)ALERT_REQ_UNKNOWN,                                                     /* 10 UNKNOWN                                         */</v>
      </c>
      <c r="AU16" s="64" t="s">
        <v>73</v>
      </c>
      <c r="AV16" s="52" t="s">
        <v>82</v>
      </c>
      <c r="AW16" s="69" t="str">
        <f ca="1">IF(AW6&lt;&gt;AW17,VLOOKUP(AW6,Matrix!$C$13:$G$37,2,FALSE),Matrix!D13)</f>
        <v>ALERT_VOM_IGN_ON</v>
      </c>
    </row>
    <row r="17" spans="2:49" ht="13.8" thickBot="1">
      <c r="B17" s="131"/>
      <c r="C17" s="50">
        <f t="shared" si="2"/>
        <v>11</v>
      </c>
      <c r="D17" s="36" t="s">
        <v>71</v>
      </c>
      <c r="E17" s="36" t="s">
        <v>71</v>
      </c>
      <c r="F17" s="36" t="s">
        <v>71</v>
      </c>
      <c r="G17" s="36" t="s">
        <v>71</v>
      </c>
      <c r="H17" s="36" t="s">
        <v>71</v>
      </c>
      <c r="I17" s="36" t="s">
        <v>71</v>
      </c>
      <c r="J17" s="36" t="s">
        <v>71</v>
      </c>
      <c r="K17" s="36" t="s">
        <v>71</v>
      </c>
      <c r="L17" s="36" t="s">
        <v>71</v>
      </c>
      <c r="M17" s="36" t="s">
        <v>71</v>
      </c>
      <c r="N17" s="36" t="s">
        <v>71</v>
      </c>
      <c r="O17" s="36" t="s">
        <v>71</v>
      </c>
      <c r="P17" s="36" t="s">
        <v>71</v>
      </c>
      <c r="Q17" s="36" t="s">
        <v>71</v>
      </c>
      <c r="R17" s="36" t="s">
        <v>71</v>
      </c>
      <c r="S17" s="36" t="s">
        <v>71</v>
      </c>
      <c r="T17" s="36" t="s">
        <v>71</v>
      </c>
      <c r="U17" s="36" t="s">
        <v>71</v>
      </c>
      <c r="V17" s="36" t="s">
        <v>71</v>
      </c>
      <c r="W17" s="36" t="s">
        <v>71</v>
      </c>
      <c r="X17" s="36" t="s">
        <v>71</v>
      </c>
      <c r="Y17" s="36" t="s">
        <v>71</v>
      </c>
      <c r="Z17" s="36" t="s">
        <v>71</v>
      </c>
      <c r="AA17" s="36" t="s">
        <v>71</v>
      </c>
      <c r="AB17" s="36" t="s">
        <v>71</v>
      </c>
      <c r="AC17" s="36" t="s">
        <v>71</v>
      </c>
      <c r="AD17" s="36" t="s">
        <v>71</v>
      </c>
      <c r="AE17" s="36" t="s">
        <v>71</v>
      </c>
      <c r="AF17" s="36">
        <v>1</v>
      </c>
      <c r="AG17" s="36">
        <v>0</v>
      </c>
      <c r="AH17" s="36">
        <v>1</v>
      </c>
      <c r="AI17" s="36">
        <v>1</v>
      </c>
      <c r="AJ17" s="25" t="s">
        <v>33</v>
      </c>
      <c r="AL17" t="str">
        <f t="shared" si="0"/>
        <v xml:space="preserve">    (U1)ALERT_REQ_UNKNOWN</v>
      </c>
      <c r="AR17" s="64" t="str">
        <f t="shared" si="3"/>
        <v xml:space="preserve">    (U4)0x0000000BU,                                                           /* 11 UNKNOWN                                         */</v>
      </c>
      <c r="AS17" s="64" t="str">
        <f t="shared" si="4"/>
        <v xml:space="preserve">    (U4)0x0000000FU,                                                           /* 11 UNKNOWN                                         */</v>
      </c>
      <c r="AT17" s="64" t="str">
        <f t="shared" si="1"/>
        <v xml:space="preserve">    (U1)ALERT_REQ_UNKNOWN,                                                     /* 11 UNKNOWN                                         */</v>
      </c>
      <c r="AU17" s="65" t="s">
        <v>85</v>
      </c>
      <c r="AV17" s="53" t="s">
        <v>83</v>
      </c>
      <c r="AW17" s="70" t="str">
        <f ca="1">UPPER(Matrix!$D$6)</f>
        <v>H_XMGRIP</v>
      </c>
    </row>
    <row r="18" spans="2:49">
      <c r="B18" s="131"/>
      <c r="C18" s="50">
        <f t="shared" si="2"/>
        <v>12</v>
      </c>
      <c r="D18" s="36" t="s">
        <v>71</v>
      </c>
      <c r="E18" s="36" t="s">
        <v>71</v>
      </c>
      <c r="F18" s="36" t="s">
        <v>71</v>
      </c>
      <c r="G18" s="36" t="s">
        <v>71</v>
      </c>
      <c r="H18" s="36" t="s">
        <v>71</v>
      </c>
      <c r="I18" s="36" t="s">
        <v>71</v>
      </c>
      <c r="J18" s="36" t="s">
        <v>71</v>
      </c>
      <c r="K18" s="36" t="s">
        <v>71</v>
      </c>
      <c r="L18" s="36" t="s">
        <v>71</v>
      </c>
      <c r="M18" s="36" t="s">
        <v>71</v>
      </c>
      <c r="N18" s="36" t="s">
        <v>71</v>
      </c>
      <c r="O18" s="36" t="s">
        <v>71</v>
      </c>
      <c r="P18" s="36" t="s">
        <v>71</v>
      </c>
      <c r="Q18" s="36" t="s">
        <v>71</v>
      </c>
      <c r="R18" s="36" t="s">
        <v>71</v>
      </c>
      <c r="S18" s="36" t="s">
        <v>71</v>
      </c>
      <c r="T18" s="36" t="s">
        <v>71</v>
      </c>
      <c r="U18" s="36" t="s">
        <v>71</v>
      </c>
      <c r="V18" s="36" t="s">
        <v>71</v>
      </c>
      <c r="W18" s="36" t="s">
        <v>71</v>
      </c>
      <c r="X18" s="36" t="s">
        <v>71</v>
      </c>
      <c r="Y18" s="36" t="s">
        <v>71</v>
      </c>
      <c r="Z18" s="36" t="s">
        <v>71</v>
      </c>
      <c r="AA18" s="36" t="s">
        <v>71</v>
      </c>
      <c r="AB18" s="36" t="s">
        <v>71</v>
      </c>
      <c r="AC18" s="36" t="s">
        <v>71</v>
      </c>
      <c r="AD18" s="36" t="s">
        <v>71</v>
      </c>
      <c r="AE18" s="36" t="s">
        <v>71</v>
      </c>
      <c r="AF18" s="36">
        <v>1</v>
      </c>
      <c r="AG18" s="36">
        <v>1</v>
      </c>
      <c r="AH18" s="36">
        <v>0</v>
      </c>
      <c r="AI18" s="36">
        <v>0</v>
      </c>
      <c r="AJ18" s="25" t="s">
        <v>33</v>
      </c>
      <c r="AL18" t="str">
        <f t="shared" si="0"/>
        <v xml:space="preserve">    (U1)ALERT_REQ_UNKNOWN</v>
      </c>
      <c r="AR18" s="64" t="str">
        <f t="shared" si="3"/>
        <v xml:space="preserve">    (U4)0x0000000CU,                                                           /* 12 UNKNOWN                                         */</v>
      </c>
      <c r="AS18" s="64" t="str">
        <f t="shared" si="4"/>
        <v xml:space="preserve">    (U4)0x0000000FU,                                                           /* 12 UNKNOWN                                         */</v>
      </c>
      <c r="AT18" s="64" t="str">
        <f t="shared" si="1"/>
        <v xml:space="preserve">    (U1)ALERT_REQ_UNKNOWN,                                                     /* 12 UNKNOWN                                         */</v>
      </c>
    </row>
    <row r="19" spans="2:49">
      <c r="B19" s="131"/>
      <c r="C19" s="50">
        <f t="shared" si="2"/>
        <v>13</v>
      </c>
      <c r="D19" s="36" t="s">
        <v>71</v>
      </c>
      <c r="E19" s="36" t="s">
        <v>71</v>
      </c>
      <c r="F19" s="36" t="s">
        <v>71</v>
      </c>
      <c r="G19" s="36" t="s">
        <v>71</v>
      </c>
      <c r="H19" s="36" t="s">
        <v>71</v>
      </c>
      <c r="I19" s="36" t="s">
        <v>71</v>
      </c>
      <c r="J19" s="36" t="s">
        <v>71</v>
      </c>
      <c r="K19" s="36" t="s">
        <v>71</v>
      </c>
      <c r="L19" s="36" t="s">
        <v>71</v>
      </c>
      <c r="M19" s="36" t="s">
        <v>71</v>
      </c>
      <c r="N19" s="36" t="s">
        <v>71</v>
      </c>
      <c r="O19" s="36" t="s">
        <v>71</v>
      </c>
      <c r="P19" s="36" t="s">
        <v>71</v>
      </c>
      <c r="Q19" s="36" t="s">
        <v>71</v>
      </c>
      <c r="R19" s="36" t="s">
        <v>71</v>
      </c>
      <c r="S19" s="36" t="s">
        <v>71</v>
      </c>
      <c r="T19" s="36" t="s">
        <v>71</v>
      </c>
      <c r="U19" s="36" t="s">
        <v>71</v>
      </c>
      <c r="V19" s="36" t="s">
        <v>71</v>
      </c>
      <c r="W19" s="36" t="s">
        <v>71</v>
      </c>
      <c r="X19" s="36" t="s">
        <v>71</v>
      </c>
      <c r="Y19" s="36" t="s">
        <v>71</v>
      </c>
      <c r="Z19" s="36" t="s">
        <v>71</v>
      </c>
      <c r="AA19" s="36" t="s">
        <v>71</v>
      </c>
      <c r="AB19" s="36" t="s">
        <v>71</v>
      </c>
      <c r="AC19" s="36" t="s">
        <v>71</v>
      </c>
      <c r="AD19" s="36" t="s">
        <v>71</v>
      </c>
      <c r="AE19" s="36" t="s">
        <v>71</v>
      </c>
      <c r="AF19" s="36">
        <v>1</v>
      </c>
      <c r="AG19" s="36">
        <v>1</v>
      </c>
      <c r="AH19" s="36">
        <v>0</v>
      </c>
      <c r="AI19" s="36">
        <v>1</v>
      </c>
      <c r="AJ19" s="25" t="s">
        <v>33</v>
      </c>
      <c r="AL19" t="str">
        <f t="shared" si="0"/>
        <v xml:space="preserve">    (U1)ALERT_REQ_UNKNOWN</v>
      </c>
      <c r="AR19" s="64" t="str">
        <f t="shared" si="3"/>
        <v xml:space="preserve">    (U4)0x0000000DU,                                                           /* 13 UNKNOWN                                         */</v>
      </c>
      <c r="AS19" s="64" t="str">
        <f t="shared" si="4"/>
        <v xml:space="preserve">    (U4)0x0000000FU,                                                           /* 13 UNKNOWN                                         */</v>
      </c>
      <c r="AT19" s="64" t="str">
        <f t="shared" si="1"/>
        <v xml:space="preserve">    (U1)ALERT_REQ_UNKNOWN,                                                     /* 13 UNKNOWN                                         */</v>
      </c>
    </row>
    <row r="20" spans="2:49">
      <c r="B20" s="131"/>
      <c r="C20" s="50">
        <f t="shared" si="2"/>
        <v>14</v>
      </c>
      <c r="D20" s="36" t="s">
        <v>71</v>
      </c>
      <c r="E20" s="36" t="s">
        <v>71</v>
      </c>
      <c r="F20" s="36" t="s">
        <v>71</v>
      </c>
      <c r="G20" s="36" t="s">
        <v>71</v>
      </c>
      <c r="H20" s="36" t="s">
        <v>71</v>
      </c>
      <c r="I20" s="36" t="s">
        <v>71</v>
      </c>
      <c r="J20" s="36" t="s">
        <v>71</v>
      </c>
      <c r="K20" s="36" t="s">
        <v>71</v>
      </c>
      <c r="L20" s="36" t="s">
        <v>71</v>
      </c>
      <c r="M20" s="36" t="s">
        <v>71</v>
      </c>
      <c r="N20" s="36" t="s">
        <v>71</v>
      </c>
      <c r="O20" s="36" t="s">
        <v>71</v>
      </c>
      <c r="P20" s="36" t="s">
        <v>71</v>
      </c>
      <c r="Q20" s="36" t="s">
        <v>71</v>
      </c>
      <c r="R20" s="36" t="s">
        <v>71</v>
      </c>
      <c r="S20" s="36" t="s">
        <v>71</v>
      </c>
      <c r="T20" s="36" t="s">
        <v>71</v>
      </c>
      <c r="U20" s="36" t="s">
        <v>71</v>
      </c>
      <c r="V20" s="36" t="s">
        <v>71</v>
      </c>
      <c r="W20" s="36" t="s">
        <v>71</v>
      </c>
      <c r="X20" s="36" t="s">
        <v>71</v>
      </c>
      <c r="Y20" s="36" t="s">
        <v>71</v>
      </c>
      <c r="Z20" s="36" t="s">
        <v>71</v>
      </c>
      <c r="AA20" s="36" t="s">
        <v>71</v>
      </c>
      <c r="AB20" s="36" t="s">
        <v>71</v>
      </c>
      <c r="AC20" s="36" t="s">
        <v>71</v>
      </c>
      <c r="AD20" s="36" t="s">
        <v>71</v>
      </c>
      <c r="AE20" s="36" t="s">
        <v>71</v>
      </c>
      <c r="AF20" s="36">
        <v>1</v>
      </c>
      <c r="AG20" s="36">
        <v>1</v>
      </c>
      <c r="AH20" s="36">
        <v>1</v>
      </c>
      <c r="AI20" s="36">
        <v>0</v>
      </c>
      <c r="AJ20" s="25" t="s">
        <v>33</v>
      </c>
      <c r="AL20" t="str">
        <f t="shared" si="0"/>
        <v xml:space="preserve">    (U1)ALERT_REQ_UNKNOWN</v>
      </c>
      <c r="AR20" s="64" t="str">
        <f t="shared" si="3"/>
        <v xml:space="preserve">    (U4)0x0000000EU,                                                           /* 14 UNKNOWN                                         */</v>
      </c>
      <c r="AS20" s="64" t="str">
        <f t="shared" si="4"/>
        <v xml:space="preserve">    (U4)0x0000000FU,                                                           /* 14 UNKNOWN                                         */</v>
      </c>
      <c r="AT20" s="64" t="str">
        <f t="shared" si="1"/>
        <v xml:space="preserve">    (U1)ALERT_REQ_UNKNOWN,                                                     /* 14 UNKNOWN                                         */</v>
      </c>
    </row>
    <row r="21" spans="2:49">
      <c r="B21" s="131"/>
      <c r="C21" s="50">
        <f t="shared" si="2"/>
        <v>15</v>
      </c>
      <c r="D21" s="36" t="s">
        <v>71</v>
      </c>
      <c r="E21" s="36" t="s">
        <v>71</v>
      </c>
      <c r="F21" s="36" t="s">
        <v>71</v>
      </c>
      <c r="G21" s="36" t="s">
        <v>71</v>
      </c>
      <c r="H21" s="36" t="s">
        <v>71</v>
      </c>
      <c r="I21" s="36" t="s">
        <v>71</v>
      </c>
      <c r="J21" s="36" t="s">
        <v>71</v>
      </c>
      <c r="K21" s="36" t="s">
        <v>71</v>
      </c>
      <c r="L21" s="36" t="s">
        <v>71</v>
      </c>
      <c r="M21" s="36" t="s">
        <v>71</v>
      </c>
      <c r="N21" s="36" t="s">
        <v>71</v>
      </c>
      <c r="O21" s="36" t="s">
        <v>71</v>
      </c>
      <c r="P21" s="36" t="s">
        <v>71</v>
      </c>
      <c r="Q21" s="36" t="s">
        <v>71</v>
      </c>
      <c r="R21" s="36" t="s">
        <v>71</v>
      </c>
      <c r="S21" s="36" t="s">
        <v>71</v>
      </c>
      <c r="T21" s="36" t="s">
        <v>71</v>
      </c>
      <c r="U21" s="36" t="s">
        <v>71</v>
      </c>
      <c r="V21" s="36" t="s">
        <v>71</v>
      </c>
      <c r="W21" s="36" t="s">
        <v>71</v>
      </c>
      <c r="X21" s="36" t="s">
        <v>71</v>
      </c>
      <c r="Y21" s="36" t="s">
        <v>71</v>
      </c>
      <c r="Z21" s="36" t="s">
        <v>71</v>
      </c>
      <c r="AA21" s="36" t="s">
        <v>71</v>
      </c>
      <c r="AB21" s="36" t="s">
        <v>71</v>
      </c>
      <c r="AC21" s="36" t="s">
        <v>71</v>
      </c>
      <c r="AD21" s="36" t="s">
        <v>71</v>
      </c>
      <c r="AE21" s="36" t="s">
        <v>71</v>
      </c>
      <c r="AF21" s="36">
        <v>1</v>
      </c>
      <c r="AG21" s="36">
        <v>1</v>
      </c>
      <c r="AH21" s="36">
        <v>1</v>
      </c>
      <c r="AI21" s="36">
        <v>1</v>
      </c>
      <c r="AJ21" s="25" t="s">
        <v>33</v>
      </c>
      <c r="AL21" t="str">
        <f t="shared" si="0"/>
        <v xml:space="preserve">    (U1)ALERT_REQ_UNKNOWN</v>
      </c>
      <c r="AR21" s="64" t="str">
        <f t="shared" si="3"/>
        <v xml:space="preserve">    (U4)0x0000000FU                                                            /* 15 UNKNOWN                                         */</v>
      </c>
      <c r="AS21" s="64" t="str">
        <f t="shared" si="4"/>
        <v xml:space="preserve">    (U4)0x0000000FU                                                            /* 15 UNKNOWN                                         */</v>
      </c>
      <c r="AT21" s="64" t="str">
        <f t="shared" si="1"/>
        <v xml:space="preserve">    (U1)ALERT_REQ_UNKNOWN                                                      /* 15 UNKNOWN                                         */</v>
      </c>
    </row>
    <row r="22" spans="2:49">
      <c r="B22" s="131"/>
      <c r="C22" s="50">
        <f t="shared" si="2"/>
        <v>16</v>
      </c>
      <c r="D22" s="36" t="s">
        <v>71</v>
      </c>
      <c r="E22" s="36" t="s">
        <v>71</v>
      </c>
      <c r="F22" s="36" t="s">
        <v>71</v>
      </c>
      <c r="G22" s="36" t="s">
        <v>71</v>
      </c>
      <c r="H22" s="36" t="s">
        <v>71</v>
      </c>
      <c r="I22" s="36" t="s">
        <v>71</v>
      </c>
      <c r="J22" s="36" t="s">
        <v>71</v>
      </c>
      <c r="K22" s="36" t="s">
        <v>71</v>
      </c>
      <c r="L22" s="36" t="s">
        <v>71</v>
      </c>
      <c r="M22" s="36" t="s">
        <v>71</v>
      </c>
      <c r="N22" s="36" t="s">
        <v>71</v>
      </c>
      <c r="O22" s="36" t="s">
        <v>71</v>
      </c>
      <c r="P22" s="36" t="s">
        <v>71</v>
      </c>
      <c r="Q22" s="36" t="s">
        <v>71</v>
      </c>
      <c r="R22" s="36" t="s">
        <v>71</v>
      </c>
      <c r="S22" s="36" t="s">
        <v>71</v>
      </c>
      <c r="T22" s="36" t="s">
        <v>71</v>
      </c>
      <c r="U22" s="36" t="s">
        <v>71</v>
      </c>
      <c r="V22" s="36" t="s">
        <v>71</v>
      </c>
      <c r="W22" s="36" t="s">
        <v>71</v>
      </c>
      <c r="X22" s="36" t="s">
        <v>71</v>
      </c>
      <c r="Y22" s="36" t="s">
        <v>71</v>
      </c>
      <c r="Z22" s="36" t="s">
        <v>71</v>
      </c>
      <c r="AA22" s="36" t="s">
        <v>71</v>
      </c>
      <c r="AB22" s="36" t="s">
        <v>71</v>
      </c>
      <c r="AC22" s="36" t="s">
        <v>71</v>
      </c>
      <c r="AD22" s="36" t="s">
        <v>71</v>
      </c>
      <c r="AE22" s="36" t="s">
        <v>71</v>
      </c>
      <c r="AF22" s="36" t="s">
        <v>71</v>
      </c>
      <c r="AG22" s="36" t="s">
        <v>71</v>
      </c>
      <c r="AH22" s="36" t="s">
        <v>71</v>
      </c>
      <c r="AI22" s="36" t="s">
        <v>71</v>
      </c>
      <c r="AJ22" s="25"/>
      <c r="AL22" t="str">
        <f t="shared" ca="1" si="0"/>
        <v xml:space="preserve">    (U1)ALERT_REQ_H_XMGRIP_BC_</v>
      </c>
      <c r="AR22" s="64" t="str">
        <f t="shared" si="3"/>
        <v>};</v>
      </c>
      <c r="AS22" s="64" t="str">
        <f t="shared" si="4"/>
        <v>};</v>
      </c>
      <c r="AT22" s="64" t="str">
        <f t="shared" si="1"/>
        <v>};</v>
      </c>
    </row>
    <row r="23" spans="2:49">
      <c r="B23" s="131"/>
      <c r="C23" s="50">
        <f t="shared" si="2"/>
        <v>17</v>
      </c>
      <c r="D23" s="36" t="s">
        <v>71</v>
      </c>
      <c r="E23" s="36" t="s">
        <v>71</v>
      </c>
      <c r="F23" s="36" t="s">
        <v>71</v>
      </c>
      <c r="G23" s="36" t="s">
        <v>71</v>
      </c>
      <c r="H23" s="36" t="s">
        <v>71</v>
      </c>
      <c r="I23" s="36" t="s">
        <v>71</v>
      </c>
      <c r="J23" s="36" t="s">
        <v>71</v>
      </c>
      <c r="K23" s="36" t="s">
        <v>71</v>
      </c>
      <c r="L23" s="36" t="s">
        <v>71</v>
      </c>
      <c r="M23" s="36" t="s">
        <v>71</v>
      </c>
      <c r="N23" s="36" t="s">
        <v>71</v>
      </c>
      <c r="O23" s="36" t="s">
        <v>71</v>
      </c>
      <c r="P23" s="36" t="s">
        <v>71</v>
      </c>
      <c r="Q23" s="36" t="s">
        <v>71</v>
      </c>
      <c r="R23" s="36" t="s">
        <v>71</v>
      </c>
      <c r="S23" s="36" t="s">
        <v>71</v>
      </c>
      <c r="T23" s="36" t="s">
        <v>71</v>
      </c>
      <c r="U23" s="36" t="s">
        <v>71</v>
      </c>
      <c r="V23" s="36" t="s">
        <v>71</v>
      </c>
      <c r="W23" s="36" t="s">
        <v>71</v>
      </c>
      <c r="X23" s="36" t="s">
        <v>71</v>
      </c>
      <c r="Y23" s="36" t="s">
        <v>71</v>
      </c>
      <c r="Z23" s="36" t="s">
        <v>71</v>
      </c>
      <c r="AA23" s="36" t="s">
        <v>71</v>
      </c>
      <c r="AB23" s="36" t="s">
        <v>71</v>
      </c>
      <c r="AC23" s="36" t="s">
        <v>71</v>
      </c>
      <c r="AD23" s="36" t="s">
        <v>71</v>
      </c>
      <c r="AE23" s="36" t="s">
        <v>71</v>
      </c>
      <c r="AF23" s="36" t="s">
        <v>71</v>
      </c>
      <c r="AG23" s="36" t="s">
        <v>71</v>
      </c>
      <c r="AH23" s="36" t="s">
        <v>71</v>
      </c>
      <c r="AI23" s="36" t="s">
        <v>71</v>
      </c>
      <c r="AJ23" s="25"/>
      <c r="AL23" t="str">
        <f t="shared" ca="1" si="0"/>
        <v xml:space="preserve">    (U1)ALERT_REQ_H_XMGRIP_BC_</v>
      </c>
      <c r="AR23" s="64" t="str">
        <f t="shared" si="3"/>
        <v/>
      </c>
      <c r="AS23" s="64" t="str">
        <f t="shared" si="4"/>
        <v/>
      </c>
      <c r="AT23" s="64" t="str">
        <f t="shared" si="1"/>
        <v/>
      </c>
    </row>
    <row r="24" spans="2:49">
      <c r="B24" s="131"/>
      <c r="C24" s="50">
        <f t="shared" si="2"/>
        <v>18</v>
      </c>
      <c r="D24" s="36" t="s">
        <v>71</v>
      </c>
      <c r="E24" s="36" t="s">
        <v>71</v>
      </c>
      <c r="F24" s="36" t="s">
        <v>71</v>
      </c>
      <c r="G24" s="36" t="s">
        <v>71</v>
      </c>
      <c r="H24" s="36" t="s">
        <v>71</v>
      </c>
      <c r="I24" s="36" t="s">
        <v>71</v>
      </c>
      <c r="J24" s="36" t="s">
        <v>71</v>
      </c>
      <c r="K24" s="36" t="s">
        <v>71</v>
      </c>
      <c r="L24" s="36" t="s">
        <v>71</v>
      </c>
      <c r="M24" s="36" t="s">
        <v>71</v>
      </c>
      <c r="N24" s="36" t="s">
        <v>71</v>
      </c>
      <c r="O24" s="36" t="s">
        <v>71</v>
      </c>
      <c r="P24" s="36" t="s">
        <v>71</v>
      </c>
      <c r="Q24" s="36" t="s">
        <v>71</v>
      </c>
      <c r="R24" s="36" t="s">
        <v>71</v>
      </c>
      <c r="S24" s="36" t="s">
        <v>71</v>
      </c>
      <c r="T24" s="36" t="s">
        <v>71</v>
      </c>
      <c r="U24" s="36" t="s">
        <v>71</v>
      </c>
      <c r="V24" s="36" t="s">
        <v>71</v>
      </c>
      <c r="W24" s="36" t="s">
        <v>71</v>
      </c>
      <c r="X24" s="36" t="s">
        <v>71</v>
      </c>
      <c r="Y24" s="36" t="s">
        <v>71</v>
      </c>
      <c r="Z24" s="36" t="s">
        <v>71</v>
      </c>
      <c r="AA24" s="36" t="s">
        <v>71</v>
      </c>
      <c r="AB24" s="36" t="s">
        <v>71</v>
      </c>
      <c r="AC24" s="36" t="s">
        <v>71</v>
      </c>
      <c r="AD24" s="36" t="s">
        <v>71</v>
      </c>
      <c r="AE24" s="36" t="s">
        <v>71</v>
      </c>
      <c r="AF24" s="36" t="s">
        <v>71</v>
      </c>
      <c r="AG24" s="36" t="s">
        <v>71</v>
      </c>
      <c r="AH24" s="36" t="s">
        <v>71</v>
      </c>
      <c r="AI24" s="36" t="s">
        <v>71</v>
      </c>
      <c r="AJ24" s="25"/>
      <c r="AL24" t="str">
        <f t="shared" ca="1" si="0"/>
        <v xml:space="preserve">    (U1)ALERT_REQ_H_XMGRIP_BC_</v>
      </c>
      <c r="AR24" s="64" t="str">
        <f t="shared" si="3"/>
        <v/>
      </c>
      <c r="AS24" s="64" t="str">
        <f t="shared" si="4"/>
        <v/>
      </c>
      <c r="AT24" s="64" t="str">
        <f t="shared" si="1"/>
        <v/>
      </c>
    </row>
    <row r="25" spans="2:49">
      <c r="B25" s="131"/>
      <c r="C25" s="50">
        <f t="shared" si="2"/>
        <v>19</v>
      </c>
      <c r="D25" s="36" t="s">
        <v>71</v>
      </c>
      <c r="E25" s="36" t="s">
        <v>71</v>
      </c>
      <c r="F25" s="36" t="s">
        <v>71</v>
      </c>
      <c r="G25" s="36" t="s">
        <v>71</v>
      </c>
      <c r="H25" s="36" t="s">
        <v>71</v>
      </c>
      <c r="I25" s="36" t="s">
        <v>71</v>
      </c>
      <c r="J25" s="36" t="s">
        <v>71</v>
      </c>
      <c r="K25" s="36" t="s">
        <v>71</v>
      </c>
      <c r="L25" s="36" t="s">
        <v>71</v>
      </c>
      <c r="M25" s="36" t="s">
        <v>71</v>
      </c>
      <c r="N25" s="36" t="s">
        <v>71</v>
      </c>
      <c r="O25" s="36" t="s">
        <v>71</v>
      </c>
      <c r="P25" s="36" t="s">
        <v>71</v>
      </c>
      <c r="Q25" s="36" t="s">
        <v>71</v>
      </c>
      <c r="R25" s="36" t="s">
        <v>71</v>
      </c>
      <c r="S25" s="36" t="s">
        <v>71</v>
      </c>
      <c r="T25" s="36" t="s">
        <v>71</v>
      </c>
      <c r="U25" s="36" t="s">
        <v>71</v>
      </c>
      <c r="V25" s="36" t="s">
        <v>71</v>
      </c>
      <c r="W25" s="36" t="s">
        <v>71</v>
      </c>
      <c r="X25" s="36" t="s">
        <v>71</v>
      </c>
      <c r="Y25" s="36" t="s">
        <v>71</v>
      </c>
      <c r="Z25" s="36" t="s">
        <v>71</v>
      </c>
      <c r="AA25" s="36" t="s">
        <v>71</v>
      </c>
      <c r="AB25" s="36" t="s">
        <v>71</v>
      </c>
      <c r="AC25" s="36" t="s">
        <v>71</v>
      </c>
      <c r="AD25" s="36" t="s">
        <v>71</v>
      </c>
      <c r="AE25" s="36" t="s">
        <v>71</v>
      </c>
      <c r="AF25" s="36" t="s">
        <v>71</v>
      </c>
      <c r="AG25" s="36" t="s">
        <v>71</v>
      </c>
      <c r="AH25" s="36" t="s">
        <v>71</v>
      </c>
      <c r="AI25" s="36" t="s">
        <v>71</v>
      </c>
      <c r="AJ25" s="25"/>
      <c r="AL25" t="str">
        <f t="shared" ca="1" si="0"/>
        <v xml:space="preserve">    (U1)ALERT_REQ_H_XMGRIP_BC_</v>
      </c>
      <c r="AR25" s="64" t="str">
        <f t="shared" si="3"/>
        <v/>
      </c>
      <c r="AS25" s="64" t="str">
        <f t="shared" si="4"/>
        <v/>
      </c>
      <c r="AT25" s="64" t="str">
        <f t="shared" si="1"/>
        <v/>
      </c>
    </row>
    <row r="26" spans="2:49">
      <c r="B26" s="131"/>
      <c r="C26" s="50">
        <f t="shared" si="2"/>
        <v>20</v>
      </c>
      <c r="D26" s="36" t="s">
        <v>71</v>
      </c>
      <c r="E26" s="36" t="s">
        <v>71</v>
      </c>
      <c r="F26" s="36" t="s">
        <v>71</v>
      </c>
      <c r="G26" s="36" t="s">
        <v>71</v>
      </c>
      <c r="H26" s="36" t="s">
        <v>71</v>
      </c>
      <c r="I26" s="36" t="s">
        <v>71</v>
      </c>
      <c r="J26" s="36" t="s">
        <v>71</v>
      </c>
      <c r="K26" s="36" t="s">
        <v>71</v>
      </c>
      <c r="L26" s="36" t="s">
        <v>71</v>
      </c>
      <c r="M26" s="36" t="s">
        <v>71</v>
      </c>
      <c r="N26" s="36" t="s">
        <v>71</v>
      </c>
      <c r="O26" s="36" t="s">
        <v>71</v>
      </c>
      <c r="P26" s="36" t="s">
        <v>71</v>
      </c>
      <c r="Q26" s="36" t="s">
        <v>71</v>
      </c>
      <c r="R26" s="36" t="s">
        <v>71</v>
      </c>
      <c r="S26" s="36" t="s">
        <v>71</v>
      </c>
      <c r="T26" s="36" t="s">
        <v>71</v>
      </c>
      <c r="U26" s="36" t="s">
        <v>71</v>
      </c>
      <c r="V26" s="36" t="s">
        <v>71</v>
      </c>
      <c r="W26" s="36" t="s">
        <v>71</v>
      </c>
      <c r="X26" s="36" t="s">
        <v>71</v>
      </c>
      <c r="Y26" s="36" t="s">
        <v>71</v>
      </c>
      <c r="Z26" s="36" t="s">
        <v>71</v>
      </c>
      <c r="AA26" s="36" t="s">
        <v>71</v>
      </c>
      <c r="AB26" s="36" t="s">
        <v>71</v>
      </c>
      <c r="AC26" s="36" t="s">
        <v>71</v>
      </c>
      <c r="AD26" s="36" t="s">
        <v>71</v>
      </c>
      <c r="AE26" s="36" t="s">
        <v>71</v>
      </c>
      <c r="AF26" s="36" t="s">
        <v>71</v>
      </c>
      <c r="AG26" s="36" t="s">
        <v>71</v>
      </c>
      <c r="AH26" s="36" t="s">
        <v>71</v>
      </c>
      <c r="AI26" s="36" t="s">
        <v>71</v>
      </c>
      <c r="AJ26" s="25"/>
      <c r="AL26" t="str">
        <f t="shared" ca="1" si="0"/>
        <v xml:space="preserve">    (U1)ALERT_REQ_H_XMGRIP_BC_</v>
      </c>
      <c r="AR26" s="64" t="str">
        <f t="shared" si="3"/>
        <v/>
      </c>
      <c r="AS26" s="64" t="str">
        <f t="shared" si="4"/>
        <v/>
      </c>
      <c r="AT26" s="64" t="str">
        <f t="shared" si="1"/>
        <v/>
      </c>
    </row>
    <row r="27" spans="2:49">
      <c r="B27" s="131"/>
      <c r="C27" s="50">
        <f t="shared" si="2"/>
        <v>21</v>
      </c>
      <c r="D27" s="36" t="s">
        <v>71</v>
      </c>
      <c r="E27" s="36" t="s">
        <v>71</v>
      </c>
      <c r="F27" s="36" t="s">
        <v>71</v>
      </c>
      <c r="G27" s="36" t="s">
        <v>71</v>
      </c>
      <c r="H27" s="36" t="s">
        <v>71</v>
      </c>
      <c r="I27" s="36" t="s">
        <v>71</v>
      </c>
      <c r="J27" s="36" t="s">
        <v>71</v>
      </c>
      <c r="K27" s="36" t="s">
        <v>71</v>
      </c>
      <c r="L27" s="36" t="s">
        <v>71</v>
      </c>
      <c r="M27" s="36" t="s">
        <v>71</v>
      </c>
      <c r="N27" s="36" t="s">
        <v>71</v>
      </c>
      <c r="O27" s="36" t="s">
        <v>71</v>
      </c>
      <c r="P27" s="36" t="s">
        <v>71</v>
      </c>
      <c r="Q27" s="36" t="s">
        <v>71</v>
      </c>
      <c r="R27" s="36" t="s">
        <v>71</v>
      </c>
      <c r="S27" s="36" t="s">
        <v>71</v>
      </c>
      <c r="T27" s="36" t="s">
        <v>71</v>
      </c>
      <c r="U27" s="36" t="s">
        <v>71</v>
      </c>
      <c r="V27" s="36" t="s">
        <v>71</v>
      </c>
      <c r="W27" s="36" t="s">
        <v>71</v>
      </c>
      <c r="X27" s="36" t="s">
        <v>71</v>
      </c>
      <c r="Y27" s="36" t="s">
        <v>71</v>
      </c>
      <c r="Z27" s="36" t="s">
        <v>71</v>
      </c>
      <c r="AA27" s="36" t="s">
        <v>71</v>
      </c>
      <c r="AB27" s="36" t="s">
        <v>71</v>
      </c>
      <c r="AC27" s="36" t="s">
        <v>71</v>
      </c>
      <c r="AD27" s="36" t="s">
        <v>71</v>
      </c>
      <c r="AE27" s="36" t="s">
        <v>71</v>
      </c>
      <c r="AF27" s="36" t="s">
        <v>71</v>
      </c>
      <c r="AG27" s="36" t="s">
        <v>71</v>
      </c>
      <c r="AH27" s="36" t="s">
        <v>71</v>
      </c>
      <c r="AI27" s="36" t="s">
        <v>71</v>
      </c>
      <c r="AJ27" s="25"/>
      <c r="AL27" t="str">
        <f t="shared" ca="1" si="0"/>
        <v xml:space="preserve">    (U1)ALERT_REQ_H_XMGRIP_BC_</v>
      </c>
      <c r="AR27" s="64" t="str">
        <f t="shared" si="3"/>
        <v/>
      </c>
      <c r="AS27" s="64" t="str">
        <f t="shared" si="4"/>
        <v/>
      </c>
      <c r="AT27" s="64" t="str">
        <f t="shared" si="1"/>
        <v/>
      </c>
    </row>
    <row r="28" spans="2:49">
      <c r="B28" s="131"/>
      <c r="C28" s="50">
        <f t="shared" si="2"/>
        <v>22</v>
      </c>
      <c r="D28" s="36" t="s">
        <v>71</v>
      </c>
      <c r="E28" s="36" t="s">
        <v>71</v>
      </c>
      <c r="F28" s="36" t="s">
        <v>71</v>
      </c>
      <c r="G28" s="36" t="s">
        <v>71</v>
      </c>
      <c r="H28" s="36" t="s">
        <v>71</v>
      </c>
      <c r="I28" s="36" t="s">
        <v>71</v>
      </c>
      <c r="J28" s="36" t="s">
        <v>71</v>
      </c>
      <c r="K28" s="36" t="s">
        <v>71</v>
      </c>
      <c r="L28" s="36" t="s">
        <v>71</v>
      </c>
      <c r="M28" s="36" t="s">
        <v>71</v>
      </c>
      <c r="N28" s="36" t="s">
        <v>71</v>
      </c>
      <c r="O28" s="36" t="s">
        <v>71</v>
      </c>
      <c r="P28" s="36" t="s">
        <v>71</v>
      </c>
      <c r="Q28" s="36" t="s">
        <v>71</v>
      </c>
      <c r="R28" s="36" t="s">
        <v>71</v>
      </c>
      <c r="S28" s="36" t="s">
        <v>71</v>
      </c>
      <c r="T28" s="36" t="s">
        <v>71</v>
      </c>
      <c r="U28" s="36" t="s">
        <v>71</v>
      </c>
      <c r="V28" s="36" t="s">
        <v>71</v>
      </c>
      <c r="W28" s="36" t="s">
        <v>71</v>
      </c>
      <c r="X28" s="36" t="s">
        <v>71</v>
      </c>
      <c r="Y28" s="36" t="s">
        <v>71</v>
      </c>
      <c r="Z28" s="36" t="s">
        <v>71</v>
      </c>
      <c r="AA28" s="36" t="s">
        <v>71</v>
      </c>
      <c r="AB28" s="36" t="s">
        <v>71</v>
      </c>
      <c r="AC28" s="36" t="s">
        <v>71</v>
      </c>
      <c r="AD28" s="36" t="s">
        <v>71</v>
      </c>
      <c r="AE28" s="36" t="s">
        <v>71</v>
      </c>
      <c r="AF28" s="36" t="s">
        <v>71</v>
      </c>
      <c r="AG28" s="36" t="s">
        <v>71</v>
      </c>
      <c r="AH28" s="36" t="s">
        <v>71</v>
      </c>
      <c r="AI28" s="36" t="s">
        <v>71</v>
      </c>
      <c r="AJ28" s="25"/>
      <c r="AL28" t="str">
        <f t="shared" ca="1" si="0"/>
        <v xml:space="preserve">    (U1)ALERT_REQ_H_XMGRIP_BC_</v>
      </c>
      <c r="AR28" s="64" t="str">
        <f t="shared" si="3"/>
        <v/>
      </c>
      <c r="AS28" s="64" t="str">
        <f t="shared" si="4"/>
        <v/>
      </c>
      <c r="AT28" s="64" t="str">
        <f t="shared" si="1"/>
        <v/>
      </c>
    </row>
    <row r="29" spans="2:49">
      <c r="B29" s="131"/>
      <c r="C29" s="50">
        <f t="shared" si="2"/>
        <v>23</v>
      </c>
      <c r="D29" s="36" t="s">
        <v>71</v>
      </c>
      <c r="E29" s="36" t="s">
        <v>71</v>
      </c>
      <c r="F29" s="36" t="s">
        <v>71</v>
      </c>
      <c r="G29" s="36" t="s">
        <v>71</v>
      </c>
      <c r="H29" s="36" t="s">
        <v>71</v>
      </c>
      <c r="I29" s="36" t="s">
        <v>71</v>
      </c>
      <c r="J29" s="36" t="s">
        <v>71</v>
      </c>
      <c r="K29" s="36" t="s">
        <v>71</v>
      </c>
      <c r="L29" s="36" t="s">
        <v>71</v>
      </c>
      <c r="M29" s="36" t="s">
        <v>71</v>
      </c>
      <c r="N29" s="36" t="s">
        <v>71</v>
      </c>
      <c r="O29" s="36" t="s">
        <v>71</v>
      </c>
      <c r="P29" s="36" t="s">
        <v>71</v>
      </c>
      <c r="Q29" s="36" t="s">
        <v>71</v>
      </c>
      <c r="R29" s="36" t="s">
        <v>71</v>
      </c>
      <c r="S29" s="36" t="s">
        <v>71</v>
      </c>
      <c r="T29" s="36" t="s">
        <v>71</v>
      </c>
      <c r="U29" s="36" t="s">
        <v>71</v>
      </c>
      <c r="V29" s="36" t="s">
        <v>71</v>
      </c>
      <c r="W29" s="36" t="s">
        <v>71</v>
      </c>
      <c r="X29" s="36" t="s">
        <v>71</v>
      </c>
      <c r="Y29" s="36" t="s">
        <v>71</v>
      </c>
      <c r="Z29" s="36" t="s">
        <v>71</v>
      </c>
      <c r="AA29" s="36" t="s">
        <v>71</v>
      </c>
      <c r="AB29" s="36" t="s">
        <v>71</v>
      </c>
      <c r="AC29" s="36" t="s">
        <v>71</v>
      </c>
      <c r="AD29" s="36" t="s">
        <v>71</v>
      </c>
      <c r="AE29" s="36" t="s">
        <v>71</v>
      </c>
      <c r="AF29" s="36" t="s">
        <v>71</v>
      </c>
      <c r="AG29" s="36" t="s">
        <v>71</v>
      </c>
      <c r="AH29" s="36" t="s">
        <v>71</v>
      </c>
      <c r="AI29" s="36" t="s">
        <v>71</v>
      </c>
      <c r="AJ29" s="25"/>
      <c r="AL29" t="str">
        <f t="shared" ca="1" si="0"/>
        <v xml:space="preserve">    (U1)ALERT_REQ_H_XMGRIP_BC_</v>
      </c>
      <c r="AR29" s="64" t="str">
        <f t="shared" si="3"/>
        <v/>
      </c>
      <c r="AS29" s="64" t="str">
        <f t="shared" si="4"/>
        <v/>
      </c>
      <c r="AT29" s="64" t="str">
        <f t="shared" si="1"/>
        <v/>
      </c>
    </row>
    <row r="30" spans="2:49">
      <c r="B30" s="131"/>
      <c r="C30" s="50">
        <f t="shared" si="2"/>
        <v>24</v>
      </c>
      <c r="D30" s="36" t="s">
        <v>71</v>
      </c>
      <c r="E30" s="36" t="s">
        <v>71</v>
      </c>
      <c r="F30" s="36" t="s">
        <v>71</v>
      </c>
      <c r="G30" s="36" t="s">
        <v>71</v>
      </c>
      <c r="H30" s="36" t="s">
        <v>71</v>
      </c>
      <c r="I30" s="36" t="s">
        <v>71</v>
      </c>
      <c r="J30" s="36" t="s">
        <v>71</v>
      </c>
      <c r="K30" s="36" t="s">
        <v>71</v>
      </c>
      <c r="L30" s="36" t="s">
        <v>71</v>
      </c>
      <c r="M30" s="36" t="s">
        <v>71</v>
      </c>
      <c r="N30" s="36" t="s">
        <v>71</v>
      </c>
      <c r="O30" s="36" t="s">
        <v>71</v>
      </c>
      <c r="P30" s="36" t="s">
        <v>71</v>
      </c>
      <c r="Q30" s="36" t="s">
        <v>71</v>
      </c>
      <c r="R30" s="36" t="s">
        <v>71</v>
      </c>
      <c r="S30" s="36" t="s">
        <v>71</v>
      </c>
      <c r="T30" s="36" t="s">
        <v>71</v>
      </c>
      <c r="U30" s="36" t="s">
        <v>71</v>
      </c>
      <c r="V30" s="36" t="s">
        <v>71</v>
      </c>
      <c r="W30" s="36" t="s">
        <v>71</v>
      </c>
      <c r="X30" s="36" t="s">
        <v>71</v>
      </c>
      <c r="Y30" s="36" t="s">
        <v>71</v>
      </c>
      <c r="Z30" s="36" t="s">
        <v>71</v>
      </c>
      <c r="AA30" s="36" t="s">
        <v>71</v>
      </c>
      <c r="AB30" s="36" t="s">
        <v>71</v>
      </c>
      <c r="AC30" s="36" t="s">
        <v>71</v>
      </c>
      <c r="AD30" s="36" t="s">
        <v>71</v>
      </c>
      <c r="AE30" s="36" t="s">
        <v>71</v>
      </c>
      <c r="AF30" s="36" t="s">
        <v>71</v>
      </c>
      <c r="AG30" s="36" t="s">
        <v>71</v>
      </c>
      <c r="AH30" s="36" t="s">
        <v>71</v>
      </c>
      <c r="AI30" s="36" t="s">
        <v>71</v>
      </c>
      <c r="AJ30" s="25"/>
      <c r="AL30" t="str">
        <f t="shared" ca="1" si="0"/>
        <v xml:space="preserve">    (U1)ALERT_REQ_H_XMGRIP_BC_</v>
      </c>
      <c r="AR30" s="64" t="str">
        <f t="shared" si="3"/>
        <v/>
      </c>
      <c r="AS30" s="64" t="str">
        <f t="shared" si="4"/>
        <v/>
      </c>
      <c r="AT30" s="64" t="str">
        <f t="shared" si="1"/>
        <v/>
      </c>
    </row>
    <row r="31" spans="2:49">
      <c r="B31" s="131"/>
      <c r="C31" s="50">
        <f t="shared" si="2"/>
        <v>25</v>
      </c>
      <c r="D31" s="36" t="s">
        <v>71</v>
      </c>
      <c r="E31" s="36" t="s">
        <v>71</v>
      </c>
      <c r="F31" s="36" t="s">
        <v>71</v>
      </c>
      <c r="G31" s="36" t="s">
        <v>71</v>
      </c>
      <c r="H31" s="36" t="s">
        <v>71</v>
      </c>
      <c r="I31" s="36" t="s">
        <v>71</v>
      </c>
      <c r="J31" s="36" t="s">
        <v>71</v>
      </c>
      <c r="K31" s="36" t="s">
        <v>71</v>
      </c>
      <c r="L31" s="36" t="s">
        <v>71</v>
      </c>
      <c r="M31" s="36" t="s">
        <v>71</v>
      </c>
      <c r="N31" s="36" t="s">
        <v>71</v>
      </c>
      <c r="O31" s="36" t="s">
        <v>71</v>
      </c>
      <c r="P31" s="36" t="s">
        <v>71</v>
      </c>
      <c r="Q31" s="36" t="s">
        <v>71</v>
      </c>
      <c r="R31" s="36" t="s">
        <v>71</v>
      </c>
      <c r="S31" s="36" t="s">
        <v>71</v>
      </c>
      <c r="T31" s="36" t="s">
        <v>71</v>
      </c>
      <c r="U31" s="36" t="s">
        <v>71</v>
      </c>
      <c r="V31" s="36" t="s">
        <v>71</v>
      </c>
      <c r="W31" s="36" t="s">
        <v>71</v>
      </c>
      <c r="X31" s="36" t="s">
        <v>71</v>
      </c>
      <c r="Y31" s="36" t="s">
        <v>71</v>
      </c>
      <c r="Z31" s="36" t="s">
        <v>71</v>
      </c>
      <c r="AA31" s="36" t="s">
        <v>71</v>
      </c>
      <c r="AB31" s="36" t="s">
        <v>71</v>
      </c>
      <c r="AC31" s="36" t="s">
        <v>71</v>
      </c>
      <c r="AD31" s="36" t="s">
        <v>71</v>
      </c>
      <c r="AE31" s="36" t="s">
        <v>71</v>
      </c>
      <c r="AF31" s="36" t="s">
        <v>71</v>
      </c>
      <c r="AG31" s="36" t="s">
        <v>71</v>
      </c>
      <c r="AH31" s="36" t="s">
        <v>71</v>
      </c>
      <c r="AI31" s="36" t="s">
        <v>71</v>
      </c>
      <c r="AJ31" s="25"/>
      <c r="AL31" t="str">
        <f t="shared" ca="1" si="0"/>
        <v xml:space="preserve">    (U1)ALERT_REQ_H_XMGRIP_BC_</v>
      </c>
      <c r="AR31" s="64" t="str">
        <f t="shared" si="3"/>
        <v/>
      </c>
      <c r="AS31" s="64" t="str">
        <f t="shared" si="4"/>
        <v/>
      </c>
      <c r="AT31" s="64" t="str">
        <f t="shared" si="1"/>
        <v/>
      </c>
    </row>
    <row r="32" spans="2:49">
      <c r="B32" s="131"/>
      <c r="C32" s="50">
        <f t="shared" si="2"/>
        <v>26</v>
      </c>
      <c r="D32" s="36" t="s">
        <v>71</v>
      </c>
      <c r="E32" s="36" t="s">
        <v>71</v>
      </c>
      <c r="F32" s="36" t="s">
        <v>71</v>
      </c>
      <c r="G32" s="36" t="s">
        <v>71</v>
      </c>
      <c r="H32" s="36" t="s">
        <v>71</v>
      </c>
      <c r="I32" s="36" t="s">
        <v>71</v>
      </c>
      <c r="J32" s="36" t="s">
        <v>71</v>
      </c>
      <c r="K32" s="36" t="s">
        <v>71</v>
      </c>
      <c r="L32" s="36" t="s">
        <v>71</v>
      </c>
      <c r="M32" s="36" t="s">
        <v>71</v>
      </c>
      <c r="N32" s="36" t="s">
        <v>71</v>
      </c>
      <c r="O32" s="36" t="s">
        <v>71</v>
      </c>
      <c r="P32" s="36" t="s">
        <v>71</v>
      </c>
      <c r="Q32" s="36" t="s">
        <v>71</v>
      </c>
      <c r="R32" s="36" t="s">
        <v>71</v>
      </c>
      <c r="S32" s="36" t="s">
        <v>71</v>
      </c>
      <c r="T32" s="36" t="s">
        <v>71</v>
      </c>
      <c r="U32" s="36" t="s">
        <v>71</v>
      </c>
      <c r="V32" s="36" t="s">
        <v>71</v>
      </c>
      <c r="W32" s="36" t="s">
        <v>71</v>
      </c>
      <c r="X32" s="36" t="s">
        <v>71</v>
      </c>
      <c r="Y32" s="36" t="s">
        <v>71</v>
      </c>
      <c r="Z32" s="36" t="s">
        <v>71</v>
      </c>
      <c r="AA32" s="36" t="s">
        <v>71</v>
      </c>
      <c r="AB32" s="36" t="s">
        <v>71</v>
      </c>
      <c r="AC32" s="36" t="s">
        <v>71</v>
      </c>
      <c r="AD32" s="36" t="s">
        <v>71</v>
      </c>
      <c r="AE32" s="36" t="s">
        <v>71</v>
      </c>
      <c r="AF32" s="36" t="s">
        <v>71</v>
      </c>
      <c r="AG32" s="36" t="s">
        <v>71</v>
      </c>
      <c r="AH32" s="36" t="s">
        <v>71</v>
      </c>
      <c r="AI32" s="36" t="s">
        <v>71</v>
      </c>
      <c r="AJ32" s="25"/>
      <c r="AL32" t="str">
        <f t="shared" ca="1" si="0"/>
        <v xml:space="preserve">    (U1)ALERT_REQ_H_XMGRIP_BC_</v>
      </c>
      <c r="AR32" s="64" t="str">
        <f t="shared" si="3"/>
        <v/>
      </c>
      <c r="AS32" s="64" t="str">
        <f t="shared" si="4"/>
        <v/>
      </c>
      <c r="AT32" s="64" t="str">
        <f t="shared" si="1"/>
        <v/>
      </c>
    </row>
    <row r="33" spans="2:46">
      <c r="B33" s="131"/>
      <c r="C33" s="50">
        <f t="shared" si="2"/>
        <v>27</v>
      </c>
      <c r="D33" s="36" t="s">
        <v>71</v>
      </c>
      <c r="E33" s="36" t="s">
        <v>71</v>
      </c>
      <c r="F33" s="36" t="s">
        <v>71</v>
      </c>
      <c r="G33" s="36" t="s">
        <v>71</v>
      </c>
      <c r="H33" s="36" t="s">
        <v>71</v>
      </c>
      <c r="I33" s="36" t="s">
        <v>71</v>
      </c>
      <c r="J33" s="36" t="s">
        <v>71</v>
      </c>
      <c r="K33" s="36" t="s">
        <v>71</v>
      </c>
      <c r="L33" s="36" t="s">
        <v>71</v>
      </c>
      <c r="M33" s="36" t="s">
        <v>71</v>
      </c>
      <c r="N33" s="36" t="s">
        <v>71</v>
      </c>
      <c r="O33" s="36" t="s">
        <v>71</v>
      </c>
      <c r="P33" s="36" t="s">
        <v>71</v>
      </c>
      <c r="Q33" s="36" t="s">
        <v>71</v>
      </c>
      <c r="R33" s="36" t="s">
        <v>71</v>
      </c>
      <c r="S33" s="36" t="s">
        <v>71</v>
      </c>
      <c r="T33" s="36" t="s">
        <v>71</v>
      </c>
      <c r="U33" s="36" t="s">
        <v>71</v>
      </c>
      <c r="V33" s="36" t="s">
        <v>71</v>
      </c>
      <c r="W33" s="36" t="s">
        <v>71</v>
      </c>
      <c r="X33" s="36" t="s">
        <v>71</v>
      </c>
      <c r="Y33" s="36" t="s">
        <v>71</v>
      </c>
      <c r="Z33" s="36" t="s">
        <v>71</v>
      </c>
      <c r="AA33" s="36" t="s">
        <v>71</v>
      </c>
      <c r="AB33" s="36" t="s">
        <v>71</v>
      </c>
      <c r="AC33" s="36" t="s">
        <v>71</v>
      </c>
      <c r="AD33" s="36" t="s">
        <v>71</v>
      </c>
      <c r="AE33" s="36" t="s">
        <v>71</v>
      </c>
      <c r="AF33" s="36" t="s">
        <v>71</v>
      </c>
      <c r="AG33" s="36" t="s">
        <v>71</v>
      </c>
      <c r="AH33" s="36" t="s">
        <v>71</v>
      </c>
      <c r="AI33" s="36" t="s">
        <v>71</v>
      </c>
      <c r="AJ33" s="25"/>
      <c r="AL33" t="str">
        <f t="shared" ca="1" si="0"/>
        <v xml:space="preserve">    (U1)ALERT_REQ_H_XMGRIP_BC_</v>
      </c>
      <c r="AR33" s="64" t="str">
        <f t="shared" si="3"/>
        <v/>
      </c>
      <c r="AS33" s="64" t="str">
        <f t="shared" si="4"/>
        <v/>
      </c>
      <c r="AT33" s="64" t="str">
        <f t="shared" si="1"/>
        <v/>
      </c>
    </row>
    <row r="34" spans="2:46">
      <c r="B34" s="131"/>
      <c r="C34" s="50">
        <f t="shared" si="2"/>
        <v>28</v>
      </c>
      <c r="D34" s="36" t="s">
        <v>71</v>
      </c>
      <c r="E34" s="36" t="s">
        <v>71</v>
      </c>
      <c r="F34" s="36" t="s">
        <v>71</v>
      </c>
      <c r="G34" s="36" t="s">
        <v>71</v>
      </c>
      <c r="H34" s="36" t="s">
        <v>71</v>
      </c>
      <c r="I34" s="36" t="s">
        <v>71</v>
      </c>
      <c r="J34" s="36" t="s">
        <v>71</v>
      </c>
      <c r="K34" s="36" t="s">
        <v>71</v>
      </c>
      <c r="L34" s="36" t="s">
        <v>71</v>
      </c>
      <c r="M34" s="36" t="s">
        <v>71</v>
      </c>
      <c r="N34" s="36" t="s">
        <v>71</v>
      </c>
      <c r="O34" s="36" t="s">
        <v>71</v>
      </c>
      <c r="P34" s="36" t="s">
        <v>71</v>
      </c>
      <c r="Q34" s="36" t="s">
        <v>71</v>
      </c>
      <c r="R34" s="36" t="s">
        <v>71</v>
      </c>
      <c r="S34" s="36" t="s">
        <v>71</v>
      </c>
      <c r="T34" s="36" t="s">
        <v>71</v>
      </c>
      <c r="U34" s="36" t="s">
        <v>71</v>
      </c>
      <c r="V34" s="36" t="s">
        <v>71</v>
      </c>
      <c r="W34" s="36" t="s">
        <v>71</v>
      </c>
      <c r="X34" s="36" t="s">
        <v>71</v>
      </c>
      <c r="Y34" s="36" t="s">
        <v>71</v>
      </c>
      <c r="Z34" s="36" t="s">
        <v>71</v>
      </c>
      <c r="AA34" s="36" t="s">
        <v>71</v>
      </c>
      <c r="AB34" s="36" t="s">
        <v>71</v>
      </c>
      <c r="AC34" s="36" t="s">
        <v>71</v>
      </c>
      <c r="AD34" s="36" t="s">
        <v>71</v>
      </c>
      <c r="AE34" s="36" t="s">
        <v>71</v>
      </c>
      <c r="AF34" s="36" t="s">
        <v>71</v>
      </c>
      <c r="AG34" s="36" t="s">
        <v>71</v>
      </c>
      <c r="AH34" s="36" t="s">
        <v>71</v>
      </c>
      <c r="AI34" s="36" t="s">
        <v>71</v>
      </c>
      <c r="AJ34" s="25"/>
      <c r="AL34" t="str">
        <f t="shared" ca="1" si="0"/>
        <v xml:space="preserve">    (U1)ALERT_REQ_H_XMGRIP_BC_</v>
      </c>
      <c r="AR34" s="64" t="str">
        <f t="shared" si="3"/>
        <v/>
      </c>
      <c r="AS34" s="64" t="str">
        <f t="shared" si="4"/>
        <v/>
      </c>
      <c r="AT34" s="64" t="str">
        <f t="shared" si="1"/>
        <v/>
      </c>
    </row>
    <row r="35" spans="2:46">
      <c r="B35" s="131"/>
      <c r="C35" s="50">
        <f t="shared" si="2"/>
        <v>29</v>
      </c>
      <c r="D35" s="36" t="s">
        <v>71</v>
      </c>
      <c r="E35" s="36" t="s">
        <v>71</v>
      </c>
      <c r="F35" s="36" t="s">
        <v>71</v>
      </c>
      <c r="G35" s="36" t="s">
        <v>71</v>
      </c>
      <c r="H35" s="36" t="s">
        <v>71</v>
      </c>
      <c r="I35" s="36" t="s">
        <v>71</v>
      </c>
      <c r="J35" s="36" t="s">
        <v>71</v>
      </c>
      <c r="K35" s="36" t="s">
        <v>71</v>
      </c>
      <c r="L35" s="36" t="s">
        <v>71</v>
      </c>
      <c r="M35" s="36" t="s">
        <v>71</v>
      </c>
      <c r="N35" s="36" t="s">
        <v>71</v>
      </c>
      <c r="O35" s="36" t="s">
        <v>71</v>
      </c>
      <c r="P35" s="36" t="s">
        <v>71</v>
      </c>
      <c r="Q35" s="36" t="s">
        <v>71</v>
      </c>
      <c r="R35" s="36" t="s">
        <v>71</v>
      </c>
      <c r="S35" s="36" t="s">
        <v>71</v>
      </c>
      <c r="T35" s="36" t="s">
        <v>71</v>
      </c>
      <c r="U35" s="36" t="s">
        <v>71</v>
      </c>
      <c r="V35" s="36" t="s">
        <v>71</v>
      </c>
      <c r="W35" s="36" t="s">
        <v>71</v>
      </c>
      <c r="X35" s="36" t="s">
        <v>71</v>
      </c>
      <c r="Y35" s="36" t="s">
        <v>71</v>
      </c>
      <c r="Z35" s="36" t="s">
        <v>71</v>
      </c>
      <c r="AA35" s="36" t="s">
        <v>71</v>
      </c>
      <c r="AB35" s="36" t="s">
        <v>71</v>
      </c>
      <c r="AC35" s="36" t="s">
        <v>71</v>
      </c>
      <c r="AD35" s="36" t="s">
        <v>71</v>
      </c>
      <c r="AE35" s="36" t="s">
        <v>71</v>
      </c>
      <c r="AF35" s="36" t="s">
        <v>71</v>
      </c>
      <c r="AG35" s="36" t="s">
        <v>71</v>
      </c>
      <c r="AH35" s="36" t="s">
        <v>71</v>
      </c>
      <c r="AI35" s="36" t="s">
        <v>71</v>
      </c>
      <c r="AJ35" s="25"/>
      <c r="AL35" t="str">
        <f t="shared" ca="1" si="0"/>
        <v xml:space="preserve">    (U1)ALERT_REQ_H_XMGRIP_BC_</v>
      </c>
      <c r="AR35" s="64" t="str">
        <f t="shared" si="3"/>
        <v/>
      </c>
      <c r="AS35" s="64" t="str">
        <f t="shared" si="4"/>
        <v/>
      </c>
      <c r="AT35" s="64" t="str">
        <f t="shared" si="1"/>
        <v/>
      </c>
    </row>
    <row r="36" spans="2:46">
      <c r="B36" s="131"/>
      <c r="C36" s="50">
        <f t="shared" si="2"/>
        <v>30</v>
      </c>
      <c r="D36" s="36" t="s">
        <v>71</v>
      </c>
      <c r="E36" s="36" t="s">
        <v>71</v>
      </c>
      <c r="F36" s="36" t="s">
        <v>71</v>
      </c>
      <c r="G36" s="36" t="s">
        <v>71</v>
      </c>
      <c r="H36" s="36" t="s">
        <v>71</v>
      </c>
      <c r="I36" s="36" t="s">
        <v>71</v>
      </c>
      <c r="J36" s="36" t="s">
        <v>71</v>
      </c>
      <c r="K36" s="36" t="s">
        <v>71</v>
      </c>
      <c r="L36" s="36" t="s">
        <v>71</v>
      </c>
      <c r="M36" s="36" t="s">
        <v>71</v>
      </c>
      <c r="N36" s="36" t="s">
        <v>71</v>
      </c>
      <c r="O36" s="36" t="s">
        <v>71</v>
      </c>
      <c r="P36" s="36" t="s">
        <v>71</v>
      </c>
      <c r="Q36" s="36" t="s">
        <v>71</v>
      </c>
      <c r="R36" s="36" t="s">
        <v>71</v>
      </c>
      <c r="S36" s="36" t="s">
        <v>71</v>
      </c>
      <c r="T36" s="36" t="s">
        <v>71</v>
      </c>
      <c r="U36" s="36" t="s">
        <v>71</v>
      </c>
      <c r="V36" s="36" t="s">
        <v>71</v>
      </c>
      <c r="W36" s="36" t="s">
        <v>71</v>
      </c>
      <c r="X36" s="36" t="s">
        <v>71</v>
      </c>
      <c r="Y36" s="36" t="s">
        <v>71</v>
      </c>
      <c r="Z36" s="36" t="s">
        <v>71</v>
      </c>
      <c r="AA36" s="36" t="s">
        <v>71</v>
      </c>
      <c r="AB36" s="36" t="s">
        <v>71</v>
      </c>
      <c r="AC36" s="36" t="s">
        <v>71</v>
      </c>
      <c r="AD36" s="36" t="s">
        <v>71</v>
      </c>
      <c r="AE36" s="36" t="s">
        <v>71</v>
      </c>
      <c r="AF36" s="36" t="s">
        <v>71</v>
      </c>
      <c r="AG36" s="36" t="s">
        <v>71</v>
      </c>
      <c r="AH36" s="36" t="s">
        <v>71</v>
      </c>
      <c r="AI36" s="36" t="s">
        <v>71</v>
      </c>
      <c r="AJ36" s="25"/>
      <c r="AL36" t="str">
        <f t="shared" ca="1" si="0"/>
        <v xml:space="preserve">    (U1)ALERT_REQ_H_XMGRIP_BC_</v>
      </c>
      <c r="AR36" s="64" t="str">
        <f t="shared" si="3"/>
        <v/>
      </c>
      <c r="AS36" s="64" t="str">
        <f t="shared" si="4"/>
        <v/>
      </c>
      <c r="AT36" s="64" t="str">
        <f t="shared" si="1"/>
        <v/>
      </c>
    </row>
    <row r="37" spans="2:46">
      <c r="B37" s="131"/>
      <c r="C37" s="50">
        <f t="shared" si="2"/>
        <v>31</v>
      </c>
      <c r="D37" s="36" t="s">
        <v>71</v>
      </c>
      <c r="E37" s="36" t="s">
        <v>71</v>
      </c>
      <c r="F37" s="36" t="s">
        <v>71</v>
      </c>
      <c r="G37" s="36" t="s">
        <v>71</v>
      </c>
      <c r="H37" s="36" t="s">
        <v>71</v>
      </c>
      <c r="I37" s="36" t="s">
        <v>71</v>
      </c>
      <c r="J37" s="36" t="s">
        <v>71</v>
      </c>
      <c r="K37" s="36" t="s">
        <v>71</v>
      </c>
      <c r="L37" s="36" t="s">
        <v>71</v>
      </c>
      <c r="M37" s="36" t="s">
        <v>71</v>
      </c>
      <c r="N37" s="36" t="s">
        <v>71</v>
      </c>
      <c r="O37" s="36" t="s">
        <v>71</v>
      </c>
      <c r="P37" s="36" t="s">
        <v>71</v>
      </c>
      <c r="Q37" s="36" t="s">
        <v>71</v>
      </c>
      <c r="R37" s="36" t="s">
        <v>71</v>
      </c>
      <c r="S37" s="36" t="s">
        <v>71</v>
      </c>
      <c r="T37" s="36" t="s">
        <v>71</v>
      </c>
      <c r="U37" s="36" t="s">
        <v>71</v>
      </c>
      <c r="V37" s="36" t="s">
        <v>71</v>
      </c>
      <c r="W37" s="36" t="s">
        <v>71</v>
      </c>
      <c r="X37" s="36" t="s">
        <v>71</v>
      </c>
      <c r="Y37" s="36" t="s">
        <v>71</v>
      </c>
      <c r="Z37" s="36" t="s">
        <v>71</v>
      </c>
      <c r="AA37" s="36" t="s">
        <v>71</v>
      </c>
      <c r="AB37" s="36" t="s">
        <v>71</v>
      </c>
      <c r="AC37" s="36" t="s">
        <v>71</v>
      </c>
      <c r="AD37" s="36" t="s">
        <v>71</v>
      </c>
      <c r="AE37" s="36" t="s">
        <v>71</v>
      </c>
      <c r="AF37" s="36" t="s">
        <v>71</v>
      </c>
      <c r="AG37" s="36" t="s">
        <v>71</v>
      </c>
      <c r="AH37" s="36" t="s">
        <v>71</v>
      </c>
      <c r="AI37" s="36" t="s">
        <v>71</v>
      </c>
      <c r="AJ37" s="25"/>
      <c r="AL37" t="str">
        <f t="shared" ca="1" si="0"/>
        <v xml:space="preserve">    (U1)ALERT_REQ_H_XMGRIP_BC_</v>
      </c>
      <c r="AR37" s="64" t="str">
        <f t="shared" si="3"/>
        <v/>
      </c>
      <c r="AS37" s="64" t="str">
        <f t="shared" si="4"/>
        <v/>
      </c>
      <c r="AT37" s="64" t="str">
        <f t="shared" si="1"/>
        <v/>
      </c>
    </row>
    <row r="38" spans="2:46">
      <c r="B38" s="131"/>
      <c r="C38" s="50">
        <f t="shared" si="2"/>
        <v>32</v>
      </c>
      <c r="D38" s="36" t="s">
        <v>71</v>
      </c>
      <c r="E38" s="36" t="s">
        <v>71</v>
      </c>
      <c r="F38" s="36" t="s">
        <v>71</v>
      </c>
      <c r="G38" s="36" t="s">
        <v>71</v>
      </c>
      <c r="H38" s="36" t="s">
        <v>71</v>
      </c>
      <c r="I38" s="36" t="s">
        <v>71</v>
      </c>
      <c r="J38" s="36" t="s">
        <v>71</v>
      </c>
      <c r="K38" s="36" t="s">
        <v>71</v>
      </c>
      <c r="L38" s="36" t="s">
        <v>71</v>
      </c>
      <c r="M38" s="36" t="s">
        <v>71</v>
      </c>
      <c r="N38" s="36" t="s">
        <v>71</v>
      </c>
      <c r="O38" s="36" t="s">
        <v>71</v>
      </c>
      <c r="P38" s="36" t="s">
        <v>71</v>
      </c>
      <c r="Q38" s="36" t="s">
        <v>71</v>
      </c>
      <c r="R38" s="36" t="s">
        <v>71</v>
      </c>
      <c r="S38" s="36" t="s">
        <v>71</v>
      </c>
      <c r="T38" s="36" t="s">
        <v>71</v>
      </c>
      <c r="U38" s="36" t="s">
        <v>71</v>
      </c>
      <c r="V38" s="36" t="s">
        <v>71</v>
      </c>
      <c r="W38" s="36" t="s">
        <v>71</v>
      </c>
      <c r="X38" s="36" t="s">
        <v>71</v>
      </c>
      <c r="Y38" s="36" t="s">
        <v>71</v>
      </c>
      <c r="Z38" s="36" t="s">
        <v>71</v>
      </c>
      <c r="AA38" s="36" t="s">
        <v>71</v>
      </c>
      <c r="AB38" s="36" t="s">
        <v>71</v>
      </c>
      <c r="AC38" s="36" t="s">
        <v>71</v>
      </c>
      <c r="AD38" s="36" t="s">
        <v>71</v>
      </c>
      <c r="AE38" s="36" t="s">
        <v>71</v>
      </c>
      <c r="AF38" s="36" t="s">
        <v>71</v>
      </c>
      <c r="AG38" s="36" t="s">
        <v>71</v>
      </c>
      <c r="AH38" s="36" t="s">
        <v>71</v>
      </c>
      <c r="AI38" s="36" t="s">
        <v>71</v>
      </c>
      <c r="AJ38" s="25"/>
      <c r="AL38" t="str">
        <f t="shared" ca="1" si="0"/>
        <v xml:space="preserve">    (U1)ALERT_REQ_H_XMGRIP_BC_</v>
      </c>
      <c r="AR38" s="64" t="str">
        <f t="shared" si="3"/>
        <v/>
      </c>
      <c r="AS38" s="64" t="str">
        <f t="shared" si="4"/>
        <v/>
      </c>
      <c r="AT38" s="64" t="str">
        <f t="shared" si="1"/>
        <v/>
      </c>
    </row>
    <row r="39" spans="2:46">
      <c r="B39" s="131"/>
      <c r="C39" s="50">
        <f t="shared" si="2"/>
        <v>33</v>
      </c>
      <c r="D39" s="36" t="s">
        <v>71</v>
      </c>
      <c r="E39" s="36" t="s">
        <v>71</v>
      </c>
      <c r="F39" s="36" t="s">
        <v>71</v>
      </c>
      <c r="G39" s="36" t="s">
        <v>71</v>
      </c>
      <c r="H39" s="36" t="s">
        <v>71</v>
      </c>
      <c r="I39" s="36" t="s">
        <v>71</v>
      </c>
      <c r="J39" s="36" t="s">
        <v>71</v>
      </c>
      <c r="K39" s="36" t="s">
        <v>71</v>
      </c>
      <c r="L39" s="36" t="s">
        <v>71</v>
      </c>
      <c r="M39" s="36" t="s">
        <v>71</v>
      </c>
      <c r="N39" s="36" t="s">
        <v>71</v>
      </c>
      <c r="O39" s="36" t="s">
        <v>71</v>
      </c>
      <c r="P39" s="36" t="s">
        <v>71</v>
      </c>
      <c r="Q39" s="36" t="s">
        <v>71</v>
      </c>
      <c r="R39" s="36" t="s">
        <v>71</v>
      </c>
      <c r="S39" s="36" t="s">
        <v>71</v>
      </c>
      <c r="T39" s="36" t="s">
        <v>71</v>
      </c>
      <c r="U39" s="36" t="s">
        <v>71</v>
      </c>
      <c r="V39" s="36" t="s">
        <v>71</v>
      </c>
      <c r="W39" s="36" t="s">
        <v>71</v>
      </c>
      <c r="X39" s="36" t="s">
        <v>71</v>
      </c>
      <c r="Y39" s="36" t="s">
        <v>71</v>
      </c>
      <c r="Z39" s="36" t="s">
        <v>71</v>
      </c>
      <c r="AA39" s="36" t="s">
        <v>71</v>
      </c>
      <c r="AB39" s="36" t="s">
        <v>71</v>
      </c>
      <c r="AC39" s="36" t="s">
        <v>71</v>
      </c>
      <c r="AD39" s="36" t="s">
        <v>71</v>
      </c>
      <c r="AE39" s="36" t="s">
        <v>71</v>
      </c>
      <c r="AF39" s="36" t="s">
        <v>71</v>
      </c>
      <c r="AG39" s="36" t="s">
        <v>71</v>
      </c>
      <c r="AH39" s="36" t="s">
        <v>71</v>
      </c>
      <c r="AI39" s="36" t="s">
        <v>71</v>
      </c>
      <c r="AJ39" s="25"/>
      <c r="AL39" t="str">
        <f t="shared" ca="1" si="0"/>
        <v xml:space="preserve">    (U1)ALERT_REQ_H_XMGRIP_BC_</v>
      </c>
      <c r="AR39" s="64" t="str">
        <f t="shared" si="3"/>
        <v/>
      </c>
      <c r="AS39" s="64" t="str">
        <f t="shared" si="4"/>
        <v/>
      </c>
      <c r="AT39" s="64" t="str">
        <f t="shared" si="1"/>
        <v/>
      </c>
    </row>
    <row r="40" spans="2:46">
      <c r="B40" s="131"/>
      <c r="C40" s="50">
        <f t="shared" si="2"/>
        <v>34</v>
      </c>
      <c r="D40" s="36" t="s">
        <v>71</v>
      </c>
      <c r="E40" s="36" t="s">
        <v>71</v>
      </c>
      <c r="F40" s="36" t="s">
        <v>71</v>
      </c>
      <c r="G40" s="36" t="s">
        <v>71</v>
      </c>
      <c r="H40" s="36" t="s">
        <v>71</v>
      </c>
      <c r="I40" s="36" t="s">
        <v>71</v>
      </c>
      <c r="J40" s="36" t="s">
        <v>71</v>
      </c>
      <c r="K40" s="36" t="s">
        <v>71</v>
      </c>
      <c r="L40" s="36" t="s">
        <v>71</v>
      </c>
      <c r="M40" s="36" t="s">
        <v>71</v>
      </c>
      <c r="N40" s="36" t="s">
        <v>71</v>
      </c>
      <c r="O40" s="36" t="s">
        <v>71</v>
      </c>
      <c r="P40" s="36" t="s">
        <v>71</v>
      </c>
      <c r="Q40" s="36" t="s">
        <v>71</v>
      </c>
      <c r="R40" s="36" t="s">
        <v>71</v>
      </c>
      <c r="S40" s="36" t="s">
        <v>71</v>
      </c>
      <c r="T40" s="36" t="s">
        <v>71</v>
      </c>
      <c r="U40" s="36" t="s">
        <v>71</v>
      </c>
      <c r="V40" s="36" t="s">
        <v>71</v>
      </c>
      <c r="W40" s="36" t="s">
        <v>71</v>
      </c>
      <c r="X40" s="36" t="s">
        <v>71</v>
      </c>
      <c r="Y40" s="36" t="s">
        <v>71</v>
      </c>
      <c r="Z40" s="36" t="s">
        <v>71</v>
      </c>
      <c r="AA40" s="36" t="s">
        <v>71</v>
      </c>
      <c r="AB40" s="36" t="s">
        <v>71</v>
      </c>
      <c r="AC40" s="36" t="s">
        <v>71</v>
      </c>
      <c r="AD40" s="36" t="s">
        <v>71</v>
      </c>
      <c r="AE40" s="36" t="s">
        <v>71</v>
      </c>
      <c r="AF40" s="36" t="s">
        <v>71</v>
      </c>
      <c r="AG40" s="36" t="s">
        <v>71</v>
      </c>
      <c r="AH40" s="36" t="s">
        <v>71</v>
      </c>
      <c r="AI40" s="36" t="s">
        <v>71</v>
      </c>
      <c r="AJ40" s="25"/>
      <c r="AL40" t="str">
        <f t="shared" ca="1" si="0"/>
        <v xml:space="preserve">    (U1)ALERT_REQ_H_XMGRIP_BC_</v>
      </c>
      <c r="AR40" s="64" t="str">
        <f t="shared" si="3"/>
        <v/>
      </c>
      <c r="AS40" s="64" t="str">
        <f t="shared" si="4"/>
        <v/>
      </c>
      <c r="AT40" s="64" t="str">
        <f t="shared" si="1"/>
        <v/>
      </c>
    </row>
    <row r="41" spans="2:46">
      <c r="B41" s="131"/>
      <c r="C41" s="50">
        <f t="shared" si="2"/>
        <v>35</v>
      </c>
      <c r="D41" s="36" t="s">
        <v>71</v>
      </c>
      <c r="E41" s="36" t="s">
        <v>71</v>
      </c>
      <c r="F41" s="36" t="s">
        <v>71</v>
      </c>
      <c r="G41" s="36" t="s">
        <v>71</v>
      </c>
      <c r="H41" s="36" t="s">
        <v>71</v>
      </c>
      <c r="I41" s="36" t="s">
        <v>71</v>
      </c>
      <c r="J41" s="36" t="s">
        <v>71</v>
      </c>
      <c r="K41" s="36" t="s">
        <v>71</v>
      </c>
      <c r="L41" s="36" t="s">
        <v>71</v>
      </c>
      <c r="M41" s="36" t="s">
        <v>71</v>
      </c>
      <c r="N41" s="36" t="s">
        <v>71</v>
      </c>
      <c r="O41" s="36" t="s">
        <v>71</v>
      </c>
      <c r="P41" s="36" t="s">
        <v>71</v>
      </c>
      <c r="Q41" s="36" t="s">
        <v>71</v>
      </c>
      <c r="R41" s="36" t="s">
        <v>71</v>
      </c>
      <c r="S41" s="36" t="s">
        <v>71</v>
      </c>
      <c r="T41" s="36" t="s">
        <v>71</v>
      </c>
      <c r="U41" s="36" t="s">
        <v>71</v>
      </c>
      <c r="V41" s="36" t="s">
        <v>71</v>
      </c>
      <c r="W41" s="36" t="s">
        <v>71</v>
      </c>
      <c r="X41" s="36" t="s">
        <v>71</v>
      </c>
      <c r="Y41" s="36" t="s">
        <v>71</v>
      </c>
      <c r="Z41" s="36" t="s">
        <v>71</v>
      </c>
      <c r="AA41" s="36" t="s">
        <v>71</v>
      </c>
      <c r="AB41" s="36" t="s">
        <v>71</v>
      </c>
      <c r="AC41" s="36" t="s">
        <v>71</v>
      </c>
      <c r="AD41" s="36" t="s">
        <v>71</v>
      </c>
      <c r="AE41" s="36" t="s">
        <v>71</v>
      </c>
      <c r="AF41" s="36" t="s">
        <v>71</v>
      </c>
      <c r="AG41" s="36" t="s">
        <v>71</v>
      </c>
      <c r="AH41" s="36" t="s">
        <v>71</v>
      </c>
      <c r="AI41" s="36" t="s">
        <v>71</v>
      </c>
      <c r="AJ41" s="25"/>
      <c r="AL41" t="str">
        <f t="shared" ca="1" si="0"/>
        <v xml:space="preserve">    (U1)ALERT_REQ_H_XMGRIP_BC_</v>
      </c>
      <c r="AR41" s="64" t="str">
        <f t="shared" si="3"/>
        <v/>
      </c>
      <c r="AS41" s="64" t="str">
        <f t="shared" si="4"/>
        <v/>
      </c>
      <c r="AT41" s="64" t="str">
        <f t="shared" si="1"/>
        <v/>
      </c>
    </row>
    <row r="42" spans="2:46">
      <c r="B42" s="131"/>
      <c r="C42" s="50">
        <f t="shared" si="2"/>
        <v>36</v>
      </c>
      <c r="D42" s="36" t="s">
        <v>71</v>
      </c>
      <c r="E42" s="36" t="s">
        <v>71</v>
      </c>
      <c r="F42" s="36" t="s">
        <v>71</v>
      </c>
      <c r="G42" s="36" t="s">
        <v>71</v>
      </c>
      <c r="H42" s="36" t="s">
        <v>71</v>
      </c>
      <c r="I42" s="36" t="s">
        <v>71</v>
      </c>
      <c r="J42" s="36" t="s">
        <v>71</v>
      </c>
      <c r="K42" s="36" t="s">
        <v>71</v>
      </c>
      <c r="L42" s="36" t="s">
        <v>71</v>
      </c>
      <c r="M42" s="36" t="s">
        <v>71</v>
      </c>
      <c r="N42" s="36" t="s">
        <v>71</v>
      </c>
      <c r="O42" s="36" t="s">
        <v>71</v>
      </c>
      <c r="P42" s="36" t="s">
        <v>71</v>
      </c>
      <c r="Q42" s="36" t="s">
        <v>71</v>
      </c>
      <c r="R42" s="36" t="s">
        <v>71</v>
      </c>
      <c r="S42" s="36" t="s">
        <v>71</v>
      </c>
      <c r="T42" s="36" t="s">
        <v>71</v>
      </c>
      <c r="U42" s="36" t="s">
        <v>71</v>
      </c>
      <c r="V42" s="36" t="s">
        <v>71</v>
      </c>
      <c r="W42" s="36" t="s">
        <v>71</v>
      </c>
      <c r="X42" s="36" t="s">
        <v>71</v>
      </c>
      <c r="Y42" s="36" t="s">
        <v>71</v>
      </c>
      <c r="Z42" s="36" t="s">
        <v>71</v>
      </c>
      <c r="AA42" s="36" t="s">
        <v>71</v>
      </c>
      <c r="AB42" s="36" t="s">
        <v>71</v>
      </c>
      <c r="AC42" s="36" t="s">
        <v>71</v>
      </c>
      <c r="AD42" s="36" t="s">
        <v>71</v>
      </c>
      <c r="AE42" s="36" t="s">
        <v>71</v>
      </c>
      <c r="AF42" s="36" t="s">
        <v>71</v>
      </c>
      <c r="AG42" s="36" t="s">
        <v>71</v>
      </c>
      <c r="AH42" s="36" t="s">
        <v>71</v>
      </c>
      <c r="AI42" s="36" t="s">
        <v>71</v>
      </c>
      <c r="AJ42" s="25"/>
      <c r="AL42" t="str">
        <f t="shared" ca="1" si="0"/>
        <v xml:space="preserve">    (U1)ALERT_REQ_H_XMGRIP_BC_</v>
      </c>
      <c r="AR42" s="64" t="str">
        <f t="shared" si="3"/>
        <v/>
      </c>
      <c r="AS42" s="64" t="str">
        <f t="shared" si="4"/>
        <v/>
      </c>
      <c r="AT42" s="64" t="str">
        <f t="shared" si="1"/>
        <v/>
      </c>
    </row>
    <row r="43" spans="2:46">
      <c r="B43" s="131"/>
      <c r="C43" s="50">
        <f t="shared" si="2"/>
        <v>37</v>
      </c>
      <c r="D43" s="36" t="s">
        <v>71</v>
      </c>
      <c r="E43" s="36" t="s">
        <v>71</v>
      </c>
      <c r="F43" s="36" t="s">
        <v>71</v>
      </c>
      <c r="G43" s="36" t="s">
        <v>71</v>
      </c>
      <c r="H43" s="36" t="s">
        <v>71</v>
      </c>
      <c r="I43" s="36" t="s">
        <v>71</v>
      </c>
      <c r="J43" s="36" t="s">
        <v>71</v>
      </c>
      <c r="K43" s="36" t="s">
        <v>71</v>
      </c>
      <c r="L43" s="36" t="s">
        <v>71</v>
      </c>
      <c r="M43" s="36" t="s">
        <v>71</v>
      </c>
      <c r="N43" s="36" t="s">
        <v>71</v>
      </c>
      <c r="O43" s="36" t="s">
        <v>71</v>
      </c>
      <c r="P43" s="36" t="s">
        <v>71</v>
      </c>
      <c r="Q43" s="36" t="s">
        <v>71</v>
      </c>
      <c r="R43" s="36" t="s">
        <v>71</v>
      </c>
      <c r="S43" s="36" t="s">
        <v>71</v>
      </c>
      <c r="T43" s="36" t="s">
        <v>71</v>
      </c>
      <c r="U43" s="36" t="s">
        <v>71</v>
      </c>
      <c r="V43" s="36" t="s">
        <v>71</v>
      </c>
      <c r="W43" s="36" t="s">
        <v>71</v>
      </c>
      <c r="X43" s="36" t="s">
        <v>71</v>
      </c>
      <c r="Y43" s="36" t="s">
        <v>71</v>
      </c>
      <c r="Z43" s="36" t="s">
        <v>71</v>
      </c>
      <c r="AA43" s="36" t="s">
        <v>71</v>
      </c>
      <c r="AB43" s="36" t="s">
        <v>71</v>
      </c>
      <c r="AC43" s="36" t="s">
        <v>71</v>
      </c>
      <c r="AD43" s="36" t="s">
        <v>71</v>
      </c>
      <c r="AE43" s="36" t="s">
        <v>71</v>
      </c>
      <c r="AF43" s="36" t="s">
        <v>71</v>
      </c>
      <c r="AG43" s="36" t="s">
        <v>71</v>
      </c>
      <c r="AH43" s="36" t="s">
        <v>71</v>
      </c>
      <c r="AI43" s="36" t="s">
        <v>71</v>
      </c>
      <c r="AJ43" s="25"/>
      <c r="AL43" t="str">
        <f t="shared" ca="1" si="0"/>
        <v xml:space="preserve">    (U1)ALERT_REQ_H_XMGRIP_BC_</v>
      </c>
      <c r="AR43" s="64" t="str">
        <f t="shared" si="3"/>
        <v/>
      </c>
      <c r="AS43" s="64" t="str">
        <f t="shared" si="4"/>
        <v/>
      </c>
      <c r="AT43" s="64" t="str">
        <f t="shared" si="1"/>
        <v/>
      </c>
    </row>
    <row r="44" spans="2:46">
      <c r="B44" s="131"/>
      <c r="C44" s="50">
        <f t="shared" si="2"/>
        <v>38</v>
      </c>
      <c r="D44" s="36" t="s">
        <v>71</v>
      </c>
      <c r="E44" s="36" t="s">
        <v>71</v>
      </c>
      <c r="F44" s="36" t="s">
        <v>71</v>
      </c>
      <c r="G44" s="36" t="s">
        <v>71</v>
      </c>
      <c r="H44" s="36" t="s">
        <v>71</v>
      </c>
      <c r="I44" s="36" t="s">
        <v>71</v>
      </c>
      <c r="J44" s="36" t="s">
        <v>71</v>
      </c>
      <c r="K44" s="36" t="s">
        <v>71</v>
      </c>
      <c r="L44" s="36" t="s">
        <v>71</v>
      </c>
      <c r="M44" s="36" t="s">
        <v>71</v>
      </c>
      <c r="N44" s="36" t="s">
        <v>71</v>
      </c>
      <c r="O44" s="36" t="s">
        <v>71</v>
      </c>
      <c r="P44" s="36" t="s">
        <v>71</v>
      </c>
      <c r="Q44" s="36" t="s">
        <v>71</v>
      </c>
      <c r="R44" s="36" t="s">
        <v>71</v>
      </c>
      <c r="S44" s="36" t="s">
        <v>71</v>
      </c>
      <c r="T44" s="36" t="s">
        <v>71</v>
      </c>
      <c r="U44" s="36" t="s">
        <v>71</v>
      </c>
      <c r="V44" s="36" t="s">
        <v>71</v>
      </c>
      <c r="W44" s="36" t="s">
        <v>71</v>
      </c>
      <c r="X44" s="36" t="s">
        <v>71</v>
      </c>
      <c r="Y44" s="36" t="s">
        <v>71</v>
      </c>
      <c r="Z44" s="36" t="s">
        <v>71</v>
      </c>
      <c r="AA44" s="36" t="s">
        <v>71</v>
      </c>
      <c r="AB44" s="36" t="s">
        <v>71</v>
      </c>
      <c r="AC44" s="36" t="s">
        <v>71</v>
      </c>
      <c r="AD44" s="36" t="s">
        <v>71</v>
      </c>
      <c r="AE44" s="36" t="s">
        <v>71</v>
      </c>
      <c r="AF44" s="36" t="s">
        <v>71</v>
      </c>
      <c r="AG44" s="36" t="s">
        <v>71</v>
      </c>
      <c r="AH44" s="36" t="s">
        <v>71</v>
      </c>
      <c r="AI44" s="36" t="s">
        <v>71</v>
      </c>
      <c r="AJ44" s="25"/>
      <c r="AL44" t="str">
        <f t="shared" ca="1" si="0"/>
        <v xml:space="preserve">    (U1)ALERT_REQ_H_XMGRIP_BC_</v>
      </c>
      <c r="AR44" s="64" t="str">
        <f t="shared" si="3"/>
        <v/>
      </c>
      <c r="AS44" s="64" t="str">
        <f t="shared" si="4"/>
        <v/>
      </c>
      <c r="AT44" s="64" t="str">
        <f t="shared" si="1"/>
        <v/>
      </c>
    </row>
    <row r="45" spans="2:46">
      <c r="B45" s="131"/>
      <c r="C45" s="50">
        <f t="shared" si="2"/>
        <v>39</v>
      </c>
      <c r="D45" s="36" t="s">
        <v>71</v>
      </c>
      <c r="E45" s="36" t="s">
        <v>71</v>
      </c>
      <c r="F45" s="36" t="s">
        <v>71</v>
      </c>
      <c r="G45" s="36" t="s">
        <v>71</v>
      </c>
      <c r="H45" s="36" t="s">
        <v>71</v>
      </c>
      <c r="I45" s="36" t="s">
        <v>71</v>
      </c>
      <c r="J45" s="36" t="s">
        <v>71</v>
      </c>
      <c r="K45" s="36" t="s">
        <v>71</v>
      </c>
      <c r="L45" s="36" t="s">
        <v>71</v>
      </c>
      <c r="M45" s="36" t="s">
        <v>71</v>
      </c>
      <c r="N45" s="36" t="s">
        <v>71</v>
      </c>
      <c r="O45" s="36" t="s">
        <v>71</v>
      </c>
      <c r="P45" s="36" t="s">
        <v>71</v>
      </c>
      <c r="Q45" s="36" t="s">
        <v>71</v>
      </c>
      <c r="R45" s="36" t="s">
        <v>71</v>
      </c>
      <c r="S45" s="36" t="s">
        <v>71</v>
      </c>
      <c r="T45" s="36" t="s">
        <v>71</v>
      </c>
      <c r="U45" s="36" t="s">
        <v>71</v>
      </c>
      <c r="V45" s="36" t="s">
        <v>71</v>
      </c>
      <c r="W45" s="36" t="s">
        <v>71</v>
      </c>
      <c r="X45" s="36" t="s">
        <v>71</v>
      </c>
      <c r="Y45" s="36" t="s">
        <v>71</v>
      </c>
      <c r="Z45" s="36" t="s">
        <v>71</v>
      </c>
      <c r="AA45" s="36" t="s">
        <v>71</v>
      </c>
      <c r="AB45" s="36" t="s">
        <v>71</v>
      </c>
      <c r="AC45" s="36" t="s">
        <v>71</v>
      </c>
      <c r="AD45" s="36" t="s">
        <v>71</v>
      </c>
      <c r="AE45" s="36" t="s">
        <v>71</v>
      </c>
      <c r="AF45" s="36" t="s">
        <v>71</v>
      </c>
      <c r="AG45" s="36" t="s">
        <v>71</v>
      </c>
      <c r="AH45" s="36" t="s">
        <v>71</v>
      </c>
      <c r="AI45" s="36" t="s">
        <v>71</v>
      </c>
      <c r="AJ45" s="25"/>
      <c r="AL45" t="str">
        <f t="shared" ca="1" si="0"/>
        <v xml:space="preserve">    (U1)ALERT_REQ_H_XMGRIP_BC_</v>
      </c>
      <c r="AR45" s="64" t="str">
        <f t="shared" si="3"/>
        <v/>
      </c>
      <c r="AS45" s="64" t="str">
        <f t="shared" si="4"/>
        <v/>
      </c>
      <c r="AT45" s="64" t="str">
        <f t="shared" si="1"/>
        <v/>
      </c>
    </row>
    <row r="46" spans="2:46">
      <c r="B46" s="131"/>
      <c r="C46" s="50">
        <f t="shared" si="2"/>
        <v>40</v>
      </c>
      <c r="D46" s="36" t="s">
        <v>71</v>
      </c>
      <c r="E46" s="36" t="s">
        <v>71</v>
      </c>
      <c r="F46" s="36" t="s">
        <v>71</v>
      </c>
      <c r="G46" s="36" t="s">
        <v>71</v>
      </c>
      <c r="H46" s="36" t="s">
        <v>71</v>
      </c>
      <c r="I46" s="36" t="s">
        <v>71</v>
      </c>
      <c r="J46" s="36" t="s">
        <v>71</v>
      </c>
      <c r="K46" s="36" t="s">
        <v>71</v>
      </c>
      <c r="L46" s="36" t="s">
        <v>71</v>
      </c>
      <c r="M46" s="36" t="s">
        <v>71</v>
      </c>
      <c r="N46" s="36" t="s">
        <v>71</v>
      </c>
      <c r="O46" s="36" t="s">
        <v>71</v>
      </c>
      <c r="P46" s="36" t="s">
        <v>71</v>
      </c>
      <c r="Q46" s="36" t="s">
        <v>71</v>
      </c>
      <c r="R46" s="36" t="s">
        <v>71</v>
      </c>
      <c r="S46" s="36" t="s">
        <v>71</v>
      </c>
      <c r="T46" s="36" t="s">
        <v>71</v>
      </c>
      <c r="U46" s="36" t="s">
        <v>71</v>
      </c>
      <c r="V46" s="36" t="s">
        <v>71</v>
      </c>
      <c r="W46" s="36" t="s">
        <v>71</v>
      </c>
      <c r="X46" s="36" t="s">
        <v>71</v>
      </c>
      <c r="Y46" s="36" t="s">
        <v>71</v>
      </c>
      <c r="Z46" s="36" t="s">
        <v>71</v>
      </c>
      <c r="AA46" s="36" t="s">
        <v>71</v>
      </c>
      <c r="AB46" s="36" t="s">
        <v>71</v>
      </c>
      <c r="AC46" s="36" t="s">
        <v>71</v>
      </c>
      <c r="AD46" s="36" t="s">
        <v>71</v>
      </c>
      <c r="AE46" s="36" t="s">
        <v>71</v>
      </c>
      <c r="AF46" s="36" t="s">
        <v>71</v>
      </c>
      <c r="AG46" s="36" t="s">
        <v>71</v>
      </c>
      <c r="AH46" s="36" t="s">
        <v>71</v>
      </c>
      <c r="AI46" s="36" t="s">
        <v>71</v>
      </c>
      <c r="AJ46" s="25"/>
      <c r="AL46" t="str">
        <f t="shared" ca="1" si="0"/>
        <v xml:space="preserve">    (U1)ALERT_REQ_H_XMGRIP_BC_</v>
      </c>
      <c r="AR46" s="64" t="str">
        <f t="shared" si="3"/>
        <v/>
      </c>
      <c r="AS46" s="64" t="str">
        <f t="shared" si="4"/>
        <v/>
      </c>
      <c r="AT46" s="64" t="str">
        <f t="shared" si="1"/>
        <v/>
      </c>
    </row>
    <row r="47" spans="2:46">
      <c r="B47" s="131"/>
      <c r="C47" s="50">
        <f t="shared" si="2"/>
        <v>41</v>
      </c>
      <c r="D47" s="36" t="s">
        <v>71</v>
      </c>
      <c r="E47" s="36" t="s">
        <v>71</v>
      </c>
      <c r="F47" s="36" t="s">
        <v>71</v>
      </c>
      <c r="G47" s="36" t="s">
        <v>71</v>
      </c>
      <c r="H47" s="36" t="s">
        <v>71</v>
      </c>
      <c r="I47" s="36" t="s">
        <v>71</v>
      </c>
      <c r="J47" s="36" t="s">
        <v>71</v>
      </c>
      <c r="K47" s="36" t="s">
        <v>71</v>
      </c>
      <c r="L47" s="36" t="s">
        <v>71</v>
      </c>
      <c r="M47" s="36" t="s">
        <v>71</v>
      </c>
      <c r="N47" s="36" t="s">
        <v>71</v>
      </c>
      <c r="O47" s="36" t="s">
        <v>71</v>
      </c>
      <c r="P47" s="36" t="s">
        <v>71</v>
      </c>
      <c r="Q47" s="36" t="s">
        <v>71</v>
      </c>
      <c r="R47" s="36" t="s">
        <v>71</v>
      </c>
      <c r="S47" s="36" t="s">
        <v>71</v>
      </c>
      <c r="T47" s="36" t="s">
        <v>71</v>
      </c>
      <c r="U47" s="36" t="s">
        <v>71</v>
      </c>
      <c r="V47" s="36" t="s">
        <v>71</v>
      </c>
      <c r="W47" s="36" t="s">
        <v>71</v>
      </c>
      <c r="X47" s="36" t="s">
        <v>71</v>
      </c>
      <c r="Y47" s="36" t="s">
        <v>71</v>
      </c>
      <c r="Z47" s="36" t="s">
        <v>71</v>
      </c>
      <c r="AA47" s="36" t="s">
        <v>71</v>
      </c>
      <c r="AB47" s="36" t="s">
        <v>71</v>
      </c>
      <c r="AC47" s="36" t="s">
        <v>71</v>
      </c>
      <c r="AD47" s="36" t="s">
        <v>71</v>
      </c>
      <c r="AE47" s="36" t="s">
        <v>71</v>
      </c>
      <c r="AF47" s="36" t="s">
        <v>71</v>
      </c>
      <c r="AG47" s="36" t="s">
        <v>71</v>
      </c>
      <c r="AH47" s="36" t="s">
        <v>71</v>
      </c>
      <c r="AI47" s="36" t="s">
        <v>71</v>
      </c>
      <c r="AJ47" s="25"/>
      <c r="AL47" t="str">
        <f t="shared" ca="1" si="0"/>
        <v xml:space="preserve">    (U1)ALERT_REQ_H_XMGRIP_BC_</v>
      </c>
      <c r="AR47" s="64" t="str">
        <f t="shared" si="3"/>
        <v/>
      </c>
      <c r="AS47" s="64" t="str">
        <f t="shared" si="4"/>
        <v/>
      </c>
      <c r="AT47" s="64" t="str">
        <f t="shared" si="1"/>
        <v/>
      </c>
    </row>
    <row r="48" spans="2:46">
      <c r="B48" s="131"/>
      <c r="C48" s="50">
        <f t="shared" si="2"/>
        <v>42</v>
      </c>
      <c r="D48" s="36" t="s">
        <v>71</v>
      </c>
      <c r="E48" s="36" t="s">
        <v>71</v>
      </c>
      <c r="F48" s="36" t="s">
        <v>71</v>
      </c>
      <c r="G48" s="36" t="s">
        <v>71</v>
      </c>
      <c r="H48" s="36" t="s">
        <v>71</v>
      </c>
      <c r="I48" s="36" t="s">
        <v>71</v>
      </c>
      <c r="J48" s="36" t="s">
        <v>71</v>
      </c>
      <c r="K48" s="36" t="s">
        <v>71</v>
      </c>
      <c r="L48" s="36" t="s">
        <v>71</v>
      </c>
      <c r="M48" s="36" t="s">
        <v>71</v>
      </c>
      <c r="N48" s="36" t="s">
        <v>71</v>
      </c>
      <c r="O48" s="36" t="s">
        <v>71</v>
      </c>
      <c r="P48" s="36" t="s">
        <v>71</v>
      </c>
      <c r="Q48" s="36" t="s">
        <v>71</v>
      </c>
      <c r="R48" s="36" t="s">
        <v>71</v>
      </c>
      <c r="S48" s="36" t="s">
        <v>71</v>
      </c>
      <c r="T48" s="36" t="s">
        <v>71</v>
      </c>
      <c r="U48" s="36" t="s">
        <v>71</v>
      </c>
      <c r="V48" s="36" t="s">
        <v>71</v>
      </c>
      <c r="W48" s="36" t="s">
        <v>71</v>
      </c>
      <c r="X48" s="36" t="s">
        <v>71</v>
      </c>
      <c r="Y48" s="36" t="s">
        <v>71</v>
      </c>
      <c r="Z48" s="36" t="s">
        <v>71</v>
      </c>
      <c r="AA48" s="36" t="s">
        <v>71</v>
      </c>
      <c r="AB48" s="36" t="s">
        <v>71</v>
      </c>
      <c r="AC48" s="36" t="s">
        <v>71</v>
      </c>
      <c r="AD48" s="36" t="s">
        <v>71</v>
      </c>
      <c r="AE48" s="36" t="s">
        <v>71</v>
      </c>
      <c r="AF48" s="36" t="s">
        <v>71</v>
      </c>
      <c r="AG48" s="36" t="s">
        <v>71</v>
      </c>
      <c r="AH48" s="36" t="s">
        <v>71</v>
      </c>
      <c r="AI48" s="36" t="s">
        <v>71</v>
      </c>
      <c r="AJ48" s="25"/>
      <c r="AL48" t="str">
        <f t="shared" ca="1" si="0"/>
        <v xml:space="preserve">    (U1)ALERT_REQ_H_XMGRIP_BC_</v>
      </c>
      <c r="AR48" s="64" t="str">
        <f t="shared" si="3"/>
        <v/>
      </c>
      <c r="AS48" s="64" t="str">
        <f t="shared" si="4"/>
        <v/>
      </c>
      <c r="AT48" s="64" t="str">
        <f t="shared" si="1"/>
        <v/>
      </c>
    </row>
    <row r="49" spans="2:46">
      <c r="B49" s="131"/>
      <c r="C49" s="50">
        <f t="shared" si="2"/>
        <v>43</v>
      </c>
      <c r="D49" s="36" t="s">
        <v>71</v>
      </c>
      <c r="E49" s="36" t="s">
        <v>71</v>
      </c>
      <c r="F49" s="36" t="s">
        <v>71</v>
      </c>
      <c r="G49" s="36" t="s">
        <v>71</v>
      </c>
      <c r="H49" s="36" t="s">
        <v>71</v>
      </c>
      <c r="I49" s="36" t="s">
        <v>71</v>
      </c>
      <c r="J49" s="36" t="s">
        <v>71</v>
      </c>
      <c r="K49" s="36" t="s">
        <v>71</v>
      </c>
      <c r="L49" s="36" t="s">
        <v>71</v>
      </c>
      <c r="M49" s="36" t="s">
        <v>71</v>
      </c>
      <c r="N49" s="36" t="s">
        <v>71</v>
      </c>
      <c r="O49" s="36" t="s">
        <v>71</v>
      </c>
      <c r="P49" s="36" t="s">
        <v>71</v>
      </c>
      <c r="Q49" s="36" t="s">
        <v>71</v>
      </c>
      <c r="R49" s="36" t="s">
        <v>71</v>
      </c>
      <c r="S49" s="36" t="s">
        <v>71</v>
      </c>
      <c r="T49" s="36" t="s">
        <v>71</v>
      </c>
      <c r="U49" s="36" t="s">
        <v>71</v>
      </c>
      <c r="V49" s="36" t="s">
        <v>71</v>
      </c>
      <c r="W49" s="36" t="s">
        <v>71</v>
      </c>
      <c r="X49" s="36" t="s">
        <v>71</v>
      </c>
      <c r="Y49" s="36" t="s">
        <v>71</v>
      </c>
      <c r="Z49" s="36" t="s">
        <v>71</v>
      </c>
      <c r="AA49" s="36" t="s">
        <v>71</v>
      </c>
      <c r="AB49" s="36" t="s">
        <v>71</v>
      </c>
      <c r="AC49" s="36" t="s">
        <v>71</v>
      </c>
      <c r="AD49" s="36" t="s">
        <v>71</v>
      </c>
      <c r="AE49" s="36" t="s">
        <v>71</v>
      </c>
      <c r="AF49" s="36" t="s">
        <v>71</v>
      </c>
      <c r="AG49" s="36" t="s">
        <v>71</v>
      </c>
      <c r="AH49" s="36" t="s">
        <v>71</v>
      </c>
      <c r="AI49" s="36" t="s">
        <v>71</v>
      </c>
      <c r="AJ49" s="25"/>
      <c r="AL49" t="str">
        <f t="shared" ca="1" si="0"/>
        <v xml:space="preserve">    (U1)ALERT_REQ_H_XMGRIP_BC_</v>
      </c>
      <c r="AR49" s="64" t="str">
        <f t="shared" si="3"/>
        <v/>
      </c>
      <c r="AS49" s="64" t="str">
        <f t="shared" si="4"/>
        <v/>
      </c>
      <c r="AT49" s="64" t="str">
        <f t="shared" si="1"/>
        <v/>
      </c>
    </row>
    <row r="50" spans="2:46">
      <c r="B50" s="131"/>
      <c r="C50" s="50">
        <f t="shared" si="2"/>
        <v>44</v>
      </c>
      <c r="D50" s="36" t="s">
        <v>71</v>
      </c>
      <c r="E50" s="36" t="s">
        <v>71</v>
      </c>
      <c r="F50" s="36" t="s">
        <v>71</v>
      </c>
      <c r="G50" s="36" t="s">
        <v>71</v>
      </c>
      <c r="H50" s="36" t="s">
        <v>71</v>
      </c>
      <c r="I50" s="36" t="s">
        <v>71</v>
      </c>
      <c r="J50" s="36" t="s">
        <v>71</v>
      </c>
      <c r="K50" s="36" t="s">
        <v>71</v>
      </c>
      <c r="L50" s="36" t="s">
        <v>71</v>
      </c>
      <c r="M50" s="36" t="s">
        <v>71</v>
      </c>
      <c r="N50" s="36" t="s">
        <v>71</v>
      </c>
      <c r="O50" s="36" t="s">
        <v>71</v>
      </c>
      <c r="P50" s="36" t="s">
        <v>71</v>
      </c>
      <c r="Q50" s="36" t="s">
        <v>71</v>
      </c>
      <c r="R50" s="36" t="s">
        <v>71</v>
      </c>
      <c r="S50" s="36" t="s">
        <v>71</v>
      </c>
      <c r="T50" s="36" t="s">
        <v>71</v>
      </c>
      <c r="U50" s="36" t="s">
        <v>71</v>
      </c>
      <c r="V50" s="36" t="s">
        <v>71</v>
      </c>
      <c r="W50" s="36" t="s">
        <v>71</v>
      </c>
      <c r="X50" s="36" t="s">
        <v>71</v>
      </c>
      <c r="Y50" s="36" t="s">
        <v>71</v>
      </c>
      <c r="Z50" s="36" t="s">
        <v>71</v>
      </c>
      <c r="AA50" s="36" t="s">
        <v>71</v>
      </c>
      <c r="AB50" s="36" t="s">
        <v>71</v>
      </c>
      <c r="AC50" s="36" t="s">
        <v>71</v>
      </c>
      <c r="AD50" s="36" t="s">
        <v>71</v>
      </c>
      <c r="AE50" s="36" t="s">
        <v>71</v>
      </c>
      <c r="AF50" s="36" t="s">
        <v>71</v>
      </c>
      <c r="AG50" s="36" t="s">
        <v>71</v>
      </c>
      <c r="AH50" s="36" t="s">
        <v>71</v>
      </c>
      <c r="AI50" s="36" t="s">
        <v>71</v>
      </c>
      <c r="AJ50" s="25"/>
      <c r="AL50" t="str">
        <f t="shared" ca="1" si="0"/>
        <v xml:space="preserve">    (U1)ALERT_REQ_H_XMGRIP_BC_</v>
      </c>
      <c r="AR50" s="64" t="str">
        <f t="shared" si="3"/>
        <v/>
      </c>
      <c r="AS50" s="64" t="str">
        <f t="shared" si="4"/>
        <v/>
      </c>
      <c r="AT50" s="64" t="str">
        <f t="shared" si="1"/>
        <v/>
      </c>
    </row>
    <row r="51" spans="2:46">
      <c r="B51" s="131"/>
      <c r="C51" s="50">
        <f t="shared" si="2"/>
        <v>45</v>
      </c>
      <c r="D51" s="36" t="s">
        <v>71</v>
      </c>
      <c r="E51" s="36" t="s">
        <v>71</v>
      </c>
      <c r="F51" s="36" t="s">
        <v>71</v>
      </c>
      <c r="G51" s="36" t="s">
        <v>71</v>
      </c>
      <c r="H51" s="36" t="s">
        <v>71</v>
      </c>
      <c r="I51" s="36" t="s">
        <v>71</v>
      </c>
      <c r="J51" s="36" t="s">
        <v>71</v>
      </c>
      <c r="K51" s="36" t="s">
        <v>71</v>
      </c>
      <c r="L51" s="36" t="s">
        <v>71</v>
      </c>
      <c r="M51" s="36" t="s">
        <v>71</v>
      </c>
      <c r="N51" s="36" t="s">
        <v>71</v>
      </c>
      <c r="O51" s="36" t="s">
        <v>71</v>
      </c>
      <c r="P51" s="36" t="s">
        <v>71</v>
      </c>
      <c r="Q51" s="36" t="s">
        <v>71</v>
      </c>
      <c r="R51" s="36" t="s">
        <v>71</v>
      </c>
      <c r="S51" s="36" t="s">
        <v>71</v>
      </c>
      <c r="T51" s="36" t="s">
        <v>71</v>
      </c>
      <c r="U51" s="36" t="s">
        <v>71</v>
      </c>
      <c r="V51" s="36" t="s">
        <v>71</v>
      </c>
      <c r="W51" s="36" t="s">
        <v>71</v>
      </c>
      <c r="X51" s="36" t="s">
        <v>71</v>
      </c>
      <c r="Y51" s="36" t="s">
        <v>71</v>
      </c>
      <c r="Z51" s="36" t="s">
        <v>71</v>
      </c>
      <c r="AA51" s="36" t="s">
        <v>71</v>
      </c>
      <c r="AB51" s="36" t="s">
        <v>71</v>
      </c>
      <c r="AC51" s="36" t="s">
        <v>71</v>
      </c>
      <c r="AD51" s="36" t="s">
        <v>71</v>
      </c>
      <c r="AE51" s="36" t="s">
        <v>71</v>
      </c>
      <c r="AF51" s="36" t="s">
        <v>71</v>
      </c>
      <c r="AG51" s="36" t="s">
        <v>71</v>
      </c>
      <c r="AH51" s="36" t="s">
        <v>71</v>
      </c>
      <c r="AI51" s="36" t="s">
        <v>71</v>
      </c>
      <c r="AJ51" s="25"/>
      <c r="AL51" t="str">
        <f t="shared" ca="1" si="0"/>
        <v xml:space="preserve">    (U1)ALERT_REQ_H_XMGRIP_BC_</v>
      </c>
      <c r="AR51" s="64" t="str">
        <f t="shared" si="3"/>
        <v/>
      </c>
      <c r="AS51" s="64" t="str">
        <f t="shared" si="4"/>
        <v/>
      </c>
      <c r="AT51" s="64" t="str">
        <f t="shared" si="1"/>
        <v/>
      </c>
    </row>
    <row r="52" spans="2:46">
      <c r="B52" s="131"/>
      <c r="C52" s="50">
        <f t="shared" si="2"/>
        <v>46</v>
      </c>
      <c r="D52" s="36" t="s">
        <v>71</v>
      </c>
      <c r="E52" s="36" t="s">
        <v>71</v>
      </c>
      <c r="F52" s="36" t="s">
        <v>71</v>
      </c>
      <c r="G52" s="36" t="s">
        <v>71</v>
      </c>
      <c r="H52" s="36" t="s">
        <v>71</v>
      </c>
      <c r="I52" s="36" t="s">
        <v>71</v>
      </c>
      <c r="J52" s="36" t="s">
        <v>71</v>
      </c>
      <c r="K52" s="36" t="s">
        <v>71</v>
      </c>
      <c r="L52" s="36" t="s">
        <v>71</v>
      </c>
      <c r="M52" s="36" t="s">
        <v>71</v>
      </c>
      <c r="N52" s="36" t="s">
        <v>71</v>
      </c>
      <c r="O52" s="36" t="s">
        <v>71</v>
      </c>
      <c r="P52" s="36" t="s">
        <v>71</v>
      </c>
      <c r="Q52" s="36" t="s">
        <v>71</v>
      </c>
      <c r="R52" s="36" t="s">
        <v>71</v>
      </c>
      <c r="S52" s="36" t="s">
        <v>71</v>
      </c>
      <c r="T52" s="36" t="s">
        <v>71</v>
      </c>
      <c r="U52" s="36" t="s">
        <v>71</v>
      </c>
      <c r="V52" s="36" t="s">
        <v>71</v>
      </c>
      <c r="W52" s="36" t="s">
        <v>71</v>
      </c>
      <c r="X52" s="36" t="s">
        <v>71</v>
      </c>
      <c r="Y52" s="36" t="s">
        <v>71</v>
      </c>
      <c r="Z52" s="36" t="s">
        <v>71</v>
      </c>
      <c r="AA52" s="36" t="s">
        <v>71</v>
      </c>
      <c r="AB52" s="36" t="s">
        <v>71</v>
      </c>
      <c r="AC52" s="36" t="s">
        <v>71</v>
      </c>
      <c r="AD52" s="36" t="s">
        <v>71</v>
      </c>
      <c r="AE52" s="36" t="s">
        <v>71</v>
      </c>
      <c r="AF52" s="36" t="s">
        <v>71</v>
      </c>
      <c r="AG52" s="36" t="s">
        <v>71</v>
      </c>
      <c r="AH52" s="36" t="s">
        <v>71</v>
      </c>
      <c r="AI52" s="36" t="s">
        <v>71</v>
      </c>
      <c r="AJ52" s="25"/>
      <c r="AL52" t="str">
        <f t="shared" ca="1" si="0"/>
        <v xml:space="preserve">    (U1)ALERT_REQ_H_XMGRIP_BC_</v>
      </c>
      <c r="AR52" s="64" t="str">
        <f t="shared" si="3"/>
        <v/>
      </c>
      <c r="AS52" s="64" t="str">
        <f t="shared" si="4"/>
        <v/>
      </c>
      <c r="AT52" s="64" t="str">
        <f t="shared" si="1"/>
        <v/>
      </c>
    </row>
    <row r="53" spans="2:46">
      <c r="B53" s="131"/>
      <c r="C53" s="50">
        <f t="shared" si="2"/>
        <v>47</v>
      </c>
      <c r="D53" s="36" t="s">
        <v>71</v>
      </c>
      <c r="E53" s="36" t="s">
        <v>71</v>
      </c>
      <c r="F53" s="36" t="s">
        <v>71</v>
      </c>
      <c r="G53" s="36" t="s">
        <v>71</v>
      </c>
      <c r="H53" s="36" t="s">
        <v>71</v>
      </c>
      <c r="I53" s="36" t="s">
        <v>71</v>
      </c>
      <c r="J53" s="36" t="s">
        <v>71</v>
      </c>
      <c r="K53" s="36" t="s">
        <v>71</v>
      </c>
      <c r="L53" s="36" t="s">
        <v>71</v>
      </c>
      <c r="M53" s="36" t="s">
        <v>71</v>
      </c>
      <c r="N53" s="36" t="s">
        <v>71</v>
      </c>
      <c r="O53" s="36" t="s">
        <v>71</v>
      </c>
      <c r="P53" s="36" t="s">
        <v>71</v>
      </c>
      <c r="Q53" s="36" t="s">
        <v>71</v>
      </c>
      <c r="R53" s="36" t="s">
        <v>71</v>
      </c>
      <c r="S53" s="36" t="s">
        <v>71</v>
      </c>
      <c r="T53" s="36" t="s">
        <v>71</v>
      </c>
      <c r="U53" s="36" t="s">
        <v>71</v>
      </c>
      <c r="V53" s="36" t="s">
        <v>71</v>
      </c>
      <c r="W53" s="36" t="s">
        <v>71</v>
      </c>
      <c r="X53" s="36" t="s">
        <v>71</v>
      </c>
      <c r="Y53" s="36" t="s">
        <v>71</v>
      </c>
      <c r="Z53" s="36" t="s">
        <v>71</v>
      </c>
      <c r="AA53" s="36" t="s">
        <v>71</v>
      </c>
      <c r="AB53" s="36" t="s">
        <v>71</v>
      </c>
      <c r="AC53" s="36" t="s">
        <v>71</v>
      </c>
      <c r="AD53" s="36" t="s">
        <v>71</v>
      </c>
      <c r="AE53" s="36" t="s">
        <v>71</v>
      </c>
      <c r="AF53" s="36" t="s">
        <v>71</v>
      </c>
      <c r="AG53" s="36" t="s">
        <v>71</v>
      </c>
      <c r="AH53" s="36" t="s">
        <v>71</v>
      </c>
      <c r="AI53" s="36" t="s">
        <v>71</v>
      </c>
      <c r="AJ53" s="25"/>
      <c r="AL53" t="str">
        <f t="shared" ca="1" si="0"/>
        <v xml:space="preserve">    (U1)ALERT_REQ_H_XMGRIP_BC_</v>
      </c>
      <c r="AR53" s="64" t="str">
        <f t="shared" si="3"/>
        <v/>
      </c>
      <c r="AS53" s="64" t="str">
        <f t="shared" si="4"/>
        <v/>
      </c>
      <c r="AT53" s="64" t="str">
        <f t="shared" si="1"/>
        <v/>
      </c>
    </row>
    <row r="54" spans="2:46">
      <c r="B54" s="131"/>
      <c r="C54" s="50">
        <f t="shared" si="2"/>
        <v>48</v>
      </c>
      <c r="D54" s="36" t="s">
        <v>71</v>
      </c>
      <c r="E54" s="36" t="s">
        <v>71</v>
      </c>
      <c r="F54" s="36" t="s">
        <v>71</v>
      </c>
      <c r="G54" s="36" t="s">
        <v>71</v>
      </c>
      <c r="H54" s="36" t="s">
        <v>71</v>
      </c>
      <c r="I54" s="36" t="s">
        <v>71</v>
      </c>
      <c r="J54" s="36" t="s">
        <v>71</v>
      </c>
      <c r="K54" s="36" t="s">
        <v>71</v>
      </c>
      <c r="L54" s="36" t="s">
        <v>71</v>
      </c>
      <c r="M54" s="36" t="s">
        <v>71</v>
      </c>
      <c r="N54" s="36" t="s">
        <v>71</v>
      </c>
      <c r="O54" s="36" t="s">
        <v>71</v>
      </c>
      <c r="P54" s="36" t="s">
        <v>71</v>
      </c>
      <c r="Q54" s="36" t="s">
        <v>71</v>
      </c>
      <c r="R54" s="36" t="s">
        <v>71</v>
      </c>
      <c r="S54" s="36" t="s">
        <v>71</v>
      </c>
      <c r="T54" s="36" t="s">
        <v>71</v>
      </c>
      <c r="U54" s="36" t="s">
        <v>71</v>
      </c>
      <c r="V54" s="36" t="s">
        <v>71</v>
      </c>
      <c r="W54" s="36" t="s">
        <v>71</v>
      </c>
      <c r="X54" s="36" t="s">
        <v>71</v>
      </c>
      <c r="Y54" s="36" t="s">
        <v>71</v>
      </c>
      <c r="Z54" s="36" t="s">
        <v>71</v>
      </c>
      <c r="AA54" s="36" t="s">
        <v>71</v>
      </c>
      <c r="AB54" s="36" t="s">
        <v>71</v>
      </c>
      <c r="AC54" s="36" t="s">
        <v>71</v>
      </c>
      <c r="AD54" s="36" t="s">
        <v>71</v>
      </c>
      <c r="AE54" s="36" t="s">
        <v>71</v>
      </c>
      <c r="AF54" s="36" t="s">
        <v>71</v>
      </c>
      <c r="AG54" s="36" t="s">
        <v>71</v>
      </c>
      <c r="AH54" s="36" t="s">
        <v>71</v>
      </c>
      <c r="AI54" s="36" t="s">
        <v>71</v>
      </c>
      <c r="AJ54" s="25"/>
      <c r="AL54" t="str">
        <f t="shared" ca="1" si="0"/>
        <v xml:space="preserve">    (U1)ALERT_REQ_H_XMGRIP_BC_</v>
      </c>
      <c r="AR54" s="64" t="str">
        <f t="shared" si="3"/>
        <v/>
      </c>
      <c r="AS54" s="64" t="str">
        <f t="shared" si="4"/>
        <v/>
      </c>
      <c r="AT54" s="64" t="str">
        <f t="shared" si="1"/>
        <v/>
      </c>
    </row>
    <row r="55" spans="2:46">
      <c r="B55" s="131"/>
      <c r="C55" s="50">
        <f t="shared" si="2"/>
        <v>49</v>
      </c>
      <c r="D55" s="36" t="s">
        <v>71</v>
      </c>
      <c r="E55" s="36" t="s">
        <v>71</v>
      </c>
      <c r="F55" s="36" t="s">
        <v>71</v>
      </c>
      <c r="G55" s="36" t="s">
        <v>71</v>
      </c>
      <c r="H55" s="36" t="s">
        <v>71</v>
      </c>
      <c r="I55" s="36" t="s">
        <v>71</v>
      </c>
      <c r="J55" s="36" t="s">
        <v>71</v>
      </c>
      <c r="K55" s="36" t="s">
        <v>71</v>
      </c>
      <c r="L55" s="36" t="s">
        <v>71</v>
      </c>
      <c r="M55" s="36" t="s">
        <v>71</v>
      </c>
      <c r="N55" s="36" t="s">
        <v>71</v>
      </c>
      <c r="O55" s="36" t="s">
        <v>71</v>
      </c>
      <c r="P55" s="36" t="s">
        <v>71</v>
      </c>
      <c r="Q55" s="36" t="s">
        <v>71</v>
      </c>
      <c r="R55" s="36" t="s">
        <v>71</v>
      </c>
      <c r="S55" s="36" t="s">
        <v>71</v>
      </c>
      <c r="T55" s="36" t="s">
        <v>71</v>
      </c>
      <c r="U55" s="36" t="s">
        <v>71</v>
      </c>
      <c r="V55" s="36" t="s">
        <v>71</v>
      </c>
      <c r="W55" s="36" t="s">
        <v>71</v>
      </c>
      <c r="X55" s="36" t="s">
        <v>71</v>
      </c>
      <c r="Y55" s="36" t="s">
        <v>71</v>
      </c>
      <c r="Z55" s="36" t="s">
        <v>71</v>
      </c>
      <c r="AA55" s="36" t="s">
        <v>71</v>
      </c>
      <c r="AB55" s="36" t="s">
        <v>71</v>
      </c>
      <c r="AC55" s="36" t="s">
        <v>71</v>
      </c>
      <c r="AD55" s="36" t="s">
        <v>71</v>
      </c>
      <c r="AE55" s="36" t="s">
        <v>71</v>
      </c>
      <c r="AF55" s="36" t="s">
        <v>71</v>
      </c>
      <c r="AG55" s="36" t="s">
        <v>71</v>
      </c>
      <c r="AH55" s="36" t="s">
        <v>71</v>
      </c>
      <c r="AI55" s="36" t="s">
        <v>71</v>
      </c>
      <c r="AJ55" s="25"/>
      <c r="AL55" t="str">
        <f t="shared" ca="1" si="0"/>
        <v xml:space="preserve">    (U1)ALERT_REQ_H_XMGRIP_BC_</v>
      </c>
      <c r="AR55" s="64" t="str">
        <f t="shared" si="3"/>
        <v/>
      </c>
      <c r="AS55" s="64" t="str">
        <f t="shared" si="4"/>
        <v/>
      </c>
      <c r="AT55" s="64" t="str">
        <f t="shared" si="1"/>
        <v/>
      </c>
    </row>
    <row r="56" spans="2:46">
      <c r="B56" s="131"/>
      <c r="C56" s="50">
        <f t="shared" si="2"/>
        <v>50</v>
      </c>
      <c r="D56" s="36" t="s">
        <v>71</v>
      </c>
      <c r="E56" s="36" t="s">
        <v>71</v>
      </c>
      <c r="F56" s="36" t="s">
        <v>71</v>
      </c>
      <c r="G56" s="36" t="s">
        <v>71</v>
      </c>
      <c r="H56" s="36" t="s">
        <v>71</v>
      </c>
      <c r="I56" s="36" t="s">
        <v>71</v>
      </c>
      <c r="J56" s="36" t="s">
        <v>71</v>
      </c>
      <c r="K56" s="36" t="s">
        <v>71</v>
      </c>
      <c r="L56" s="36" t="s">
        <v>71</v>
      </c>
      <c r="M56" s="36" t="s">
        <v>71</v>
      </c>
      <c r="N56" s="36" t="s">
        <v>71</v>
      </c>
      <c r="O56" s="36" t="s">
        <v>71</v>
      </c>
      <c r="P56" s="36" t="s">
        <v>71</v>
      </c>
      <c r="Q56" s="36" t="s">
        <v>71</v>
      </c>
      <c r="R56" s="36" t="s">
        <v>71</v>
      </c>
      <c r="S56" s="36" t="s">
        <v>71</v>
      </c>
      <c r="T56" s="36" t="s">
        <v>71</v>
      </c>
      <c r="U56" s="36" t="s">
        <v>71</v>
      </c>
      <c r="V56" s="36" t="s">
        <v>71</v>
      </c>
      <c r="W56" s="36" t="s">
        <v>71</v>
      </c>
      <c r="X56" s="36" t="s">
        <v>71</v>
      </c>
      <c r="Y56" s="36" t="s">
        <v>71</v>
      </c>
      <c r="Z56" s="36" t="s">
        <v>71</v>
      </c>
      <c r="AA56" s="36" t="s">
        <v>71</v>
      </c>
      <c r="AB56" s="36" t="s">
        <v>71</v>
      </c>
      <c r="AC56" s="36" t="s">
        <v>71</v>
      </c>
      <c r="AD56" s="36" t="s">
        <v>71</v>
      </c>
      <c r="AE56" s="36" t="s">
        <v>71</v>
      </c>
      <c r="AF56" s="36" t="s">
        <v>71</v>
      </c>
      <c r="AG56" s="36" t="s">
        <v>71</v>
      </c>
      <c r="AH56" s="36" t="s">
        <v>71</v>
      </c>
      <c r="AI56" s="36" t="s">
        <v>71</v>
      </c>
      <c r="AJ56" s="25"/>
      <c r="AL56" t="str">
        <f t="shared" ca="1" si="0"/>
        <v xml:space="preserve">    (U1)ALERT_REQ_H_XMGRIP_BC_</v>
      </c>
      <c r="AR56" s="64" t="str">
        <f t="shared" si="3"/>
        <v/>
      </c>
      <c r="AS56" s="64" t="str">
        <f t="shared" si="4"/>
        <v/>
      </c>
      <c r="AT56" s="64" t="str">
        <f t="shared" si="1"/>
        <v/>
      </c>
    </row>
    <row r="57" spans="2:46">
      <c r="B57" s="131"/>
      <c r="C57" s="50">
        <f t="shared" si="2"/>
        <v>51</v>
      </c>
      <c r="D57" s="36" t="s">
        <v>71</v>
      </c>
      <c r="E57" s="36" t="s">
        <v>71</v>
      </c>
      <c r="F57" s="36" t="s">
        <v>71</v>
      </c>
      <c r="G57" s="36" t="s">
        <v>71</v>
      </c>
      <c r="H57" s="36" t="s">
        <v>71</v>
      </c>
      <c r="I57" s="36" t="s">
        <v>71</v>
      </c>
      <c r="J57" s="36" t="s">
        <v>71</v>
      </c>
      <c r="K57" s="36" t="s">
        <v>71</v>
      </c>
      <c r="L57" s="36" t="s">
        <v>71</v>
      </c>
      <c r="M57" s="36" t="s">
        <v>71</v>
      </c>
      <c r="N57" s="36" t="s">
        <v>71</v>
      </c>
      <c r="O57" s="36" t="s">
        <v>71</v>
      </c>
      <c r="P57" s="36" t="s">
        <v>71</v>
      </c>
      <c r="Q57" s="36" t="s">
        <v>71</v>
      </c>
      <c r="R57" s="36" t="s">
        <v>71</v>
      </c>
      <c r="S57" s="36" t="s">
        <v>71</v>
      </c>
      <c r="T57" s="36" t="s">
        <v>71</v>
      </c>
      <c r="U57" s="36" t="s">
        <v>71</v>
      </c>
      <c r="V57" s="36" t="s">
        <v>71</v>
      </c>
      <c r="W57" s="36" t="s">
        <v>71</v>
      </c>
      <c r="X57" s="36" t="s">
        <v>71</v>
      </c>
      <c r="Y57" s="36" t="s">
        <v>71</v>
      </c>
      <c r="Z57" s="36" t="s">
        <v>71</v>
      </c>
      <c r="AA57" s="36" t="s">
        <v>71</v>
      </c>
      <c r="AB57" s="36" t="s">
        <v>71</v>
      </c>
      <c r="AC57" s="36" t="s">
        <v>71</v>
      </c>
      <c r="AD57" s="36" t="s">
        <v>71</v>
      </c>
      <c r="AE57" s="36" t="s">
        <v>71</v>
      </c>
      <c r="AF57" s="36" t="s">
        <v>71</v>
      </c>
      <c r="AG57" s="36" t="s">
        <v>71</v>
      </c>
      <c r="AH57" s="36" t="s">
        <v>71</v>
      </c>
      <c r="AI57" s="36" t="s">
        <v>71</v>
      </c>
      <c r="AJ57" s="25"/>
      <c r="AL57" t="str">
        <f t="shared" ca="1" si="0"/>
        <v xml:space="preserve">    (U1)ALERT_REQ_H_XMGRIP_BC_</v>
      </c>
      <c r="AR57" s="64" t="str">
        <f t="shared" si="3"/>
        <v/>
      </c>
      <c r="AS57" s="64" t="str">
        <f t="shared" si="4"/>
        <v/>
      </c>
      <c r="AT57" s="64" t="str">
        <f t="shared" si="1"/>
        <v/>
      </c>
    </row>
    <row r="58" spans="2:46">
      <c r="B58" s="131"/>
      <c r="C58" s="50">
        <f t="shared" si="2"/>
        <v>52</v>
      </c>
      <c r="D58" s="36" t="s">
        <v>71</v>
      </c>
      <c r="E58" s="36" t="s">
        <v>71</v>
      </c>
      <c r="F58" s="36" t="s">
        <v>71</v>
      </c>
      <c r="G58" s="36" t="s">
        <v>71</v>
      </c>
      <c r="H58" s="36" t="s">
        <v>71</v>
      </c>
      <c r="I58" s="36" t="s">
        <v>71</v>
      </c>
      <c r="J58" s="36" t="s">
        <v>71</v>
      </c>
      <c r="K58" s="36" t="s">
        <v>71</v>
      </c>
      <c r="L58" s="36" t="s">
        <v>71</v>
      </c>
      <c r="M58" s="36" t="s">
        <v>71</v>
      </c>
      <c r="N58" s="36" t="s">
        <v>71</v>
      </c>
      <c r="O58" s="36" t="s">
        <v>71</v>
      </c>
      <c r="P58" s="36" t="s">
        <v>71</v>
      </c>
      <c r="Q58" s="36" t="s">
        <v>71</v>
      </c>
      <c r="R58" s="36" t="s">
        <v>71</v>
      </c>
      <c r="S58" s="36" t="s">
        <v>71</v>
      </c>
      <c r="T58" s="36" t="s">
        <v>71</v>
      </c>
      <c r="U58" s="36" t="s">
        <v>71</v>
      </c>
      <c r="V58" s="36" t="s">
        <v>71</v>
      </c>
      <c r="W58" s="36" t="s">
        <v>71</v>
      </c>
      <c r="X58" s="36" t="s">
        <v>71</v>
      </c>
      <c r="Y58" s="36" t="s">
        <v>71</v>
      </c>
      <c r="Z58" s="36" t="s">
        <v>71</v>
      </c>
      <c r="AA58" s="36" t="s">
        <v>71</v>
      </c>
      <c r="AB58" s="36" t="s">
        <v>71</v>
      </c>
      <c r="AC58" s="36" t="s">
        <v>71</v>
      </c>
      <c r="AD58" s="36" t="s">
        <v>71</v>
      </c>
      <c r="AE58" s="36" t="s">
        <v>71</v>
      </c>
      <c r="AF58" s="36" t="s">
        <v>71</v>
      </c>
      <c r="AG58" s="36" t="s">
        <v>71</v>
      </c>
      <c r="AH58" s="36" t="s">
        <v>71</v>
      </c>
      <c r="AI58" s="36" t="s">
        <v>71</v>
      </c>
      <c r="AJ58" s="25"/>
      <c r="AL58" t="str">
        <f t="shared" ca="1" si="0"/>
        <v xml:space="preserve">    (U1)ALERT_REQ_H_XMGRIP_BC_</v>
      </c>
      <c r="AR58" s="64" t="str">
        <f t="shared" si="3"/>
        <v/>
      </c>
      <c r="AS58" s="64" t="str">
        <f t="shared" si="4"/>
        <v/>
      </c>
      <c r="AT58" s="64" t="str">
        <f t="shared" si="1"/>
        <v/>
      </c>
    </row>
    <row r="59" spans="2:46">
      <c r="B59" s="131"/>
      <c r="C59" s="50">
        <f t="shared" si="2"/>
        <v>53</v>
      </c>
      <c r="D59" s="36" t="s">
        <v>71</v>
      </c>
      <c r="E59" s="36" t="s">
        <v>71</v>
      </c>
      <c r="F59" s="36" t="s">
        <v>71</v>
      </c>
      <c r="G59" s="36" t="s">
        <v>71</v>
      </c>
      <c r="H59" s="36" t="s">
        <v>71</v>
      </c>
      <c r="I59" s="36" t="s">
        <v>71</v>
      </c>
      <c r="J59" s="36" t="s">
        <v>71</v>
      </c>
      <c r="K59" s="36" t="s">
        <v>71</v>
      </c>
      <c r="L59" s="36" t="s">
        <v>71</v>
      </c>
      <c r="M59" s="36" t="s">
        <v>71</v>
      </c>
      <c r="N59" s="36" t="s">
        <v>71</v>
      </c>
      <c r="O59" s="36" t="s">
        <v>71</v>
      </c>
      <c r="P59" s="36" t="s">
        <v>71</v>
      </c>
      <c r="Q59" s="36" t="s">
        <v>71</v>
      </c>
      <c r="R59" s="36" t="s">
        <v>71</v>
      </c>
      <c r="S59" s="36" t="s">
        <v>71</v>
      </c>
      <c r="T59" s="36" t="s">
        <v>71</v>
      </c>
      <c r="U59" s="36" t="s">
        <v>71</v>
      </c>
      <c r="V59" s="36" t="s">
        <v>71</v>
      </c>
      <c r="W59" s="36" t="s">
        <v>71</v>
      </c>
      <c r="X59" s="36" t="s">
        <v>71</v>
      </c>
      <c r="Y59" s="36" t="s">
        <v>71</v>
      </c>
      <c r="Z59" s="36" t="s">
        <v>71</v>
      </c>
      <c r="AA59" s="36" t="s">
        <v>71</v>
      </c>
      <c r="AB59" s="36" t="s">
        <v>71</v>
      </c>
      <c r="AC59" s="36" t="s">
        <v>71</v>
      </c>
      <c r="AD59" s="36" t="s">
        <v>71</v>
      </c>
      <c r="AE59" s="36" t="s">
        <v>71</v>
      </c>
      <c r="AF59" s="36" t="s">
        <v>71</v>
      </c>
      <c r="AG59" s="36" t="s">
        <v>71</v>
      </c>
      <c r="AH59" s="36" t="s">
        <v>71</v>
      </c>
      <c r="AI59" s="36" t="s">
        <v>71</v>
      </c>
      <c r="AJ59" s="25"/>
      <c r="AL59" t="str">
        <f t="shared" ca="1" si="0"/>
        <v xml:space="preserve">    (U1)ALERT_REQ_H_XMGRIP_BC_</v>
      </c>
      <c r="AR59" s="64" t="str">
        <f t="shared" si="3"/>
        <v/>
      </c>
      <c r="AS59" s="64" t="str">
        <f t="shared" si="4"/>
        <v/>
      </c>
      <c r="AT59" s="64" t="str">
        <f t="shared" si="1"/>
        <v/>
      </c>
    </row>
    <row r="60" spans="2:46">
      <c r="B60" s="131"/>
      <c r="C60" s="50">
        <f t="shared" si="2"/>
        <v>54</v>
      </c>
      <c r="D60" s="36" t="s">
        <v>71</v>
      </c>
      <c r="E60" s="36" t="s">
        <v>71</v>
      </c>
      <c r="F60" s="36" t="s">
        <v>71</v>
      </c>
      <c r="G60" s="36" t="s">
        <v>71</v>
      </c>
      <c r="H60" s="36" t="s">
        <v>71</v>
      </c>
      <c r="I60" s="36" t="s">
        <v>71</v>
      </c>
      <c r="J60" s="36" t="s">
        <v>71</v>
      </c>
      <c r="K60" s="36" t="s">
        <v>71</v>
      </c>
      <c r="L60" s="36" t="s">
        <v>71</v>
      </c>
      <c r="M60" s="36" t="s">
        <v>71</v>
      </c>
      <c r="N60" s="36" t="s">
        <v>71</v>
      </c>
      <c r="O60" s="36" t="s">
        <v>71</v>
      </c>
      <c r="P60" s="36" t="s">
        <v>71</v>
      </c>
      <c r="Q60" s="36" t="s">
        <v>71</v>
      </c>
      <c r="R60" s="36" t="s">
        <v>71</v>
      </c>
      <c r="S60" s="36" t="s">
        <v>71</v>
      </c>
      <c r="T60" s="36" t="s">
        <v>71</v>
      </c>
      <c r="U60" s="36" t="s">
        <v>71</v>
      </c>
      <c r="V60" s="36" t="s">
        <v>71</v>
      </c>
      <c r="W60" s="36" t="s">
        <v>71</v>
      </c>
      <c r="X60" s="36" t="s">
        <v>71</v>
      </c>
      <c r="Y60" s="36" t="s">
        <v>71</v>
      </c>
      <c r="Z60" s="36" t="s">
        <v>71</v>
      </c>
      <c r="AA60" s="36" t="s">
        <v>71</v>
      </c>
      <c r="AB60" s="36" t="s">
        <v>71</v>
      </c>
      <c r="AC60" s="36" t="s">
        <v>71</v>
      </c>
      <c r="AD60" s="36" t="s">
        <v>71</v>
      </c>
      <c r="AE60" s="36" t="s">
        <v>71</v>
      </c>
      <c r="AF60" s="36" t="s">
        <v>71</v>
      </c>
      <c r="AG60" s="36" t="s">
        <v>71</v>
      </c>
      <c r="AH60" s="36" t="s">
        <v>71</v>
      </c>
      <c r="AI60" s="36" t="s">
        <v>71</v>
      </c>
      <c r="AJ60" s="25"/>
      <c r="AL60" t="str">
        <f t="shared" ca="1" si="0"/>
        <v xml:space="preserve">    (U1)ALERT_REQ_H_XMGRIP_BC_</v>
      </c>
      <c r="AR60" s="64" t="str">
        <f t="shared" si="3"/>
        <v/>
      </c>
      <c r="AS60" s="64" t="str">
        <f t="shared" si="4"/>
        <v/>
      </c>
      <c r="AT60" s="64" t="str">
        <f t="shared" si="1"/>
        <v/>
      </c>
    </row>
    <row r="61" spans="2:46">
      <c r="B61" s="131"/>
      <c r="C61" s="50">
        <f t="shared" si="2"/>
        <v>55</v>
      </c>
      <c r="D61" s="36" t="s">
        <v>71</v>
      </c>
      <c r="E61" s="36" t="s">
        <v>71</v>
      </c>
      <c r="F61" s="36" t="s">
        <v>71</v>
      </c>
      <c r="G61" s="36" t="s">
        <v>71</v>
      </c>
      <c r="H61" s="36" t="s">
        <v>71</v>
      </c>
      <c r="I61" s="36" t="s">
        <v>71</v>
      </c>
      <c r="J61" s="36" t="s">
        <v>71</v>
      </c>
      <c r="K61" s="36" t="s">
        <v>71</v>
      </c>
      <c r="L61" s="36" t="s">
        <v>71</v>
      </c>
      <c r="M61" s="36" t="s">
        <v>71</v>
      </c>
      <c r="N61" s="36" t="s">
        <v>71</v>
      </c>
      <c r="O61" s="36" t="s">
        <v>71</v>
      </c>
      <c r="P61" s="36" t="s">
        <v>71</v>
      </c>
      <c r="Q61" s="36" t="s">
        <v>71</v>
      </c>
      <c r="R61" s="36" t="s">
        <v>71</v>
      </c>
      <c r="S61" s="36" t="s">
        <v>71</v>
      </c>
      <c r="T61" s="36" t="s">
        <v>71</v>
      </c>
      <c r="U61" s="36" t="s">
        <v>71</v>
      </c>
      <c r="V61" s="36" t="s">
        <v>71</v>
      </c>
      <c r="W61" s="36" t="s">
        <v>71</v>
      </c>
      <c r="X61" s="36" t="s">
        <v>71</v>
      </c>
      <c r="Y61" s="36" t="s">
        <v>71</v>
      </c>
      <c r="Z61" s="36" t="s">
        <v>71</v>
      </c>
      <c r="AA61" s="36" t="s">
        <v>71</v>
      </c>
      <c r="AB61" s="36" t="s">
        <v>71</v>
      </c>
      <c r="AC61" s="36" t="s">
        <v>71</v>
      </c>
      <c r="AD61" s="36" t="s">
        <v>71</v>
      </c>
      <c r="AE61" s="36" t="s">
        <v>71</v>
      </c>
      <c r="AF61" s="36" t="s">
        <v>71</v>
      </c>
      <c r="AG61" s="36" t="s">
        <v>71</v>
      </c>
      <c r="AH61" s="36" t="s">
        <v>71</v>
      </c>
      <c r="AI61" s="36" t="s">
        <v>71</v>
      </c>
      <c r="AJ61" s="25"/>
      <c r="AL61" t="str">
        <f t="shared" ca="1" si="0"/>
        <v xml:space="preserve">    (U1)ALERT_REQ_H_XMGRIP_BC_</v>
      </c>
      <c r="AR61" s="64" t="str">
        <f t="shared" si="3"/>
        <v/>
      </c>
      <c r="AS61" s="64" t="str">
        <f t="shared" si="4"/>
        <v/>
      </c>
      <c r="AT61" s="64" t="str">
        <f t="shared" si="1"/>
        <v/>
      </c>
    </row>
    <row r="62" spans="2:46">
      <c r="B62" s="131"/>
      <c r="C62" s="50">
        <f t="shared" si="2"/>
        <v>56</v>
      </c>
      <c r="D62" s="36" t="s">
        <v>71</v>
      </c>
      <c r="E62" s="36" t="s">
        <v>71</v>
      </c>
      <c r="F62" s="36" t="s">
        <v>71</v>
      </c>
      <c r="G62" s="36" t="s">
        <v>71</v>
      </c>
      <c r="H62" s="36" t="s">
        <v>71</v>
      </c>
      <c r="I62" s="36" t="s">
        <v>71</v>
      </c>
      <c r="J62" s="36" t="s">
        <v>71</v>
      </c>
      <c r="K62" s="36" t="s">
        <v>71</v>
      </c>
      <c r="L62" s="36" t="s">
        <v>71</v>
      </c>
      <c r="M62" s="36" t="s">
        <v>71</v>
      </c>
      <c r="N62" s="36" t="s">
        <v>71</v>
      </c>
      <c r="O62" s="36" t="s">
        <v>71</v>
      </c>
      <c r="P62" s="36" t="s">
        <v>71</v>
      </c>
      <c r="Q62" s="36" t="s">
        <v>71</v>
      </c>
      <c r="R62" s="36" t="s">
        <v>71</v>
      </c>
      <c r="S62" s="36" t="s">
        <v>71</v>
      </c>
      <c r="T62" s="36" t="s">
        <v>71</v>
      </c>
      <c r="U62" s="36" t="s">
        <v>71</v>
      </c>
      <c r="V62" s="36" t="s">
        <v>71</v>
      </c>
      <c r="W62" s="36" t="s">
        <v>71</v>
      </c>
      <c r="X62" s="36" t="s">
        <v>71</v>
      </c>
      <c r="Y62" s="36" t="s">
        <v>71</v>
      </c>
      <c r="Z62" s="36" t="s">
        <v>71</v>
      </c>
      <c r="AA62" s="36" t="s">
        <v>71</v>
      </c>
      <c r="AB62" s="36" t="s">
        <v>71</v>
      </c>
      <c r="AC62" s="36" t="s">
        <v>71</v>
      </c>
      <c r="AD62" s="36" t="s">
        <v>71</v>
      </c>
      <c r="AE62" s="36" t="s">
        <v>71</v>
      </c>
      <c r="AF62" s="36" t="s">
        <v>71</v>
      </c>
      <c r="AG62" s="36" t="s">
        <v>71</v>
      </c>
      <c r="AH62" s="36" t="s">
        <v>71</v>
      </c>
      <c r="AI62" s="36" t="s">
        <v>71</v>
      </c>
      <c r="AJ62" s="25"/>
      <c r="AL62" t="str">
        <f t="shared" ca="1" si="0"/>
        <v xml:space="preserve">    (U1)ALERT_REQ_H_XMGRIP_BC_</v>
      </c>
      <c r="AR62" s="64" t="str">
        <f t="shared" si="3"/>
        <v/>
      </c>
      <c r="AS62" s="64" t="str">
        <f t="shared" si="4"/>
        <v/>
      </c>
      <c r="AT62" s="64" t="str">
        <f t="shared" si="1"/>
        <v/>
      </c>
    </row>
    <row r="63" spans="2:46">
      <c r="B63" s="131"/>
      <c r="C63" s="50">
        <f t="shared" si="2"/>
        <v>57</v>
      </c>
      <c r="D63" s="36" t="s">
        <v>71</v>
      </c>
      <c r="E63" s="36" t="s">
        <v>71</v>
      </c>
      <c r="F63" s="36" t="s">
        <v>71</v>
      </c>
      <c r="G63" s="36" t="s">
        <v>71</v>
      </c>
      <c r="H63" s="36" t="s">
        <v>71</v>
      </c>
      <c r="I63" s="36" t="s">
        <v>71</v>
      </c>
      <c r="J63" s="36" t="s">
        <v>71</v>
      </c>
      <c r="K63" s="36" t="s">
        <v>71</v>
      </c>
      <c r="L63" s="36" t="s">
        <v>71</v>
      </c>
      <c r="M63" s="36" t="s">
        <v>71</v>
      </c>
      <c r="N63" s="36" t="s">
        <v>71</v>
      </c>
      <c r="O63" s="36" t="s">
        <v>71</v>
      </c>
      <c r="P63" s="36" t="s">
        <v>71</v>
      </c>
      <c r="Q63" s="36" t="s">
        <v>71</v>
      </c>
      <c r="R63" s="36" t="s">
        <v>71</v>
      </c>
      <c r="S63" s="36" t="s">
        <v>71</v>
      </c>
      <c r="T63" s="36" t="s">
        <v>71</v>
      </c>
      <c r="U63" s="36" t="s">
        <v>71</v>
      </c>
      <c r="V63" s="36" t="s">
        <v>71</v>
      </c>
      <c r="W63" s="36" t="s">
        <v>71</v>
      </c>
      <c r="X63" s="36" t="s">
        <v>71</v>
      </c>
      <c r="Y63" s="36" t="s">
        <v>71</v>
      </c>
      <c r="Z63" s="36" t="s">
        <v>71</v>
      </c>
      <c r="AA63" s="36" t="s">
        <v>71</v>
      </c>
      <c r="AB63" s="36" t="s">
        <v>71</v>
      </c>
      <c r="AC63" s="36" t="s">
        <v>71</v>
      </c>
      <c r="AD63" s="36" t="s">
        <v>71</v>
      </c>
      <c r="AE63" s="36" t="s">
        <v>71</v>
      </c>
      <c r="AF63" s="36" t="s">
        <v>71</v>
      </c>
      <c r="AG63" s="36" t="s">
        <v>71</v>
      </c>
      <c r="AH63" s="36" t="s">
        <v>71</v>
      </c>
      <c r="AI63" s="36" t="s">
        <v>71</v>
      </c>
      <c r="AJ63" s="25"/>
      <c r="AL63" t="str">
        <f t="shared" ca="1" si="0"/>
        <v xml:space="preserve">    (U1)ALERT_REQ_H_XMGRIP_BC_</v>
      </c>
      <c r="AR63" s="64" t="str">
        <f t="shared" si="3"/>
        <v/>
      </c>
      <c r="AS63" s="64" t="str">
        <f t="shared" si="4"/>
        <v/>
      </c>
      <c r="AT63" s="64" t="str">
        <f t="shared" si="1"/>
        <v/>
      </c>
    </row>
    <row r="64" spans="2:46">
      <c r="B64" s="131"/>
      <c r="C64" s="50">
        <f t="shared" si="2"/>
        <v>58</v>
      </c>
      <c r="D64" s="36" t="s">
        <v>71</v>
      </c>
      <c r="E64" s="36" t="s">
        <v>71</v>
      </c>
      <c r="F64" s="36" t="s">
        <v>71</v>
      </c>
      <c r="G64" s="36" t="s">
        <v>71</v>
      </c>
      <c r="H64" s="36" t="s">
        <v>71</v>
      </c>
      <c r="I64" s="36" t="s">
        <v>71</v>
      </c>
      <c r="J64" s="36" t="s">
        <v>71</v>
      </c>
      <c r="K64" s="36" t="s">
        <v>71</v>
      </c>
      <c r="L64" s="36" t="s">
        <v>71</v>
      </c>
      <c r="M64" s="36" t="s">
        <v>71</v>
      </c>
      <c r="N64" s="36" t="s">
        <v>71</v>
      </c>
      <c r="O64" s="36" t="s">
        <v>71</v>
      </c>
      <c r="P64" s="36" t="s">
        <v>71</v>
      </c>
      <c r="Q64" s="36" t="s">
        <v>71</v>
      </c>
      <c r="R64" s="36" t="s">
        <v>71</v>
      </c>
      <c r="S64" s="36" t="s">
        <v>71</v>
      </c>
      <c r="T64" s="36" t="s">
        <v>71</v>
      </c>
      <c r="U64" s="36" t="s">
        <v>71</v>
      </c>
      <c r="V64" s="36" t="s">
        <v>71</v>
      </c>
      <c r="W64" s="36" t="s">
        <v>71</v>
      </c>
      <c r="X64" s="36" t="s">
        <v>71</v>
      </c>
      <c r="Y64" s="36" t="s">
        <v>71</v>
      </c>
      <c r="Z64" s="36" t="s">
        <v>71</v>
      </c>
      <c r="AA64" s="36" t="s">
        <v>71</v>
      </c>
      <c r="AB64" s="36" t="s">
        <v>71</v>
      </c>
      <c r="AC64" s="36" t="s">
        <v>71</v>
      </c>
      <c r="AD64" s="36" t="s">
        <v>71</v>
      </c>
      <c r="AE64" s="36" t="s">
        <v>71</v>
      </c>
      <c r="AF64" s="36" t="s">
        <v>71</v>
      </c>
      <c r="AG64" s="36" t="s">
        <v>71</v>
      </c>
      <c r="AH64" s="36" t="s">
        <v>71</v>
      </c>
      <c r="AI64" s="36" t="s">
        <v>71</v>
      </c>
      <c r="AJ64" s="25"/>
      <c r="AL64" t="str">
        <f t="shared" ca="1" si="0"/>
        <v xml:space="preserve">    (U1)ALERT_REQ_H_XMGRIP_BC_</v>
      </c>
      <c r="AR64" s="64" t="str">
        <f t="shared" si="3"/>
        <v/>
      </c>
      <c r="AS64" s="64" t="str">
        <f t="shared" si="4"/>
        <v/>
      </c>
      <c r="AT64" s="64" t="str">
        <f t="shared" si="1"/>
        <v/>
      </c>
    </row>
    <row r="65" spans="1:46">
      <c r="B65" s="131"/>
      <c r="C65" s="50">
        <f t="shared" si="2"/>
        <v>59</v>
      </c>
      <c r="D65" s="36" t="s">
        <v>71</v>
      </c>
      <c r="E65" s="36" t="s">
        <v>71</v>
      </c>
      <c r="F65" s="36" t="s">
        <v>71</v>
      </c>
      <c r="G65" s="36" t="s">
        <v>71</v>
      </c>
      <c r="H65" s="36" t="s">
        <v>71</v>
      </c>
      <c r="I65" s="36" t="s">
        <v>71</v>
      </c>
      <c r="J65" s="36" t="s">
        <v>71</v>
      </c>
      <c r="K65" s="36" t="s">
        <v>71</v>
      </c>
      <c r="L65" s="36" t="s">
        <v>71</v>
      </c>
      <c r="M65" s="36" t="s">
        <v>71</v>
      </c>
      <c r="N65" s="36" t="s">
        <v>71</v>
      </c>
      <c r="O65" s="36" t="s">
        <v>71</v>
      </c>
      <c r="P65" s="36" t="s">
        <v>71</v>
      </c>
      <c r="Q65" s="36" t="s">
        <v>71</v>
      </c>
      <c r="R65" s="36" t="s">
        <v>71</v>
      </c>
      <c r="S65" s="36" t="s">
        <v>71</v>
      </c>
      <c r="T65" s="36" t="s">
        <v>71</v>
      </c>
      <c r="U65" s="36" t="s">
        <v>71</v>
      </c>
      <c r="V65" s="36" t="s">
        <v>71</v>
      </c>
      <c r="W65" s="36" t="s">
        <v>71</v>
      </c>
      <c r="X65" s="36" t="s">
        <v>71</v>
      </c>
      <c r="Y65" s="36" t="s">
        <v>71</v>
      </c>
      <c r="Z65" s="36" t="s">
        <v>71</v>
      </c>
      <c r="AA65" s="36" t="s">
        <v>71</v>
      </c>
      <c r="AB65" s="36" t="s">
        <v>71</v>
      </c>
      <c r="AC65" s="36" t="s">
        <v>71</v>
      </c>
      <c r="AD65" s="36" t="s">
        <v>71</v>
      </c>
      <c r="AE65" s="36" t="s">
        <v>71</v>
      </c>
      <c r="AF65" s="36" t="s">
        <v>71</v>
      </c>
      <c r="AG65" s="36" t="s">
        <v>71</v>
      </c>
      <c r="AH65" s="36" t="s">
        <v>71</v>
      </c>
      <c r="AI65" s="36" t="s">
        <v>71</v>
      </c>
      <c r="AJ65" s="25"/>
      <c r="AL65" t="str">
        <f t="shared" ca="1" si="0"/>
        <v xml:space="preserve">    (U1)ALERT_REQ_H_XMGRIP_BC_</v>
      </c>
      <c r="AR65" s="64" t="str">
        <f t="shared" si="3"/>
        <v/>
      </c>
      <c r="AS65" s="64" t="str">
        <f t="shared" si="4"/>
        <v/>
      </c>
      <c r="AT65" s="64" t="str">
        <f t="shared" si="1"/>
        <v/>
      </c>
    </row>
    <row r="66" spans="1:46">
      <c r="B66" s="131"/>
      <c r="C66" s="50">
        <f t="shared" si="2"/>
        <v>60</v>
      </c>
      <c r="D66" s="36" t="s">
        <v>71</v>
      </c>
      <c r="E66" s="36" t="s">
        <v>71</v>
      </c>
      <c r="F66" s="36" t="s">
        <v>71</v>
      </c>
      <c r="G66" s="36" t="s">
        <v>71</v>
      </c>
      <c r="H66" s="36" t="s">
        <v>71</v>
      </c>
      <c r="I66" s="36" t="s">
        <v>71</v>
      </c>
      <c r="J66" s="36" t="s">
        <v>71</v>
      </c>
      <c r="K66" s="36" t="s">
        <v>71</v>
      </c>
      <c r="L66" s="36" t="s">
        <v>71</v>
      </c>
      <c r="M66" s="36" t="s">
        <v>71</v>
      </c>
      <c r="N66" s="36" t="s">
        <v>71</v>
      </c>
      <c r="O66" s="36" t="s">
        <v>71</v>
      </c>
      <c r="P66" s="36" t="s">
        <v>71</v>
      </c>
      <c r="Q66" s="36" t="s">
        <v>71</v>
      </c>
      <c r="R66" s="36" t="s">
        <v>71</v>
      </c>
      <c r="S66" s="36" t="s">
        <v>71</v>
      </c>
      <c r="T66" s="36" t="s">
        <v>71</v>
      </c>
      <c r="U66" s="36" t="s">
        <v>71</v>
      </c>
      <c r="V66" s="36" t="s">
        <v>71</v>
      </c>
      <c r="W66" s="36" t="s">
        <v>71</v>
      </c>
      <c r="X66" s="36" t="s">
        <v>71</v>
      </c>
      <c r="Y66" s="36" t="s">
        <v>71</v>
      </c>
      <c r="Z66" s="36" t="s">
        <v>71</v>
      </c>
      <c r="AA66" s="36" t="s">
        <v>71</v>
      </c>
      <c r="AB66" s="36" t="s">
        <v>71</v>
      </c>
      <c r="AC66" s="36" t="s">
        <v>71</v>
      </c>
      <c r="AD66" s="36" t="s">
        <v>71</v>
      </c>
      <c r="AE66" s="36" t="s">
        <v>71</v>
      </c>
      <c r="AF66" s="36" t="s">
        <v>71</v>
      </c>
      <c r="AG66" s="36" t="s">
        <v>71</v>
      </c>
      <c r="AH66" s="36" t="s">
        <v>71</v>
      </c>
      <c r="AI66" s="36" t="s">
        <v>71</v>
      </c>
      <c r="AJ66" s="25"/>
      <c r="AL66" t="str">
        <f t="shared" ca="1" si="0"/>
        <v xml:space="preserve">    (U1)ALERT_REQ_H_XMGRIP_BC_</v>
      </c>
      <c r="AR66" s="64" t="str">
        <f t="shared" si="3"/>
        <v/>
      </c>
      <c r="AS66" s="64" t="str">
        <f t="shared" si="4"/>
        <v/>
      </c>
      <c r="AT66" s="64" t="str">
        <f t="shared" si="1"/>
        <v/>
      </c>
    </row>
    <row r="67" spans="1:46">
      <c r="B67" s="131"/>
      <c r="C67" s="50">
        <f t="shared" si="2"/>
        <v>61</v>
      </c>
      <c r="D67" s="36" t="s">
        <v>71</v>
      </c>
      <c r="E67" s="36" t="s">
        <v>71</v>
      </c>
      <c r="F67" s="36" t="s">
        <v>71</v>
      </c>
      <c r="G67" s="36" t="s">
        <v>71</v>
      </c>
      <c r="H67" s="36" t="s">
        <v>71</v>
      </c>
      <c r="I67" s="36" t="s">
        <v>71</v>
      </c>
      <c r="J67" s="36" t="s">
        <v>71</v>
      </c>
      <c r="K67" s="36" t="s">
        <v>71</v>
      </c>
      <c r="L67" s="36" t="s">
        <v>71</v>
      </c>
      <c r="M67" s="36" t="s">
        <v>71</v>
      </c>
      <c r="N67" s="36" t="s">
        <v>71</v>
      </c>
      <c r="O67" s="36" t="s">
        <v>71</v>
      </c>
      <c r="P67" s="36" t="s">
        <v>71</v>
      </c>
      <c r="Q67" s="36" t="s">
        <v>71</v>
      </c>
      <c r="R67" s="36" t="s">
        <v>71</v>
      </c>
      <c r="S67" s="36" t="s">
        <v>71</v>
      </c>
      <c r="T67" s="36" t="s">
        <v>71</v>
      </c>
      <c r="U67" s="36" t="s">
        <v>71</v>
      </c>
      <c r="V67" s="36" t="s">
        <v>71</v>
      </c>
      <c r="W67" s="36" t="s">
        <v>71</v>
      </c>
      <c r="X67" s="36" t="s">
        <v>71</v>
      </c>
      <c r="Y67" s="36" t="s">
        <v>71</v>
      </c>
      <c r="Z67" s="36" t="s">
        <v>71</v>
      </c>
      <c r="AA67" s="36" t="s">
        <v>71</v>
      </c>
      <c r="AB67" s="36" t="s">
        <v>71</v>
      </c>
      <c r="AC67" s="36" t="s">
        <v>71</v>
      </c>
      <c r="AD67" s="36" t="s">
        <v>71</v>
      </c>
      <c r="AE67" s="36" t="s">
        <v>71</v>
      </c>
      <c r="AF67" s="36" t="s">
        <v>71</v>
      </c>
      <c r="AG67" s="36" t="s">
        <v>71</v>
      </c>
      <c r="AH67" s="36" t="s">
        <v>71</v>
      </c>
      <c r="AI67" s="36" t="s">
        <v>71</v>
      </c>
      <c r="AJ67" s="25"/>
      <c r="AL67" t="str">
        <f t="shared" ca="1" si="0"/>
        <v xml:space="preserve">    (U1)ALERT_REQ_H_XMGRIP_BC_</v>
      </c>
      <c r="AR67" s="64" t="str">
        <f t="shared" si="3"/>
        <v/>
      </c>
      <c r="AS67" s="64" t="str">
        <f t="shared" si="4"/>
        <v/>
      </c>
      <c r="AT67" s="64" t="str">
        <f t="shared" si="1"/>
        <v/>
      </c>
    </row>
    <row r="68" spans="1:46">
      <c r="B68" s="131"/>
      <c r="C68" s="50">
        <f t="shared" si="2"/>
        <v>62</v>
      </c>
      <c r="D68" s="36" t="s">
        <v>71</v>
      </c>
      <c r="E68" s="36" t="s">
        <v>71</v>
      </c>
      <c r="F68" s="36" t="s">
        <v>71</v>
      </c>
      <c r="G68" s="36" t="s">
        <v>71</v>
      </c>
      <c r="H68" s="36" t="s">
        <v>71</v>
      </c>
      <c r="I68" s="36" t="s">
        <v>71</v>
      </c>
      <c r="J68" s="36" t="s">
        <v>71</v>
      </c>
      <c r="K68" s="36" t="s">
        <v>71</v>
      </c>
      <c r="L68" s="36" t="s">
        <v>71</v>
      </c>
      <c r="M68" s="36" t="s">
        <v>71</v>
      </c>
      <c r="N68" s="36" t="s">
        <v>71</v>
      </c>
      <c r="O68" s="36" t="s">
        <v>71</v>
      </c>
      <c r="P68" s="36" t="s">
        <v>71</v>
      </c>
      <c r="Q68" s="36" t="s">
        <v>71</v>
      </c>
      <c r="R68" s="36" t="s">
        <v>71</v>
      </c>
      <c r="S68" s="36" t="s">
        <v>71</v>
      </c>
      <c r="T68" s="36" t="s">
        <v>71</v>
      </c>
      <c r="U68" s="36" t="s">
        <v>71</v>
      </c>
      <c r="V68" s="36" t="s">
        <v>71</v>
      </c>
      <c r="W68" s="36" t="s">
        <v>71</v>
      </c>
      <c r="X68" s="36" t="s">
        <v>71</v>
      </c>
      <c r="Y68" s="36" t="s">
        <v>71</v>
      </c>
      <c r="Z68" s="36" t="s">
        <v>71</v>
      </c>
      <c r="AA68" s="36" t="s">
        <v>71</v>
      </c>
      <c r="AB68" s="36" t="s">
        <v>71</v>
      </c>
      <c r="AC68" s="36" t="s">
        <v>71</v>
      </c>
      <c r="AD68" s="36" t="s">
        <v>71</v>
      </c>
      <c r="AE68" s="36" t="s">
        <v>71</v>
      </c>
      <c r="AF68" s="36" t="s">
        <v>71</v>
      </c>
      <c r="AG68" s="36" t="s">
        <v>71</v>
      </c>
      <c r="AH68" s="36" t="s">
        <v>71</v>
      </c>
      <c r="AI68" s="36" t="s">
        <v>71</v>
      </c>
      <c r="AJ68" s="25"/>
      <c r="AL68" t="str">
        <f t="shared" ca="1" si="0"/>
        <v xml:space="preserve">    (U1)ALERT_REQ_H_XMGRIP_BC_</v>
      </c>
      <c r="AR68" s="64" t="str">
        <f t="shared" si="3"/>
        <v/>
      </c>
      <c r="AS68" s="64" t="str">
        <f t="shared" si="4"/>
        <v/>
      </c>
      <c r="AT68" s="64" t="str">
        <f t="shared" si="1"/>
        <v/>
      </c>
    </row>
    <row r="69" spans="1:46">
      <c r="B69" s="132"/>
      <c r="C69" s="50">
        <f t="shared" si="2"/>
        <v>63</v>
      </c>
      <c r="D69" s="36" t="s">
        <v>71</v>
      </c>
      <c r="E69" s="36" t="s">
        <v>71</v>
      </c>
      <c r="F69" s="36" t="s">
        <v>71</v>
      </c>
      <c r="G69" s="36" t="s">
        <v>71</v>
      </c>
      <c r="H69" s="36" t="s">
        <v>71</v>
      </c>
      <c r="I69" s="36" t="s">
        <v>71</v>
      </c>
      <c r="J69" s="36" t="s">
        <v>71</v>
      </c>
      <c r="K69" s="36" t="s">
        <v>71</v>
      </c>
      <c r="L69" s="36" t="s">
        <v>71</v>
      </c>
      <c r="M69" s="36" t="s">
        <v>71</v>
      </c>
      <c r="N69" s="36" t="s">
        <v>71</v>
      </c>
      <c r="O69" s="36" t="s">
        <v>71</v>
      </c>
      <c r="P69" s="36" t="s">
        <v>71</v>
      </c>
      <c r="Q69" s="36" t="s">
        <v>71</v>
      </c>
      <c r="R69" s="36" t="s">
        <v>71</v>
      </c>
      <c r="S69" s="36" t="s">
        <v>71</v>
      </c>
      <c r="T69" s="36" t="s">
        <v>71</v>
      </c>
      <c r="U69" s="36" t="s">
        <v>71</v>
      </c>
      <c r="V69" s="36" t="s">
        <v>71</v>
      </c>
      <c r="W69" s="36" t="s">
        <v>71</v>
      </c>
      <c r="X69" s="36" t="s">
        <v>71</v>
      </c>
      <c r="Y69" s="36" t="s">
        <v>71</v>
      </c>
      <c r="Z69" s="36" t="s">
        <v>71</v>
      </c>
      <c r="AA69" s="36" t="s">
        <v>71</v>
      </c>
      <c r="AB69" s="36" t="s">
        <v>71</v>
      </c>
      <c r="AC69" s="36" t="s">
        <v>71</v>
      </c>
      <c r="AD69" s="36" t="s">
        <v>71</v>
      </c>
      <c r="AE69" s="36" t="s">
        <v>71</v>
      </c>
      <c r="AF69" s="36" t="s">
        <v>71</v>
      </c>
      <c r="AG69" s="36" t="s">
        <v>71</v>
      </c>
      <c r="AH69" s="36" t="s">
        <v>71</v>
      </c>
      <c r="AI69" s="36" t="s">
        <v>71</v>
      </c>
      <c r="AJ69" s="25"/>
      <c r="AL69" t="str">
        <f t="shared" ca="1" si="0"/>
        <v xml:space="preserve">    (U1)ALERT_REQ_H_XMGRIP_BC_</v>
      </c>
      <c r="AR69" s="64" t="str">
        <f t="shared" si="3"/>
        <v/>
      </c>
      <c r="AS69" s="64" t="str">
        <f t="shared" si="4"/>
        <v/>
      </c>
      <c r="AT69" s="64" t="str">
        <f t="shared" si="1"/>
        <v/>
      </c>
    </row>
    <row r="70" spans="1:46" ht="13.8" thickBot="1">
      <c r="A70" s="59" t="s">
        <v>68</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5" t="str">
        <f t="shared" si="3"/>
        <v/>
      </c>
      <c r="AS70" s="65" t="str">
        <f t="shared" si="4"/>
        <v/>
      </c>
      <c r="AT70" s="65" t="str">
        <f t="shared" ref="AT70" si="5">IF(AJ70&lt;&gt;"",AL70&amp;IF(AJ71&lt;&gt;"",","," ")&amp;REPT(" ",78-LEN(AL70))&amp;"/* "&amp;IF(C70&lt;10,"0"&amp;C70,C70)&amp;" "&amp;AJ70&amp;REPT(" ",48-LEN(AJ70))&amp;"*/",IF(AJ69&lt;&gt;"","};",""))</f>
        <v/>
      </c>
    </row>
    <row r="71" spans="1:46">
      <c r="B71" s="133" t="str">
        <f ca="1">IF(B6&lt;&gt;"",B6,"")</f>
        <v>Table BC</v>
      </c>
      <c r="C71" s="50">
        <f>IF(C6&lt;&gt;"",C6,"")</f>
        <v>0</v>
      </c>
      <c r="D71" s="125">
        <f t="shared" ref="D71:AI78" si="6">IF(D6=1,1,0)</f>
        <v>0</v>
      </c>
      <c r="E71" s="125">
        <f t="shared" si="6"/>
        <v>0</v>
      </c>
      <c r="F71" s="125">
        <f t="shared" si="6"/>
        <v>0</v>
      </c>
      <c r="G71" s="125">
        <f t="shared" si="6"/>
        <v>0</v>
      </c>
      <c r="H71" s="125">
        <f t="shared" si="6"/>
        <v>0</v>
      </c>
      <c r="I71" s="125">
        <f t="shared" si="6"/>
        <v>0</v>
      </c>
      <c r="J71" s="125">
        <f t="shared" si="6"/>
        <v>0</v>
      </c>
      <c r="K71" s="125">
        <f t="shared" si="6"/>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 t="shared" si="6"/>
        <v>0</v>
      </c>
      <c r="AB71" s="125">
        <f t="shared" si="6"/>
        <v>0</v>
      </c>
      <c r="AC71" s="125">
        <f t="shared" si="6"/>
        <v>0</v>
      </c>
      <c r="AD71" s="125">
        <f t="shared" si="6"/>
        <v>0</v>
      </c>
      <c r="AE71" s="125">
        <f t="shared" si="6"/>
        <v>0</v>
      </c>
      <c r="AF71" s="125">
        <f t="shared" si="6"/>
        <v>0</v>
      </c>
      <c r="AG71" s="125">
        <f t="shared" si="6"/>
        <v>0</v>
      </c>
      <c r="AH71" s="125">
        <f t="shared" si="6"/>
        <v>0</v>
      </c>
      <c r="AI71" s="125">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50">
        <f t="shared" ref="C72:C134" si="9">IF(C7&lt;&gt;"",C7,"")</f>
        <v>1</v>
      </c>
      <c r="D72" s="125">
        <f t="shared" si="6"/>
        <v>0</v>
      </c>
      <c r="E72" s="125">
        <f t="shared" si="6"/>
        <v>0</v>
      </c>
      <c r="F72" s="125">
        <f t="shared" si="6"/>
        <v>0</v>
      </c>
      <c r="G72" s="125">
        <f t="shared" si="6"/>
        <v>0</v>
      </c>
      <c r="H72" s="125">
        <f t="shared" si="6"/>
        <v>0</v>
      </c>
      <c r="I72" s="125">
        <f t="shared" si="6"/>
        <v>0</v>
      </c>
      <c r="J72" s="125">
        <f t="shared" si="6"/>
        <v>0</v>
      </c>
      <c r="K72" s="125">
        <f t="shared" si="6"/>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 t="shared" si="6"/>
        <v>0</v>
      </c>
      <c r="AB72" s="125">
        <f t="shared" si="6"/>
        <v>0</v>
      </c>
      <c r="AC72" s="125">
        <f t="shared" si="6"/>
        <v>0</v>
      </c>
      <c r="AD72" s="125">
        <f t="shared" si="6"/>
        <v>0</v>
      </c>
      <c r="AE72" s="125">
        <f t="shared" si="6"/>
        <v>0</v>
      </c>
      <c r="AF72" s="125">
        <f t="shared" si="6"/>
        <v>0</v>
      </c>
      <c r="AG72" s="125">
        <f t="shared" si="6"/>
        <v>0</v>
      </c>
      <c r="AH72" s="125">
        <f t="shared" si="6"/>
        <v>0</v>
      </c>
      <c r="AI72" s="125">
        <f t="shared" si="6"/>
        <v>1</v>
      </c>
      <c r="AJ72" s="50" t="str">
        <f t="shared" si="7"/>
        <v>SINGLE</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SINGLE                                          */</v>
      </c>
    </row>
    <row r="73" spans="1:46">
      <c r="B73" s="131"/>
      <c r="C73" s="50">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50" t="str">
        <f t="shared" si="7"/>
        <v>DOUBLE</v>
      </c>
      <c r="AK73" s="63"/>
      <c r="AL73" s="63" t="str">
        <f t="shared" si="10"/>
        <v>02</v>
      </c>
      <c r="AM73" s="63" t="str">
        <f t="shared" si="11"/>
        <v>00</v>
      </c>
      <c r="AN73" s="63" t="str">
        <f t="shared" si="12"/>
        <v>00</v>
      </c>
      <c r="AO73" s="63" t="str">
        <f t="shared" si="13"/>
        <v>00</v>
      </c>
      <c r="AQ73" t="str">
        <f t="shared" si="8"/>
        <v xml:space="preserve">    (U4)0x00000002U,                                                           /* 02 DOUBLE                                          */</v>
      </c>
    </row>
    <row r="74" spans="1:46">
      <c r="B74" s="131"/>
      <c r="C74" s="50">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31"/>
      <c r="C75" s="50">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50" t="str">
        <f t="shared" si="7"/>
        <v>UNKNOWN</v>
      </c>
      <c r="AK75" s="63"/>
      <c r="AL75" s="63" t="str">
        <f t="shared" si="10"/>
        <v>04</v>
      </c>
      <c r="AM75" s="63" t="str">
        <f t="shared" si="11"/>
        <v>00</v>
      </c>
      <c r="AN75" s="63" t="str">
        <f t="shared" si="12"/>
        <v>00</v>
      </c>
      <c r="AO75" s="63" t="str">
        <f t="shared" si="13"/>
        <v>00</v>
      </c>
      <c r="AQ75" t="str">
        <f t="shared" si="8"/>
        <v xml:space="preserve">    (U4)0x00000004U,                                                           /* 04 UNKNOWN                                         */</v>
      </c>
    </row>
    <row r="76" spans="1:46">
      <c r="B76" s="131"/>
      <c r="C76" s="50">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50" t="str">
        <f t="shared" si="7"/>
        <v>UNKNOWN</v>
      </c>
      <c r="AK76" s="63"/>
      <c r="AL76" s="63" t="str">
        <f t="shared" si="10"/>
        <v>05</v>
      </c>
      <c r="AM76" s="63" t="str">
        <f t="shared" si="11"/>
        <v>00</v>
      </c>
      <c r="AN76" s="63" t="str">
        <f t="shared" si="12"/>
        <v>00</v>
      </c>
      <c r="AO76" s="63" t="str">
        <f t="shared" si="13"/>
        <v>00</v>
      </c>
      <c r="AQ76" t="str">
        <f t="shared" si="8"/>
        <v xml:space="preserve">    (U4)0x00000005U,                                                           /* 05 UNKNOWN                                         */</v>
      </c>
    </row>
    <row r="77" spans="1:46">
      <c r="B77" s="131"/>
      <c r="C77" s="50">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1"/>
      <c r="C78" s="50">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50" t="str">
        <f t="shared" si="7"/>
        <v>UNKNOWN</v>
      </c>
      <c r="AK78" s="63"/>
      <c r="AL78" s="63" t="str">
        <f t="shared" si="10"/>
        <v>07</v>
      </c>
      <c r="AM78" s="63" t="str">
        <f t="shared" si="11"/>
        <v>00</v>
      </c>
      <c r="AN78" s="63" t="str">
        <f t="shared" si="12"/>
        <v>00</v>
      </c>
      <c r="AO78" s="63" t="str">
        <f t="shared" si="13"/>
        <v>00</v>
      </c>
      <c r="AQ78" t="str">
        <f t="shared" si="8"/>
        <v xml:space="preserve">    (U4)0x00000007U,                                                           /* 07 UNKNOWN                                         */</v>
      </c>
    </row>
    <row r="79" spans="1:46">
      <c r="B79" s="131"/>
      <c r="C79" s="50">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1</v>
      </c>
      <c r="AG79" s="125">
        <f t="shared" si="15"/>
        <v>0</v>
      </c>
      <c r="AH79" s="125">
        <f t="shared" si="15"/>
        <v>0</v>
      </c>
      <c r="AI79" s="125">
        <f t="shared" si="15"/>
        <v>0</v>
      </c>
      <c r="AJ79" s="50" t="str">
        <f t="shared" si="7"/>
        <v>UNKNOWN</v>
      </c>
      <c r="AK79" s="63"/>
      <c r="AL79" s="63" t="str">
        <f t="shared" si="10"/>
        <v>08</v>
      </c>
      <c r="AM79" s="63" t="str">
        <f t="shared" si="11"/>
        <v>00</v>
      </c>
      <c r="AN79" s="63" t="str">
        <f t="shared" si="12"/>
        <v>00</v>
      </c>
      <c r="AO79" s="63" t="str">
        <f t="shared" si="13"/>
        <v>00</v>
      </c>
      <c r="AQ79" t="str">
        <f t="shared" si="8"/>
        <v xml:space="preserve">    (U4)0x00000008U,                                                           /* 08 UNKNOWN                                         */</v>
      </c>
    </row>
    <row r="80" spans="1:46">
      <c r="B80" s="131"/>
      <c r="C80" s="50">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1</v>
      </c>
      <c r="AG80" s="125">
        <f t="shared" si="15"/>
        <v>0</v>
      </c>
      <c r="AH80" s="125">
        <f t="shared" si="15"/>
        <v>0</v>
      </c>
      <c r="AI80" s="125">
        <f t="shared" si="15"/>
        <v>1</v>
      </c>
      <c r="AJ80" s="50" t="str">
        <f t="shared" si="7"/>
        <v>UNKNOWN</v>
      </c>
      <c r="AK80" s="63"/>
      <c r="AL80" s="63" t="str">
        <f t="shared" si="10"/>
        <v>09</v>
      </c>
      <c r="AM80" s="63" t="str">
        <f t="shared" si="11"/>
        <v>00</v>
      </c>
      <c r="AN80" s="63" t="str">
        <f t="shared" si="12"/>
        <v>00</v>
      </c>
      <c r="AO80" s="63" t="str">
        <f t="shared" si="13"/>
        <v>00</v>
      </c>
      <c r="AQ80" t="str">
        <f t="shared" si="8"/>
        <v xml:space="preserve">    (U4)0x00000009U,                                                           /* 09 UNKNOWN                                         */</v>
      </c>
    </row>
    <row r="81" spans="2:43">
      <c r="B81" s="131"/>
      <c r="C81" s="50">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1</v>
      </c>
      <c r="AG81" s="125">
        <f t="shared" si="15"/>
        <v>0</v>
      </c>
      <c r="AH81" s="125">
        <f t="shared" si="15"/>
        <v>1</v>
      </c>
      <c r="AI81" s="125">
        <f t="shared" si="15"/>
        <v>0</v>
      </c>
      <c r="AJ81" s="50" t="str">
        <f t="shared" si="7"/>
        <v>UNKNOWN</v>
      </c>
      <c r="AK81" s="63"/>
      <c r="AL81" s="63" t="str">
        <f t="shared" si="10"/>
        <v>0A</v>
      </c>
      <c r="AM81" s="63" t="str">
        <f t="shared" si="11"/>
        <v>00</v>
      </c>
      <c r="AN81" s="63" t="str">
        <f t="shared" si="12"/>
        <v>00</v>
      </c>
      <c r="AO81" s="63" t="str">
        <f t="shared" si="13"/>
        <v>00</v>
      </c>
      <c r="AQ81" t="str">
        <f t="shared" si="8"/>
        <v xml:space="preserve">    (U4)0x0000000AU,                                                           /* 10 UNKNOWN                                         */</v>
      </c>
    </row>
    <row r="82" spans="2:43">
      <c r="B82" s="131"/>
      <c r="C82" s="50">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1</v>
      </c>
      <c r="AG82" s="125">
        <f t="shared" si="15"/>
        <v>0</v>
      </c>
      <c r="AH82" s="125">
        <f t="shared" si="15"/>
        <v>1</v>
      </c>
      <c r="AI82" s="125">
        <f t="shared" si="15"/>
        <v>1</v>
      </c>
      <c r="AJ82" s="50" t="str">
        <f t="shared" si="7"/>
        <v>UNKNOWN</v>
      </c>
      <c r="AK82" s="63"/>
      <c r="AL82" s="63" t="str">
        <f t="shared" si="10"/>
        <v>0B</v>
      </c>
      <c r="AM82" s="63" t="str">
        <f t="shared" si="11"/>
        <v>00</v>
      </c>
      <c r="AN82" s="63" t="str">
        <f t="shared" si="12"/>
        <v>00</v>
      </c>
      <c r="AO82" s="63" t="str">
        <f t="shared" si="13"/>
        <v>00</v>
      </c>
      <c r="AQ82" t="str">
        <f t="shared" si="8"/>
        <v xml:space="preserve">    (U4)0x0000000BU,                                                           /* 11 UNKNOWN                                         */</v>
      </c>
    </row>
    <row r="83" spans="2:43">
      <c r="B83" s="131"/>
      <c r="C83" s="50">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1</v>
      </c>
      <c r="AG83" s="125">
        <f t="shared" si="15"/>
        <v>1</v>
      </c>
      <c r="AH83" s="125">
        <f t="shared" si="15"/>
        <v>0</v>
      </c>
      <c r="AI83" s="125">
        <f t="shared" si="15"/>
        <v>0</v>
      </c>
      <c r="AJ83" s="50" t="str">
        <f t="shared" si="7"/>
        <v>UNKNOWN</v>
      </c>
      <c r="AK83" s="63"/>
      <c r="AL83" s="63" t="str">
        <f t="shared" si="10"/>
        <v>0C</v>
      </c>
      <c r="AM83" s="63" t="str">
        <f t="shared" si="11"/>
        <v>00</v>
      </c>
      <c r="AN83" s="63" t="str">
        <f t="shared" si="12"/>
        <v>00</v>
      </c>
      <c r="AO83" s="63" t="str">
        <f t="shared" si="13"/>
        <v>00</v>
      </c>
      <c r="AQ83" t="str">
        <f t="shared" si="8"/>
        <v xml:space="preserve">    (U4)0x0000000CU,                                                           /* 12 UNKNOWN                                         */</v>
      </c>
    </row>
    <row r="84" spans="2:43">
      <c r="B84" s="131"/>
      <c r="C84" s="50">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1</v>
      </c>
      <c r="AG84" s="125">
        <f t="shared" si="15"/>
        <v>1</v>
      </c>
      <c r="AH84" s="125">
        <f t="shared" si="15"/>
        <v>0</v>
      </c>
      <c r="AI84" s="125">
        <f t="shared" si="15"/>
        <v>1</v>
      </c>
      <c r="AJ84" s="50" t="str">
        <f t="shared" si="7"/>
        <v>UNKNOWN</v>
      </c>
      <c r="AK84" s="63"/>
      <c r="AL84" s="63" t="str">
        <f t="shared" si="10"/>
        <v>0D</v>
      </c>
      <c r="AM84" s="63" t="str">
        <f t="shared" si="11"/>
        <v>00</v>
      </c>
      <c r="AN84" s="63" t="str">
        <f t="shared" si="12"/>
        <v>00</v>
      </c>
      <c r="AO84" s="63" t="str">
        <f t="shared" si="13"/>
        <v>00</v>
      </c>
      <c r="AQ84" t="str">
        <f t="shared" si="8"/>
        <v xml:space="preserve">    (U4)0x0000000DU,                                                           /* 13 UNKNOWN                                         */</v>
      </c>
    </row>
    <row r="85" spans="2:43">
      <c r="B85" s="131"/>
      <c r="C85" s="50">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1</v>
      </c>
      <c r="AG85" s="125">
        <f t="shared" si="15"/>
        <v>1</v>
      </c>
      <c r="AH85" s="125">
        <f t="shared" si="15"/>
        <v>1</v>
      </c>
      <c r="AI85" s="125">
        <f t="shared" si="15"/>
        <v>0</v>
      </c>
      <c r="AJ85" s="50" t="str">
        <f t="shared" si="7"/>
        <v>UNKNOWN</v>
      </c>
      <c r="AK85" s="63"/>
      <c r="AL85" s="63" t="str">
        <f t="shared" si="10"/>
        <v>0E</v>
      </c>
      <c r="AM85" s="63" t="str">
        <f t="shared" si="11"/>
        <v>00</v>
      </c>
      <c r="AN85" s="63" t="str">
        <f t="shared" si="12"/>
        <v>00</v>
      </c>
      <c r="AO85" s="63" t="str">
        <f t="shared" si="13"/>
        <v>00</v>
      </c>
      <c r="AQ85" t="str">
        <f t="shared" si="8"/>
        <v xml:space="preserve">    (U4)0x0000000EU,                                                           /* 14 UNKNOWN                                         */</v>
      </c>
    </row>
    <row r="86" spans="2:43">
      <c r="B86" s="131"/>
      <c r="C86" s="50">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1</v>
      </c>
      <c r="AG86" s="125">
        <f t="shared" si="15"/>
        <v>1</v>
      </c>
      <c r="AH86" s="125">
        <f t="shared" si="15"/>
        <v>1</v>
      </c>
      <c r="AI86" s="125">
        <f t="shared" ref="AI86" si="16">IF(AI21=1,1,0)</f>
        <v>1</v>
      </c>
      <c r="AJ86" s="50" t="str">
        <f t="shared" si="7"/>
        <v>UNKNOWN</v>
      </c>
      <c r="AK86" s="63"/>
      <c r="AL86" s="63" t="str">
        <f t="shared" si="10"/>
        <v>0F</v>
      </c>
      <c r="AM86" s="63" t="str">
        <f t="shared" si="11"/>
        <v>00</v>
      </c>
      <c r="AN86" s="63" t="str">
        <f t="shared" si="12"/>
        <v>00</v>
      </c>
      <c r="AO86" s="63" t="str">
        <f t="shared" si="13"/>
        <v>00</v>
      </c>
      <c r="AQ86" t="str">
        <f t="shared" si="8"/>
        <v xml:space="preserve">    (U4)0x0000000FU                                                            /* 15 UNKNOWN                                         */</v>
      </c>
    </row>
    <row r="87" spans="2:43">
      <c r="B87" s="131"/>
      <c r="C87" s="50">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0</v>
      </c>
      <c r="AF87" s="125">
        <f t="shared" si="17"/>
        <v>0</v>
      </c>
      <c r="AG87" s="125">
        <f t="shared" si="17"/>
        <v>0</v>
      </c>
      <c r="AH87" s="125">
        <f t="shared" si="17"/>
        <v>0</v>
      </c>
      <c r="AI87" s="125">
        <f t="shared" si="17"/>
        <v>0</v>
      </c>
      <c r="AJ87" s="50" t="str">
        <f t="shared" si="7"/>
        <v/>
      </c>
      <c r="AK87" s="63"/>
      <c r="AL87" s="63" t="str">
        <f t="shared" si="10"/>
        <v>00</v>
      </c>
      <c r="AM87" s="63" t="str">
        <f t="shared" si="11"/>
        <v>00</v>
      </c>
      <c r="AN87" s="63" t="str">
        <f t="shared" si="12"/>
        <v>00</v>
      </c>
      <c r="AO87" s="63" t="str">
        <f t="shared" si="13"/>
        <v>00</v>
      </c>
      <c r="AQ87" t="str">
        <f t="shared" si="8"/>
        <v/>
      </c>
    </row>
    <row r="88" spans="2:43">
      <c r="B88" s="131"/>
      <c r="C88" s="50">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0</v>
      </c>
      <c r="AF88" s="125">
        <f t="shared" si="17"/>
        <v>0</v>
      </c>
      <c r="AG88" s="125">
        <f t="shared" si="17"/>
        <v>0</v>
      </c>
      <c r="AH88" s="125">
        <f t="shared" si="17"/>
        <v>0</v>
      </c>
      <c r="AI88" s="125">
        <f t="shared" si="17"/>
        <v>0</v>
      </c>
      <c r="AJ88" s="50" t="str">
        <f t="shared" si="7"/>
        <v/>
      </c>
      <c r="AK88" s="63"/>
      <c r="AL88" s="63" t="str">
        <f t="shared" si="10"/>
        <v>00</v>
      </c>
      <c r="AM88" s="63" t="str">
        <f t="shared" si="11"/>
        <v>00</v>
      </c>
      <c r="AN88" s="63" t="str">
        <f t="shared" si="12"/>
        <v>00</v>
      </c>
      <c r="AO88" s="63" t="str">
        <f t="shared" si="13"/>
        <v>00</v>
      </c>
      <c r="AQ88" t="str">
        <f t="shared" si="8"/>
        <v/>
      </c>
    </row>
    <row r="89" spans="2:43">
      <c r="B89" s="131"/>
      <c r="C89" s="50">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0</v>
      </c>
      <c r="AF89" s="125">
        <f t="shared" si="17"/>
        <v>0</v>
      </c>
      <c r="AG89" s="125">
        <f t="shared" si="17"/>
        <v>0</v>
      </c>
      <c r="AH89" s="125">
        <f t="shared" si="17"/>
        <v>0</v>
      </c>
      <c r="AI89" s="125">
        <f t="shared" si="17"/>
        <v>0</v>
      </c>
      <c r="AJ89" s="50" t="str">
        <f t="shared" si="7"/>
        <v/>
      </c>
      <c r="AK89" s="63"/>
      <c r="AL89" s="63" t="str">
        <f t="shared" si="10"/>
        <v>00</v>
      </c>
      <c r="AM89" s="63" t="str">
        <f t="shared" si="11"/>
        <v>00</v>
      </c>
      <c r="AN89" s="63" t="str">
        <f t="shared" si="12"/>
        <v>00</v>
      </c>
      <c r="AO89" s="63" t="str">
        <f t="shared" si="13"/>
        <v>00</v>
      </c>
      <c r="AQ89" t="str">
        <f t="shared" si="8"/>
        <v/>
      </c>
    </row>
    <row r="90" spans="2:43">
      <c r="B90" s="131"/>
      <c r="C90" s="50">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0</v>
      </c>
      <c r="AF90" s="125">
        <f t="shared" si="17"/>
        <v>0</v>
      </c>
      <c r="AG90" s="125">
        <f t="shared" si="17"/>
        <v>0</v>
      </c>
      <c r="AH90" s="125">
        <f t="shared" si="17"/>
        <v>0</v>
      </c>
      <c r="AI90" s="125">
        <f t="shared" si="17"/>
        <v>0</v>
      </c>
      <c r="AJ90" s="50" t="str">
        <f t="shared" si="7"/>
        <v/>
      </c>
      <c r="AK90" s="63"/>
      <c r="AL90" s="63" t="str">
        <f t="shared" si="10"/>
        <v>00</v>
      </c>
      <c r="AM90" s="63" t="str">
        <f t="shared" si="11"/>
        <v>00</v>
      </c>
      <c r="AN90" s="63" t="str">
        <f t="shared" si="12"/>
        <v>00</v>
      </c>
      <c r="AO90" s="63" t="str">
        <f t="shared" si="13"/>
        <v>00</v>
      </c>
      <c r="AQ90" t="str">
        <f t="shared" si="8"/>
        <v/>
      </c>
    </row>
    <row r="91" spans="2:43">
      <c r="B91" s="131"/>
      <c r="C91" s="50">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0</v>
      </c>
      <c r="AF91" s="125">
        <f t="shared" si="17"/>
        <v>0</v>
      </c>
      <c r="AG91" s="125">
        <f t="shared" si="17"/>
        <v>0</v>
      </c>
      <c r="AH91" s="125">
        <f t="shared" si="17"/>
        <v>0</v>
      </c>
      <c r="AI91" s="125">
        <f t="shared" si="17"/>
        <v>0</v>
      </c>
      <c r="AJ91" s="50" t="str">
        <f t="shared" si="7"/>
        <v/>
      </c>
      <c r="AK91" s="63"/>
      <c r="AL91" s="63" t="str">
        <f t="shared" si="10"/>
        <v>00</v>
      </c>
      <c r="AM91" s="63" t="str">
        <f t="shared" si="11"/>
        <v>00</v>
      </c>
      <c r="AN91" s="63" t="str">
        <f t="shared" si="12"/>
        <v>00</v>
      </c>
      <c r="AO91" s="63" t="str">
        <f t="shared" si="13"/>
        <v>00</v>
      </c>
      <c r="AQ91" t="str">
        <f t="shared" si="8"/>
        <v/>
      </c>
    </row>
    <row r="92" spans="2:43">
      <c r="B92" s="131"/>
      <c r="C92" s="50">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0</v>
      </c>
      <c r="AF92" s="125">
        <f t="shared" si="17"/>
        <v>0</v>
      </c>
      <c r="AG92" s="125">
        <f t="shared" si="17"/>
        <v>0</v>
      </c>
      <c r="AH92" s="125">
        <f t="shared" si="17"/>
        <v>0</v>
      </c>
      <c r="AI92" s="125">
        <f t="shared" si="17"/>
        <v>0</v>
      </c>
      <c r="AJ92" s="50" t="str">
        <f t="shared" si="7"/>
        <v/>
      </c>
      <c r="AK92" s="63"/>
      <c r="AL92" s="63" t="str">
        <f t="shared" si="10"/>
        <v>00</v>
      </c>
      <c r="AM92" s="63" t="str">
        <f t="shared" si="11"/>
        <v>00</v>
      </c>
      <c r="AN92" s="63" t="str">
        <f t="shared" si="12"/>
        <v>00</v>
      </c>
      <c r="AO92" s="63" t="str">
        <f t="shared" si="13"/>
        <v>00</v>
      </c>
      <c r="AQ92" t="str">
        <f t="shared" si="8"/>
        <v/>
      </c>
    </row>
    <row r="93" spans="2:43">
      <c r="B93" s="131"/>
      <c r="C93" s="50">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0</v>
      </c>
      <c r="AF93" s="125">
        <f t="shared" si="17"/>
        <v>0</v>
      </c>
      <c r="AG93" s="125">
        <f t="shared" si="17"/>
        <v>0</v>
      </c>
      <c r="AH93" s="125">
        <f t="shared" si="17"/>
        <v>0</v>
      </c>
      <c r="AI93" s="125">
        <f t="shared" si="17"/>
        <v>0</v>
      </c>
      <c r="AJ93" s="50" t="str">
        <f t="shared" si="7"/>
        <v/>
      </c>
      <c r="AK93" s="63"/>
      <c r="AL93" s="63" t="str">
        <f t="shared" si="10"/>
        <v>00</v>
      </c>
      <c r="AM93" s="63" t="str">
        <f t="shared" si="11"/>
        <v>00</v>
      </c>
      <c r="AN93" s="63" t="str">
        <f t="shared" si="12"/>
        <v>00</v>
      </c>
      <c r="AO93" s="63" t="str">
        <f t="shared" si="13"/>
        <v>00</v>
      </c>
      <c r="AQ93" t="str">
        <f t="shared" si="8"/>
        <v/>
      </c>
    </row>
    <row r="94" spans="2:43">
      <c r="B94" s="131"/>
      <c r="C94" s="50">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0</v>
      </c>
      <c r="AF94" s="125">
        <f t="shared" si="17"/>
        <v>0</v>
      </c>
      <c r="AG94" s="125">
        <f t="shared" si="17"/>
        <v>0</v>
      </c>
      <c r="AH94" s="125">
        <f t="shared" si="17"/>
        <v>0</v>
      </c>
      <c r="AI94" s="125">
        <f t="shared" ref="AI94" si="18">IF(AI29=1,1,0)</f>
        <v>0</v>
      </c>
      <c r="AJ94" s="50" t="str">
        <f t="shared" si="7"/>
        <v/>
      </c>
      <c r="AK94" s="63"/>
      <c r="AL94" s="63" t="str">
        <f t="shared" si="10"/>
        <v>00</v>
      </c>
      <c r="AM94" s="63" t="str">
        <f t="shared" si="11"/>
        <v>00</v>
      </c>
      <c r="AN94" s="63" t="str">
        <f t="shared" si="12"/>
        <v>00</v>
      </c>
      <c r="AO94" s="63" t="str">
        <f t="shared" si="13"/>
        <v>00</v>
      </c>
      <c r="AQ94" t="str">
        <f t="shared" si="8"/>
        <v/>
      </c>
    </row>
    <row r="95" spans="2:43">
      <c r="B95" s="131"/>
      <c r="C95" s="50">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0</v>
      </c>
      <c r="AF95" s="125">
        <f t="shared" si="19"/>
        <v>0</v>
      </c>
      <c r="AG95" s="125">
        <f t="shared" si="19"/>
        <v>0</v>
      </c>
      <c r="AH95" s="125">
        <f t="shared" si="19"/>
        <v>0</v>
      </c>
      <c r="AI95" s="125">
        <f t="shared" si="19"/>
        <v>0</v>
      </c>
      <c r="AJ95" s="50" t="str">
        <f t="shared" si="7"/>
        <v/>
      </c>
      <c r="AK95" s="63"/>
      <c r="AL95" s="63" t="str">
        <f t="shared" si="10"/>
        <v>00</v>
      </c>
      <c r="AM95" s="63" t="str">
        <f t="shared" si="11"/>
        <v>00</v>
      </c>
      <c r="AN95" s="63" t="str">
        <f t="shared" si="12"/>
        <v>00</v>
      </c>
      <c r="AO95" s="63" t="str">
        <f t="shared" si="13"/>
        <v>00</v>
      </c>
      <c r="AQ95" t="str">
        <f t="shared" si="8"/>
        <v/>
      </c>
    </row>
    <row r="96" spans="2:43">
      <c r="B96" s="131"/>
      <c r="C96" s="50">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0</v>
      </c>
      <c r="AF96" s="125">
        <f t="shared" si="19"/>
        <v>0</v>
      </c>
      <c r="AG96" s="125">
        <f t="shared" si="19"/>
        <v>0</v>
      </c>
      <c r="AH96" s="125">
        <f t="shared" si="19"/>
        <v>0</v>
      </c>
      <c r="AI96" s="125">
        <f t="shared" si="19"/>
        <v>0</v>
      </c>
      <c r="AJ96" s="50" t="str">
        <f t="shared" si="7"/>
        <v/>
      </c>
      <c r="AK96" s="63"/>
      <c r="AL96" s="63" t="str">
        <f t="shared" si="10"/>
        <v>00</v>
      </c>
      <c r="AM96" s="63" t="str">
        <f t="shared" si="11"/>
        <v>00</v>
      </c>
      <c r="AN96" s="63" t="str">
        <f t="shared" si="12"/>
        <v>00</v>
      </c>
      <c r="AO96" s="63" t="str">
        <f t="shared" si="13"/>
        <v>00</v>
      </c>
      <c r="AQ96" t="str">
        <f t="shared" si="8"/>
        <v/>
      </c>
    </row>
    <row r="97" spans="2:43">
      <c r="B97" s="131"/>
      <c r="C97" s="50">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0</v>
      </c>
      <c r="AF97" s="125">
        <f t="shared" si="19"/>
        <v>0</v>
      </c>
      <c r="AG97" s="125">
        <f t="shared" si="19"/>
        <v>0</v>
      </c>
      <c r="AH97" s="125">
        <f t="shared" si="19"/>
        <v>0</v>
      </c>
      <c r="AI97" s="125">
        <f t="shared" si="19"/>
        <v>0</v>
      </c>
      <c r="AJ97" s="50" t="str">
        <f t="shared" si="7"/>
        <v/>
      </c>
      <c r="AK97" s="63"/>
      <c r="AL97" s="63" t="str">
        <f t="shared" si="10"/>
        <v>00</v>
      </c>
      <c r="AM97" s="63" t="str">
        <f t="shared" si="11"/>
        <v>00</v>
      </c>
      <c r="AN97" s="63" t="str">
        <f t="shared" si="12"/>
        <v>00</v>
      </c>
      <c r="AO97" s="63" t="str">
        <f t="shared" si="13"/>
        <v>00</v>
      </c>
      <c r="AQ97" t="str">
        <f t="shared" si="8"/>
        <v/>
      </c>
    </row>
    <row r="98" spans="2:43">
      <c r="B98" s="131"/>
      <c r="C98" s="50">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0</v>
      </c>
      <c r="AF98" s="125">
        <f t="shared" si="19"/>
        <v>0</v>
      </c>
      <c r="AG98" s="125">
        <f t="shared" si="19"/>
        <v>0</v>
      </c>
      <c r="AH98" s="125">
        <f t="shared" si="19"/>
        <v>0</v>
      </c>
      <c r="AI98" s="125">
        <f t="shared" si="19"/>
        <v>0</v>
      </c>
      <c r="AJ98" s="50" t="str">
        <f t="shared" si="7"/>
        <v/>
      </c>
      <c r="AK98" s="63"/>
      <c r="AL98" s="63" t="str">
        <f t="shared" si="10"/>
        <v>00</v>
      </c>
      <c r="AM98" s="63" t="str">
        <f t="shared" si="11"/>
        <v>00</v>
      </c>
      <c r="AN98" s="63" t="str">
        <f t="shared" si="12"/>
        <v>00</v>
      </c>
      <c r="AO98" s="63" t="str">
        <f t="shared" si="13"/>
        <v>00</v>
      </c>
      <c r="AQ98" t="str">
        <f t="shared" si="8"/>
        <v/>
      </c>
    </row>
    <row r="99" spans="2:43">
      <c r="B99" s="131"/>
      <c r="C99" s="50">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0</v>
      </c>
      <c r="AF99" s="125">
        <f t="shared" si="19"/>
        <v>0</v>
      </c>
      <c r="AG99" s="125">
        <f t="shared" si="19"/>
        <v>0</v>
      </c>
      <c r="AH99" s="125">
        <f t="shared" si="19"/>
        <v>0</v>
      </c>
      <c r="AI99" s="125">
        <f t="shared" si="19"/>
        <v>0</v>
      </c>
      <c r="AJ99" s="50" t="str">
        <f t="shared" si="7"/>
        <v/>
      </c>
      <c r="AK99" s="63"/>
      <c r="AL99" s="63" t="str">
        <f t="shared" si="10"/>
        <v>00</v>
      </c>
      <c r="AM99" s="63" t="str">
        <f t="shared" si="11"/>
        <v>00</v>
      </c>
      <c r="AN99" s="63" t="str">
        <f t="shared" si="12"/>
        <v>00</v>
      </c>
      <c r="AO99" s="63" t="str">
        <f t="shared" si="13"/>
        <v>00</v>
      </c>
      <c r="AQ99" t="str">
        <f t="shared" si="8"/>
        <v/>
      </c>
    </row>
    <row r="100" spans="2:43">
      <c r="B100" s="131"/>
      <c r="C100" s="50">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0</v>
      </c>
      <c r="AF100" s="125">
        <f t="shared" si="19"/>
        <v>0</v>
      </c>
      <c r="AG100" s="125">
        <f t="shared" si="19"/>
        <v>0</v>
      </c>
      <c r="AH100" s="125">
        <f t="shared" si="19"/>
        <v>0</v>
      </c>
      <c r="AI100" s="125">
        <f t="shared" si="19"/>
        <v>0</v>
      </c>
      <c r="AJ100" s="50" t="str">
        <f t="shared" si="7"/>
        <v/>
      </c>
      <c r="AK100" s="63"/>
      <c r="AL100" s="63" t="str">
        <f t="shared" si="10"/>
        <v>00</v>
      </c>
      <c r="AM100" s="63" t="str">
        <f t="shared" si="11"/>
        <v>00</v>
      </c>
      <c r="AN100" s="63" t="str">
        <f t="shared" si="12"/>
        <v>00</v>
      </c>
      <c r="AO100" s="63" t="str">
        <f t="shared" si="13"/>
        <v>00</v>
      </c>
      <c r="AQ100" t="str">
        <f t="shared" si="8"/>
        <v/>
      </c>
    </row>
    <row r="101" spans="2:43">
      <c r="B101" s="131"/>
      <c r="C101" s="50">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0</v>
      </c>
      <c r="AF101" s="125">
        <f t="shared" si="19"/>
        <v>0</v>
      </c>
      <c r="AG101" s="125">
        <f t="shared" si="19"/>
        <v>0</v>
      </c>
      <c r="AH101" s="125">
        <f t="shared" si="19"/>
        <v>0</v>
      </c>
      <c r="AI101" s="125">
        <f t="shared" si="19"/>
        <v>0</v>
      </c>
      <c r="AJ101" s="50" t="str">
        <f t="shared" si="7"/>
        <v/>
      </c>
      <c r="AK101" s="63"/>
      <c r="AL101" s="63" t="str">
        <f t="shared" si="10"/>
        <v>00</v>
      </c>
      <c r="AM101" s="63" t="str">
        <f t="shared" si="11"/>
        <v>00</v>
      </c>
      <c r="AN101" s="63" t="str">
        <f t="shared" si="12"/>
        <v>00</v>
      </c>
      <c r="AO101" s="63" t="str">
        <f t="shared" si="13"/>
        <v>00</v>
      </c>
      <c r="AQ101" t="str">
        <f t="shared" si="8"/>
        <v/>
      </c>
    </row>
    <row r="102" spans="2:43">
      <c r="B102" s="131"/>
      <c r="C102" s="50">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0</v>
      </c>
      <c r="AF102" s="125">
        <f t="shared" si="19"/>
        <v>0</v>
      </c>
      <c r="AG102" s="125">
        <f t="shared" si="19"/>
        <v>0</v>
      </c>
      <c r="AH102" s="125">
        <f t="shared" si="19"/>
        <v>0</v>
      </c>
      <c r="AI102" s="125">
        <f t="shared" ref="AI102" si="20">IF(AI37=1,1,0)</f>
        <v>0</v>
      </c>
      <c r="AJ102" s="50" t="str">
        <f t="shared" si="7"/>
        <v/>
      </c>
      <c r="AK102" s="63"/>
      <c r="AL102" s="63" t="str">
        <f t="shared" si="10"/>
        <v>00</v>
      </c>
      <c r="AM102" s="63" t="str">
        <f t="shared" si="11"/>
        <v>00</v>
      </c>
      <c r="AN102" s="63" t="str">
        <f t="shared" si="12"/>
        <v>00</v>
      </c>
      <c r="AO102" s="63" t="str">
        <f t="shared" si="13"/>
        <v>00</v>
      </c>
      <c r="AQ102" t="str">
        <f t="shared" si="8"/>
        <v/>
      </c>
    </row>
    <row r="103" spans="2:43">
      <c r="B103" s="131"/>
      <c r="C103" s="50">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0</v>
      </c>
      <c r="AE103" s="125">
        <f t="shared" si="21"/>
        <v>0</v>
      </c>
      <c r="AF103" s="125">
        <f t="shared" si="21"/>
        <v>0</v>
      </c>
      <c r="AG103" s="125">
        <f t="shared" si="21"/>
        <v>0</v>
      </c>
      <c r="AH103" s="125">
        <f t="shared" si="21"/>
        <v>0</v>
      </c>
      <c r="AI103" s="125">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31"/>
      <c r="C104" s="50">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0</v>
      </c>
      <c r="AE104" s="125">
        <f t="shared" si="21"/>
        <v>0</v>
      </c>
      <c r="AF104" s="125">
        <f t="shared" si="21"/>
        <v>0</v>
      </c>
      <c r="AG104" s="125">
        <f t="shared" si="21"/>
        <v>0</v>
      </c>
      <c r="AH104" s="125">
        <f t="shared" si="21"/>
        <v>0</v>
      </c>
      <c r="AI104" s="125">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31"/>
      <c r="C105" s="50">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0</v>
      </c>
      <c r="AE105" s="125">
        <f t="shared" si="21"/>
        <v>0</v>
      </c>
      <c r="AF105" s="125">
        <f t="shared" si="21"/>
        <v>0</v>
      </c>
      <c r="AG105" s="125">
        <f t="shared" si="21"/>
        <v>0</v>
      </c>
      <c r="AH105" s="125">
        <f t="shared" si="21"/>
        <v>0</v>
      </c>
      <c r="AI105" s="125">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31"/>
      <c r="C106" s="50">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0</v>
      </c>
      <c r="AE106" s="125">
        <f t="shared" si="21"/>
        <v>0</v>
      </c>
      <c r="AF106" s="125">
        <f t="shared" si="21"/>
        <v>0</v>
      </c>
      <c r="AG106" s="125">
        <f t="shared" si="21"/>
        <v>0</v>
      </c>
      <c r="AH106" s="125">
        <f t="shared" si="21"/>
        <v>0</v>
      </c>
      <c r="AI106" s="125">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31"/>
      <c r="C107" s="50">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0</v>
      </c>
      <c r="AE107" s="125">
        <f t="shared" si="21"/>
        <v>0</v>
      </c>
      <c r="AF107" s="125">
        <f t="shared" si="21"/>
        <v>0</v>
      </c>
      <c r="AG107" s="125">
        <f t="shared" si="21"/>
        <v>0</v>
      </c>
      <c r="AH107" s="125">
        <f t="shared" si="21"/>
        <v>0</v>
      </c>
      <c r="AI107" s="125">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31"/>
      <c r="C108" s="50">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0</v>
      </c>
      <c r="AE108" s="125">
        <f t="shared" si="21"/>
        <v>0</v>
      </c>
      <c r="AF108" s="125">
        <f t="shared" si="21"/>
        <v>0</v>
      </c>
      <c r="AG108" s="125">
        <f t="shared" si="21"/>
        <v>0</v>
      </c>
      <c r="AH108" s="125">
        <f t="shared" si="21"/>
        <v>0</v>
      </c>
      <c r="AI108" s="125">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31"/>
      <c r="C109" s="50">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0</v>
      </c>
      <c r="AE109" s="125">
        <f t="shared" si="21"/>
        <v>0</v>
      </c>
      <c r="AF109" s="125">
        <f t="shared" si="21"/>
        <v>0</v>
      </c>
      <c r="AG109" s="125">
        <f t="shared" si="21"/>
        <v>0</v>
      </c>
      <c r="AH109" s="125">
        <f t="shared" si="21"/>
        <v>0</v>
      </c>
      <c r="AI109" s="125">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31"/>
      <c r="C110" s="50">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0</v>
      </c>
      <c r="AE110" s="125">
        <f t="shared" si="21"/>
        <v>0</v>
      </c>
      <c r="AF110" s="125">
        <f t="shared" si="21"/>
        <v>0</v>
      </c>
      <c r="AG110" s="125">
        <f t="shared" si="21"/>
        <v>0</v>
      </c>
      <c r="AH110" s="125">
        <f t="shared" si="21"/>
        <v>0</v>
      </c>
      <c r="AI110" s="125">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31"/>
      <c r="C111" s="50">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0</v>
      </c>
      <c r="AE111" s="125">
        <f t="shared" si="23"/>
        <v>0</v>
      </c>
      <c r="AF111" s="125">
        <f t="shared" si="23"/>
        <v>0</v>
      </c>
      <c r="AG111" s="125">
        <f t="shared" si="23"/>
        <v>0</v>
      </c>
      <c r="AH111" s="125">
        <f t="shared" si="23"/>
        <v>0</v>
      </c>
      <c r="AI111" s="125">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31"/>
      <c r="C112" s="50">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0</v>
      </c>
      <c r="AE112" s="125">
        <f t="shared" si="23"/>
        <v>0</v>
      </c>
      <c r="AF112" s="125">
        <f t="shared" si="23"/>
        <v>0</v>
      </c>
      <c r="AG112" s="125">
        <f t="shared" si="23"/>
        <v>0</v>
      </c>
      <c r="AH112" s="125">
        <f t="shared" si="23"/>
        <v>0</v>
      </c>
      <c r="AI112" s="125">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31"/>
      <c r="C113" s="50">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0</v>
      </c>
      <c r="AE113" s="125">
        <f t="shared" si="23"/>
        <v>0</v>
      </c>
      <c r="AF113" s="125">
        <f t="shared" si="23"/>
        <v>0</v>
      </c>
      <c r="AG113" s="125">
        <f t="shared" si="23"/>
        <v>0</v>
      </c>
      <c r="AH113" s="125">
        <f t="shared" si="23"/>
        <v>0</v>
      </c>
      <c r="AI113" s="125">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31"/>
      <c r="C114" s="50">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0</v>
      </c>
      <c r="AE114" s="125">
        <f t="shared" si="23"/>
        <v>0</v>
      </c>
      <c r="AF114" s="125">
        <f t="shared" si="23"/>
        <v>0</v>
      </c>
      <c r="AG114" s="125">
        <f t="shared" si="23"/>
        <v>0</v>
      </c>
      <c r="AH114" s="125">
        <f t="shared" si="23"/>
        <v>0</v>
      </c>
      <c r="AI114" s="125">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31"/>
      <c r="C115" s="50">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0</v>
      </c>
      <c r="AE115" s="125">
        <f t="shared" si="23"/>
        <v>0</v>
      </c>
      <c r="AF115" s="125">
        <f t="shared" si="23"/>
        <v>0</v>
      </c>
      <c r="AG115" s="125">
        <f t="shared" si="23"/>
        <v>0</v>
      </c>
      <c r="AH115" s="125">
        <f t="shared" si="23"/>
        <v>0</v>
      </c>
      <c r="AI115" s="125">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31"/>
      <c r="C116" s="50">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0</v>
      </c>
      <c r="AE116" s="125">
        <f t="shared" si="23"/>
        <v>0</v>
      </c>
      <c r="AF116" s="125">
        <f t="shared" si="23"/>
        <v>0</v>
      </c>
      <c r="AG116" s="125">
        <f t="shared" si="23"/>
        <v>0</v>
      </c>
      <c r="AH116" s="125">
        <f t="shared" si="23"/>
        <v>0</v>
      </c>
      <c r="AI116" s="125">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31"/>
      <c r="C117" s="50">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0</v>
      </c>
      <c r="AE117" s="125">
        <f t="shared" si="23"/>
        <v>0</v>
      </c>
      <c r="AF117" s="125">
        <f t="shared" si="23"/>
        <v>0</v>
      </c>
      <c r="AG117" s="125">
        <f t="shared" si="23"/>
        <v>0</v>
      </c>
      <c r="AH117" s="125">
        <f t="shared" si="23"/>
        <v>0</v>
      </c>
      <c r="AI117" s="125">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31"/>
      <c r="C118" s="50">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0</v>
      </c>
      <c r="AE118" s="125">
        <f t="shared" si="23"/>
        <v>0</v>
      </c>
      <c r="AF118" s="125">
        <f t="shared" si="23"/>
        <v>0</v>
      </c>
      <c r="AG118" s="125">
        <f t="shared" si="23"/>
        <v>0</v>
      </c>
      <c r="AH118" s="125">
        <f t="shared" si="23"/>
        <v>0</v>
      </c>
      <c r="AI118" s="125">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31"/>
      <c r="C119" s="50">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0</v>
      </c>
      <c r="AE119" s="125">
        <f t="shared" si="25"/>
        <v>0</v>
      </c>
      <c r="AF119" s="125">
        <f t="shared" si="25"/>
        <v>0</v>
      </c>
      <c r="AG119" s="125">
        <f t="shared" si="25"/>
        <v>0</v>
      </c>
      <c r="AH119" s="125">
        <f t="shared" si="25"/>
        <v>0</v>
      </c>
      <c r="AI119" s="125">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31"/>
      <c r="C120" s="50">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0</v>
      </c>
      <c r="AE120" s="125">
        <f t="shared" si="25"/>
        <v>0</v>
      </c>
      <c r="AF120" s="125">
        <f t="shared" si="25"/>
        <v>0</v>
      </c>
      <c r="AG120" s="125">
        <f t="shared" si="25"/>
        <v>0</v>
      </c>
      <c r="AH120" s="125">
        <f t="shared" si="25"/>
        <v>0</v>
      </c>
      <c r="AI120" s="125">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31"/>
      <c r="C121" s="50">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0</v>
      </c>
      <c r="AE121" s="125">
        <f t="shared" si="25"/>
        <v>0</v>
      </c>
      <c r="AF121" s="125">
        <f t="shared" si="25"/>
        <v>0</v>
      </c>
      <c r="AG121" s="125">
        <f t="shared" si="25"/>
        <v>0</v>
      </c>
      <c r="AH121" s="125">
        <f t="shared" si="25"/>
        <v>0</v>
      </c>
      <c r="AI121" s="125">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31"/>
      <c r="C122" s="50">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0</v>
      </c>
      <c r="AE122" s="125">
        <f t="shared" si="25"/>
        <v>0</v>
      </c>
      <c r="AF122" s="125">
        <f t="shared" si="25"/>
        <v>0</v>
      </c>
      <c r="AG122" s="125">
        <f t="shared" si="25"/>
        <v>0</v>
      </c>
      <c r="AH122" s="125">
        <f t="shared" si="25"/>
        <v>0</v>
      </c>
      <c r="AI122" s="125">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31"/>
      <c r="C123" s="50">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0</v>
      </c>
      <c r="AE123" s="125">
        <f t="shared" si="25"/>
        <v>0</v>
      </c>
      <c r="AF123" s="125">
        <f t="shared" si="25"/>
        <v>0</v>
      </c>
      <c r="AG123" s="125">
        <f t="shared" si="25"/>
        <v>0</v>
      </c>
      <c r="AH123" s="125">
        <f t="shared" si="25"/>
        <v>0</v>
      </c>
      <c r="AI123" s="125">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31"/>
      <c r="C124" s="50">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0</v>
      </c>
      <c r="AE124" s="125">
        <f t="shared" si="25"/>
        <v>0</v>
      </c>
      <c r="AF124" s="125">
        <f t="shared" si="25"/>
        <v>0</v>
      </c>
      <c r="AG124" s="125">
        <f t="shared" si="25"/>
        <v>0</v>
      </c>
      <c r="AH124" s="125">
        <f t="shared" si="25"/>
        <v>0</v>
      </c>
      <c r="AI124" s="125">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31"/>
      <c r="C125" s="50">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0</v>
      </c>
      <c r="AE125" s="125">
        <f t="shared" si="25"/>
        <v>0</v>
      </c>
      <c r="AF125" s="125">
        <f t="shared" si="25"/>
        <v>0</v>
      </c>
      <c r="AG125" s="125">
        <f t="shared" si="25"/>
        <v>0</v>
      </c>
      <c r="AH125" s="125">
        <f t="shared" si="25"/>
        <v>0</v>
      </c>
      <c r="AI125" s="125">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31"/>
      <c r="C126" s="50">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0</v>
      </c>
      <c r="AE126" s="125">
        <f t="shared" si="25"/>
        <v>0</v>
      </c>
      <c r="AF126" s="125">
        <f t="shared" si="25"/>
        <v>0</v>
      </c>
      <c r="AG126" s="125">
        <f t="shared" si="25"/>
        <v>0</v>
      </c>
      <c r="AH126" s="125">
        <f t="shared" si="25"/>
        <v>0</v>
      </c>
      <c r="AI126" s="125">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31"/>
      <c r="C127" s="50">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0</v>
      </c>
      <c r="AE127" s="125">
        <f t="shared" si="27"/>
        <v>0</v>
      </c>
      <c r="AF127" s="125">
        <f t="shared" si="27"/>
        <v>0</v>
      </c>
      <c r="AG127" s="125">
        <f t="shared" si="27"/>
        <v>0</v>
      </c>
      <c r="AH127" s="125">
        <f t="shared" si="27"/>
        <v>0</v>
      </c>
      <c r="AI127" s="125">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31"/>
      <c r="C128" s="50">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0</v>
      </c>
      <c r="AE128" s="125">
        <f t="shared" si="27"/>
        <v>0</v>
      </c>
      <c r="AF128" s="125">
        <f t="shared" si="27"/>
        <v>0</v>
      </c>
      <c r="AG128" s="125">
        <f t="shared" si="27"/>
        <v>0</v>
      </c>
      <c r="AH128" s="125">
        <f t="shared" si="27"/>
        <v>0</v>
      </c>
      <c r="AI128" s="125">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31"/>
      <c r="C129" s="50">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0</v>
      </c>
      <c r="AE129" s="125">
        <f t="shared" si="27"/>
        <v>0</v>
      </c>
      <c r="AF129" s="125">
        <f t="shared" si="27"/>
        <v>0</v>
      </c>
      <c r="AG129" s="125">
        <f t="shared" si="27"/>
        <v>0</v>
      </c>
      <c r="AH129" s="125">
        <f t="shared" si="27"/>
        <v>0</v>
      </c>
      <c r="AI129" s="125">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31"/>
      <c r="C130" s="50">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0</v>
      </c>
      <c r="AE130" s="125">
        <f t="shared" si="27"/>
        <v>0</v>
      </c>
      <c r="AF130" s="125">
        <f t="shared" si="27"/>
        <v>0</v>
      </c>
      <c r="AG130" s="125">
        <f t="shared" si="27"/>
        <v>0</v>
      </c>
      <c r="AH130" s="125">
        <f t="shared" si="27"/>
        <v>0</v>
      </c>
      <c r="AI130" s="125">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31"/>
      <c r="C131" s="50">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0</v>
      </c>
      <c r="AE131" s="125">
        <f t="shared" si="27"/>
        <v>0</v>
      </c>
      <c r="AF131" s="125">
        <f t="shared" si="27"/>
        <v>0</v>
      </c>
      <c r="AG131" s="125">
        <f t="shared" si="27"/>
        <v>0</v>
      </c>
      <c r="AH131" s="125">
        <f t="shared" si="27"/>
        <v>0</v>
      </c>
      <c r="AI131" s="125">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31"/>
      <c r="C132" s="50">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0</v>
      </c>
      <c r="AE132" s="125">
        <f t="shared" si="27"/>
        <v>0</v>
      </c>
      <c r="AF132" s="125">
        <f t="shared" si="27"/>
        <v>0</v>
      </c>
      <c r="AG132" s="125">
        <f t="shared" si="27"/>
        <v>0</v>
      </c>
      <c r="AH132" s="125">
        <f t="shared" si="27"/>
        <v>0</v>
      </c>
      <c r="AI132" s="125">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31"/>
      <c r="C133" s="50">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0</v>
      </c>
      <c r="AE133" s="125">
        <f t="shared" si="27"/>
        <v>0</v>
      </c>
      <c r="AF133" s="125">
        <f t="shared" si="27"/>
        <v>0</v>
      </c>
      <c r="AG133" s="125">
        <f t="shared" si="27"/>
        <v>0</v>
      </c>
      <c r="AH133" s="125">
        <f t="shared" si="27"/>
        <v>0</v>
      </c>
      <c r="AI133" s="125">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2"/>
      <c r="C134" s="50">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0</v>
      </c>
      <c r="AE134" s="125">
        <f t="shared" si="27"/>
        <v>0</v>
      </c>
      <c r="AF134" s="125">
        <f t="shared" si="27"/>
        <v>0</v>
      </c>
      <c r="AG134" s="125">
        <f t="shared" si="27"/>
        <v>0</v>
      </c>
      <c r="AH134" s="125">
        <f t="shared" si="27"/>
        <v>0</v>
      </c>
      <c r="AI134" s="125">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69</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3" t="str">
        <f ca="1">IF(B6&lt;&gt;"",B6,"")</f>
        <v>Table BC</v>
      </c>
      <c r="C136" s="50">
        <f>IF(C6&lt;&gt;"",C6,"")</f>
        <v>0</v>
      </c>
      <c r="D136" s="125">
        <f t="shared" ref="D136:AI143" si="29">IF(OR(D6=0,D6=1),1,0)</f>
        <v>0</v>
      </c>
      <c r="E136" s="125">
        <f t="shared" si="29"/>
        <v>0</v>
      </c>
      <c r="F136" s="125">
        <f t="shared" si="29"/>
        <v>0</v>
      </c>
      <c r="G136" s="125">
        <f t="shared" si="29"/>
        <v>0</v>
      </c>
      <c r="H136" s="125">
        <f t="shared" si="29"/>
        <v>0</v>
      </c>
      <c r="I136" s="125">
        <f t="shared" si="29"/>
        <v>0</v>
      </c>
      <c r="J136" s="125">
        <f t="shared" si="29"/>
        <v>0</v>
      </c>
      <c r="K136" s="125">
        <f t="shared" si="29"/>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 t="shared" si="29"/>
        <v>0</v>
      </c>
      <c r="AB136" s="125">
        <f t="shared" si="29"/>
        <v>0</v>
      </c>
      <c r="AC136" s="125">
        <f t="shared" si="29"/>
        <v>0</v>
      </c>
      <c r="AD136" s="125">
        <f t="shared" si="29"/>
        <v>0</v>
      </c>
      <c r="AE136" s="125">
        <f t="shared" si="29"/>
        <v>0</v>
      </c>
      <c r="AF136" s="125">
        <f t="shared" si="29"/>
        <v>1</v>
      </c>
      <c r="AG136" s="125">
        <f t="shared" si="29"/>
        <v>1</v>
      </c>
      <c r="AH136" s="125">
        <f t="shared" si="29"/>
        <v>1</v>
      </c>
      <c r="AI136" s="125">
        <f t="shared" si="29"/>
        <v>1</v>
      </c>
      <c r="AJ136" s="50" t="str">
        <f t="shared" ref="AJ136:AJ199" si="30">IF(AJ6&lt;&gt;"",AJ6,"")</f>
        <v>UNKNOWN</v>
      </c>
      <c r="AK136" s="63"/>
      <c r="AL136" s="63" t="str">
        <f>BIN2HEX(AB136&amp;AC136&amp;AD136&amp;AE136&amp;AF136&amp;AG136&amp;AH136&amp;AI136,2)</f>
        <v>0F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1"/>
      <c r="C137" s="50">
        <f t="shared" ref="C137:C199" si="32">IF(C7&lt;&gt;"",C7,"")</f>
        <v>1</v>
      </c>
      <c r="D137" s="125">
        <f t="shared" si="29"/>
        <v>0</v>
      </c>
      <c r="E137" s="125">
        <f t="shared" si="29"/>
        <v>0</v>
      </c>
      <c r="F137" s="125">
        <f t="shared" si="29"/>
        <v>0</v>
      </c>
      <c r="G137" s="125">
        <f t="shared" si="29"/>
        <v>0</v>
      </c>
      <c r="H137" s="125">
        <f t="shared" si="29"/>
        <v>0</v>
      </c>
      <c r="I137" s="125">
        <f t="shared" si="29"/>
        <v>0</v>
      </c>
      <c r="J137" s="125">
        <f t="shared" si="29"/>
        <v>0</v>
      </c>
      <c r="K137" s="125">
        <f t="shared" si="29"/>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 t="shared" si="29"/>
        <v>0</v>
      </c>
      <c r="AB137" s="125">
        <f t="shared" si="29"/>
        <v>0</v>
      </c>
      <c r="AC137" s="125">
        <f t="shared" si="29"/>
        <v>0</v>
      </c>
      <c r="AD137" s="125">
        <f t="shared" si="29"/>
        <v>0</v>
      </c>
      <c r="AE137" s="125">
        <f t="shared" si="29"/>
        <v>0</v>
      </c>
      <c r="AF137" s="125">
        <f t="shared" si="29"/>
        <v>1</v>
      </c>
      <c r="AG137" s="125">
        <f t="shared" si="29"/>
        <v>1</v>
      </c>
      <c r="AH137" s="125">
        <f t="shared" si="29"/>
        <v>1</v>
      </c>
      <c r="AI137" s="125">
        <f t="shared" si="29"/>
        <v>1</v>
      </c>
      <c r="AJ137" s="50" t="str">
        <f t="shared" si="30"/>
        <v>SINGLE</v>
      </c>
      <c r="AK137" s="63"/>
      <c r="AL137" s="63" t="str">
        <f t="shared" ref="AL137:AL199" si="33">BIN2HEX(AB137&amp;AC137&amp;AD137&amp;AE137&amp;AF137&amp;AG137&amp;AH137&amp;AI137,2)</f>
        <v>0F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(U4)0x0000000FU,                                                           /* 01 SINGLE                                          */</v>
      </c>
    </row>
    <row r="138" spans="1:43">
      <c r="B138" s="131"/>
      <c r="C138" s="50">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0</v>
      </c>
      <c r="AE138" s="125">
        <f t="shared" si="29"/>
        <v>0</v>
      </c>
      <c r="AF138" s="125">
        <f t="shared" si="29"/>
        <v>1</v>
      </c>
      <c r="AG138" s="125">
        <f t="shared" si="29"/>
        <v>1</v>
      </c>
      <c r="AH138" s="125">
        <f t="shared" si="29"/>
        <v>1</v>
      </c>
      <c r="AI138" s="125">
        <f t="shared" si="29"/>
        <v>1</v>
      </c>
      <c r="AJ138" s="50" t="str">
        <f t="shared" si="30"/>
        <v>DOUBLE</v>
      </c>
      <c r="AK138" s="63"/>
      <c r="AL138" s="63" t="str">
        <f t="shared" si="33"/>
        <v>0F</v>
      </c>
      <c r="AM138" s="63" t="str">
        <f t="shared" si="34"/>
        <v>00</v>
      </c>
      <c r="AN138" s="63" t="str">
        <f t="shared" si="35"/>
        <v>00</v>
      </c>
      <c r="AO138" s="63" t="str">
        <f t="shared" si="36"/>
        <v>00</v>
      </c>
      <c r="AQ138" t="str">
        <f t="shared" si="31"/>
        <v xml:space="preserve">    (U4)0x0000000FU,                                                           /* 02 DOUBLE                                          */</v>
      </c>
    </row>
    <row r="139" spans="1:43">
      <c r="B139" s="131"/>
      <c r="C139" s="50">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0</v>
      </c>
      <c r="AE139" s="125">
        <f t="shared" si="29"/>
        <v>0</v>
      </c>
      <c r="AF139" s="125">
        <f t="shared" si="29"/>
        <v>1</v>
      </c>
      <c r="AG139" s="125">
        <f t="shared" si="29"/>
        <v>1</v>
      </c>
      <c r="AH139" s="125">
        <f t="shared" si="29"/>
        <v>1</v>
      </c>
      <c r="AI139" s="125">
        <f t="shared" si="29"/>
        <v>1</v>
      </c>
      <c r="AJ139" s="50" t="str">
        <f t="shared" si="30"/>
        <v>UNKNOWN</v>
      </c>
      <c r="AK139" s="63"/>
      <c r="AL139" s="63" t="str">
        <f t="shared" si="33"/>
        <v>0F</v>
      </c>
      <c r="AM139" s="63" t="str">
        <f t="shared" si="34"/>
        <v>00</v>
      </c>
      <c r="AN139" s="63" t="str">
        <f t="shared" si="35"/>
        <v>00</v>
      </c>
      <c r="AO139" s="63" t="str">
        <f t="shared" si="36"/>
        <v>00</v>
      </c>
      <c r="AQ139" t="str">
        <f t="shared" si="31"/>
        <v xml:space="preserve">    (U4)0x0000000FU,                                                           /* 03 UNKNOWN                                         */</v>
      </c>
    </row>
    <row r="140" spans="1:43">
      <c r="B140" s="131"/>
      <c r="C140" s="50">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0</v>
      </c>
      <c r="AE140" s="125">
        <f t="shared" si="29"/>
        <v>0</v>
      </c>
      <c r="AF140" s="125">
        <f t="shared" si="29"/>
        <v>1</v>
      </c>
      <c r="AG140" s="125">
        <f t="shared" si="29"/>
        <v>1</v>
      </c>
      <c r="AH140" s="125">
        <f t="shared" si="29"/>
        <v>1</v>
      </c>
      <c r="AI140" s="125">
        <f t="shared" si="29"/>
        <v>1</v>
      </c>
      <c r="AJ140" s="50" t="str">
        <f t="shared" si="30"/>
        <v>UNKNOWN</v>
      </c>
      <c r="AK140" s="63"/>
      <c r="AL140" s="63" t="str">
        <f t="shared" si="33"/>
        <v>0F</v>
      </c>
      <c r="AM140" s="63" t="str">
        <f t="shared" si="34"/>
        <v>00</v>
      </c>
      <c r="AN140" s="63" t="str">
        <f t="shared" si="35"/>
        <v>00</v>
      </c>
      <c r="AO140" s="63" t="str">
        <f t="shared" si="36"/>
        <v>00</v>
      </c>
      <c r="AQ140" t="str">
        <f t="shared" si="31"/>
        <v xml:space="preserve">    (U4)0x0000000FU,                                                           /* 04 UNKNOWN                                         */</v>
      </c>
    </row>
    <row r="141" spans="1:43">
      <c r="B141" s="131"/>
      <c r="C141" s="50">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0</v>
      </c>
      <c r="AE141" s="125">
        <f t="shared" si="29"/>
        <v>0</v>
      </c>
      <c r="AF141" s="125">
        <f t="shared" si="29"/>
        <v>1</v>
      </c>
      <c r="AG141" s="125">
        <f t="shared" si="29"/>
        <v>1</v>
      </c>
      <c r="AH141" s="125">
        <f t="shared" si="29"/>
        <v>1</v>
      </c>
      <c r="AI141" s="125">
        <f t="shared" si="29"/>
        <v>1</v>
      </c>
      <c r="AJ141" s="50" t="str">
        <f t="shared" si="30"/>
        <v>UNKNOWN</v>
      </c>
      <c r="AK141" s="63"/>
      <c r="AL141" s="63" t="str">
        <f t="shared" si="33"/>
        <v>0F</v>
      </c>
      <c r="AM141" s="63" t="str">
        <f t="shared" si="34"/>
        <v>00</v>
      </c>
      <c r="AN141" s="63" t="str">
        <f t="shared" si="35"/>
        <v>00</v>
      </c>
      <c r="AO141" s="63" t="str">
        <f t="shared" si="36"/>
        <v>00</v>
      </c>
      <c r="AQ141" t="str">
        <f t="shared" si="31"/>
        <v xml:space="preserve">    (U4)0x0000000FU,                                                           /* 05 UNKNOWN                                         */</v>
      </c>
    </row>
    <row r="142" spans="1:43">
      <c r="B142" s="131"/>
      <c r="C142" s="50">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0</v>
      </c>
      <c r="AE142" s="125">
        <f t="shared" si="29"/>
        <v>0</v>
      </c>
      <c r="AF142" s="125">
        <f t="shared" si="29"/>
        <v>1</v>
      </c>
      <c r="AG142" s="125">
        <f t="shared" si="29"/>
        <v>1</v>
      </c>
      <c r="AH142" s="125">
        <f t="shared" si="29"/>
        <v>1</v>
      </c>
      <c r="AI142" s="125">
        <f t="shared" si="29"/>
        <v>1</v>
      </c>
      <c r="AJ142" s="50" t="str">
        <f t="shared" si="30"/>
        <v>UNKNOWN</v>
      </c>
      <c r="AK142" s="63"/>
      <c r="AL142" s="63" t="str">
        <f t="shared" si="33"/>
        <v>0F</v>
      </c>
      <c r="AM142" s="63" t="str">
        <f t="shared" si="34"/>
        <v>00</v>
      </c>
      <c r="AN142" s="63" t="str">
        <f t="shared" si="35"/>
        <v>00</v>
      </c>
      <c r="AO142" s="63" t="str">
        <f t="shared" si="36"/>
        <v>00</v>
      </c>
      <c r="AQ142" t="str">
        <f t="shared" si="31"/>
        <v xml:space="preserve">    (U4)0x0000000FU,                                                           /* 06 UNKNOWN                                         */</v>
      </c>
    </row>
    <row r="143" spans="1:43">
      <c r="B143" s="131"/>
      <c r="C143" s="50">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0</v>
      </c>
      <c r="AE143" s="125">
        <f t="shared" si="29"/>
        <v>0</v>
      </c>
      <c r="AF143" s="125">
        <f t="shared" si="29"/>
        <v>1</v>
      </c>
      <c r="AG143" s="125">
        <f t="shared" si="29"/>
        <v>1</v>
      </c>
      <c r="AH143" s="125">
        <f t="shared" si="29"/>
        <v>1</v>
      </c>
      <c r="AI143" s="125">
        <f t="shared" ref="AI143" si="37">IF(OR(AI13=0,AI13=1),1,0)</f>
        <v>1</v>
      </c>
      <c r="AJ143" s="50" t="str">
        <f t="shared" si="30"/>
        <v>UNKNOWN</v>
      </c>
      <c r="AK143" s="63"/>
      <c r="AL143" s="63" t="str">
        <f t="shared" si="33"/>
        <v>0F</v>
      </c>
      <c r="AM143" s="63" t="str">
        <f t="shared" si="34"/>
        <v>00</v>
      </c>
      <c r="AN143" s="63" t="str">
        <f t="shared" si="35"/>
        <v>00</v>
      </c>
      <c r="AO143" s="63" t="str">
        <f t="shared" si="36"/>
        <v>00</v>
      </c>
      <c r="AQ143" t="str">
        <f t="shared" si="31"/>
        <v xml:space="preserve">    (U4)0x0000000FU,                                                           /* 07 UNKNOWN                                         */</v>
      </c>
    </row>
    <row r="144" spans="1:43">
      <c r="B144" s="131"/>
      <c r="C144" s="50">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0</v>
      </c>
      <c r="AE144" s="125">
        <f t="shared" si="38"/>
        <v>0</v>
      </c>
      <c r="AF144" s="125">
        <f t="shared" si="38"/>
        <v>1</v>
      </c>
      <c r="AG144" s="125">
        <f t="shared" si="38"/>
        <v>1</v>
      </c>
      <c r="AH144" s="125">
        <f t="shared" si="38"/>
        <v>1</v>
      </c>
      <c r="AI144" s="125">
        <f t="shared" si="38"/>
        <v>1</v>
      </c>
      <c r="AJ144" s="50" t="str">
        <f t="shared" si="30"/>
        <v>UNKNOWN</v>
      </c>
      <c r="AK144" s="63"/>
      <c r="AL144" s="63" t="str">
        <f t="shared" si="33"/>
        <v>0F</v>
      </c>
      <c r="AM144" s="63" t="str">
        <f t="shared" si="34"/>
        <v>00</v>
      </c>
      <c r="AN144" s="63" t="str">
        <f t="shared" si="35"/>
        <v>00</v>
      </c>
      <c r="AO144" s="63" t="str">
        <f t="shared" si="36"/>
        <v>00</v>
      </c>
      <c r="AQ144" t="str">
        <f t="shared" si="31"/>
        <v xml:space="preserve">    (U4)0x0000000FU,                                                           /* 08 UNKNOWN                                         */</v>
      </c>
    </row>
    <row r="145" spans="2:43">
      <c r="B145" s="131"/>
      <c r="C145" s="50">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0</v>
      </c>
      <c r="AE145" s="125">
        <f t="shared" si="38"/>
        <v>0</v>
      </c>
      <c r="AF145" s="125">
        <f t="shared" si="38"/>
        <v>1</v>
      </c>
      <c r="AG145" s="125">
        <f t="shared" si="38"/>
        <v>1</v>
      </c>
      <c r="AH145" s="125">
        <f t="shared" si="38"/>
        <v>1</v>
      </c>
      <c r="AI145" s="125">
        <f t="shared" si="38"/>
        <v>1</v>
      </c>
      <c r="AJ145" s="50" t="str">
        <f t="shared" si="30"/>
        <v>UNKNOWN</v>
      </c>
      <c r="AK145" s="63"/>
      <c r="AL145" s="63" t="str">
        <f t="shared" si="33"/>
        <v>0F</v>
      </c>
      <c r="AM145" s="63" t="str">
        <f t="shared" si="34"/>
        <v>00</v>
      </c>
      <c r="AN145" s="63" t="str">
        <f t="shared" si="35"/>
        <v>00</v>
      </c>
      <c r="AO145" s="63" t="str">
        <f t="shared" si="36"/>
        <v>00</v>
      </c>
      <c r="AQ145" t="str">
        <f t="shared" si="31"/>
        <v xml:space="preserve">    (U4)0x0000000FU,                                                           /* 09 UNKNOWN                                         */</v>
      </c>
    </row>
    <row r="146" spans="2:43">
      <c r="B146" s="131"/>
      <c r="C146" s="50">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0</v>
      </c>
      <c r="AE146" s="125">
        <f t="shared" si="38"/>
        <v>0</v>
      </c>
      <c r="AF146" s="125">
        <f t="shared" si="38"/>
        <v>1</v>
      </c>
      <c r="AG146" s="125">
        <f t="shared" si="38"/>
        <v>1</v>
      </c>
      <c r="AH146" s="125">
        <f t="shared" si="38"/>
        <v>1</v>
      </c>
      <c r="AI146" s="125">
        <f t="shared" si="38"/>
        <v>1</v>
      </c>
      <c r="AJ146" s="50" t="str">
        <f t="shared" si="30"/>
        <v>UNKNOWN</v>
      </c>
      <c r="AK146" s="63"/>
      <c r="AL146" s="63" t="str">
        <f t="shared" si="33"/>
        <v>0F</v>
      </c>
      <c r="AM146" s="63" t="str">
        <f t="shared" si="34"/>
        <v>00</v>
      </c>
      <c r="AN146" s="63" t="str">
        <f t="shared" si="35"/>
        <v>00</v>
      </c>
      <c r="AO146" s="63" t="str">
        <f t="shared" si="36"/>
        <v>00</v>
      </c>
      <c r="AQ146" t="str">
        <f t="shared" si="31"/>
        <v xml:space="preserve">    (U4)0x0000000FU,                                                           /* 10 UNKNOWN                                         */</v>
      </c>
    </row>
    <row r="147" spans="2:43">
      <c r="B147" s="131"/>
      <c r="C147" s="50">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0</v>
      </c>
      <c r="AE147" s="125">
        <f t="shared" si="38"/>
        <v>0</v>
      </c>
      <c r="AF147" s="125">
        <f t="shared" si="38"/>
        <v>1</v>
      </c>
      <c r="AG147" s="125">
        <f t="shared" si="38"/>
        <v>1</v>
      </c>
      <c r="AH147" s="125">
        <f t="shared" si="38"/>
        <v>1</v>
      </c>
      <c r="AI147" s="125">
        <f t="shared" si="38"/>
        <v>1</v>
      </c>
      <c r="AJ147" s="50" t="str">
        <f t="shared" si="30"/>
        <v>UNKNOWN</v>
      </c>
      <c r="AK147" s="63"/>
      <c r="AL147" s="63" t="str">
        <f t="shared" si="33"/>
        <v>0F</v>
      </c>
      <c r="AM147" s="63" t="str">
        <f t="shared" si="34"/>
        <v>00</v>
      </c>
      <c r="AN147" s="63" t="str">
        <f t="shared" si="35"/>
        <v>00</v>
      </c>
      <c r="AO147" s="63" t="str">
        <f t="shared" si="36"/>
        <v>00</v>
      </c>
      <c r="AQ147" t="str">
        <f t="shared" si="31"/>
        <v xml:space="preserve">    (U4)0x0000000FU,                                                           /* 11 UNKNOWN                                         */</v>
      </c>
    </row>
    <row r="148" spans="2:43">
      <c r="B148" s="131"/>
      <c r="C148" s="50">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0</v>
      </c>
      <c r="AE148" s="125">
        <f t="shared" si="38"/>
        <v>0</v>
      </c>
      <c r="AF148" s="125">
        <f t="shared" si="38"/>
        <v>1</v>
      </c>
      <c r="AG148" s="125">
        <f t="shared" si="38"/>
        <v>1</v>
      </c>
      <c r="AH148" s="125">
        <f t="shared" si="38"/>
        <v>1</v>
      </c>
      <c r="AI148" s="125">
        <f t="shared" si="38"/>
        <v>1</v>
      </c>
      <c r="AJ148" s="50" t="str">
        <f t="shared" si="30"/>
        <v>UNKNOWN</v>
      </c>
      <c r="AK148" s="63"/>
      <c r="AL148" s="63" t="str">
        <f t="shared" si="33"/>
        <v>0F</v>
      </c>
      <c r="AM148" s="63" t="str">
        <f t="shared" si="34"/>
        <v>00</v>
      </c>
      <c r="AN148" s="63" t="str">
        <f t="shared" si="35"/>
        <v>00</v>
      </c>
      <c r="AO148" s="63" t="str">
        <f t="shared" si="36"/>
        <v>00</v>
      </c>
      <c r="AQ148" t="str">
        <f t="shared" si="31"/>
        <v xml:space="preserve">    (U4)0x0000000FU,                                                           /* 12 UNKNOWN                                         */</v>
      </c>
    </row>
    <row r="149" spans="2:43">
      <c r="B149" s="131"/>
      <c r="C149" s="50">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0</v>
      </c>
      <c r="AE149" s="125">
        <f t="shared" si="38"/>
        <v>0</v>
      </c>
      <c r="AF149" s="125">
        <f t="shared" si="38"/>
        <v>1</v>
      </c>
      <c r="AG149" s="125">
        <f t="shared" si="38"/>
        <v>1</v>
      </c>
      <c r="AH149" s="125">
        <f t="shared" si="38"/>
        <v>1</v>
      </c>
      <c r="AI149" s="125">
        <f t="shared" si="38"/>
        <v>1</v>
      </c>
      <c r="AJ149" s="50" t="str">
        <f t="shared" si="30"/>
        <v>UNKNOWN</v>
      </c>
      <c r="AK149" s="63"/>
      <c r="AL149" s="63" t="str">
        <f t="shared" si="33"/>
        <v>0F</v>
      </c>
      <c r="AM149" s="63" t="str">
        <f t="shared" si="34"/>
        <v>00</v>
      </c>
      <c r="AN149" s="63" t="str">
        <f t="shared" si="35"/>
        <v>00</v>
      </c>
      <c r="AO149" s="63" t="str">
        <f t="shared" si="36"/>
        <v>00</v>
      </c>
      <c r="AQ149" t="str">
        <f t="shared" si="31"/>
        <v xml:space="preserve">    (U4)0x0000000FU,                                                           /* 13 UNKNOWN                                         */</v>
      </c>
    </row>
    <row r="150" spans="2:43">
      <c r="B150" s="131"/>
      <c r="C150" s="50">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0</v>
      </c>
      <c r="AE150" s="125">
        <f t="shared" si="38"/>
        <v>0</v>
      </c>
      <c r="AF150" s="125">
        <f t="shared" si="38"/>
        <v>1</v>
      </c>
      <c r="AG150" s="125">
        <f t="shared" si="38"/>
        <v>1</v>
      </c>
      <c r="AH150" s="125">
        <f t="shared" si="38"/>
        <v>1</v>
      </c>
      <c r="AI150" s="125">
        <f t="shared" si="38"/>
        <v>1</v>
      </c>
      <c r="AJ150" s="50" t="str">
        <f t="shared" si="30"/>
        <v>UNKNOWN</v>
      </c>
      <c r="AK150" s="63"/>
      <c r="AL150" s="63" t="str">
        <f t="shared" si="33"/>
        <v>0F</v>
      </c>
      <c r="AM150" s="63" t="str">
        <f t="shared" si="34"/>
        <v>00</v>
      </c>
      <c r="AN150" s="63" t="str">
        <f t="shared" si="35"/>
        <v>00</v>
      </c>
      <c r="AO150" s="63" t="str">
        <f t="shared" si="36"/>
        <v>00</v>
      </c>
      <c r="AQ150" t="str">
        <f t="shared" si="31"/>
        <v xml:space="preserve">    (U4)0x0000000FU,                                                           /* 14 UNKNOWN                                         */</v>
      </c>
    </row>
    <row r="151" spans="2:43">
      <c r="B151" s="131"/>
      <c r="C151" s="50">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0</v>
      </c>
      <c r="AE151" s="125">
        <f t="shared" si="38"/>
        <v>0</v>
      </c>
      <c r="AF151" s="125">
        <f t="shared" si="38"/>
        <v>1</v>
      </c>
      <c r="AG151" s="125">
        <f t="shared" si="38"/>
        <v>1</v>
      </c>
      <c r="AH151" s="125">
        <f t="shared" si="38"/>
        <v>1</v>
      </c>
      <c r="AI151" s="125">
        <f t="shared" ref="AI151" si="39">IF(OR(AI21=0,AI21=1),1,0)</f>
        <v>1</v>
      </c>
      <c r="AJ151" s="50" t="str">
        <f t="shared" si="30"/>
        <v>UNKNOWN</v>
      </c>
      <c r="AK151" s="63"/>
      <c r="AL151" s="63" t="str">
        <f t="shared" si="33"/>
        <v>0F</v>
      </c>
      <c r="AM151" s="63" t="str">
        <f t="shared" si="34"/>
        <v>00</v>
      </c>
      <c r="AN151" s="63" t="str">
        <f t="shared" si="35"/>
        <v>00</v>
      </c>
      <c r="AO151" s="63" t="str">
        <f t="shared" si="36"/>
        <v>00</v>
      </c>
      <c r="AQ151" t="str">
        <f t="shared" si="31"/>
        <v xml:space="preserve">    (U4)0x0000000FU                                                            /* 15 UNKNOWN                                         */</v>
      </c>
    </row>
    <row r="152" spans="2:43">
      <c r="B152" s="131"/>
      <c r="C152" s="50">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0</v>
      </c>
      <c r="AE152" s="125">
        <f t="shared" si="40"/>
        <v>0</v>
      </c>
      <c r="AF152" s="125">
        <f t="shared" si="40"/>
        <v>0</v>
      </c>
      <c r="AG152" s="125">
        <f t="shared" si="40"/>
        <v>0</v>
      </c>
      <c r="AH152" s="125">
        <f t="shared" si="40"/>
        <v>0</v>
      </c>
      <c r="AI152" s="125">
        <f t="shared" si="40"/>
        <v>0</v>
      </c>
      <c r="AJ152" s="50" t="str">
        <f t="shared" si="30"/>
        <v/>
      </c>
      <c r="AK152" s="63"/>
      <c r="AL152" s="63" t="str">
        <f t="shared" si="33"/>
        <v>00</v>
      </c>
      <c r="AM152" s="63" t="str">
        <f t="shared" si="34"/>
        <v>00</v>
      </c>
      <c r="AN152" s="63" t="str">
        <f t="shared" si="35"/>
        <v>00</v>
      </c>
      <c r="AO152" s="63" t="str">
        <f t="shared" si="36"/>
        <v>00</v>
      </c>
      <c r="AQ152" t="str">
        <f t="shared" si="31"/>
        <v/>
      </c>
    </row>
    <row r="153" spans="2:43">
      <c r="B153" s="131"/>
      <c r="C153" s="50">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0</v>
      </c>
      <c r="AE153" s="125">
        <f t="shared" si="40"/>
        <v>0</v>
      </c>
      <c r="AF153" s="125">
        <f t="shared" si="40"/>
        <v>0</v>
      </c>
      <c r="AG153" s="125">
        <f t="shared" si="40"/>
        <v>0</v>
      </c>
      <c r="AH153" s="125">
        <f t="shared" si="40"/>
        <v>0</v>
      </c>
      <c r="AI153" s="125">
        <f t="shared" si="40"/>
        <v>0</v>
      </c>
      <c r="AJ153" s="50" t="str">
        <f t="shared" si="30"/>
        <v/>
      </c>
      <c r="AK153" s="63"/>
      <c r="AL153" s="63" t="str">
        <f t="shared" si="33"/>
        <v>00</v>
      </c>
      <c r="AM153" s="63" t="str">
        <f t="shared" si="34"/>
        <v>00</v>
      </c>
      <c r="AN153" s="63" t="str">
        <f t="shared" si="35"/>
        <v>00</v>
      </c>
      <c r="AO153" s="63" t="str">
        <f t="shared" si="36"/>
        <v>00</v>
      </c>
      <c r="AQ153" t="str">
        <f t="shared" si="31"/>
        <v/>
      </c>
    </row>
    <row r="154" spans="2:43">
      <c r="B154" s="131"/>
      <c r="C154" s="50">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0</v>
      </c>
      <c r="AE154" s="125">
        <f t="shared" si="40"/>
        <v>0</v>
      </c>
      <c r="AF154" s="125">
        <f t="shared" si="40"/>
        <v>0</v>
      </c>
      <c r="AG154" s="125">
        <f t="shared" si="40"/>
        <v>0</v>
      </c>
      <c r="AH154" s="125">
        <f t="shared" si="40"/>
        <v>0</v>
      </c>
      <c r="AI154" s="125">
        <f t="shared" si="40"/>
        <v>0</v>
      </c>
      <c r="AJ154" s="50" t="str">
        <f t="shared" si="30"/>
        <v/>
      </c>
      <c r="AK154" s="63"/>
      <c r="AL154" s="63" t="str">
        <f t="shared" si="33"/>
        <v>00</v>
      </c>
      <c r="AM154" s="63" t="str">
        <f t="shared" si="34"/>
        <v>00</v>
      </c>
      <c r="AN154" s="63" t="str">
        <f t="shared" si="35"/>
        <v>00</v>
      </c>
      <c r="AO154" s="63" t="str">
        <f t="shared" si="36"/>
        <v>00</v>
      </c>
      <c r="AQ154" t="str">
        <f t="shared" si="31"/>
        <v/>
      </c>
    </row>
    <row r="155" spans="2:43">
      <c r="B155" s="131"/>
      <c r="C155" s="50">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0</v>
      </c>
      <c r="AE155" s="125">
        <f t="shared" si="40"/>
        <v>0</v>
      </c>
      <c r="AF155" s="125">
        <f t="shared" si="40"/>
        <v>0</v>
      </c>
      <c r="AG155" s="125">
        <f t="shared" si="40"/>
        <v>0</v>
      </c>
      <c r="AH155" s="125">
        <f t="shared" si="40"/>
        <v>0</v>
      </c>
      <c r="AI155" s="125">
        <f t="shared" si="40"/>
        <v>0</v>
      </c>
      <c r="AJ155" s="50" t="str">
        <f t="shared" si="30"/>
        <v/>
      </c>
      <c r="AK155" s="63"/>
      <c r="AL155" s="63" t="str">
        <f t="shared" si="33"/>
        <v>00</v>
      </c>
      <c r="AM155" s="63" t="str">
        <f t="shared" si="34"/>
        <v>00</v>
      </c>
      <c r="AN155" s="63" t="str">
        <f t="shared" si="35"/>
        <v>00</v>
      </c>
      <c r="AO155" s="63" t="str">
        <f t="shared" si="36"/>
        <v>00</v>
      </c>
      <c r="AQ155" t="str">
        <f t="shared" si="31"/>
        <v/>
      </c>
    </row>
    <row r="156" spans="2:43">
      <c r="B156" s="131"/>
      <c r="C156" s="50">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0</v>
      </c>
      <c r="AE156" s="125">
        <f t="shared" si="40"/>
        <v>0</v>
      </c>
      <c r="AF156" s="125">
        <f t="shared" si="40"/>
        <v>0</v>
      </c>
      <c r="AG156" s="125">
        <f t="shared" si="40"/>
        <v>0</v>
      </c>
      <c r="AH156" s="125">
        <f t="shared" si="40"/>
        <v>0</v>
      </c>
      <c r="AI156" s="125">
        <f t="shared" si="40"/>
        <v>0</v>
      </c>
      <c r="AJ156" s="50" t="str">
        <f t="shared" si="30"/>
        <v/>
      </c>
      <c r="AK156" s="63"/>
      <c r="AL156" s="63" t="str">
        <f t="shared" si="33"/>
        <v>00</v>
      </c>
      <c r="AM156" s="63" t="str">
        <f t="shared" si="34"/>
        <v>00</v>
      </c>
      <c r="AN156" s="63" t="str">
        <f t="shared" si="35"/>
        <v>00</v>
      </c>
      <c r="AO156" s="63" t="str">
        <f t="shared" si="36"/>
        <v>00</v>
      </c>
      <c r="AQ156" t="str">
        <f t="shared" si="31"/>
        <v/>
      </c>
    </row>
    <row r="157" spans="2:43">
      <c r="B157" s="131"/>
      <c r="C157" s="50">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0</v>
      </c>
      <c r="AE157" s="125">
        <f t="shared" si="40"/>
        <v>0</v>
      </c>
      <c r="AF157" s="125">
        <f t="shared" si="40"/>
        <v>0</v>
      </c>
      <c r="AG157" s="125">
        <f t="shared" si="40"/>
        <v>0</v>
      </c>
      <c r="AH157" s="125">
        <f t="shared" si="40"/>
        <v>0</v>
      </c>
      <c r="AI157" s="125">
        <f t="shared" si="40"/>
        <v>0</v>
      </c>
      <c r="AJ157" s="50" t="str">
        <f t="shared" si="30"/>
        <v/>
      </c>
      <c r="AK157" s="63"/>
      <c r="AL157" s="63" t="str">
        <f t="shared" si="33"/>
        <v>00</v>
      </c>
      <c r="AM157" s="63" t="str">
        <f t="shared" si="34"/>
        <v>00</v>
      </c>
      <c r="AN157" s="63" t="str">
        <f t="shared" si="35"/>
        <v>00</v>
      </c>
      <c r="AO157" s="63" t="str">
        <f t="shared" si="36"/>
        <v>00</v>
      </c>
      <c r="AQ157" t="str">
        <f t="shared" si="31"/>
        <v/>
      </c>
    </row>
    <row r="158" spans="2:43">
      <c r="B158" s="131"/>
      <c r="C158" s="50">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0</v>
      </c>
      <c r="AE158" s="125">
        <f t="shared" si="40"/>
        <v>0</v>
      </c>
      <c r="AF158" s="125">
        <f t="shared" si="40"/>
        <v>0</v>
      </c>
      <c r="AG158" s="125">
        <f t="shared" si="40"/>
        <v>0</v>
      </c>
      <c r="AH158" s="125">
        <f t="shared" si="40"/>
        <v>0</v>
      </c>
      <c r="AI158" s="125">
        <f t="shared" si="40"/>
        <v>0</v>
      </c>
      <c r="AJ158" s="50" t="str">
        <f t="shared" si="30"/>
        <v/>
      </c>
      <c r="AK158" s="63"/>
      <c r="AL158" s="63" t="str">
        <f t="shared" si="33"/>
        <v>00</v>
      </c>
      <c r="AM158" s="63" t="str">
        <f t="shared" si="34"/>
        <v>00</v>
      </c>
      <c r="AN158" s="63" t="str">
        <f t="shared" si="35"/>
        <v>00</v>
      </c>
      <c r="AO158" s="63" t="str">
        <f t="shared" si="36"/>
        <v>00</v>
      </c>
      <c r="AQ158" t="str">
        <f t="shared" si="31"/>
        <v/>
      </c>
    </row>
    <row r="159" spans="2:43">
      <c r="B159" s="131"/>
      <c r="C159" s="50">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0</v>
      </c>
      <c r="AE159" s="125">
        <f t="shared" si="40"/>
        <v>0</v>
      </c>
      <c r="AF159" s="125">
        <f t="shared" si="40"/>
        <v>0</v>
      </c>
      <c r="AG159" s="125">
        <f t="shared" si="40"/>
        <v>0</v>
      </c>
      <c r="AH159" s="125">
        <f t="shared" si="40"/>
        <v>0</v>
      </c>
      <c r="AI159" s="125">
        <f t="shared" ref="AI159" si="41">IF(OR(AI29=0,AI29=1),1,0)</f>
        <v>0</v>
      </c>
      <c r="AJ159" s="50" t="str">
        <f t="shared" si="30"/>
        <v/>
      </c>
      <c r="AK159" s="63"/>
      <c r="AL159" s="63" t="str">
        <f t="shared" si="33"/>
        <v>00</v>
      </c>
      <c r="AM159" s="63" t="str">
        <f t="shared" si="34"/>
        <v>00</v>
      </c>
      <c r="AN159" s="63" t="str">
        <f t="shared" si="35"/>
        <v>00</v>
      </c>
      <c r="AO159" s="63" t="str">
        <f t="shared" si="36"/>
        <v>00</v>
      </c>
      <c r="AQ159" t="str">
        <f t="shared" si="31"/>
        <v/>
      </c>
    </row>
    <row r="160" spans="2:43">
      <c r="B160" s="131"/>
      <c r="C160" s="50">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0</v>
      </c>
      <c r="AE160" s="125">
        <f t="shared" si="42"/>
        <v>0</v>
      </c>
      <c r="AF160" s="125">
        <f t="shared" si="42"/>
        <v>0</v>
      </c>
      <c r="AG160" s="125">
        <f t="shared" si="42"/>
        <v>0</v>
      </c>
      <c r="AH160" s="125">
        <f t="shared" si="42"/>
        <v>0</v>
      </c>
      <c r="AI160" s="125">
        <f t="shared" si="42"/>
        <v>0</v>
      </c>
      <c r="AJ160" s="50" t="str">
        <f t="shared" si="30"/>
        <v/>
      </c>
      <c r="AK160" s="63"/>
      <c r="AL160" s="63" t="str">
        <f t="shared" si="33"/>
        <v>00</v>
      </c>
      <c r="AM160" s="63" t="str">
        <f t="shared" si="34"/>
        <v>00</v>
      </c>
      <c r="AN160" s="63" t="str">
        <f t="shared" si="35"/>
        <v>00</v>
      </c>
      <c r="AO160" s="63" t="str">
        <f t="shared" si="36"/>
        <v>00</v>
      </c>
      <c r="AQ160" t="str">
        <f t="shared" si="31"/>
        <v/>
      </c>
    </row>
    <row r="161" spans="2:43">
      <c r="B161" s="131"/>
      <c r="C161" s="50">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0</v>
      </c>
      <c r="AE161" s="125">
        <f t="shared" si="42"/>
        <v>0</v>
      </c>
      <c r="AF161" s="125">
        <f t="shared" si="42"/>
        <v>0</v>
      </c>
      <c r="AG161" s="125">
        <f t="shared" si="42"/>
        <v>0</v>
      </c>
      <c r="AH161" s="125">
        <f t="shared" si="42"/>
        <v>0</v>
      </c>
      <c r="AI161" s="125">
        <f t="shared" si="42"/>
        <v>0</v>
      </c>
      <c r="AJ161" s="50" t="str">
        <f t="shared" si="30"/>
        <v/>
      </c>
      <c r="AK161" s="63"/>
      <c r="AL161" s="63" t="str">
        <f t="shared" si="33"/>
        <v>00</v>
      </c>
      <c r="AM161" s="63" t="str">
        <f t="shared" si="34"/>
        <v>00</v>
      </c>
      <c r="AN161" s="63" t="str">
        <f t="shared" si="35"/>
        <v>00</v>
      </c>
      <c r="AO161" s="63" t="str">
        <f t="shared" si="36"/>
        <v>00</v>
      </c>
      <c r="AQ161" t="str">
        <f t="shared" si="31"/>
        <v/>
      </c>
    </row>
    <row r="162" spans="2:43">
      <c r="B162" s="131"/>
      <c r="C162" s="50">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0</v>
      </c>
      <c r="AE162" s="125">
        <f t="shared" si="42"/>
        <v>0</v>
      </c>
      <c r="AF162" s="125">
        <f t="shared" si="42"/>
        <v>0</v>
      </c>
      <c r="AG162" s="125">
        <f t="shared" si="42"/>
        <v>0</v>
      </c>
      <c r="AH162" s="125">
        <f t="shared" si="42"/>
        <v>0</v>
      </c>
      <c r="AI162" s="125">
        <f t="shared" si="42"/>
        <v>0</v>
      </c>
      <c r="AJ162" s="50" t="str">
        <f t="shared" si="30"/>
        <v/>
      </c>
      <c r="AK162" s="63"/>
      <c r="AL162" s="63" t="str">
        <f t="shared" si="33"/>
        <v>00</v>
      </c>
      <c r="AM162" s="63" t="str">
        <f t="shared" si="34"/>
        <v>00</v>
      </c>
      <c r="AN162" s="63" t="str">
        <f t="shared" si="35"/>
        <v>00</v>
      </c>
      <c r="AO162" s="63" t="str">
        <f t="shared" si="36"/>
        <v>00</v>
      </c>
      <c r="AQ162" t="str">
        <f t="shared" si="31"/>
        <v/>
      </c>
    </row>
    <row r="163" spans="2:43">
      <c r="B163" s="131"/>
      <c r="C163" s="50">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0</v>
      </c>
      <c r="AE163" s="125">
        <f t="shared" si="42"/>
        <v>0</v>
      </c>
      <c r="AF163" s="125">
        <f t="shared" si="42"/>
        <v>0</v>
      </c>
      <c r="AG163" s="125">
        <f t="shared" si="42"/>
        <v>0</v>
      </c>
      <c r="AH163" s="125">
        <f t="shared" si="42"/>
        <v>0</v>
      </c>
      <c r="AI163" s="125">
        <f t="shared" si="42"/>
        <v>0</v>
      </c>
      <c r="AJ163" s="50" t="str">
        <f t="shared" si="30"/>
        <v/>
      </c>
      <c r="AK163" s="63"/>
      <c r="AL163" s="63" t="str">
        <f t="shared" si="33"/>
        <v>00</v>
      </c>
      <c r="AM163" s="63" t="str">
        <f t="shared" si="34"/>
        <v>00</v>
      </c>
      <c r="AN163" s="63" t="str">
        <f t="shared" si="35"/>
        <v>00</v>
      </c>
      <c r="AO163" s="63" t="str">
        <f t="shared" si="36"/>
        <v>00</v>
      </c>
      <c r="AQ163" t="str">
        <f t="shared" si="31"/>
        <v/>
      </c>
    </row>
    <row r="164" spans="2:43">
      <c r="B164" s="131"/>
      <c r="C164" s="50">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0</v>
      </c>
      <c r="AE164" s="125">
        <f t="shared" si="42"/>
        <v>0</v>
      </c>
      <c r="AF164" s="125">
        <f t="shared" si="42"/>
        <v>0</v>
      </c>
      <c r="AG164" s="125">
        <f t="shared" si="42"/>
        <v>0</v>
      </c>
      <c r="AH164" s="125">
        <f t="shared" si="42"/>
        <v>0</v>
      </c>
      <c r="AI164" s="125">
        <f t="shared" si="42"/>
        <v>0</v>
      </c>
      <c r="AJ164" s="50" t="str">
        <f t="shared" si="30"/>
        <v/>
      </c>
      <c r="AK164" s="63"/>
      <c r="AL164" s="63" t="str">
        <f t="shared" si="33"/>
        <v>00</v>
      </c>
      <c r="AM164" s="63" t="str">
        <f t="shared" si="34"/>
        <v>00</v>
      </c>
      <c r="AN164" s="63" t="str">
        <f t="shared" si="35"/>
        <v>00</v>
      </c>
      <c r="AO164" s="63" t="str">
        <f t="shared" si="36"/>
        <v>00</v>
      </c>
      <c r="AQ164" t="str">
        <f t="shared" si="31"/>
        <v/>
      </c>
    </row>
    <row r="165" spans="2:43">
      <c r="B165" s="131"/>
      <c r="C165" s="50">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0</v>
      </c>
      <c r="AE165" s="125">
        <f t="shared" si="42"/>
        <v>0</v>
      </c>
      <c r="AF165" s="125">
        <f t="shared" si="42"/>
        <v>0</v>
      </c>
      <c r="AG165" s="125">
        <f t="shared" si="42"/>
        <v>0</v>
      </c>
      <c r="AH165" s="125">
        <f t="shared" si="42"/>
        <v>0</v>
      </c>
      <c r="AI165" s="125">
        <f t="shared" si="42"/>
        <v>0</v>
      </c>
      <c r="AJ165" s="50" t="str">
        <f t="shared" si="30"/>
        <v/>
      </c>
      <c r="AK165" s="63"/>
      <c r="AL165" s="63" t="str">
        <f t="shared" si="33"/>
        <v>00</v>
      </c>
      <c r="AM165" s="63" t="str">
        <f t="shared" si="34"/>
        <v>00</v>
      </c>
      <c r="AN165" s="63" t="str">
        <f t="shared" si="35"/>
        <v>00</v>
      </c>
      <c r="AO165" s="63" t="str">
        <f t="shared" si="36"/>
        <v>00</v>
      </c>
      <c r="AQ165" t="str">
        <f t="shared" si="31"/>
        <v/>
      </c>
    </row>
    <row r="166" spans="2:43">
      <c r="B166" s="131"/>
      <c r="C166" s="50">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0</v>
      </c>
      <c r="AE166" s="125">
        <f t="shared" si="42"/>
        <v>0</v>
      </c>
      <c r="AF166" s="125">
        <f t="shared" si="42"/>
        <v>0</v>
      </c>
      <c r="AG166" s="125">
        <f t="shared" si="42"/>
        <v>0</v>
      </c>
      <c r="AH166" s="125">
        <f t="shared" si="42"/>
        <v>0</v>
      </c>
      <c r="AI166" s="125">
        <f t="shared" si="42"/>
        <v>0</v>
      </c>
      <c r="AJ166" s="50" t="str">
        <f t="shared" si="30"/>
        <v/>
      </c>
      <c r="AK166" s="63"/>
      <c r="AL166" s="63" t="str">
        <f t="shared" si="33"/>
        <v>00</v>
      </c>
      <c r="AM166" s="63" t="str">
        <f t="shared" si="34"/>
        <v>00</v>
      </c>
      <c r="AN166" s="63" t="str">
        <f t="shared" si="35"/>
        <v>00</v>
      </c>
      <c r="AO166" s="63" t="str">
        <f t="shared" si="36"/>
        <v>00</v>
      </c>
      <c r="AQ166" t="str">
        <f t="shared" si="31"/>
        <v/>
      </c>
    </row>
    <row r="167" spans="2:43">
      <c r="B167" s="131"/>
      <c r="C167" s="50">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0</v>
      </c>
      <c r="AE167" s="125">
        <f t="shared" si="42"/>
        <v>0</v>
      </c>
      <c r="AF167" s="125">
        <f t="shared" si="42"/>
        <v>0</v>
      </c>
      <c r="AG167" s="125">
        <f t="shared" si="42"/>
        <v>0</v>
      </c>
      <c r="AH167" s="125">
        <f t="shared" si="42"/>
        <v>0</v>
      </c>
      <c r="AI167" s="125">
        <f t="shared" ref="AI167" si="43">IF(OR(AI37=0,AI37=1),1,0)</f>
        <v>0</v>
      </c>
      <c r="AJ167" s="50" t="str">
        <f t="shared" si="30"/>
        <v/>
      </c>
      <c r="AK167" s="63"/>
      <c r="AL167" s="63" t="str">
        <f t="shared" si="33"/>
        <v>00</v>
      </c>
      <c r="AM167" s="63" t="str">
        <f t="shared" si="34"/>
        <v>00</v>
      </c>
      <c r="AN167" s="63" t="str">
        <f t="shared" si="35"/>
        <v>00</v>
      </c>
      <c r="AO167" s="63" t="str">
        <f t="shared" si="36"/>
        <v>00</v>
      </c>
      <c r="AQ167" t="str">
        <f t="shared" si="31"/>
        <v/>
      </c>
    </row>
    <row r="168" spans="2:43">
      <c r="B168" s="131"/>
      <c r="C168" s="50">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0</v>
      </c>
      <c r="AE168" s="125">
        <f t="shared" si="44"/>
        <v>0</v>
      </c>
      <c r="AF168" s="125">
        <f t="shared" si="44"/>
        <v>0</v>
      </c>
      <c r="AG168" s="125">
        <f t="shared" si="44"/>
        <v>0</v>
      </c>
      <c r="AH168" s="125">
        <f t="shared" si="44"/>
        <v>0</v>
      </c>
      <c r="AI168" s="125">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31"/>
      <c r="C169" s="50">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0</v>
      </c>
      <c r="AE169" s="125">
        <f t="shared" si="44"/>
        <v>0</v>
      </c>
      <c r="AF169" s="125">
        <f t="shared" si="44"/>
        <v>0</v>
      </c>
      <c r="AG169" s="125">
        <f t="shared" si="44"/>
        <v>0</v>
      </c>
      <c r="AH169" s="125">
        <f t="shared" si="44"/>
        <v>0</v>
      </c>
      <c r="AI169" s="125">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31"/>
      <c r="C170" s="50">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0</v>
      </c>
      <c r="AE170" s="125">
        <f t="shared" si="44"/>
        <v>0</v>
      </c>
      <c r="AF170" s="125">
        <f t="shared" si="44"/>
        <v>0</v>
      </c>
      <c r="AG170" s="125">
        <f t="shared" si="44"/>
        <v>0</v>
      </c>
      <c r="AH170" s="125">
        <f t="shared" si="44"/>
        <v>0</v>
      </c>
      <c r="AI170" s="125">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31"/>
      <c r="C171" s="50">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0</v>
      </c>
      <c r="AE171" s="125">
        <f t="shared" si="44"/>
        <v>0</v>
      </c>
      <c r="AF171" s="125">
        <f t="shared" si="44"/>
        <v>0</v>
      </c>
      <c r="AG171" s="125">
        <f t="shared" si="44"/>
        <v>0</v>
      </c>
      <c r="AH171" s="125">
        <f t="shared" si="44"/>
        <v>0</v>
      </c>
      <c r="AI171" s="125">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31"/>
      <c r="C172" s="50">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0</v>
      </c>
      <c r="AE172" s="125">
        <f t="shared" si="44"/>
        <v>0</v>
      </c>
      <c r="AF172" s="125">
        <f t="shared" si="44"/>
        <v>0</v>
      </c>
      <c r="AG172" s="125">
        <f t="shared" si="44"/>
        <v>0</v>
      </c>
      <c r="AH172" s="125">
        <f t="shared" si="44"/>
        <v>0</v>
      </c>
      <c r="AI172" s="125">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31"/>
      <c r="C173" s="50">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0</v>
      </c>
      <c r="AE173" s="125">
        <f t="shared" si="44"/>
        <v>0</v>
      </c>
      <c r="AF173" s="125">
        <f t="shared" si="44"/>
        <v>0</v>
      </c>
      <c r="AG173" s="125">
        <f t="shared" si="44"/>
        <v>0</v>
      </c>
      <c r="AH173" s="125">
        <f t="shared" si="44"/>
        <v>0</v>
      </c>
      <c r="AI173" s="125">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31"/>
      <c r="C174" s="50">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0</v>
      </c>
      <c r="AE174" s="125">
        <f t="shared" si="44"/>
        <v>0</v>
      </c>
      <c r="AF174" s="125">
        <f t="shared" si="44"/>
        <v>0</v>
      </c>
      <c r="AG174" s="125">
        <f t="shared" si="44"/>
        <v>0</v>
      </c>
      <c r="AH174" s="125">
        <f t="shared" si="44"/>
        <v>0</v>
      </c>
      <c r="AI174" s="125">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31"/>
      <c r="C175" s="50">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0</v>
      </c>
      <c r="AE175" s="125">
        <f t="shared" si="44"/>
        <v>0</v>
      </c>
      <c r="AF175" s="125">
        <f t="shared" si="44"/>
        <v>0</v>
      </c>
      <c r="AG175" s="125">
        <f t="shared" si="44"/>
        <v>0</v>
      </c>
      <c r="AH175" s="125">
        <f t="shared" si="44"/>
        <v>0</v>
      </c>
      <c r="AI175" s="125">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31"/>
      <c r="C176" s="50">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0</v>
      </c>
      <c r="AE176" s="125">
        <f t="shared" si="46"/>
        <v>0</v>
      </c>
      <c r="AF176" s="125">
        <f t="shared" si="46"/>
        <v>0</v>
      </c>
      <c r="AG176" s="125">
        <f t="shared" si="46"/>
        <v>0</v>
      </c>
      <c r="AH176" s="125">
        <f t="shared" si="46"/>
        <v>0</v>
      </c>
      <c r="AI176" s="125">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31"/>
      <c r="C177" s="50">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0</v>
      </c>
      <c r="AE177" s="125">
        <f t="shared" si="46"/>
        <v>0</v>
      </c>
      <c r="AF177" s="125">
        <f t="shared" si="46"/>
        <v>0</v>
      </c>
      <c r="AG177" s="125">
        <f t="shared" si="46"/>
        <v>0</v>
      </c>
      <c r="AH177" s="125">
        <f t="shared" si="46"/>
        <v>0</v>
      </c>
      <c r="AI177" s="125">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31"/>
      <c r="C178" s="50">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0</v>
      </c>
      <c r="AE178" s="125">
        <f t="shared" si="46"/>
        <v>0</v>
      </c>
      <c r="AF178" s="125">
        <f t="shared" si="46"/>
        <v>0</v>
      </c>
      <c r="AG178" s="125">
        <f t="shared" si="46"/>
        <v>0</v>
      </c>
      <c r="AH178" s="125">
        <f t="shared" si="46"/>
        <v>0</v>
      </c>
      <c r="AI178" s="125">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31"/>
      <c r="C179" s="50">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0</v>
      </c>
      <c r="AE179" s="125">
        <f t="shared" si="46"/>
        <v>0</v>
      </c>
      <c r="AF179" s="125">
        <f t="shared" si="46"/>
        <v>0</v>
      </c>
      <c r="AG179" s="125">
        <f t="shared" si="46"/>
        <v>0</v>
      </c>
      <c r="AH179" s="125">
        <f t="shared" si="46"/>
        <v>0</v>
      </c>
      <c r="AI179" s="125">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31"/>
      <c r="C180" s="50">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0</v>
      </c>
      <c r="AE180" s="125">
        <f t="shared" si="46"/>
        <v>0</v>
      </c>
      <c r="AF180" s="125">
        <f t="shared" si="46"/>
        <v>0</v>
      </c>
      <c r="AG180" s="125">
        <f t="shared" si="46"/>
        <v>0</v>
      </c>
      <c r="AH180" s="125">
        <f t="shared" si="46"/>
        <v>0</v>
      </c>
      <c r="AI180" s="125">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31"/>
      <c r="C181" s="50">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0</v>
      </c>
      <c r="AE181" s="125">
        <f t="shared" si="46"/>
        <v>0</v>
      </c>
      <c r="AF181" s="125">
        <f t="shared" si="46"/>
        <v>0</v>
      </c>
      <c r="AG181" s="125">
        <f t="shared" si="46"/>
        <v>0</v>
      </c>
      <c r="AH181" s="125">
        <f t="shared" si="46"/>
        <v>0</v>
      </c>
      <c r="AI181" s="125">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31"/>
      <c r="C182" s="50">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0</v>
      </c>
      <c r="AE182" s="125">
        <f t="shared" si="46"/>
        <v>0</v>
      </c>
      <c r="AF182" s="125">
        <f t="shared" si="46"/>
        <v>0</v>
      </c>
      <c r="AG182" s="125">
        <f t="shared" si="46"/>
        <v>0</v>
      </c>
      <c r="AH182" s="125">
        <f t="shared" si="46"/>
        <v>0</v>
      </c>
      <c r="AI182" s="125">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31"/>
      <c r="C183" s="50">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0</v>
      </c>
      <c r="AE183" s="125">
        <f t="shared" si="46"/>
        <v>0</v>
      </c>
      <c r="AF183" s="125">
        <f t="shared" si="46"/>
        <v>0</v>
      </c>
      <c r="AG183" s="125">
        <f t="shared" si="46"/>
        <v>0</v>
      </c>
      <c r="AH183" s="125">
        <f t="shared" si="46"/>
        <v>0</v>
      </c>
      <c r="AI183" s="125">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31"/>
      <c r="C184" s="50">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0</v>
      </c>
      <c r="AE184" s="125">
        <f t="shared" si="48"/>
        <v>0</v>
      </c>
      <c r="AF184" s="125">
        <f t="shared" si="48"/>
        <v>0</v>
      </c>
      <c r="AG184" s="125">
        <f t="shared" si="48"/>
        <v>0</v>
      </c>
      <c r="AH184" s="125">
        <f t="shared" si="48"/>
        <v>0</v>
      </c>
      <c r="AI184" s="125">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31"/>
      <c r="C185" s="50">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0</v>
      </c>
      <c r="AE185" s="125">
        <f t="shared" si="48"/>
        <v>0</v>
      </c>
      <c r="AF185" s="125">
        <f t="shared" si="48"/>
        <v>0</v>
      </c>
      <c r="AG185" s="125">
        <f t="shared" si="48"/>
        <v>0</v>
      </c>
      <c r="AH185" s="125">
        <f t="shared" si="48"/>
        <v>0</v>
      </c>
      <c r="AI185" s="125">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31"/>
      <c r="C186" s="50">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0</v>
      </c>
      <c r="AE186" s="125">
        <f t="shared" si="48"/>
        <v>0</v>
      </c>
      <c r="AF186" s="125">
        <f t="shared" si="48"/>
        <v>0</v>
      </c>
      <c r="AG186" s="125">
        <f t="shared" si="48"/>
        <v>0</v>
      </c>
      <c r="AH186" s="125">
        <f t="shared" si="48"/>
        <v>0</v>
      </c>
      <c r="AI186" s="125">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31"/>
      <c r="C187" s="50">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0</v>
      </c>
      <c r="AE187" s="125">
        <f t="shared" si="48"/>
        <v>0</v>
      </c>
      <c r="AF187" s="125">
        <f t="shared" si="48"/>
        <v>0</v>
      </c>
      <c r="AG187" s="125">
        <f t="shared" si="48"/>
        <v>0</v>
      </c>
      <c r="AH187" s="125">
        <f t="shared" si="48"/>
        <v>0</v>
      </c>
      <c r="AI187" s="125">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31"/>
      <c r="C188" s="50">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0</v>
      </c>
      <c r="AE188" s="125">
        <f t="shared" si="48"/>
        <v>0</v>
      </c>
      <c r="AF188" s="125">
        <f t="shared" si="48"/>
        <v>0</v>
      </c>
      <c r="AG188" s="125">
        <f t="shared" si="48"/>
        <v>0</v>
      </c>
      <c r="AH188" s="125">
        <f t="shared" si="48"/>
        <v>0</v>
      </c>
      <c r="AI188" s="125">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31"/>
      <c r="C189" s="50">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0</v>
      </c>
      <c r="AE189" s="125">
        <f t="shared" si="48"/>
        <v>0</v>
      </c>
      <c r="AF189" s="125">
        <f t="shared" si="48"/>
        <v>0</v>
      </c>
      <c r="AG189" s="125">
        <f t="shared" si="48"/>
        <v>0</v>
      </c>
      <c r="AH189" s="125">
        <f t="shared" si="48"/>
        <v>0</v>
      </c>
      <c r="AI189" s="125">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31"/>
      <c r="C190" s="50">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0</v>
      </c>
      <c r="AE190" s="125">
        <f t="shared" si="48"/>
        <v>0</v>
      </c>
      <c r="AF190" s="125">
        <f t="shared" si="48"/>
        <v>0</v>
      </c>
      <c r="AG190" s="125">
        <f t="shared" si="48"/>
        <v>0</v>
      </c>
      <c r="AH190" s="125">
        <f t="shared" si="48"/>
        <v>0</v>
      </c>
      <c r="AI190" s="125">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31"/>
      <c r="C191" s="50">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0</v>
      </c>
      <c r="AE191" s="125">
        <f t="shared" si="48"/>
        <v>0</v>
      </c>
      <c r="AF191" s="125">
        <f t="shared" si="48"/>
        <v>0</v>
      </c>
      <c r="AG191" s="125">
        <f t="shared" si="48"/>
        <v>0</v>
      </c>
      <c r="AH191" s="125">
        <f t="shared" si="48"/>
        <v>0</v>
      </c>
      <c r="AI191" s="125">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31"/>
      <c r="C192" s="50">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0</v>
      </c>
      <c r="AE192" s="125">
        <f t="shared" si="50"/>
        <v>0</v>
      </c>
      <c r="AF192" s="125">
        <f t="shared" si="50"/>
        <v>0</v>
      </c>
      <c r="AG192" s="125">
        <f t="shared" si="50"/>
        <v>0</v>
      </c>
      <c r="AH192" s="125">
        <f t="shared" si="50"/>
        <v>0</v>
      </c>
      <c r="AI192" s="125">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31"/>
      <c r="C193" s="50">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0</v>
      </c>
      <c r="AE193" s="125">
        <f t="shared" si="50"/>
        <v>0</v>
      </c>
      <c r="AF193" s="125">
        <f t="shared" si="50"/>
        <v>0</v>
      </c>
      <c r="AG193" s="125">
        <f t="shared" si="50"/>
        <v>0</v>
      </c>
      <c r="AH193" s="125">
        <f t="shared" si="50"/>
        <v>0</v>
      </c>
      <c r="AI193" s="125">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31"/>
      <c r="C194" s="50">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0</v>
      </c>
      <c r="AE194" s="125">
        <f t="shared" si="50"/>
        <v>0</v>
      </c>
      <c r="AF194" s="125">
        <f t="shared" si="50"/>
        <v>0</v>
      </c>
      <c r="AG194" s="125">
        <f t="shared" si="50"/>
        <v>0</v>
      </c>
      <c r="AH194" s="125">
        <f t="shared" si="50"/>
        <v>0</v>
      </c>
      <c r="AI194" s="125">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31"/>
      <c r="C195" s="50">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0</v>
      </c>
      <c r="AE195" s="125">
        <f t="shared" si="50"/>
        <v>0</v>
      </c>
      <c r="AF195" s="125">
        <f t="shared" si="50"/>
        <v>0</v>
      </c>
      <c r="AG195" s="125">
        <f t="shared" si="50"/>
        <v>0</v>
      </c>
      <c r="AH195" s="125">
        <f t="shared" si="50"/>
        <v>0</v>
      </c>
      <c r="AI195" s="125">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31"/>
      <c r="C196" s="50">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0</v>
      </c>
      <c r="AE196" s="125">
        <f t="shared" si="50"/>
        <v>0</v>
      </c>
      <c r="AF196" s="125">
        <f t="shared" si="50"/>
        <v>0</v>
      </c>
      <c r="AG196" s="125">
        <f t="shared" si="50"/>
        <v>0</v>
      </c>
      <c r="AH196" s="125">
        <f t="shared" si="50"/>
        <v>0</v>
      </c>
      <c r="AI196" s="125">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31"/>
      <c r="C197" s="50">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0</v>
      </c>
      <c r="AE197" s="125">
        <f t="shared" si="50"/>
        <v>0</v>
      </c>
      <c r="AF197" s="125">
        <f t="shared" si="50"/>
        <v>0</v>
      </c>
      <c r="AG197" s="125">
        <f t="shared" si="50"/>
        <v>0</v>
      </c>
      <c r="AH197" s="125">
        <f t="shared" si="50"/>
        <v>0</v>
      </c>
      <c r="AI197" s="125">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31"/>
      <c r="C198" s="50">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0</v>
      </c>
      <c r="AE198" s="125">
        <f t="shared" si="50"/>
        <v>0</v>
      </c>
      <c r="AF198" s="125">
        <f t="shared" si="50"/>
        <v>0</v>
      </c>
      <c r="AG198" s="125">
        <f t="shared" si="50"/>
        <v>0</v>
      </c>
      <c r="AH198" s="125">
        <f t="shared" si="50"/>
        <v>0</v>
      </c>
      <c r="AI198" s="125">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2"/>
      <c r="C199" s="50">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0</v>
      </c>
      <c r="AE199" s="125">
        <f t="shared" si="50"/>
        <v>0</v>
      </c>
      <c r="AF199" s="125">
        <f t="shared" si="50"/>
        <v>0</v>
      </c>
      <c r="AG199" s="125">
        <f t="shared" si="50"/>
        <v>0</v>
      </c>
      <c r="AH199" s="125">
        <f t="shared" si="50"/>
        <v>0</v>
      </c>
      <c r="AI199" s="125">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E3 D22:AJ69 D6:AE21 AJ6:AJ21" name="Table作成編集範囲"/>
    <protectedRange sqref="AF3:AI3" name="Table作成編集範囲_1"/>
    <protectedRange sqref="AF6:AI21" name="Table作成編集範囲_2"/>
  </protectedRanges>
  <dataConsolidate/>
  <mergeCells count="4">
    <mergeCell ref="C2:C3"/>
    <mergeCell ref="AJ2:AJ3"/>
    <mergeCell ref="A4:B5"/>
    <mergeCell ref="AG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0F0E446-6FB6-4D61-8926-8E5F00A1C616}">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AY309"/>
  <sheetViews>
    <sheetView showGridLines="0" zoomScale="55" zoomScaleNormal="55" workbookViewId="0"/>
  </sheetViews>
  <sheetFormatPr defaultRowHeight="13.2"/>
  <cols>
    <col min="2" max="2" width="35.33203125" bestFit="1" customWidth="1"/>
    <col min="3" max="10" width="3.33203125" customWidth="1"/>
    <col min="11" max="11" width="19.77734375" bestFit="1" customWidth="1"/>
    <col min="12" max="12" width="28.77734375" bestFit="1" customWidth="1"/>
    <col min="13" max="13" width="27.21875" bestFit="1" customWidth="1"/>
    <col min="14" max="14" width="22.44140625" bestFit="1" customWidth="1"/>
    <col min="15" max="15" width="33.88671875" bestFit="1" customWidth="1"/>
    <col min="16" max="17" width="10.88671875" customWidth="1"/>
  </cols>
  <sheetData>
    <row r="3" spans="21:51">
      <c r="U3" s="210" t="s">
        <v>267</v>
      </c>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10"/>
      <c r="AW3" s="210"/>
      <c r="AX3" s="210"/>
      <c r="AY3" s="210"/>
    </row>
    <row r="65" spans="2:17" ht="15" thickBot="1">
      <c r="B65" s="27" t="s">
        <v>292</v>
      </c>
    </row>
    <row r="66" spans="2:17" ht="15" thickBot="1">
      <c r="B66" s="97" t="s">
        <v>133</v>
      </c>
      <c r="C66" s="303" t="s">
        <v>272</v>
      </c>
      <c r="D66" s="304"/>
      <c r="E66" s="304"/>
      <c r="F66" s="304"/>
      <c r="G66" s="304"/>
      <c r="H66" s="304"/>
      <c r="I66" s="304"/>
      <c r="J66" s="305"/>
      <c r="K66" s="169"/>
      <c r="L66" s="169"/>
      <c r="M66" s="172"/>
      <c r="N66" s="170"/>
      <c r="O66" s="170"/>
      <c r="P66" s="170"/>
      <c r="Q66" s="171"/>
    </row>
    <row r="67" spans="2:17">
      <c r="B67" s="71"/>
      <c r="C67" s="35" t="s">
        <v>174</v>
      </c>
      <c r="D67" s="35"/>
      <c r="E67" s="35"/>
      <c r="F67" s="35"/>
      <c r="G67" s="35"/>
      <c r="H67" s="35"/>
      <c r="I67" s="35"/>
      <c r="J67" s="35"/>
      <c r="K67" s="35"/>
      <c r="L67" s="35"/>
      <c r="M67" s="31" t="s">
        <v>55</v>
      </c>
      <c r="N67" s="47" t="s">
        <v>21</v>
      </c>
      <c r="O67" s="48"/>
      <c r="P67" s="48"/>
      <c r="Q67" s="49"/>
    </row>
    <row r="68" spans="2:17">
      <c r="B68" s="72" t="s">
        <v>22</v>
      </c>
      <c r="C68" s="306" t="s">
        <v>191</v>
      </c>
      <c r="D68" s="301"/>
      <c r="E68" s="301"/>
      <c r="F68" s="301"/>
      <c r="G68" s="301"/>
      <c r="H68" s="301"/>
      <c r="I68" s="301"/>
      <c r="J68" s="302"/>
      <c r="K68" s="89" t="s">
        <v>273</v>
      </c>
      <c r="L68" s="89"/>
      <c r="M68" s="32" t="s">
        <v>282</v>
      </c>
      <c r="N68" s="211" t="s">
        <v>136</v>
      </c>
      <c r="O68" s="77" t="s">
        <v>138</v>
      </c>
      <c r="P68" s="77" t="s">
        <v>137</v>
      </c>
      <c r="Q68" s="138" t="s">
        <v>26</v>
      </c>
    </row>
    <row r="69" spans="2:17">
      <c r="B69" s="72" t="s">
        <v>37</v>
      </c>
      <c r="C69" s="164" t="s">
        <v>141</v>
      </c>
      <c r="D69" s="164" t="s">
        <v>141</v>
      </c>
      <c r="E69" s="164" t="s">
        <v>141</v>
      </c>
      <c r="F69" s="164" t="s">
        <v>141</v>
      </c>
      <c r="G69" s="164" t="s">
        <v>141</v>
      </c>
      <c r="H69" s="164" t="s">
        <v>141</v>
      </c>
      <c r="I69" s="164" t="s">
        <v>141</v>
      </c>
      <c r="J69" s="164" t="s">
        <v>141</v>
      </c>
      <c r="K69" s="136" t="s">
        <v>274</v>
      </c>
      <c r="L69" s="137" t="s">
        <v>274</v>
      </c>
      <c r="M69" s="32" t="s">
        <v>275</v>
      </c>
      <c r="N69" s="212"/>
      <c r="O69" s="78"/>
      <c r="P69" s="78"/>
      <c r="Q69" s="213"/>
    </row>
    <row r="70" spans="2:17" ht="26.4">
      <c r="B70" s="73" t="s">
        <v>27</v>
      </c>
      <c r="C70" s="300" t="s">
        <v>39</v>
      </c>
      <c r="D70" s="301"/>
      <c r="E70" s="301"/>
      <c r="F70" s="301"/>
      <c r="G70" s="301"/>
      <c r="H70" s="301"/>
      <c r="I70" s="301"/>
      <c r="J70" s="302"/>
      <c r="K70" s="1" t="s">
        <v>283</v>
      </c>
      <c r="L70" s="29" t="s">
        <v>283</v>
      </c>
      <c r="M70" s="33"/>
      <c r="N70" s="212"/>
      <c r="O70" s="78"/>
      <c r="P70" s="78"/>
      <c r="Q70" s="138"/>
    </row>
    <row r="71" spans="2:17" ht="60.6">
      <c r="B71" s="72" t="s">
        <v>28</v>
      </c>
      <c r="C71" s="214" t="s">
        <v>175</v>
      </c>
      <c r="D71" s="214" t="s">
        <v>66</v>
      </c>
      <c r="E71" s="214" t="s">
        <v>176</v>
      </c>
      <c r="F71" s="214" t="s">
        <v>177</v>
      </c>
      <c r="G71" s="214" t="s">
        <v>178</v>
      </c>
      <c r="H71" s="214" t="s">
        <v>179</v>
      </c>
      <c r="I71" s="214" t="s">
        <v>180</v>
      </c>
      <c r="J71" s="214" t="s">
        <v>181</v>
      </c>
      <c r="K71" s="1" t="s">
        <v>264</v>
      </c>
      <c r="L71" s="29" t="s">
        <v>263</v>
      </c>
      <c r="M71" s="32" t="s">
        <v>29</v>
      </c>
      <c r="N71" s="212"/>
      <c r="O71" s="78"/>
      <c r="P71" s="78"/>
      <c r="Q71" s="138"/>
    </row>
    <row r="72" spans="2:17" ht="53.4" thickBot="1">
      <c r="B72" s="74" t="s">
        <v>30</v>
      </c>
      <c r="C72" s="165" t="s">
        <v>183</v>
      </c>
      <c r="D72" s="165" t="s">
        <v>141</v>
      </c>
      <c r="E72" s="165" t="s">
        <v>183</v>
      </c>
      <c r="F72" s="165" t="s">
        <v>183</v>
      </c>
      <c r="G72" s="165" t="s">
        <v>183</v>
      </c>
      <c r="H72" s="165" t="s">
        <v>183</v>
      </c>
      <c r="I72" s="165" t="s">
        <v>183</v>
      </c>
      <c r="J72" s="165" t="s">
        <v>183</v>
      </c>
      <c r="K72" s="28" t="s">
        <v>296</v>
      </c>
      <c r="L72" s="30" t="s">
        <v>297</v>
      </c>
      <c r="M72" s="34" t="s">
        <v>291</v>
      </c>
      <c r="N72" s="215" t="s">
        <v>326</v>
      </c>
      <c r="O72" s="76"/>
      <c r="P72" s="76"/>
      <c r="Q72" s="139"/>
    </row>
    <row r="73" spans="2:17" ht="13.8" thickTop="1">
      <c r="B73" s="75" t="s">
        <v>293</v>
      </c>
      <c r="C73" s="166" t="s">
        <v>182</v>
      </c>
      <c r="D73" s="166" t="s">
        <v>182</v>
      </c>
      <c r="E73" s="166" t="s">
        <v>182</v>
      </c>
      <c r="F73" s="166" t="s">
        <v>182</v>
      </c>
      <c r="G73" s="166" t="s">
        <v>182</v>
      </c>
      <c r="H73" s="166" t="s">
        <v>182</v>
      </c>
      <c r="I73" s="166" t="s">
        <v>182</v>
      </c>
      <c r="J73" s="166" t="s">
        <v>182</v>
      </c>
      <c r="K73" s="38" t="s">
        <v>32</v>
      </c>
      <c r="L73" s="39" t="s">
        <v>286</v>
      </c>
      <c r="M73" s="40" t="s">
        <v>114</v>
      </c>
      <c r="N73" s="38" t="s">
        <v>31</v>
      </c>
      <c r="O73" s="45"/>
      <c r="P73" s="45"/>
      <c r="Q73" s="140"/>
    </row>
    <row r="74" spans="2:17">
      <c r="B74" s="22" t="s">
        <v>295</v>
      </c>
      <c r="C74" s="167" t="s">
        <v>182</v>
      </c>
      <c r="D74" s="167" t="s">
        <v>182</v>
      </c>
      <c r="E74" s="167" t="s">
        <v>182</v>
      </c>
      <c r="F74" s="167" t="s">
        <v>182</v>
      </c>
      <c r="G74" s="167" t="s">
        <v>182</v>
      </c>
      <c r="H74" s="167" t="s">
        <v>182</v>
      </c>
      <c r="I74" s="167" t="s">
        <v>182</v>
      </c>
      <c r="J74" s="167" t="s">
        <v>182</v>
      </c>
      <c r="K74" s="36" t="s">
        <v>32</v>
      </c>
      <c r="L74" s="37" t="s">
        <v>287</v>
      </c>
      <c r="M74" s="41" t="s">
        <v>252</v>
      </c>
      <c r="N74" s="216" t="s">
        <v>325</v>
      </c>
      <c r="O74" s="46"/>
      <c r="P74" s="46"/>
      <c r="Q74" s="140"/>
    </row>
    <row r="75" spans="2:17">
      <c r="B75" s="22" t="s">
        <v>294</v>
      </c>
      <c r="C75" s="167" t="s">
        <v>182</v>
      </c>
      <c r="D75" s="167" t="s">
        <v>182</v>
      </c>
      <c r="E75" s="167" t="s">
        <v>182</v>
      </c>
      <c r="F75" s="167" t="s">
        <v>182</v>
      </c>
      <c r="G75" s="167" t="s">
        <v>182</v>
      </c>
      <c r="H75" s="167" t="s">
        <v>182</v>
      </c>
      <c r="I75" s="167" t="s">
        <v>182</v>
      </c>
      <c r="J75" s="167" t="s">
        <v>182</v>
      </c>
      <c r="K75" s="36" t="s">
        <v>32</v>
      </c>
      <c r="L75" s="37" t="s">
        <v>288</v>
      </c>
      <c r="M75" s="41" t="s">
        <v>253</v>
      </c>
      <c r="N75" s="216" t="s">
        <v>327</v>
      </c>
      <c r="O75" s="46"/>
      <c r="P75" s="46"/>
      <c r="Q75" s="140"/>
    </row>
    <row r="76" spans="2:17">
      <c r="B76" s="22" t="s">
        <v>277</v>
      </c>
      <c r="C76" s="167" t="s">
        <v>182</v>
      </c>
      <c r="D76" s="167" t="s">
        <v>182</v>
      </c>
      <c r="E76" s="167" t="s">
        <v>182</v>
      </c>
      <c r="F76" s="167" t="s">
        <v>182</v>
      </c>
      <c r="G76" s="167" t="s">
        <v>182</v>
      </c>
      <c r="H76" s="167" t="s">
        <v>182</v>
      </c>
      <c r="I76" s="167" t="s">
        <v>182</v>
      </c>
      <c r="J76" s="167" t="s">
        <v>182</v>
      </c>
      <c r="K76" s="36" t="s">
        <v>32</v>
      </c>
      <c r="L76" s="37" t="s">
        <v>289</v>
      </c>
      <c r="M76" s="41" t="s">
        <v>33</v>
      </c>
      <c r="N76" s="36" t="s">
        <v>31</v>
      </c>
      <c r="O76" s="46"/>
      <c r="P76" s="46"/>
      <c r="Q76" s="140"/>
    </row>
    <row r="77" spans="2:17">
      <c r="B77" s="22" t="s">
        <v>277</v>
      </c>
      <c r="C77" s="167" t="s">
        <v>182</v>
      </c>
      <c r="D77" s="167" t="s">
        <v>182</v>
      </c>
      <c r="E77" s="167" t="s">
        <v>182</v>
      </c>
      <c r="F77" s="167" t="s">
        <v>182</v>
      </c>
      <c r="G77" s="167" t="s">
        <v>182</v>
      </c>
      <c r="H77" s="167" t="s">
        <v>182</v>
      </c>
      <c r="I77" s="167" t="s">
        <v>182</v>
      </c>
      <c r="J77" s="167" t="s">
        <v>182</v>
      </c>
      <c r="K77" s="36" t="s">
        <v>32</v>
      </c>
      <c r="L77" s="37" t="s">
        <v>290</v>
      </c>
      <c r="M77" s="41" t="s">
        <v>33</v>
      </c>
      <c r="N77" s="36" t="s">
        <v>31</v>
      </c>
      <c r="O77" s="46"/>
      <c r="P77" s="46"/>
      <c r="Q77" s="140"/>
    </row>
    <row r="78" spans="2:17">
      <c r="B78" s="22" t="s">
        <v>278</v>
      </c>
      <c r="C78" s="167" t="s">
        <v>182</v>
      </c>
      <c r="D78" s="167" t="s">
        <v>182</v>
      </c>
      <c r="E78" s="167" t="s">
        <v>182</v>
      </c>
      <c r="F78" s="167" t="s">
        <v>182</v>
      </c>
      <c r="G78" s="167" t="s">
        <v>182</v>
      </c>
      <c r="H78" s="167" t="s">
        <v>182</v>
      </c>
      <c r="I78" s="167" t="s">
        <v>182</v>
      </c>
      <c r="J78" s="167" t="s">
        <v>182</v>
      </c>
      <c r="K78" s="36" t="s">
        <v>34</v>
      </c>
      <c r="L78" s="37" t="s">
        <v>285</v>
      </c>
      <c r="M78" s="41" t="s">
        <v>33</v>
      </c>
      <c r="N78" s="36" t="s">
        <v>31</v>
      </c>
      <c r="O78" s="217"/>
      <c r="P78" s="217"/>
      <c r="Q78" s="141"/>
    </row>
    <row r="79" spans="2:17">
      <c r="B79" s="22" t="s">
        <v>279</v>
      </c>
      <c r="C79" s="167" t="s">
        <v>182</v>
      </c>
      <c r="D79" s="167" t="s">
        <v>182</v>
      </c>
      <c r="E79" s="167" t="s">
        <v>182</v>
      </c>
      <c r="F79" s="167" t="s">
        <v>182</v>
      </c>
      <c r="G79" s="167" t="s">
        <v>182</v>
      </c>
      <c r="H79" s="167" t="s">
        <v>182</v>
      </c>
      <c r="I79" s="167" t="s">
        <v>182</v>
      </c>
      <c r="J79" s="167" t="s">
        <v>182</v>
      </c>
      <c r="K79" s="36" t="s">
        <v>35</v>
      </c>
      <c r="L79" s="37" t="s">
        <v>285</v>
      </c>
      <c r="M79" s="41" t="s">
        <v>33</v>
      </c>
      <c r="N79" s="36" t="s">
        <v>31</v>
      </c>
      <c r="O79" s="217"/>
      <c r="P79" s="217"/>
      <c r="Q79" s="141"/>
    </row>
    <row r="80" spans="2:17">
      <c r="B80" s="22" t="s">
        <v>280</v>
      </c>
      <c r="C80" s="167" t="s">
        <v>182</v>
      </c>
      <c r="D80" s="167" t="s">
        <v>182</v>
      </c>
      <c r="E80" s="167" t="s">
        <v>182</v>
      </c>
      <c r="F80" s="167" t="s">
        <v>182</v>
      </c>
      <c r="G80" s="167" t="s">
        <v>182</v>
      </c>
      <c r="H80" s="167" t="s">
        <v>182</v>
      </c>
      <c r="I80" s="167" t="s">
        <v>182</v>
      </c>
      <c r="J80" s="167" t="s">
        <v>182</v>
      </c>
      <c r="K80" s="36" t="s">
        <v>36</v>
      </c>
      <c r="L80" s="37" t="s">
        <v>285</v>
      </c>
      <c r="M80" s="41" t="s">
        <v>33</v>
      </c>
      <c r="N80" s="36" t="s">
        <v>31</v>
      </c>
      <c r="O80" s="217"/>
      <c r="P80" s="217"/>
      <c r="Q80" s="141"/>
    </row>
    <row r="81" spans="2:17" ht="13.8" thickBot="1">
      <c r="B81" s="23" t="s">
        <v>281</v>
      </c>
      <c r="C81" s="168" t="s">
        <v>182</v>
      </c>
      <c r="D81" s="168" t="s">
        <v>182</v>
      </c>
      <c r="E81" s="168" t="s">
        <v>182</v>
      </c>
      <c r="F81" s="168" t="s">
        <v>182</v>
      </c>
      <c r="G81" s="168" t="s">
        <v>182</v>
      </c>
      <c r="H81" s="168" t="s">
        <v>182</v>
      </c>
      <c r="I81" s="168" t="s">
        <v>182</v>
      </c>
      <c r="J81" s="168" t="s">
        <v>182</v>
      </c>
      <c r="K81" s="42" t="s">
        <v>185</v>
      </c>
      <c r="L81" s="43" t="s">
        <v>284</v>
      </c>
      <c r="M81" s="44" t="s">
        <v>33</v>
      </c>
      <c r="N81" s="42" t="s">
        <v>31</v>
      </c>
      <c r="O81" s="218"/>
      <c r="P81" s="218"/>
      <c r="Q81" s="142"/>
    </row>
    <row r="184" spans="2:51" ht="15" thickBot="1">
      <c r="B184" s="27" t="s">
        <v>298</v>
      </c>
    </row>
    <row r="185" spans="2:51" ht="15" thickBot="1">
      <c r="B185" s="97" t="s">
        <v>133</v>
      </c>
      <c r="C185" s="303" t="s">
        <v>272</v>
      </c>
      <c r="D185" s="304"/>
      <c r="E185" s="304"/>
      <c r="F185" s="304"/>
      <c r="G185" s="304"/>
      <c r="H185" s="304"/>
      <c r="I185" s="304"/>
      <c r="J185" s="305"/>
      <c r="K185" s="169"/>
      <c r="L185" s="169"/>
      <c r="M185" s="172"/>
      <c r="N185" s="170"/>
      <c r="O185" s="170"/>
      <c r="P185" s="170"/>
      <c r="Q185" s="171"/>
      <c r="U185" s="210" t="s">
        <v>268</v>
      </c>
      <c r="V185" s="210"/>
      <c r="W185" s="210"/>
      <c r="X185" s="210"/>
      <c r="Y185" s="210"/>
      <c r="Z185" s="210"/>
      <c r="AA185" s="210"/>
      <c r="AB185" s="210"/>
      <c r="AC185" s="210"/>
      <c r="AD185" s="210"/>
      <c r="AE185" s="210"/>
      <c r="AF185" s="210"/>
      <c r="AG185" s="210"/>
      <c r="AH185" s="210"/>
      <c r="AI185" s="210"/>
      <c r="AJ185" s="210"/>
      <c r="AK185" s="210"/>
      <c r="AL185" s="210"/>
      <c r="AM185" s="210"/>
      <c r="AN185" s="210"/>
      <c r="AO185" s="210"/>
      <c r="AP185" s="210"/>
      <c r="AQ185" s="210"/>
      <c r="AR185" s="210"/>
      <c r="AS185" s="210"/>
      <c r="AT185" s="210"/>
      <c r="AU185" s="210"/>
      <c r="AV185" s="210"/>
      <c r="AW185" s="210"/>
      <c r="AX185" s="210"/>
      <c r="AY185" s="210"/>
    </row>
    <row r="186" spans="2:51">
      <c r="B186" s="71"/>
      <c r="C186" s="35" t="s">
        <v>174</v>
      </c>
      <c r="D186" s="35"/>
      <c r="E186" s="35"/>
      <c r="F186" s="35"/>
      <c r="G186" s="35"/>
      <c r="H186" s="35"/>
      <c r="I186" s="35"/>
      <c r="J186" s="35"/>
      <c r="K186" s="35"/>
      <c r="L186" s="35"/>
      <c r="M186" s="219" t="s">
        <v>55</v>
      </c>
      <c r="N186" s="47" t="s">
        <v>21</v>
      </c>
      <c r="O186" s="48"/>
      <c r="P186" s="48"/>
      <c r="Q186" s="49"/>
    </row>
    <row r="187" spans="2:51">
      <c r="B187" s="72" t="s">
        <v>22</v>
      </c>
      <c r="C187" s="306" t="s">
        <v>191</v>
      </c>
      <c r="D187" s="301"/>
      <c r="E187" s="301"/>
      <c r="F187" s="301"/>
      <c r="G187" s="301"/>
      <c r="H187" s="301"/>
      <c r="I187" s="301"/>
      <c r="J187" s="302"/>
      <c r="K187" s="89" t="s">
        <v>273</v>
      </c>
      <c r="L187" s="89"/>
      <c r="M187" s="220" t="s">
        <v>312</v>
      </c>
      <c r="N187" s="226" t="s">
        <v>23</v>
      </c>
      <c r="O187" s="77" t="s">
        <v>138</v>
      </c>
      <c r="P187" s="1" t="s">
        <v>25</v>
      </c>
      <c r="Q187" s="138" t="s">
        <v>26</v>
      </c>
    </row>
    <row r="188" spans="2:51">
      <c r="B188" s="72" t="s">
        <v>37</v>
      </c>
      <c r="C188" s="164" t="s">
        <v>141</v>
      </c>
      <c r="D188" s="164" t="s">
        <v>141</v>
      </c>
      <c r="E188" s="164" t="s">
        <v>141</v>
      </c>
      <c r="F188" s="164" t="s">
        <v>141</v>
      </c>
      <c r="G188" s="164" t="s">
        <v>141</v>
      </c>
      <c r="H188" s="164" t="s">
        <v>141</v>
      </c>
      <c r="I188" s="164" t="s">
        <v>141</v>
      </c>
      <c r="J188" s="164" t="s">
        <v>141</v>
      </c>
      <c r="K188" s="136" t="s">
        <v>274</v>
      </c>
      <c r="L188" s="137" t="s">
        <v>274</v>
      </c>
      <c r="M188" s="220" t="s">
        <v>275</v>
      </c>
      <c r="N188" s="227"/>
      <c r="O188" s="78"/>
      <c r="P188" s="232"/>
      <c r="Q188" s="213"/>
    </row>
    <row r="189" spans="2:51" ht="26.4">
      <c r="B189" s="73" t="s">
        <v>27</v>
      </c>
      <c r="C189" s="300" t="s">
        <v>39</v>
      </c>
      <c r="D189" s="301"/>
      <c r="E189" s="301"/>
      <c r="F189" s="301"/>
      <c r="G189" s="301"/>
      <c r="H189" s="301"/>
      <c r="I189" s="301"/>
      <c r="J189" s="302"/>
      <c r="K189" s="1" t="s">
        <v>283</v>
      </c>
      <c r="L189" s="29" t="s">
        <v>283</v>
      </c>
      <c r="M189" s="221"/>
      <c r="N189" s="227"/>
      <c r="O189" s="78"/>
      <c r="P189" s="232"/>
      <c r="Q189" s="138"/>
    </row>
    <row r="190" spans="2:51" ht="60.6">
      <c r="B190" s="72" t="s">
        <v>28</v>
      </c>
      <c r="C190" s="214" t="s">
        <v>175</v>
      </c>
      <c r="D190" s="214" t="s">
        <v>66</v>
      </c>
      <c r="E190" s="214" t="s">
        <v>176</v>
      </c>
      <c r="F190" s="214" t="s">
        <v>177</v>
      </c>
      <c r="G190" s="214" t="s">
        <v>178</v>
      </c>
      <c r="H190" s="214" t="s">
        <v>179</v>
      </c>
      <c r="I190" s="214" t="s">
        <v>180</v>
      </c>
      <c r="J190" s="214" t="s">
        <v>181</v>
      </c>
      <c r="K190" s="1" t="s">
        <v>264</v>
      </c>
      <c r="L190" s="29" t="s">
        <v>266</v>
      </c>
      <c r="M190" s="220" t="s">
        <v>29</v>
      </c>
      <c r="N190" s="227"/>
      <c r="O190" s="78"/>
      <c r="P190" s="232"/>
      <c r="Q190" s="138"/>
    </row>
    <row r="191" spans="2:51" ht="65.25" customHeight="1" thickBot="1">
      <c r="B191" s="74" t="s">
        <v>30</v>
      </c>
      <c r="C191" s="165" t="s">
        <v>183</v>
      </c>
      <c r="D191" s="165" t="s">
        <v>141</v>
      </c>
      <c r="E191" s="165" t="s">
        <v>183</v>
      </c>
      <c r="F191" s="165" t="s">
        <v>183</v>
      </c>
      <c r="G191" s="165" t="s">
        <v>183</v>
      </c>
      <c r="H191" s="165" t="s">
        <v>183</v>
      </c>
      <c r="I191" s="165" t="s">
        <v>183</v>
      </c>
      <c r="J191" s="165" t="s">
        <v>183</v>
      </c>
      <c r="K191" s="28" t="s">
        <v>307</v>
      </c>
      <c r="L191" s="30" t="s">
        <v>304</v>
      </c>
      <c r="M191" s="222" t="s">
        <v>300</v>
      </c>
      <c r="N191" s="228"/>
      <c r="O191" s="76"/>
      <c r="P191" s="28" t="s">
        <v>299</v>
      </c>
      <c r="Q191" s="139"/>
    </row>
    <row r="192" spans="2:51" ht="13.8" thickTop="1">
      <c r="B192" s="75" t="s">
        <v>302</v>
      </c>
      <c r="C192" s="166" t="s">
        <v>182</v>
      </c>
      <c r="D192" s="166" t="s">
        <v>182</v>
      </c>
      <c r="E192" s="166" t="s">
        <v>182</v>
      </c>
      <c r="F192" s="166" t="s">
        <v>182</v>
      </c>
      <c r="G192" s="166" t="s">
        <v>182</v>
      </c>
      <c r="H192" s="166" t="s">
        <v>182</v>
      </c>
      <c r="I192" s="166" t="s">
        <v>182</v>
      </c>
      <c r="J192" s="166" t="s">
        <v>182</v>
      </c>
      <c r="K192" s="38" t="s">
        <v>309</v>
      </c>
      <c r="L192" s="39" t="s">
        <v>286</v>
      </c>
      <c r="M192" s="223" t="s">
        <v>114</v>
      </c>
      <c r="N192" s="229"/>
      <c r="O192" s="45"/>
      <c r="P192" s="38" t="s">
        <v>141</v>
      </c>
      <c r="Q192" s="140"/>
    </row>
    <row r="193" spans="2:17">
      <c r="B193" s="22" t="s">
        <v>301</v>
      </c>
      <c r="C193" s="167" t="s">
        <v>182</v>
      </c>
      <c r="D193" s="167" t="s">
        <v>182</v>
      </c>
      <c r="E193" s="167" t="s">
        <v>182</v>
      </c>
      <c r="F193" s="167" t="s">
        <v>182</v>
      </c>
      <c r="G193" s="167" t="s">
        <v>182</v>
      </c>
      <c r="H193" s="167" t="s">
        <v>182</v>
      </c>
      <c r="I193" s="167" t="s">
        <v>182</v>
      </c>
      <c r="J193" s="167" t="s">
        <v>182</v>
      </c>
      <c r="K193" s="36" t="s">
        <v>308</v>
      </c>
      <c r="L193" s="37" t="s">
        <v>287</v>
      </c>
      <c r="M193" s="224" t="s">
        <v>142</v>
      </c>
      <c r="N193" s="230"/>
      <c r="O193" s="46"/>
      <c r="P193" s="36" t="s">
        <v>305</v>
      </c>
      <c r="Q193" s="140"/>
    </row>
    <row r="194" spans="2:17">
      <c r="B194" s="22" t="s">
        <v>303</v>
      </c>
      <c r="C194" s="167" t="s">
        <v>182</v>
      </c>
      <c r="D194" s="167" t="s">
        <v>182</v>
      </c>
      <c r="E194" s="167" t="s">
        <v>182</v>
      </c>
      <c r="F194" s="167" t="s">
        <v>182</v>
      </c>
      <c r="G194" s="167" t="s">
        <v>182</v>
      </c>
      <c r="H194" s="167" t="s">
        <v>182</v>
      </c>
      <c r="I194" s="167" t="s">
        <v>182</v>
      </c>
      <c r="J194" s="167" t="s">
        <v>182</v>
      </c>
      <c r="K194" s="36" t="s">
        <v>308</v>
      </c>
      <c r="L194" s="37" t="s">
        <v>288</v>
      </c>
      <c r="M194" s="224" t="s">
        <v>262</v>
      </c>
      <c r="N194" s="230"/>
      <c r="O194" s="46"/>
      <c r="P194" s="36" t="s">
        <v>306</v>
      </c>
      <c r="Q194" s="140"/>
    </row>
    <row r="195" spans="2:17">
      <c r="B195" s="22" t="s">
        <v>277</v>
      </c>
      <c r="C195" s="167" t="s">
        <v>182</v>
      </c>
      <c r="D195" s="167" t="s">
        <v>182</v>
      </c>
      <c r="E195" s="167" t="s">
        <v>182</v>
      </c>
      <c r="F195" s="167" t="s">
        <v>182</v>
      </c>
      <c r="G195" s="167" t="s">
        <v>182</v>
      </c>
      <c r="H195" s="167" t="s">
        <v>182</v>
      </c>
      <c r="I195" s="167" t="s">
        <v>182</v>
      </c>
      <c r="J195" s="167" t="s">
        <v>182</v>
      </c>
      <c r="K195" s="36" t="s">
        <v>308</v>
      </c>
      <c r="L195" s="37" t="s">
        <v>289</v>
      </c>
      <c r="M195" s="224" t="s">
        <v>33</v>
      </c>
      <c r="N195" s="230"/>
      <c r="O195" s="46"/>
      <c r="P195" s="36" t="s">
        <v>31</v>
      </c>
      <c r="Q195" s="140"/>
    </row>
    <row r="196" spans="2:17">
      <c r="B196" s="22" t="s">
        <v>277</v>
      </c>
      <c r="C196" s="167" t="s">
        <v>182</v>
      </c>
      <c r="D196" s="167" t="s">
        <v>182</v>
      </c>
      <c r="E196" s="167" t="s">
        <v>182</v>
      </c>
      <c r="F196" s="167" t="s">
        <v>182</v>
      </c>
      <c r="G196" s="167" t="s">
        <v>182</v>
      </c>
      <c r="H196" s="167" t="s">
        <v>182</v>
      </c>
      <c r="I196" s="167" t="s">
        <v>182</v>
      </c>
      <c r="J196" s="167" t="s">
        <v>182</v>
      </c>
      <c r="K196" s="36" t="s">
        <v>308</v>
      </c>
      <c r="L196" s="37" t="s">
        <v>290</v>
      </c>
      <c r="M196" s="224" t="s">
        <v>33</v>
      </c>
      <c r="N196" s="230"/>
      <c r="O196" s="46"/>
      <c r="P196" s="36" t="s">
        <v>31</v>
      </c>
      <c r="Q196" s="140"/>
    </row>
    <row r="197" spans="2:17">
      <c r="B197" s="22" t="s">
        <v>278</v>
      </c>
      <c r="C197" s="167" t="s">
        <v>182</v>
      </c>
      <c r="D197" s="167" t="s">
        <v>182</v>
      </c>
      <c r="E197" s="167" t="s">
        <v>182</v>
      </c>
      <c r="F197" s="167" t="s">
        <v>182</v>
      </c>
      <c r="G197" s="167" t="s">
        <v>182</v>
      </c>
      <c r="H197" s="167" t="s">
        <v>182</v>
      </c>
      <c r="I197" s="167" t="s">
        <v>182</v>
      </c>
      <c r="J197" s="167" t="s">
        <v>182</v>
      </c>
      <c r="K197" s="36" t="s">
        <v>310</v>
      </c>
      <c r="L197" s="37" t="s">
        <v>285</v>
      </c>
      <c r="M197" s="224" t="s">
        <v>33</v>
      </c>
      <c r="N197" s="230"/>
      <c r="O197" s="217"/>
      <c r="P197" s="36" t="s">
        <v>31</v>
      </c>
      <c r="Q197" s="141"/>
    </row>
    <row r="198" spans="2:17" ht="13.8" thickBot="1">
      <c r="B198" s="23" t="s">
        <v>281</v>
      </c>
      <c r="C198" s="168" t="s">
        <v>182</v>
      </c>
      <c r="D198" s="168" t="s">
        <v>182</v>
      </c>
      <c r="E198" s="168" t="s">
        <v>182</v>
      </c>
      <c r="F198" s="168" t="s">
        <v>182</v>
      </c>
      <c r="G198" s="168" t="s">
        <v>182</v>
      </c>
      <c r="H198" s="168" t="s">
        <v>182</v>
      </c>
      <c r="I198" s="168" t="s">
        <v>182</v>
      </c>
      <c r="J198" s="168" t="s">
        <v>182</v>
      </c>
      <c r="K198" s="42" t="s">
        <v>311</v>
      </c>
      <c r="L198" s="43" t="s">
        <v>284</v>
      </c>
      <c r="M198" s="225" t="s">
        <v>33</v>
      </c>
      <c r="N198" s="231"/>
      <c r="O198" s="218"/>
      <c r="P198" s="42" t="s">
        <v>31</v>
      </c>
      <c r="Q198" s="142"/>
    </row>
    <row r="234" spans="2:51" ht="15" thickBot="1">
      <c r="B234" s="27" t="s">
        <v>313</v>
      </c>
    </row>
    <row r="235" spans="2:51" ht="15" thickBot="1">
      <c r="B235" s="97" t="s">
        <v>133</v>
      </c>
      <c r="C235" s="303" t="s">
        <v>272</v>
      </c>
      <c r="D235" s="304"/>
      <c r="E235" s="304"/>
      <c r="F235" s="304"/>
      <c r="G235" s="304"/>
      <c r="H235" s="304"/>
      <c r="I235" s="304"/>
      <c r="J235" s="305"/>
      <c r="K235" s="169"/>
      <c r="L235" s="169"/>
      <c r="M235" s="172"/>
      <c r="N235" s="170"/>
      <c r="O235" s="170"/>
      <c r="P235" s="170"/>
      <c r="Q235" s="171"/>
      <c r="U235" s="210" t="s">
        <v>269</v>
      </c>
      <c r="V235" s="210"/>
      <c r="W235" s="210"/>
      <c r="X235" s="210"/>
      <c r="Y235" s="210"/>
      <c r="Z235" s="210"/>
      <c r="AA235" s="210"/>
      <c r="AB235" s="210"/>
      <c r="AC235" s="210"/>
      <c r="AD235" s="210"/>
      <c r="AE235" s="210"/>
      <c r="AF235" s="210"/>
      <c r="AG235" s="210"/>
      <c r="AH235" s="210"/>
      <c r="AI235" s="210"/>
      <c r="AJ235" s="210"/>
      <c r="AK235" s="210"/>
      <c r="AL235" s="210"/>
      <c r="AM235" s="210"/>
      <c r="AN235" s="210"/>
      <c r="AO235" s="210"/>
      <c r="AP235" s="210"/>
      <c r="AQ235" s="210"/>
      <c r="AR235" s="210"/>
      <c r="AS235" s="210"/>
      <c r="AT235" s="210"/>
      <c r="AU235" s="210"/>
      <c r="AV235" s="210"/>
      <c r="AW235" s="210"/>
      <c r="AX235" s="210"/>
      <c r="AY235" s="210"/>
    </row>
    <row r="236" spans="2:51" ht="13.8" thickBot="1">
      <c r="B236" s="71"/>
      <c r="C236" s="35" t="s">
        <v>174</v>
      </c>
      <c r="D236" s="35"/>
      <c r="E236" s="35"/>
      <c r="F236" s="35"/>
      <c r="G236" s="35"/>
      <c r="H236" s="35"/>
      <c r="I236" s="35"/>
      <c r="J236" s="35"/>
      <c r="K236" s="35"/>
      <c r="L236" s="35"/>
      <c r="M236" s="31" t="s">
        <v>55</v>
      </c>
      <c r="N236" s="233" t="s">
        <v>21</v>
      </c>
      <c r="O236" s="234"/>
      <c r="P236" s="234"/>
      <c r="Q236" s="235"/>
    </row>
    <row r="237" spans="2:51">
      <c r="B237" s="72" t="s">
        <v>22</v>
      </c>
      <c r="C237" s="306" t="s">
        <v>191</v>
      </c>
      <c r="D237" s="301"/>
      <c r="E237" s="301"/>
      <c r="F237" s="301"/>
      <c r="G237" s="301"/>
      <c r="H237" s="301"/>
      <c r="I237" s="301"/>
      <c r="J237" s="302"/>
      <c r="K237" s="89" t="s">
        <v>273</v>
      </c>
      <c r="L237" s="89"/>
      <c r="M237" s="32" t="s">
        <v>314</v>
      </c>
      <c r="N237" s="236" t="s">
        <v>23</v>
      </c>
      <c r="O237" s="240" t="s">
        <v>24</v>
      </c>
      <c r="P237" s="237" t="s">
        <v>137</v>
      </c>
      <c r="Q237" s="238" t="s">
        <v>26</v>
      </c>
    </row>
    <row r="238" spans="2:51">
      <c r="B238" s="72" t="s">
        <v>37</v>
      </c>
      <c r="C238" s="164" t="s">
        <v>141</v>
      </c>
      <c r="D238" s="164" t="s">
        <v>141</v>
      </c>
      <c r="E238" s="164" t="s">
        <v>141</v>
      </c>
      <c r="F238" s="164" t="s">
        <v>141</v>
      </c>
      <c r="G238" s="164" t="s">
        <v>141</v>
      </c>
      <c r="H238" s="164" t="s">
        <v>141</v>
      </c>
      <c r="I238" s="164" t="s">
        <v>141</v>
      </c>
      <c r="J238" s="164" t="s">
        <v>141</v>
      </c>
      <c r="K238" s="136" t="s">
        <v>274</v>
      </c>
      <c r="L238" s="137" t="s">
        <v>274</v>
      </c>
      <c r="M238" s="32" t="s">
        <v>275</v>
      </c>
      <c r="N238" s="227"/>
      <c r="O238" s="212"/>
      <c r="P238" s="78"/>
      <c r="Q238" s="213"/>
    </row>
    <row r="239" spans="2:51" ht="26.4">
      <c r="B239" s="73" t="s">
        <v>27</v>
      </c>
      <c r="C239" s="300" t="s">
        <v>39</v>
      </c>
      <c r="D239" s="301"/>
      <c r="E239" s="301"/>
      <c r="F239" s="301"/>
      <c r="G239" s="301"/>
      <c r="H239" s="301"/>
      <c r="I239" s="301"/>
      <c r="J239" s="302"/>
      <c r="K239" s="1" t="s">
        <v>283</v>
      </c>
      <c r="L239" s="29" t="s">
        <v>283</v>
      </c>
      <c r="M239" s="33"/>
      <c r="N239" s="227"/>
      <c r="O239" s="212"/>
      <c r="P239" s="78"/>
      <c r="Q239" s="138"/>
    </row>
    <row r="240" spans="2:51" ht="60.6">
      <c r="B240" s="72" t="s">
        <v>28</v>
      </c>
      <c r="C240" s="214" t="s">
        <v>175</v>
      </c>
      <c r="D240" s="214" t="s">
        <v>66</v>
      </c>
      <c r="E240" s="214" t="s">
        <v>176</v>
      </c>
      <c r="F240" s="214" t="s">
        <v>177</v>
      </c>
      <c r="G240" s="214" t="s">
        <v>178</v>
      </c>
      <c r="H240" s="214" t="s">
        <v>179</v>
      </c>
      <c r="I240" s="214" t="s">
        <v>180</v>
      </c>
      <c r="J240" s="214" t="s">
        <v>181</v>
      </c>
      <c r="K240" s="1" t="s">
        <v>264</v>
      </c>
      <c r="L240" s="29" t="s">
        <v>265</v>
      </c>
      <c r="M240" s="32" t="s">
        <v>29</v>
      </c>
      <c r="N240" s="227"/>
      <c r="O240" s="212"/>
      <c r="P240" s="78"/>
      <c r="Q240" s="138"/>
    </row>
    <row r="241" spans="2:17" ht="53.4" thickBot="1">
      <c r="B241" s="74" t="s">
        <v>30</v>
      </c>
      <c r="C241" s="165" t="s">
        <v>183</v>
      </c>
      <c r="D241" s="165" t="s">
        <v>141</v>
      </c>
      <c r="E241" s="165" t="s">
        <v>183</v>
      </c>
      <c r="F241" s="165" t="s">
        <v>183</v>
      </c>
      <c r="G241" s="165" t="s">
        <v>183</v>
      </c>
      <c r="H241" s="165" t="s">
        <v>183</v>
      </c>
      <c r="I241" s="165" t="s">
        <v>183</v>
      </c>
      <c r="J241" s="165" t="s">
        <v>183</v>
      </c>
      <c r="K241" s="28" t="s">
        <v>276</v>
      </c>
      <c r="L241" s="30" t="s">
        <v>321</v>
      </c>
      <c r="M241" s="34" t="s">
        <v>322</v>
      </c>
      <c r="N241" s="228"/>
      <c r="O241" s="239" t="s">
        <v>320</v>
      </c>
      <c r="P241" s="76"/>
      <c r="Q241" s="139"/>
    </row>
    <row r="242" spans="2:17" ht="13.8" thickTop="1">
      <c r="B242" s="75" t="s">
        <v>315</v>
      </c>
      <c r="C242" s="166" t="s">
        <v>182</v>
      </c>
      <c r="D242" s="166" t="s">
        <v>182</v>
      </c>
      <c r="E242" s="166" t="s">
        <v>182</v>
      </c>
      <c r="F242" s="166" t="s">
        <v>182</v>
      </c>
      <c r="G242" s="166" t="s">
        <v>182</v>
      </c>
      <c r="H242" s="166" t="s">
        <v>182</v>
      </c>
      <c r="I242" s="166" t="s">
        <v>182</v>
      </c>
      <c r="J242" s="166" t="s">
        <v>182</v>
      </c>
      <c r="K242" s="38" t="s">
        <v>32</v>
      </c>
      <c r="L242" s="39" t="s">
        <v>286</v>
      </c>
      <c r="M242" s="40" t="s">
        <v>114</v>
      </c>
      <c r="N242" s="229"/>
      <c r="O242" s="38" t="s">
        <v>141</v>
      </c>
      <c r="P242" s="45"/>
      <c r="Q242" s="140"/>
    </row>
    <row r="243" spans="2:17">
      <c r="B243" s="22" t="s">
        <v>316</v>
      </c>
      <c r="C243" s="167" t="s">
        <v>182</v>
      </c>
      <c r="D243" s="167" t="s">
        <v>182</v>
      </c>
      <c r="E243" s="167" t="s">
        <v>182</v>
      </c>
      <c r="F243" s="167" t="s">
        <v>182</v>
      </c>
      <c r="G243" s="167" t="s">
        <v>182</v>
      </c>
      <c r="H243" s="167" t="s">
        <v>182</v>
      </c>
      <c r="I243" s="167" t="s">
        <v>182</v>
      </c>
      <c r="J243" s="167" t="s">
        <v>182</v>
      </c>
      <c r="K243" s="36" t="s">
        <v>32</v>
      </c>
      <c r="L243" s="37" t="s">
        <v>287</v>
      </c>
      <c r="M243" s="41" t="s">
        <v>259</v>
      </c>
      <c r="N243" s="230"/>
      <c r="O243" s="36" t="s">
        <v>317</v>
      </c>
      <c r="P243" s="46"/>
      <c r="Q243" s="140"/>
    </row>
    <row r="244" spans="2:17">
      <c r="B244" s="22" t="s">
        <v>319</v>
      </c>
      <c r="C244" s="167" t="s">
        <v>182</v>
      </c>
      <c r="D244" s="167" t="s">
        <v>182</v>
      </c>
      <c r="E244" s="167" t="s">
        <v>182</v>
      </c>
      <c r="F244" s="167" t="s">
        <v>182</v>
      </c>
      <c r="G244" s="167" t="s">
        <v>182</v>
      </c>
      <c r="H244" s="167" t="s">
        <v>182</v>
      </c>
      <c r="I244" s="167" t="s">
        <v>182</v>
      </c>
      <c r="J244" s="167" t="s">
        <v>182</v>
      </c>
      <c r="K244" s="36" t="s">
        <v>32</v>
      </c>
      <c r="L244" s="37" t="s">
        <v>288</v>
      </c>
      <c r="M244" s="41" t="s">
        <v>257</v>
      </c>
      <c r="N244" s="230"/>
      <c r="O244" s="36" t="s">
        <v>318</v>
      </c>
      <c r="P244" s="46"/>
      <c r="Q244" s="140"/>
    </row>
    <row r="245" spans="2:17">
      <c r="B245" s="22" t="s">
        <v>277</v>
      </c>
      <c r="C245" s="167" t="s">
        <v>182</v>
      </c>
      <c r="D245" s="167" t="s">
        <v>182</v>
      </c>
      <c r="E245" s="167" t="s">
        <v>182</v>
      </c>
      <c r="F245" s="167" t="s">
        <v>182</v>
      </c>
      <c r="G245" s="167" t="s">
        <v>182</v>
      </c>
      <c r="H245" s="167" t="s">
        <v>182</v>
      </c>
      <c r="I245" s="167" t="s">
        <v>182</v>
      </c>
      <c r="J245" s="167" t="s">
        <v>182</v>
      </c>
      <c r="K245" s="36" t="s">
        <v>32</v>
      </c>
      <c r="L245" s="37" t="s">
        <v>289</v>
      </c>
      <c r="M245" s="41" t="s">
        <v>114</v>
      </c>
      <c r="N245" s="230"/>
      <c r="O245" s="36" t="s">
        <v>141</v>
      </c>
      <c r="P245" s="46"/>
      <c r="Q245" s="140"/>
    </row>
    <row r="246" spans="2:17">
      <c r="B246" s="22" t="s">
        <v>277</v>
      </c>
      <c r="C246" s="167" t="s">
        <v>182</v>
      </c>
      <c r="D246" s="167" t="s">
        <v>182</v>
      </c>
      <c r="E246" s="167" t="s">
        <v>182</v>
      </c>
      <c r="F246" s="167" t="s">
        <v>182</v>
      </c>
      <c r="G246" s="167" t="s">
        <v>182</v>
      </c>
      <c r="H246" s="167" t="s">
        <v>182</v>
      </c>
      <c r="I246" s="167" t="s">
        <v>182</v>
      </c>
      <c r="J246" s="167" t="s">
        <v>182</v>
      </c>
      <c r="K246" s="36" t="s">
        <v>32</v>
      </c>
      <c r="L246" s="37" t="s">
        <v>290</v>
      </c>
      <c r="M246" s="41" t="s">
        <v>33</v>
      </c>
      <c r="N246" s="230"/>
      <c r="O246" s="36" t="s">
        <v>141</v>
      </c>
      <c r="P246" s="46"/>
      <c r="Q246" s="140"/>
    </row>
    <row r="247" spans="2:17">
      <c r="B247" s="22" t="s">
        <v>278</v>
      </c>
      <c r="C247" s="167" t="s">
        <v>182</v>
      </c>
      <c r="D247" s="167" t="s">
        <v>182</v>
      </c>
      <c r="E247" s="167" t="s">
        <v>182</v>
      </c>
      <c r="F247" s="167" t="s">
        <v>182</v>
      </c>
      <c r="G247" s="167" t="s">
        <v>182</v>
      </c>
      <c r="H247" s="167" t="s">
        <v>182</v>
      </c>
      <c r="I247" s="167" t="s">
        <v>182</v>
      </c>
      <c r="J247" s="167" t="s">
        <v>182</v>
      </c>
      <c r="K247" s="36" t="s">
        <v>34</v>
      </c>
      <c r="L247" s="37" t="s">
        <v>285</v>
      </c>
      <c r="M247" s="41" t="s">
        <v>33</v>
      </c>
      <c r="N247" s="230"/>
      <c r="O247" s="36" t="s">
        <v>141</v>
      </c>
      <c r="P247" s="217"/>
      <c r="Q247" s="141"/>
    </row>
    <row r="248" spans="2:17">
      <c r="B248" s="22" t="s">
        <v>279</v>
      </c>
      <c r="C248" s="167" t="s">
        <v>182</v>
      </c>
      <c r="D248" s="167" t="s">
        <v>182</v>
      </c>
      <c r="E248" s="167" t="s">
        <v>182</v>
      </c>
      <c r="F248" s="167" t="s">
        <v>182</v>
      </c>
      <c r="G248" s="167" t="s">
        <v>182</v>
      </c>
      <c r="H248" s="167" t="s">
        <v>182</v>
      </c>
      <c r="I248" s="167" t="s">
        <v>182</v>
      </c>
      <c r="J248" s="167" t="s">
        <v>182</v>
      </c>
      <c r="K248" s="36" t="s">
        <v>35</v>
      </c>
      <c r="L248" s="37" t="s">
        <v>285</v>
      </c>
      <c r="M248" s="41" t="s">
        <v>33</v>
      </c>
      <c r="N248" s="230"/>
      <c r="O248" s="36" t="s">
        <v>141</v>
      </c>
      <c r="P248" s="217"/>
      <c r="Q248" s="141"/>
    </row>
    <row r="249" spans="2:17">
      <c r="B249" s="22" t="s">
        <v>280</v>
      </c>
      <c r="C249" s="167" t="s">
        <v>182</v>
      </c>
      <c r="D249" s="167" t="s">
        <v>182</v>
      </c>
      <c r="E249" s="167" t="s">
        <v>182</v>
      </c>
      <c r="F249" s="167" t="s">
        <v>182</v>
      </c>
      <c r="G249" s="167" t="s">
        <v>182</v>
      </c>
      <c r="H249" s="167" t="s">
        <v>182</v>
      </c>
      <c r="I249" s="167" t="s">
        <v>182</v>
      </c>
      <c r="J249" s="167" t="s">
        <v>182</v>
      </c>
      <c r="K249" s="36" t="s">
        <v>36</v>
      </c>
      <c r="L249" s="37" t="s">
        <v>285</v>
      </c>
      <c r="M249" s="41" t="s">
        <v>33</v>
      </c>
      <c r="N249" s="230"/>
      <c r="O249" s="36" t="s">
        <v>141</v>
      </c>
      <c r="P249" s="217"/>
      <c r="Q249" s="141"/>
    </row>
    <row r="250" spans="2:17" ht="13.8" thickBot="1">
      <c r="B250" s="23" t="s">
        <v>281</v>
      </c>
      <c r="C250" s="168" t="s">
        <v>182</v>
      </c>
      <c r="D250" s="168" t="s">
        <v>182</v>
      </c>
      <c r="E250" s="168" t="s">
        <v>182</v>
      </c>
      <c r="F250" s="168" t="s">
        <v>182</v>
      </c>
      <c r="G250" s="168" t="s">
        <v>182</v>
      </c>
      <c r="H250" s="168" t="s">
        <v>182</v>
      </c>
      <c r="I250" s="168" t="s">
        <v>182</v>
      </c>
      <c r="J250" s="168" t="s">
        <v>182</v>
      </c>
      <c r="K250" s="42" t="s">
        <v>185</v>
      </c>
      <c r="L250" s="43" t="s">
        <v>284</v>
      </c>
      <c r="M250" s="44" t="s">
        <v>33</v>
      </c>
      <c r="N250" s="231"/>
      <c r="O250" s="42" t="s">
        <v>141</v>
      </c>
      <c r="P250" s="218"/>
      <c r="Q250" s="142"/>
    </row>
    <row r="295" spans="21:51">
      <c r="U295" s="210" t="s">
        <v>270</v>
      </c>
      <c r="V295" s="210"/>
      <c r="W295" s="210"/>
      <c r="X295" s="210"/>
      <c r="Y295" s="210"/>
      <c r="Z295" s="210"/>
      <c r="AA295" s="210"/>
      <c r="AB295" s="210"/>
      <c r="AC295" s="210"/>
      <c r="AD295" s="210"/>
      <c r="AE295" s="210"/>
      <c r="AF295" s="210"/>
      <c r="AG295" s="210"/>
      <c r="AH295" s="210"/>
      <c r="AI295" s="210"/>
      <c r="AJ295" s="210"/>
      <c r="AK295" s="210"/>
      <c r="AL295" s="210"/>
      <c r="AM295" s="210"/>
      <c r="AN295" s="210"/>
      <c r="AO295" s="210"/>
      <c r="AP295" s="210"/>
      <c r="AQ295" s="210"/>
      <c r="AR295" s="210"/>
      <c r="AS295" s="210"/>
      <c r="AT295" s="210"/>
      <c r="AU295" s="210"/>
      <c r="AV295" s="210"/>
      <c r="AW295" s="210"/>
      <c r="AX295" s="210"/>
      <c r="AY295" s="210"/>
    </row>
    <row r="309" spans="21:51">
      <c r="U309" s="210" t="s">
        <v>271</v>
      </c>
      <c r="V309" s="210"/>
      <c r="W309" s="210"/>
      <c r="X309" s="210"/>
      <c r="Y309" s="210"/>
      <c r="Z309" s="210"/>
      <c r="AA309" s="210"/>
      <c r="AB309" s="210"/>
      <c r="AC309" s="210"/>
      <c r="AD309" s="210"/>
      <c r="AE309" s="210"/>
      <c r="AF309" s="210"/>
      <c r="AG309" s="210"/>
      <c r="AH309" s="210"/>
      <c r="AI309" s="210"/>
      <c r="AJ309" s="210"/>
      <c r="AK309" s="210"/>
      <c r="AL309" s="210"/>
      <c r="AM309" s="210"/>
      <c r="AN309" s="210"/>
      <c r="AO309" s="210"/>
      <c r="AP309" s="210"/>
      <c r="AQ309" s="210"/>
      <c r="AR309" s="210"/>
      <c r="AS309" s="210"/>
      <c r="AT309" s="210"/>
      <c r="AU309" s="210"/>
      <c r="AV309" s="210"/>
      <c r="AW309" s="210"/>
      <c r="AX309" s="210"/>
      <c r="AY309" s="210"/>
    </row>
  </sheetData>
  <mergeCells count="9">
    <mergeCell ref="C70:J70"/>
    <mergeCell ref="C66:J66"/>
    <mergeCell ref="C68:J68"/>
    <mergeCell ref="C239:J239"/>
    <mergeCell ref="C185:J185"/>
    <mergeCell ref="C187:J187"/>
    <mergeCell ref="C189:J189"/>
    <mergeCell ref="C235:J235"/>
    <mergeCell ref="C237:J237"/>
  </mergeCells>
  <phoneticPr fontId="2"/>
  <dataValidations disablePrompts="1" count="1">
    <dataValidation type="list" allowBlank="1" showInputMessage="1" showErrorMessage="1" sqref="C66 C185 C235" xr:uid="{47728532-FDD5-49E1-AFC9-0CBB744690A2}">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2"/>
  <cols>
    <col min="2" max="2" width="4.88671875" bestFit="1" customWidth="1"/>
    <col min="3" max="3" width="12.21875" customWidth="1"/>
    <col min="4" max="4" width="86" customWidth="1"/>
  </cols>
  <sheetData>
    <row r="2" spans="2:4" ht="13.8" thickBot="1">
      <c r="B2" s="85" t="s">
        <v>91</v>
      </c>
      <c r="C2" s="86">
        <f>MAX(B4:B28)</f>
        <v>20</v>
      </c>
      <c r="D2" s="86"/>
    </row>
    <row r="3" spans="2:4" ht="13.8" thickBot="1">
      <c r="B3" s="79" t="s">
        <v>89</v>
      </c>
      <c r="C3" s="87" t="s">
        <v>94</v>
      </c>
      <c r="D3" s="80" t="s">
        <v>90</v>
      </c>
    </row>
    <row r="4" spans="2:4" ht="13.8" thickTop="1">
      <c r="B4" s="13">
        <v>0</v>
      </c>
      <c r="C4" s="88" t="s">
        <v>95</v>
      </c>
      <c r="D4" s="15" t="s">
        <v>20</v>
      </c>
    </row>
    <row r="5" spans="2:4" ht="39.6">
      <c r="B5" s="2">
        <v>1</v>
      </c>
      <c r="C5" s="89" t="s">
        <v>95</v>
      </c>
      <c r="D5" s="91" t="s">
        <v>96</v>
      </c>
    </row>
    <row r="6" spans="2:4" ht="26.4">
      <c r="B6" s="2">
        <v>2</v>
      </c>
      <c r="C6" s="89" t="s">
        <v>98</v>
      </c>
      <c r="D6" s="91" t="s">
        <v>99</v>
      </c>
    </row>
    <row r="7" spans="2:4" ht="52.8">
      <c r="B7" s="2">
        <v>3</v>
      </c>
      <c r="C7" s="89" t="s">
        <v>100</v>
      </c>
      <c r="D7" s="91" t="s">
        <v>103</v>
      </c>
    </row>
    <row r="8" spans="2:4" ht="79.2">
      <c r="B8" s="2">
        <v>4</v>
      </c>
      <c r="C8" s="89" t="s">
        <v>111</v>
      </c>
      <c r="D8" s="91" t="s">
        <v>119</v>
      </c>
    </row>
    <row r="9" spans="2:4" ht="41.25" customHeight="1">
      <c r="B9" s="2">
        <v>5</v>
      </c>
      <c r="C9" s="89" t="s">
        <v>112</v>
      </c>
      <c r="D9" s="91" t="s">
        <v>113</v>
      </c>
    </row>
    <row r="10" spans="2:4" ht="26.4">
      <c r="B10" s="2">
        <v>6</v>
      </c>
      <c r="C10" s="89" t="s">
        <v>95</v>
      </c>
      <c r="D10" s="91" t="s">
        <v>118</v>
      </c>
    </row>
    <row r="11" spans="2:4" ht="26.4">
      <c r="B11" s="2">
        <v>7</v>
      </c>
      <c r="C11" s="89" t="s">
        <v>115</v>
      </c>
      <c r="D11" s="91" t="s">
        <v>116</v>
      </c>
    </row>
    <row r="12" spans="2:4" ht="26.4">
      <c r="B12" s="2">
        <v>8</v>
      </c>
      <c r="C12" s="89" t="s">
        <v>117</v>
      </c>
      <c r="D12" s="91" t="s">
        <v>120</v>
      </c>
    </row>
    <row r="13" spans="2:4" ht="26.4">
      <c r="B13" s="2">
        <v>9</v>
      </c>
      <c r="C13" s="89" t="s">
        <v>121</v>
      </c>
      <c r="D13" s="91" t="s">
        <v>122</v>
      </c>
    </row>
    <row r="14" spans="2:4" ht="26.4">
      <c r="B14" s="2">
        <v>10</v>
      </c>
      <c r="C14" s="89" t="s">
        <v>123</v>
      </c>
      <c r="D14" s="91" t="s">
        <v>124</v>
      </c>
    </row>
    <row r="15" spans="2:4" ht="132">
      <c r="B15" s="2">
        <v>11</v>
      </c>
      <c r="C15" s="89" t="s">
        <v>126</v>
      </c>
      <c r="D15" s="91" t="s">
        <v>144</v>
      </c>
    </row>
    <row r="16" spans="2:4" ht="191.25" customHeight="1">
      <c r="B16" s="2">
        <v>12</v>
      </c>
      <c r="C16" s="89" t="s">
        <v>172</v>
      </c>
      <c r="D16" s="91" t="s">
        <v>189</v>
      </c>
    </row>
    <row r="17" spans="2:4" ht="26.4">
      <c r="B17" s="2">
        <v>13</v>
      </c>
      <c r="C17" s="89" t="s">
        <v>98</v>
      </c>
      <c r="D17" s="91" t="s">
        <v>192</v>
      </c>
    </row>
    <row r="18" spans="2:4" ht="92.4">
      <c r="B18" s="2">
        <v>14</v>
      </c>
      <c r="C18" s="89" t="s">
        <v>98</v>
      </c>
      <c r="D18" s="91" t="s">
        <v>194</v>
      </c>
    </row>
    <row r="19" spans="2:4" ht="39.6">
      <c r="B19" s="2">
        <v>15</v>
      </c>
      <c r="C19" s="89" t="s">
        <v>112</v>
      </c>
      <c r="D19" s="91" t="s">
        <v>198</v>
      </c>
    </row>
    <row r="20" spans="2:4" ht="64.5" customHeight="1">
      <c r="B20" s="2">
        <v>16</v>
      </c>
      <c r="C20" s="89" t="s">
        <v>112</v>
      </c>
      <c r="D20" s="91" t="s">
        <v>202</v>
      </c>
    </row>
    <row r="21" spans="2:4" ht="66.75" customHeight="1">
      <c r="B21" s="2">
        <v>17</v>
      </c>
      <c r="C21" s="89" t="s">
        <v>211</v>
      </c>
      <c r="D21" s="91" t="s">
        <v>218</v>
      </c>
    </row>
    <row r="22" spans="2:4" ht="26.4">
      <c r="B22" s="2">
        <v>18</v>
      </c>
      <c r="C22" s="89" t="s">
        <v>220</v>
      </c>
      <c r="D22" s="91" t="s">
        <v>221</v>
      </c>
    </row>
    <row r="23" spans="2:4" ht="26.4">
      <c r="B23" s="2">
        <v>19</v>
      </c>
      <c r="C23" s="89" t="s">
        <v>222</v>
      </c>
      <c r="D23" s="91" t="s">
        <v>223</v>
      </c>
    </row>
    <row r="24" spans="2:4" ht="92.4">
      <c r="B24" s="2">
        <v>20</v>
      </c>
      <c r="C24" s="89" t="s">
        <v>224</v>
      </c>
      <c r="D24" s="91" t="s">
        <v>225</v>
      </c>
    </row>
    <row r="25" spans="2:4">
      <c r="B25" s="2"/>
      <c r="C25" s="89"/>
      <c r="D25" s="3"/>
    </row>
    <row r="26" spans="2:4">
      <c r="B26" s="2"/>
      <c r="C26" s="89"/>
      <c r="D26" s="3"/>
    </row>
    <row r="27" spans="2:4" ht="13.8" thickBot="1">
      <c r="B27" s="4"/>
      <c r="C27" s="90"/>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表紙（承認欄）</vt:lpstr>
      <vt:lpstr>表紙</vt:lpstr>
      <vt:lpstr>はじめに</vt:lpstr>
      <vt:lpstr>Matrix</vt:lpstr>
      <vt:lpstr>Config_IF</vt:lpstr>
      <vt:lpstr>CH_Design</vt:lpstr>
      <vt:lpstr>TT_IND</vt:lpstr>
      <vt:lpstr>PD</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Garcia Jan Patrick (GARCIA JAN PATRICK)</cp:lastModifiedBy>
  <dcterms:created xsi:type="dcterms:W3CDTF">2019-02-05T04:25:17Z</dcterms:created>
  <dcterms:modified xsi:type="dcterms:W3CDTF">2024-10-09T09:29:37Z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2024-02-13T05:35:55Z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be49714a-1c53-4c93-b916-561fc6d9bc93</vt:lpwstr>
  </property>
  <property fmtid="{D5CDD505-2E9C-101B-9397-08002B2CF9AE}" pid="8" name="MSIP_Label_6add209e-37c4-4e15-ab1b-f9befe71def1_ContentBits">
    <vt:lpwstr>0</vt:lpwstr>
  </property>
</Properties>
</file>