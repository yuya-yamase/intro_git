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codeName="ThisWorkbook" defaultThemeVersion="124226"/>
  <mc:AlternateContent xmlns:mc="http://schemas.openxmlformats.org/markup-compatibility/2006">
    <mc:Choice Requires="x15">
      <x15ac:absPath xmlns:x15ac="http://schemas.microsoft.com/office/spreadsheetml/2010/11/ac" url="D:\19PFv3\01.CV内部結合1\02.設計\19_警告変更(S_RTAN)_MET19PFV3-344\04.パラメータ設定書\"/>
    </mc:Choice>
  </mc:AlternateContent>
  <xr:revisionPtr revIDLastSave="0" documentId="13_ncr:1_{1BAA7597-B46C-46CC-9D62-CCF9F47D11E2}"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3" r:id="rId2"/>
    <sheet name="Matrix" sheetId="4" r:id="rId3"/>
    <sheet name="Config_IF" sheetId="11" r:id="rId4"/>
    <sheet name="CH_Design" sheetId="5" r:id="rId5"/>
    <sheet name="S_RTAN" sheetId="8" r:id="rId6"/>
    <sheet name="Reference" sheetId="12" r:id="rId7"/>
    <sheet name="History" sheetId="1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2" i="1" l="1"/>
  <c r="C2" i="14" l="1"/>
  <c r="AU11" i="8"/>
  <c r="AU10" i="8"/>
  <c r="B3" i="8"/>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C13" i="8"/>
  <c r="C12" i="8"/>
  <c r="C142" i="8" s="1"/>
  <c r="C11" i="8"/>
  <c r="C141" i="8" s="1"/>
  <c r="C10" i="8"/>
  <c r="C140" i="8" s="1"/>
  <c r="C9" i="8"/>
  <c r="C139" i="8" s="1"/>
  <c r="C8" i="8"/>
  <c r="C138" i="8" s="1"/>
  <c r="C7" i="8"/>
  <c r="AW6" i="8"/>
  <c r="C6" i="8"/>
  <c r="C136" i="8" s="1"/>
  <c r="AR12" i="8" l="1"/>
  <c r="AM121" i="8"/>
  <c r="AN122" i="8"/>
  <c r="AR57" i="8"/>
  <c r="AO189" i="8"/>
  <c r="AR47" i="8"/>
  <c r="AS46" i="8"/>
  <c r="AR60" i="8"/>
  <c r="AS52" i="8"/>
  <c r="AR16" i="8"/>
  <c r="AS26" i="8"/>
  <c r="AM163" i="8"/>
  <c r="AS34" i="8"/>
  <c r="AL182" i="8"/>
  <c r="AR34" i="8"/>
  <c r="AS25" i="8"/>
  <c r="AS40" i="8"/>
  <c r="AS65" i="8"/>
  <c r="AS48" i="8"/>
  <c r="AS14" i="8"/>
  <c r="AS15" i="8"/>
  <c r="AO138" i="8"/>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Q74" i="8" s="1"/>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39" i="8" l="1"/>
  <c r="AS10" i="8" s="1"/>
  <c r="AQ138" i="8"/>
  <c r="AQ73" i="8"/>
  <c r="AR10" i="8"/>
  <c r="AR9" i="8"/>
  <c r="AQ137" i="8"/>
  <c r="AS7" i="8" s="1"/>
  <c r="AQ72" i="8"/>
  <c r="AR8" i="8" s="1"/>
  <c r="AQ71" i="8"/>
  <c r="AR6" i="8" s="1"/>
  <c r="AQ136" i="8"/>
  <c r="AS6" i="8" s="1"/>
  <c r="B136" i="8"/>
  <c r="B71" i="8"/>
  <c r="D7" i="4"/>
  <c r="M13" i="4"/>
  <c r="N13" i="4" s="1"/>
  <c r="AS9"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W10" i="8"/>
  <c r="AU14" i="8" s="1"/>
  <c r="AL14" i="8"/>
  <c r="AL63" i="8"/>
  <c r="AL55" i="8"/>
  <c r="AL46" i="8"/>
  <c r="AL35" i="8"/>
  <c r="AL36" i="8"/>
  <c r="AL9" i="8"/>
  <c r="AT9" i="8" s="1"/>
  <c r="AL23" i="8"/>
  <c r="AL64" i="8"/>
  <c r="AL69" i="8"/>
  <c r="AL61" i="8"/>
  <c r="AL53" i="8"/>
  <c r="AL18" i="8"/>
  <c r="AL47" i="8"/>
  <c r="L14" i="4"/>
  <c r="AT5" i="8" l="1"/>
  <c r="AS5" i="8"/>
  <c r="AR5" i="8"/>
  <c r="AV5" i="8"/>
  <c r="B14" i="1"/>
  <c r="B13"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4" authorId="2" shapeId="0" xr:uid="{00000000-0006-0000-0400-00000A000000}">
      <text>
        <r>
          <rPr>
            <sz val="9"/>
            <color indexed="81"/>
            <rFont val="Meiryo UI"/>
            <family val="3"/>
            <charset val="128"/>
          </rPr>
          <t>MIDと同等のコンテンツをHUDに表示すること。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1"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 authorId="1" shapeId="0" xr:uid="{00000000-0006-0000-0600-000002000000}">
      <text>
        <r>
          <rPr>
            <b/>
            <sz val="9"/>
            <color indexed="81"/>
            <rFont val="MS P ゴシック"/>
            <family val="3"/>
            <charset val="128"/>
          </rPr>
          <t xml:space="preserve">リモート送信条件成立：IG ON 且つ PTS ONが15[s]以上
</t>
        </r>
      </text>
    </comment>
    <comment ref="E14" authorId="1" shapeId="0" xr:uid="{00000000-0006-0000-0600-000003000000}">
      <text>
        <r>
          <rPr>
            <b/>
            <sz val="9"/>
            <color indexed="81"/>
            <rFont val="MS P ゴシック"/>
            <family val="3"/>
            <charset val="128"/>
          </rPr>
          <t xml:space="preserve">IG ON 且つ ST OFF
</t>
        </r>
      </text>
    </comment>
    <comment ref="F14" authorId="1" shapeId="0" xr:uid="{00000000-0006-0000-0600-000004000000}">
      <text>
        <r>
          <rPr>
            <b/>
            <sz val="9"/>
            <color indexed="81"/>
            <rFont val="MS P ゴシック"/>
            <family val="3"/>
            <charset val="128"/>
          </rPr>
          <t>IG ON</t>
        </r>
      </text>
    </comment>
    <comment ref="G14" authorId="1" shapeId="0" xr:uid="{00000000-0006-0000-0600-000005000000}">
      <text>
        <r>
          <rPr>
            <b/>
            <sz val="9"/>
            <color indexed="81"/>
            <rFont val="MS P ゴシック"/>
            <family val="3"/>
            <charset val="128"/>
          </rPr>
          <t xml:space="preserve">IG OFF 且つ IG OFF後25[m]未満
</t>
        </r>
      </text>
    </comment>
    <comment ref="H14" authorId="1" shapeId="0" xr:uid="{00000000-0006-0000-0600-000006000000}">
      <text>
        <r>
          <rPr>
            <b/>
            <sz val="9"/>
            <color indexed="81"/>
            <rFont val="MS P ゴシック"/>
            <family val="3"/>
            <charset val="128"/>
          </rPr>
          <t xml:space="preserve">IG OFF
</t>
        </r>
      </text>
    </comment>
    <comment ref="I14" authorId="1" shapeId="0" xr:uid="{00000000-0006-0000-0600-000007000000}">
      <text>
        <r>
          <rPr>
            <b/>
            <sz val="9"/>
            <color indexed="81"/>
            <rFont val="MS P ゴシック"/>
            <family val="3"/>
            <charset val="128"/>
          </rPr>
          <t xml:space="preserve">IG ON 又は IG OFF後25[m]未満
</t>
        </r>
      </text>
    </comment>
    <comment ref="J14"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<sst xmlns="http://schemas.openxmlformats.org/spreadsheetml/2006/main" count="2559" uniqueCount="261">
  <si>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</si>
  <si>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</si>
  <si>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</si>
  <si>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</si>
  <si>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</si>
  <si>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</si>
  <si>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</si>
  <si>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</si>
  <si>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</si>
  <si>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</si>
  <si>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</si>
  <si>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</si>
  <si>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</si>
  <si>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</si>
  <si>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</si>
  <si>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</si>
  <si>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</si>
  <si>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</si>
  <si>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</si>
  <si>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</si>
  <si>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</si>
  <si>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</si>
  <si>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</si>
  <si>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</si>
  <si>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</si>
  <si>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</si>
  <si>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</si>
  <si>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</si>
  <si>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</si>
  <si>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</si>
  <si>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</si>
  <si>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</si>
  <si>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</si>
  <si>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</si>
  <si>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</si>
  <si>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</si>
  <si>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</si>
  <si>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</si>
  <si>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</si>
  <si>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</si>
  <si>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</si>
  <si>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</si>
  <si>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</si>
  <si>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</si>
  <si>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</si>
  <si>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</si>
  <si>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</si>
  <si>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</si>
  <si>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</si>
  <si>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</si>
  <si>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</si>
  <si>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</si>
  <si>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</si>
  <si>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</si>
  <si>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</si>
  <si>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</si>
  <si>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</si>
  <si>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</si>
  <si>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</si>
  <si>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</si>
  <si>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</si>
  <si>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</si>
  <si>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</si>
  <si>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</si>
  <si>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</si>
  <si>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</si>
  <si>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</si>
  <si>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</si>
  <si>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</si>
  <si>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</si>
  <si>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</si>
  <si>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</si>
  <si>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</si>
  <si>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</si>
  <si>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</si>
  <si>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</si>
  <si>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</si>
  <si>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</si>
  <si>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</si>
  <si>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</si>
  <si>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</si>
  <si>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</si>
  <si>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</si>
  <si>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</si>
  <si>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</si>
  <si>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</si>
  <si>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</si>
  <si>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</si>
  <si>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</si>
  <si>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</si>
  <si>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</si>
  <si>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</si>
  <si>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</si>
  <si>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</si>
  <si>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</si>
  <si>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</si>
  <si>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</si>
  <si>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</si>
  <si>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</si>
  <si>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</si>
  <si>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</si>
  <si>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</si>
  <si>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</si>
  <si>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</si>
  <si>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</si>
  <si>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</si>
  <si>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</si>
  <si>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</si>
  <si>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</si>
  <si>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</si>
  <si>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</si>
  <si>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</si>
  <si>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</si>
  <si>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</si>
  <si>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</si>
  <si>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</si>
  <si>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</si>
  <si>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</si>
  <si>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</si>
  <si>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</si>
  <si>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</si>
  <si>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</si>
  <si>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</si>
  <si>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</si>
  <si>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</si>
  <si>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</si>
  <si>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</si>
  <si>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</si>
  <si>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</si>
  <si>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</si>
  <si>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</si>
  <si>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</si>
  <si>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</si>
  <si>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</si>
  <si>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</si>
  <si>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</si>
  <si>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</si>
  <si>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</si>
  <si>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</si>
  <si>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</si>
  <si>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</si>
  <si>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</si>
  <si>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</si>
  <si>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</si>
  <si>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</si>
  <si>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</si>
  <si>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</si>
  <si>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</si>
  <si>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</si>
  <si>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</si>
  <si>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</si>
  <si>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</si>
  <si>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</si>
  <si>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</si>
  <si>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</si>
  <si>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</si>
  <si>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</si>
  <si>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</si>
  <si>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</si>
  <si>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</si>
  <si>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</si>
  <si>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</si>
  <si>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</si>
  <si>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</si>
  <si>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</si>
  <si>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</si>
  <si>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</si>
  <si>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</si>
  <si>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</si>
  <si>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</si>
  <si>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</si>
  <si>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</si>
  <si>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</si>
  <si>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</si>
  <si>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</si>
  <si>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</si>
  <si>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</si>
  <si>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</si>
  <si>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</si>
  <si>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</si>
  <si>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</si>
  <si>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</si>
  <si>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</si>
  <si>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</si>
  <si>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</si>
  <si>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</si>
  <si>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</si>
  <si>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</si>
  <si>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</si>
  <si>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</si>
  <si>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</si>
  <si>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</si>
  <si>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</si>
  <si>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</si>
  <si>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</si>
  <si>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</si>
  <si>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</si>
  <si>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</si>
  <si>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</si>
  <si>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</si>
  <si>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</si>
  <si>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</si>
  <si>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</si>
  <si>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</si>
  <si>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</si>
  <si>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</si>
  <si>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1.0.0</t>
  </si>
  <si>
    <t>新規作成</t>
  </si>
  <si>
    <t>5.5.0</t>
  </si>
  <si>
    <t>伊藤</t>
  </si>
  <si>
    <t>NULL</t>
  </si>
  <si>
    <t>ALERT_CH_S_RTAN</t>
  </si>
  <si>
    <t>BSR1S01_STS</t>
    <phoneticPr fontId="2"/>
  </si>
  <si>
    <t>×</t>
  </si>
  <si>
    <t>RTANDISM_SIG</t>
    <phoneticPr fontId="2"/>
  </si>
  <si>
    <t>S_RTAN判定</t>
    <rPh sb="6" eb="8">
      <t>ハンテイ</t>
    </rPh>
    <phoneticPr fontId="2"/>
  </si>
  <si>
    <t>Index</t>
  </si>
  <si>
    <t>ALERT_CH_S_RTAN</t>
    <phoneticPr fontId="2"/>
  </si>
  <si>
    <t>ALERT_VOM_IGN_ON</t>
    <phoneticPr fontId="2"/>
  </si>
  <si>
    <t>BSR1S01</t>
    <phoneticPr fontId="2"/>
  </si>
  <si>
    <t>非作動(0b)/
作動(1b)</t>
    <rPh sb="0" eb="1">
      <t>ヒ</t>
    </rPh>
    <rPh sb="1" eb="3">
      <t>サドウ</t>
    </rPh>
    <rPh sb="9" eb="11">
      <t>サドウ</t>
    </rPh>
    <phoneticPr fontId="2"/>
  </si>
  <si>
    <t>UNKNOWN/
ACT</t>
    <phoneticPr fontId="2"/>
  </si>
  <si>
    <t>IG-ON + 通常 + 非作動</t>
    <rPh sb="8" eb="10">
      <t>ツウジョウ</t>
    </rPh>
    <rPh sb="13" eb="14">
      <t>ヒ</t>
    </rPh>
    <rPh sb="14" eb="16">
      <t>サドウ</t>
    </rPh>
    <phoneticPr fontId="2"/>
  </si>
  <si>
    <t>0b</t>
    <phoneticPr fontId="2"/>
  </si>
  <si>
    <t>IG-ON + 通常 + 作動</t>
    <rPh sb="8" eb="10">
      <t>ツウジョウ</t>
    </rPh>
    <rPh sb="13" eb="15">
      <t>サドウ</t>
    </rPh>
    <phoneticPr fontId="2"/>
  </si>
  <si>
    <t>1b</t>
    <phoneticPr fontId="2"/>
  </si>
  <si>
    <t>ACT</t>
    <phoneticPr fontId="2"/>
  </si>
  <si>
    <t>*b</t>
    <phoneticPr fontId="2"/>
  </si>
  <si>
    <t>1.1.0</t>
  </si>
  <si>
    <t>吉澤</t>
  </si>
  <si>
    <t>https://aip01.dndev.net/bitbucket/scm/aip_tp/tmcapp_ict1_alert.git</t>
    <phoneticPr fontId="2"/>
  </si>
  <si>
    <t>900B CV
シス検#2 MET-S_RTAN-CSTD-0-00-A-C0から流用。
[Matrix]
・対象仕様書、ロケーションを更新
[Reference]
・仕様書を更新
・RWのコメントを汎用的な記載に変更
[全般]
・Template Rev. 19を適用</t>
    <rPh sb="10" eb="11">
      <t>ケン</t>
    </rPh>
    <rPh sb="84" eb="87">
      <t>シヨウショ</t>
    </rPh>
    <rPh sb="88" eb="90">
      <t>コウシン</t>
    </rPh>
    <rPh sb="100" eb="103">
      <t>ハンヨウテキ</t>
    </rPh>
    <rPh sb="104" eb="106">
      <t>キサイ</t>
    </rPh>
    <rPh sb="107" eb="109">
      <t>ヘンコウ</t>
    </rPh>
    <rPh sb="111" eb="113">
      <t>ゼンパン</t>
    </rPh>
    <rPh sb="133" eb="135">
      <t>テキヨウ</t>
    </rPh>
    <phoneticPr fontId="2"/>
  </si>
  <si>
    <t>1.2.0</t>
    <phoneticPr fontId="2"/>
  </si>
  <si>
    <t>900B 1A前半
[Matrix]
・対象仕様書、ロケーションを更新
[CH_Design]
・要求IDを更新
[Reference]
・真理表の要求IDを更新
・仕様書を更新</t>
    <rPh sb="49" eb="51">
      <t>ヨウキュウ</t>
    </rPh>
    <rPh sb="54" eb="56">
      <t>コウシン</t>
    </rPh>
    <rPh sb="70" eb="72">
      <t>シンリ</t>
    </rPh>
    <rPh sb="72" eb="73">
      <t>ヒョウ</t>
    </rPh>
    <rPh sb="74" eb="76">
      <t>ヨウキュウ</t>
    </rPh>
    <rPh sb="79" eb="81">
      <t>コウシン</t>
    </rPh>
    <phoneticPr fontId="2"/>
  </si>
  <si>
    <t>1.3.0</t>
  </si>
  <si>
    <t>永原</t>
    <rPh sb="0" eb="2">
      <t>ナガハラ</t>
    </rPh>
    <phoneticPr fontId="2"/>
  </si>
  <si>
    <t>面企画#2 1A (流用元：alert_S_RTAN-CSTD-0-02-A-C0.xlsx)
・設計書のリビジョンをRev20に更新
[Matrix]シート
・対象仕様書、ロケーション変更
[Reference]シート
・キャプチャ更新</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</si>
  <si>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</si>
  <si>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</si>
  <si>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</si>
  <si>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1.4.0</t>
  </si>
  <si>
    <t>通常(00b)/
未受信(01b)/
通信途絶(10b)/
未受信通信途絶(11b)</t>
  </si>
  <si>
    <t>IG-ON + 未受信+ 非作動</t>
  </si>
  <si>
    <t>IG-ON + 未受信+ 作動</t>
  </si>
  <si>
    <t>IG-ON + 通信途絶+ 非作動</t>
  </si>
  <si>
    <t>IG-ON + 通信途絶 作動</t>
  </si>
  <si>
    <t>IG-ON + 未受信通信途絶+ 非作動</t>
  </si>
  <si>
    <t>IG-ON + 未受信通信途絶+ 作動</t>
  </si>
  <si>
    <t>0b</t>
  </si>
  <si>
    <t>1b</t>
  </si>
  <si>
    <t>00b</t>
  </si>
  <si>
    <t>01b</t>
  </si>
  <si>
    <t>10b</t>
  </si>
  <si>
    <t>11b</t>
  </si>
  <si>
    <t>MET-S_RTAN-CSTD-1-00-A-C0.xlsm</t>
  </si>
  <si>
    <t>S_RTAN-CSTD-0-MEF01-REQ02-</t>
  </si>
  <si>
    <r>
      <t>-/
S_RTAN-CSTD-0-MEF01-</t>
    </r>
    <r>
      <rPr>
        <sz val="11"/>
        <color rgb="FFFF0000"/>
        <rFont val="Calibri"/>
        <family val="2"/>
        <scheme val="minor"/>
      </rPr>
      <t>REQ02-</t>
    </r>
  </si>
  <si>
    <t>REQ02</t>
  </si>
  <si>
    <t>面企画#2 1A (流用元：alert_S_RTAN-CSTD-0-03-A-C0.xlsx)
[Reference]シート
・キャプチャ更新
・「S_RTAN判定」内容の更新
[S_RTAN]シート
・「Master Table」テーブルの内容の変更</t>
  </si>
  <si>
    <t>DTPH Glen</t>
  </si>
  <si>
    <t>https://aip01.dndev.net/svn/met/toyota/std/rd/spec/19PFver3/tags/00.Product/v0.0.d/制御仕様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</si>
</sst>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9"/>
      <color indexed="81"/>
      <name val="Meiryo UI"/>
      <family val="3"/>
      <charset val="128"/>
    </font>
    <font>
      <sz val="11"/>
      <color rgb="FFFF0000"/>
      <name val="Calibri"/>
      <family val="2"/>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14" fontId="0" fillId="0" borderId="15" xfId="0" applyNumberFormat="1" applyBorder="1">
      <alignment vertical="center"/>
    </xf>
    <xf numFmtId="0" fontId="0" fillId="22" borderId="2" xfId="0" applyFill="1" applyBorder="1" applyAlignment="1">
      <alignment horizontal="center" vertical="center" textRotation="90"/>
    </xf>
    <xf numFmtId="0" fontId="0" fillId="0" borderId="33" xfId="0" applyBorder="1" applyAlignment="1">
      <alignment vertical="center" wrapText="1"/>
    </xf>
    <xf numFmtId="0" fontId="0" fillId="0" borderId="32" xfId="0" quotePrefix="1" applyBorder="1" applyAlignment="1">
      <alignment vertical="center" wrapText="1"/>
    </xf>
    <xf numFmtId="0" fontId="14" fillId="0" borderId="0" xfId="0" applyFont="1">
      <alignment vertical="center"/>
    </xf>
    <xf numFmtId="0" fontId="15" fillId="0" borderId="0" xfId="0" applyFont="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0" borderId="28" xfId="0" applyFont="1" applyBorder="1" applyAlignment="1">
      <alignment vertical="center" wrapText="1"/>
    </xf>
    <xf numFmtId="0" fontId="11" fillId="0" borderId="49" xfId="0" applyFont="1" applyBorder="1">
      <alignment vertical="center"/>
    </xf>
    <xf numFmtId="0" fontId="11" fillId="0" borderId="19" xfId="0" applyFont="1" applyBorder="1">
      <alignment vertical="center"/>
    </xf>
    <xf numFmtId="0" fontId="11" fillId="15" borderId="31" xfId="0" applyFont="1" applyFill="1" applyBorder="1" applyAlignment="1">
      <alignment horizontal="center" vertical="center"/>
    </xf>
    <xf numFmtId="0" fontId="11" fillId="0" borderId="2" xfId="0" applyFont="1" applyBorder="1" applyAlignment="1">
      <alignment horizontal="center" vertical="center"/>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15" borderId="2" xfId="0" applyFont="1" applyFill="1" applyBorder="1" applyAlignment="1">
      <alignment horizontal="center" vertical="center"/>
    </xf>
    <xf numFmtId="0" fontId="11" fillId="0" borderId="31" xfId="0" applyFont="1" applyBorder="1" applyAlignment="1">
      <alignment horizontal="center" vertical="center"/>
    </xf>
    <xf numFmtId="0" fontId="11" fillId="15" borderId="7" xfId="0" applyFont="1" applyFill="1"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1" fillId="12" borderId="2" xfId="0" applyFont="1" applyFill="1" applyBorder="1">
      <alignmen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493059</xdr:colOff>
      <xdr:row>18</xdr:row>
      <xdr:rowOff>100853</xdr:rowOff>
    </xdr:from>
    <xdr:to>
      <xdr:col>44</xdr:col>
      <xdr:colOff>266646</xdr:colOff>
      <xdr:row>21</xdr:row>
      <xdr:rowOff>110459</xdr:rowOff>
    </xdr:to>
    <xdr:pic>
      <xdr:nvPicPr>
        <xdr:cNvPr id="13" name="図 12">
          <a:extLst>
            <a:ext uri="{FF2B5EF4-FFF2-40B4-BE49-F238E27FC236}">
              <a16:creationId xmlns:a16="http://schemas.microsoft.com/office/drawing/2014/main" id="{151CE5A6-DB3E-C078-8201-D0E2CEF90ADD}"/>
            </a:ext>
          </a:extLst>
        </xdr:cNvPr>
        <xdr:cNvPicPr>
          <a:picLocks noChangeAspect="1"/>
        </xdr:cNvPicPr>
      </xdr:nvPicPr>
      <xdr:blipFill>
        <a:blip xmlns:r="http://schemas.openxmlformats.org/officeDocument/2006/relationships" r:embed="rId1"/>
        <a:stretch>
          <a:fillRect/>
        </a:stretch>
      </xdr:blipFill>
      <xdr:spPr>
        <a:xfrm>
          <a:off x="21582530" y="6286500"/>
          <a:ext cx="7640116" cy="581106"/>
        </a:xfrm>
        <a:prstGeom prst="rect">
          <a:avLst/>
        </a:prstGeom>
      </xdr:spPr>
    </xdr:pic>
    <xdr:clientData/>
  </xdr:twoCellAnchor>
  <xdr:twoCellAnchor editAs="oneCell">
    <xdr:from>
      <xdr:col>18</xdr:col>
      <xdr:colOff>0</xdr:colOff>
      <xdr:row>9</xdr:row>
      <xdr:rowOff>11205</xdr:rowOff>
    </xdr:from>
    <xdr:to>
      <xdr:col>43</xdr:col>
      <xdr:colOff>459442</xdr:colOff>
      <xdr:row>13</xdr:row>
      <xdr:rowOff>428649</xdr:rowOff>
    </xdr:to>
    <xdr:pic>
      <xdr:nvPicPr>
        <xdr:cNvPr id="6" name="図 5">
          <a:extLst>
            <a:ext uri="{FF2B5EF4-FFF2-40B4-BE49-F238E27FC236}">
              <a16:creationId xmlns:a16="http://schemas.microsoft.com/office/drawing/2014/main" id="{FD22B24E-2C06-842E-2669-4B23B9212AE0}"/>
            </a:ext>
          </a:extLst>
        </xdr:cNvPr>
        <xdr:cNvPicPr>
          <a:picLocks noChangeAspect="1"/>
        </xdr:cNvPicPr>
      </xdr:nvPicPr>
      <xdr:blipFill>
        <a:blip xmlns:r="http://schemas.openxmlformats.org/officeDocument/2006/relationships" r:embed="rId2"/>
        <a:stretch>
          <a:fillRect/>
        </a:stretch>
      </xdr:blipFill>
      <xdr:spPr>
        <a:xfrm>
          <a:off x="13222941" y="1770529"/>
          <a:ext cx="15587383" cy="3106855"/>
        </a:xfrm>
        <a:prstGeom prst="rect">
          <a:avLst/>
        </a:prstGeom>
      </xdr:spPr>
    </xdr:pic>
    <xdr:clientData/>
  </xdr:twoCellAnchor>
  <xdr:twoCellAnchor editAs="absolute">
    <xdr:from>
      <xdr:col>1</xdr:col>
      <xdr:colOff>266539</xdr:colOff>
      <xdr:row>23</xdr:row>
      <xdr:rowOff>118703</xdr:rowOff>
    </xdr:from>
    <xdr:to>
      <xdr:col>4</xdr:col>
      <xdr:colOff>123265</xdr:colOff>
      <xdr:row>27</xdr:row>
      <xdr:rowOff>128108</xdr:rowOff>
    </xdr:to>
    <xdr:sp macro="" textlink="">
      <xdr:nvSpPr>
        <xdr:cNvPr id="9" name="線吹き出し 1 (枠付き) 8">
          <a:extLst>
            <a:ext uri="{FF2B5EF4-FFF2-40B4-BE49-F238E27FC236}">
              <a16:creationId xmlns:a16="http://schemas.microsoft.com/office/drawing/2014/main" id="{00000000-0008-0000-0600-000009000000}"/>
            </a:ext>
          </a:extLst>
        </xdr:cNvPr>
        <xdr:cNvSpPr/>
      </xdr:nvSpPr>
      <xdr:spPr>
        <a:xfrm>
          <a:off x="871657" y="7268056"/>
          <a:ext cx="2691814" cy="771405"/>
        </a:xfrm>
        <a:prstGeom prst="borderCallout1">
          <a:avLst>
            <a:gd name="adj1" fmla="val -2951"/>
            <a:gd name="adj2" fmla="val 90964"/>
            <a:gd name="adj3" fmla="val -22273"/>
            <a:gd name="adj4" fmla="val 95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6</xdr:col>
      <xdr:colOff>61456</xdr:colOff>
      <xdr:row>4</xdr:row>
      <xdr:rowOff>137672</xdr:rowOff>
    </xdr:from>
    <xdr:to>
      <xdr:col>11</xdr:col>
      <xdr:colOff>652342</xdr:colOff>
      <xdr:row>6</xdr:row>
      <xdr:rowOff>179696</xdr:rowOff>
    </xdr:to>
    <xdr:sp macro="" textlink="">
      <xdr:nvSpPr>
        <xdr:cNvPr id="10" name="線吹き出し 1 (枠付き) 9">
          <a:extLst>
            <a:ext uri="{FF2B5EF4-FFF2-40B4-BE49-F238E27FC236}">
              <a16:creationId xmlns:a16="http://schemas.microsoft.com/office/drawing/2014/main" id="{00000000-0008-0000-0600-00000A000000}"/>
            </a:ext>
          </a:extLst>
        </xdr:cNvPr>
        <xdr:cNvSpPr/>
      </xdr:nvSpPr>
      <xdr:spPr>
        <a:xfrm>
          <a:off x="4510191" y="810025"/>
          <a:ext cx="3448386" cy="378200"/>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10</xdr:col>
      <xdr:colOff>645137</xdr:colOff>
      <xdr:row>23</xdr:row>
      <xdr:rowOff>151280</xdr:rowOff>
    </xdr:from>
    <xdr:to>
      <xdr:col>11</xdr:col>
      <xdr:colOff>1042147</xdr:colOff>
      <xdr:row>27</xdr:row>
      <xdr:rowOff>112059</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5430049" y="7300633"/>
          <a:ext cx="1999451" cy="722779"/>
        </a:xfrm>
        <a:prstGeom prst="borderCallout1">
          <a:avLst>
            <a:gd name="adj1" fmla="val -4143"/>
            <a:gd name="adj2" fmla="val 30154"/>
            <a:gd name="adj3" fmla="val -69052"/>
            <a:gd name="adj4" fmla="val 84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通信途絶時の仕様は、途絶判定時間後に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になる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396536</xdr:colOff>
      <xdr:row>12</xdr:row>
      <xdr:rowOff>257736</xdr:rowOff>
    </xdr:from>
    <xdr:to>
      <xdr:col>28</xdr:col>
      <xdr:colOff>67235</xdr:colOff>
      <xdr:row>12</xdr:row>
      <xdr:rowOff>1131794</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8460418" y="2779060"/>
          <a:ext cx="880935" cy="874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232443</xdr:colOff>
      <xdr:row>12</xdr:row>
      <xdr:rowOff>268941</xdr:rowOff>
    </xdr:from>
    <xdr:to>
      <xdr:col>31</xdr:col>
      <xdr:colOff>481852</xdr:colOff>
      <xdr:row>12</xdr:row>
      <xdr:rowOff>1086970</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0716796" y="2790265"/>
          <a:ext cx="854527" cy="818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93891</xdr:colOff>
      <xdr:row>13</xdr:row>
      <xdr:rowOff>142075</xdr:rowOff>
    </xdr:from>
    <xdr:to>
      <xdr:col>31</xdr:col>
      <xdr:colOff>448236</xdr:colOff>
      <xdr:row>13</xdr:row>
      <xdr:rowOff>414618</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19368009" y="4590810"/>
          <a:ext cx="2169698" cy="2725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112216</xdr:colOff>
      <xdr:row>6</xdr:row>
      <xdr:rowOff>180211</xdr:rowOff>
    </xdr:from>
    <xdr:to>
      <xdr:col>25</xdr:col>
      <xdr:colOff>563403</xdr:colOff>
      <xdr:row>8</xdr:row>
      <xdr:rowOff>148106</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18635540" y="1188740"/>
          <a:ext cx="1818304" cy="348895"/>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editAs="absolute">
    <xdr:from>
      <xdr:col>31</xdr:col>
      <xdr:colOff>132206</xdr:colOff>
      <xdr:row>13</xdr:row>
      <xdr:rowOff>710072</xdr:rowOff>
    </xdr:from>
    <xdr:to>
      <xdr:col>34</xdr:col>
      <xdr:colOff>302558</xdr:colOff>
      <xdr:row>16</xdr:row>
      <xdr:rowOff>56029</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21221677" y="5158807"/>
          <a:ext cx="1985705" cy="701869"/>
        </a:xfrm>
        <a:prstGeom prst="borderCallout1">
          <a:avLst>
            <a:gd name="adj1" fmla="val 59444"/>
            <a:gd name="adj2" fmla="val -430"/>
            <a:gd name="adj3" fmla="val -29689"/>
            <a:gd name="adj4" fmla="val -53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になる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5000ms</a:t>
          </a:r>
        </a:p>
      </xdr:txBody>
    </xdr:sp>
    <xdr:clientData/>
  </xdr:twoCellAnchor>
  <xdr:twoCellAnchor editAs="absolute">
    <xdr:from>
      <xdr:col>26</xdr:col>
      <xdr:colOff>354908</xdr:colOff>
      <xdr:row>13</xdr:row>
      <xdr:rowOff>142070</xdr:rowOff>
    </xdr:from>
    <xdr:to>
      <xdr:col>28</xdr:col>
      <xdr:colOff>41944</xdr:colOff>
      <xdr:row>13</xdr:row>
      <xdr:rowOff>381000</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18418790" y="4590805"/>
          <a:ext cx="897272" cy="2389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69957</xdr:colOff>
      <xdr:row>13</xdr:row>
      <xdr:rowOff>856448</xdr:rowOff>
    </xdr:from>
    <xdr:to>
      <xdr:col>29</xdr:col>
      <xdr:colOff>100854</xdr:colOff>
      <xdr:row>15</xdr:row>
      <xdr:rowOff>100853</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18738957" y="5305183"/>
          <a:ext cx="1241132" cy="409817"/>
        </a:xfrm>
        <a:prstGeom prst="borderCallout1">
          <a:avLst>
            <a:gd name="adj1" fmla="val 45355"/>
            <a:gd name="adj2" fmla="val -3010"/>
            <a:gd name="adj3" fmla="val -114719"/>
            <a:gd name="adj4" fmla="val -99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465042</xdr:colOff>
      <xdr:row>13</xdr:row>
      <xdr:rowOff>857330</xdr:rowOff>
    </xdr:from>
    <xdr:to>
      <xdr:col>26</xdr:col>
      <xdr:colOff>111257</xdr:colOff>
      <xdr:row>18</xdr:row>
      <xdr:rowOff>84121</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14898218" y="5306065"/>
          <a:ext cx="3276921" cy="963703"/>
        </a:xfrm>
        <a:prstGeom prst="borderCallout1">
          <a:avLst>
            <a:gd name="adj1" fmla="val 60600"/>
            <a:gd name="adj2" fmla="val -787"/>
            <a:gd name="adj3" fmla="val -34410"/>
            <a:gd name="adj4" fmla="val -124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を確認したところ該当するデータラベル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(RTANDISM)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が存在しないため、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はなしとする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397010</xdr:colOff>
      <xdr:row>13</xdr:row>
      <xdr:rowOff>179774</xdr:rowOff>
    </xdr:from>
    <xdr:to>
      <xdr:col>21</xdr:col>
      <xdr:colOff>145677</xdr:colOff>
      <xdr:row>13</xdr:row>
      <xdr:rowOff>459441</xdr:rowOff>
    </xdr:to>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13619951" y="4628509"/>
          <a:ext cx="1564020" cy="2796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459281</xdr:colOff>
      <xdr:row>12</xdr:row>
      <xdr:rowOff>235324</xdr:rowOff>
    </xdr:from>
    <xdr:to>
      <xdr:col>38</xdr:col>
      <xdr:colOff>291912</xdr:colOff>
      <xdr:row>12</xdr:row>
      <xdr:rowOff>1154205</xdr:rowOff>
    </xdr:to>
    <xdr:sp macro="" textlink="">
      <xdr:nvSpPr>
        <xdr:cNvPr id="49" name="正方形/長方形 48">
          <a:extLst>
            <a:ext uri="{FF2B5EF4-FFF2-40B4-BE49-F238E27FC236}">
              <a16:creationId xmlns:a16="http://schemas.microsoft.com/office/drawing/2014/main" id="{00000000-0008-0000-0600-000031000000}"/>
            </a:ext>
          </a:extLst>
        </xdr:cNvPr>
        <xdr:cNvSpPr/>
      </xdr:nvSpPr>
      <xdr:spPr>
        <a:xfrm>
          <a:off x="25179457" y="2756648"/>
          <a:ext cx="437749" cy="9188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449116</xdr:colOff>
      <xdr:row>6</xdr:row>
      <xdr:rowOff>62753</xdr:rowOff>
    </xdr:from>
    <xdr:to>
      <xdr:col>41</xdr:col>
      <xdr:colOff>5452</xdr:colOff>
      <xdr:row>8</xdr:row>
      <xdr:rowOff>110662</xdr:rowOff>
    </xdr:to>
    <xdr:sp macro="" textlink="">
      <xdr:nvSpPr>
        <xdr:cNvPr id="50" name="線吹き出し 1 (枠付き) 49">
          <a:extLst>
            <a:ext uri="{FF2B5EF4-FFF2-40B4-BE49-F238E27FC236}">
              <a16:creationId xmlns:a16="http://schemas.microsoft.com/office/drawing/2014/main" id="{00000000-0008-0000-0600-000032000000}"/>
            </a:ext>
          </a:extLst>
        </xdr:cNvPr>
        <xdr:cNvSpPr/>
      </xdr:nvSpPr>
      <xdr:spPr>
        <a:xfrm>
          <a:off x="29225822" y="1071282"/>
          <a:ext cx="1538097" cy="428909"/>
        </a:xfrm>
        <a:prstGeom prst="borderCallout1">
          <a:avLst>
            <a:gd name="adj1" fmla="val 69843"/>
            <a:gd name="adj2" fmla="val -508"/>
            <a:gd name="adj3" fmla="val 167025"/>
            <a:gd name="adj4" fmla="val -238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54590</xdr:colOff>
      <xdr:row>12</xdr:row>
      <xdr:rowOff>1086969</xdr:rowOff>
    </xdr:from>
    <xdr:to>
      <xdr:col>38</xdr:col>
      <xdr:colOff>75359</xdr:colOff>
      <xdr:row>20</xdr:row>
      <xdr:rowOff>83483</xdr:rowOff>
    </xdr:to>
    <xdr:cxnSp macro="">
      <xdr:nvCxnSpPr>
        <xdr:cNvPr id="5" name="カギ線コネクタ 4">
          <a:extLst>
            <a:ext uri="{FF2B5EF4-FFF2-40B4-BE49-F238E27FC236}">
              <a16:creationId xmlns:a16="http://schemas.microsoft.com/office/drawing/2014/main" id="{00000000-0008-0000-0600-000005000000}"/>
            </a:ext>
          </a:extLst>
        </xdr:cNvPr>
        <xdr:cNvCxnSpPr>
          <a:cxnSpLocks/>
          <a:stCxn id="40" idx="2"/>
          <a:endCxn id="24" idx="0"/>
        </xdr:cNvCxnSpPr>
      </xdr:nvCxnSpPr>
      <xdr:spPr>
        <a:xfrm rot="16200000" flipH="1">
          <a:off x="21936335" y="2816019"/>
          <a:ext cx="2672043" cy="4256592"/>
        </a:xfrm>
        <a:prstGeom prst="bentConnector3">
          <a:avLst>
            <a:gd name="adj1" fmla="val 50000"/>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31</xdr:col>
      <xdr:colOff>487454</xdr:colOff>
      <xdr:row>18</xdr:row>
      <xdr:rowOff>94690</xdr:rowOff>
    </xdr:from>
    <xdr:to>
      <xdr:col>44</xdr:col>
      <xdr:colOff>268379</xdr:colOff>
      <xdr:row>21</xdr:row>
      <xdr:rowOff>123264</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21576925" y="6280337"/>
          <a:ext cx="7647454" cy="600074"/>
        </a:xfrm>
        <a:prstGeom prst="rect">
          <a:avLst/>
        </a:prstGeom>
        <a:solidFill>
          <a:schemeClr val="bg1">
            <a:lumMod val="75000"/>
            <a:alpha val="5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b="1">
              <a:solidFill>
                <a:sysClr val="windowText" lastClr="000000"/>
              </a:solidFill>
              <a:effectLst/>
              <a:latin typeface="+mn-lt"/>
              <a:ea typeface="+mn-ea"/>
              <a:cs typeface="+mn-cs"/>
            </a:rPr>
            <a:t>他ドメインの責務</a:t>
          </a:r>
          <a:endParaRPr lang="ja-JP" altLang="ja-JP">
            <a:solidFill>
              <a:sysClr val="windowText" lastClr="000000"/>
            </a:solidFill>
            <a:effectLst/>
          </a:endParaRPr>
        </a:p>
      </xdr:txBody>
    </xdr:sp>
    <xdr:clientData/>
  </xdr:twoCellAnchor>
  <xdr:twoCellAnchor>
    <xdr:from>
      <xdr:col>1</xdr:col>
      <xdr:colOff>0</xdr:colOff>
      <xdr:row>1</xdr:row>
      <xdr:rowOff>0</xdr:rowOff>
    </xdr:from>
    <xdr:to>
      <xdr:col>3</xdr:col>
      <xdr:colOff>239057</xdr:colOff>
      <xdr:row>4</xdr:row>
      <xdr:rowOff>160619</xdr:rowOff>
    </xdr:to>
    <xdr:sp macro="" textlink="">
      <xdr:nvSpPr>
        <xdr:cNvPr id="20" name="線吹き出し 1 (枠付き) 32">
          <a:extLst>
            <a:ext uri="{FF2B5EF4-FFF2-40B4-BE49-F238E27FC236}">
              <a16:creationId xmlns:a16="http://schemas.microsoft.com/office/drawing/2014/main" id="{528F9CED-7192-4958-A486-5C07DB8BD8E0}"/>
            </a:ext>
          </a:extLst>
        </xdr:cNvPr>
        <xdr:cNvSpPr/>
      </xdr:nvSpPr>
      <xdr:spPr>
        <a:xfrm>
          <a:off x="683559" y="168088"/>
          <a:ext cx="3231027" cy="664884"/>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1-00-A-C0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tabSelected="1" zoomScale="85" zoomScaleNormal="85" workbookViewId="0"/>
  </sheetViews>
  <sheetFormatPr defaultRowHeight="15"/>
  <cols>
    <col min="1" max="1" width="4.42578125" customWidth="1"/>
    <col min="2" max="2" width="9" style="9" hidden="1" customWidth="1"/>
    <col min="4" max="4" width="69.42578125" customWidth="1"/>
    <col min="5" max="6" width="12.7109375" customWidth="1"/>
    <col min="7" max="18" width="13.140625" customWidth="1"/>
  </cols>
  <sheetData>
    <row r="2" spans="2:18" ht="25.5" customHeight="1">
      <c r="C2" s="6"/>
      <c r="D2" s="6"/>
      <c r="E2" s="6"/>
      <c r="F2" s="6"/>
      <c r="H2" s="7" t="s">
        <v>13</v>
      </c>
      <c r="I2" s="210" t="s">
        <v>14</v>
      </c>
      <c r="J2" s="210"/>
      <c r="K2" s="210"/>
      <c r="L2" s="210"/>
      <c r="M2" s="210"/>
      <c r="N2" s="210"/>
      <c r="O2" s="210"/>
      <c r="P2" s="210"/>
      <c r="Q2" s="210"/>
      <c r="R2" s="210"/>
    </row>
    <row r="3" spans="2:18" ht="25.5" customHeight="1">
      <c r="C3" s="6"/>
      <c r="D3" s="10" t="str">
        <f ca="1">REPLACE(LEFT(CELL("filename",$B$1),FIND(".xls",CELL("filename",$B$1))-1),1,FIND("[",CELL("filename",$B$1)),)</f>
        <v>alert_S_RTAN-CSTD-1-00-A-C0</v>
      </c>
      <c r="E3" s="6"/>
      <c r="F3" s="6"/>
      <c r="H3" s="8" t="s">
        <v>180</v>
      </c>
      <c r="I3" s="211" t="s">
        <v>230</v>
      </c>
      <c r="J3" s="212"/>
      <c r="K3" s="212"/>
      <c r="L3" s="212"/>
      <c r="M3" s="212"/>
      <c r="N3" s="212"/>
      <c r="O3" s="212"/>
      <c r="P3" s="212"/>
      <c r="Q3" s="212"/>
      <c r="R3" s="212"/>
    </row>
    <row r="4" spans="2:18" ht="25.5" customHeight="1">
      <c r="C4" s="6"/>
      <c r="D4" s="6"/>
      <c r="E4" s="24" t="str">
        <f>DGET(B8:C15,"Ver.",H4:H5)</f>
        <v>1.4.0</v>
      </c>
      <c r="F4" s="6"/>
      <c r="H4" s="9" t="s">
        <v>15</v>
      </c>
    </row>
    <row r="5" spans="2:18" ht="25.5" customHeight="1">
      <c r="C5" s="6"/>
      <c r="D5" s="6"/>
      <c r="E5" s="6"/>
      <c r="F5" s="6"/>
      <c r="H5" s="11">
        <f>MAX(B9:B15)</f>
        <v>5</v>
      </c>
    </row>
    <row r="6" spans="2:18" ht="15.75" thickBot="1"/>
    <row r="7" spans="2:18">
      <c r="C7" s="204" t="s">
        <v>0</v>
      </c>
      <c r="D7" s="205"/>
      <c r="E7" s="206" t="s">
        <v>2</v>
      </c>
      <c r="F7" s="206"/>
      <c r="G7" s="207" t="s">
        <v>5</v>
      </c>
      <c r="H7" s="207"/>
      <c r="I7" s="207"/>
      <c r="J7" s="207"/>
      <c r="K7" s="207"/>
      <c r="L7" s="207"/>
      <c r="M7" s="208" t="s">
        <v>12</v>
      </c>
      <c r="N7" s="208"/>
      <c r="O7" s="208"/>
      <c r="P7" s="208"/>
      <c r="Q7" s="208"/>
      <c r="R7" s="209"/>
    </row>
    <row r="8" spans="2:18" ht="30.7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5.75" thickTop="1">
      <c r="B9" s="9">
        <f>IF(C9=0,0,ROW()-ROW($B$8))</f>
        <v>1</v>
      </c>
      <c r="C9" s="12" t="s">
        <v>206</v>
      </c>
      <c r="D9" s="13" t="s">
        <v>207</v>
      </c>
      <c r="E9" s="13" t="s">
        <v>31</v>
      </c>
      <c r="F9" s="13" t="s">
        <v>208</v>
      </c>
      <c r="G9" s="13" t="s">
        <v>31</v>
      </c>
      <c r="H9" s="13" t="s">
        <v>31</v>
      </c>
      <c r="I9" s="13" t="s">
        <v>31</v>
      </c>
      <c r="J9" s="13" t="s">
        <v>31</v>
      </c>
      <c r="K9" s="13" t="s">
        <v>31</v>
      </c>
      <c r="L9" s="13" t="s">
        <v>31</v>
      </c>
      <c r="M9" s="13" t="s">
        <v>31</v>
      </c>
      <c r="N9" s="13" t="s">
        <v>31</v>
      </c>
      <c r="O9" s="13" t="s">
        <v>31</v>
      </c>
      <c r="P9" s="13" t="s">
        <v>31</v>
      </c>
      <c r="Q9" s="13" t="s">
        <v>209</v>
      </c>
      <c r="R9" s="196">
        <v>44083</v>
      </c>
    </row>
    <row r="10" spans="2:18" ht="135">
      <c r="B10" s="9">
        <f t="shared" ref="B10:B14" si="0">IF(C10=0,0,ROW()-ROW($B$8))</f>
        <v>2</v>
      </c>
      <c r="C10" s="2" t="s">
        <v>228</v>
      </c>
      <c r="D10" s="202" t="s">
        <v>231</v>
      </c>
      <c r="E10" s="1" t="s">
        <v>31</v>
      </c>
      <c r="F10" s="1" t="s">
        <v>208</v>
      </c>
      <c r="G10" s="1" t="s">
        <v>31</v>
      </c>
      <c r="H10" s="1" t="s">
        <v>31</v>
      </c>
      <c r="I10" s="1" t="s">
        <v>31</v>
      </c>
      <c r="J10" s="1" t="s">
        <v>31</v>
      </c>
      <c r="K10" s="1" t="s">
        <v>31</v>
      </c>
      <c r="L10" s="1" t="s">
        <v>31</v>
      </c>
      <c r="M10" s="1" t="s">
        <v>31</v>
      </c>
      <c r="N10" s="1" t="s">
        <v>31</v>
      </c>
      <c r="O10" s="1" t="s">
        <v>31</v>
      </c>
      <c r="P10" s="1" t="s">
        <v>31</v>
      </c>
      <c r="Q10" s="1" t="s">
        <v>229</v>
      </c>
      <c r="R10" s="203">
        <v>44273</v>
      </c>
    </row>
    <row r="11" spans="2:18" ht="120">
      <c r="B11" s="9">
        <f t="shared" si="0"/>
        <v>3</v>
      </c>
      <c r="C11" s="2" t="s">
        <v>232</v>
      </c>
      <c r="D11" s="202" t="s">
        <v>233</v>
      </c>
      <c r="E11" s="1" t="s">
        <v>31</v>
      </c>
      <c r="F11" s="1" t="s">
        <v>208</v>
      </c>
      <c r="G11" s="1" t="s">
        <v>31</v>
      </c>
      <c r="H11" s="1" t="s">
        <v>31</v>
      </c>
      <c r="I11" s="1" t="s">
        <v>31</v>
      </c>
      <c r="J11" s="1" t="s">
        <v>31</v>
      </c>
      <c r="K11" s="1" t="s">
        <v>31</v>
      </c>
      <c r="L11" s="1" t="s">
        <v>31</v>
      </c>
      <c r="M11" s="1" t="s">
        <v>31</v>
      </c>
      <c r="N11" s="1" t="s">
        <v>31</v>
      </c>
      <c r="O11" s="1" t="s">
        <v>31</v>
      </c>
      <c r="P11" s="1" t="s">
        <v>31</v>
      </c>
      <c r="Q11" s="1" t="s">
        <v>229</v>
      </c>
      <c r="R11" s="203">
        <v>44516</v>
      </c>
    </row>
    <row r="12" spans="2:18" ht="90">
      <c r="B12" s="9">
        <f t="shared" ref="B12" si="1">IF(C12=0,0,ROW()-ROW($B$8))</f>
        <v>4</v>
      </c>
      <c r="C12" s="2" t="s">
        <v>234</v>
      </c>
      <c r="D12" s="202" t="s">
        <v>236</v>
      </c>
      <c r="E12" s="1" t="s">
        <v>31</v>
      </c>
      <c r="F12" s="1" t="s">
        <v>208</v>
      </c>
      <c r="G12" s="1" t="s">
        <v>31</v>
      </c>
      <c r="H12" s="1" t="s">
        <v>31</v>
      </c>
      <c r="I12" s="1" t="s">
        <v>31</v>
      </c>
      <c r="J12" s="1" t="s">
        <v>31</v>
      </c>
      <c r="K12" s="1" t="s">
        <v>31</v>
      </c>
      <c r="L12" s="1" t="s">
        <v>31</v>
      </c>
      <c r="M12" s="1"/>
      <c r="N12" s="1"/>
      <c r="O12" s="1"/>
      <c r="P12" s="1"/>
      <c r="Q12" s="1" t="s">
        <v>235</v>
      </c>
      <c r="R12" s="203">
        <v>44736</v>
      </c>
    </row>
    <row r="13" spans="2:18" ht="90">
      <c r="B13" s="9">
        <f t="shared" si="0"/>
        <v>5</v>
      </c>
      <c r="C13" s="2" t="s">
        <v>240</v>
      </c>
      <c r="D13" s="202" t="s">
        <v>258</v>
      </c>
      <c r="E13" s="1" t="s">
        <v>31</v>
      </c>
      <c r="F13" s="1" t="s">
        <v>208</v>
      </c>
      <c r="G13" s="1" t="s">
        <v>31</v>
      </c>
      <c r="H13" s="1" t="s">
        <v>31</v>
      </c>
      <c r="I13" s="1" t="s">
        <v>31</v>
      </c>
      <c r="J13" s="1" t="s">
        <v>31</v>
      </c>
      <c r="K13" s="1" t="s">
        <v>31</v>
      </c>
      <c r="L13" s="1" t="s">
        <v>31</v>
      </c>
      <c r="M13" s="1"/>
      <c r="N13" s="1"/>
      <c r="O13" s="1"/>
      <c r="P13" s="1"/>
      <c r="Q13" s="1" t="s">
        <v>259</v>
      </c>
      <c r="R13" s="203">
        <v>45240</v>
      </c>
    </row>
    <row r="14" spans="2:18" ht="15.7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DDF9A-8D9E-473D-9221-3B7FB620CCCF}">
  <dimension ref="B2:E39"/>
  <sheetViews>
    <sheetView zoomScaleNormal="100" workbookViewId="0"/>
  </sheetViews>
  <sheetFormatPr defaultRowHeight="15"/>
  <cols>
    <col min="2" max="2" width="4.5703125" customWidth="1"/>
    <col min="3" max="3" width="3.42578125" customWidth="1"/>
    <col min="4" max="4" width="17.42578125" customWidth="1"/>
    <col min="5" max="5" width="106" customWidth="1"/>
  </cols>
  <sheetData>
    <row r="2" spans="2:5">
      <c r="B2" s="159" t="s">
        <v>131</v>
      </c>
    </row>
    <row r="3" spans="2:5">
      <c r="C3" t="s">
        <v>141</v>
      </c>
    </row>
    <row r="6" spans="2:5" ht="15.75" thickBot="1">
      <c r="B6" s="159" t="s">
        <v>132</v>
      </c>
      <c r="C6" s="159"/>
    </row>
    <row r="7" spans="2:5" ht="15.75" thickBot="1">
      <c r="C7" s="86" t="s">
        <v>134</v>
      </c>
      <c r="D7" s="94"/>
      <c r="E7" s="87" t="s">
        <v>142</v>
      </c>
    </row>
    <row r="8" spans="2:5" ht="20.25" customHeight="1" thickTop="1">
      <c r="C8" s="162">
        <v>0</v>
      </c>
      <c r="D8" s="95" t="s">
        <v>143</v>
      </c>
      <c r="E8" s="161" t="s">
        <v>237</v>
      </c>
    </row>
    <row r="9" spans="2:5">
      <c r="C9" s="168"/>
      <c r="D9" s="170"/>
      <c r="E9" s="169"/>
    </row>
    <row r="10" spans="2:5" ht="15.75" thickBot="1">
      <c r="C10" s="166"/>
      <c r="D10" s="97"/>
      <c r="E10" s="5"/>
    </row>
    <row r="11" spans="2:5">
      <c r="C11" s="164"/>
    </row>
    <row r="12" spans="2:5" ht="15.75" thickBot="1">
      <c r="B12" s="159" t="s">
        <v>133</v>
      </c>
      <c r="C12" s="93"/>
      <c r="D12" s="93"/>
    </row>
    <row r="13" spans="2:5" ht="15.75" thickBot="1">
      <c r="B13" s="160"/>
      <c r="C13" s="165" t="s">
        <v>134</v>
      </c>
      <c r="D13" s="94" t="s">
        <v>135</v>
      </c>
      <c r="E13" s="87" t="s">
        <v>136</v>
      </c>
    </row>
    <row r="14" spans="2:5" ht="15.75" thickTop="1">
      <c r="C14" s="162">
        <v>0</v>
      </c>
      <c r="D14" s="95" t="s">
        <v>148</v>
      </c>
      <c r="E14" s="167" t="s">
        <v>149</v>
      </c>
    </row>
    <row r="15" spans="2:5">
      <c r="C15" s="163">
        <v>1</v>
      </c>
      <c r="D15" s="96" t="s">
        <v>23</v>
      </c>
      <c r="E15" s="82" t="s">
        <v>137</v>
      </c>
    </row>
    <row r="16" spans="2:5">
      <c r="C16" s="163">
        <v>2</v>
      </c>
      <c r="D16" s="96" t="s">
        <v>24</v>
      </c>
      <c r="E16" s="82" t="s">
        <v>138</v>
      </c>
    </row>
    <row r="17" spans="2:5">
      <c r="C17" s="163">
        <v>3</v>
      </c>
      <c r="D17" s="96" t="s">
        <v>25</v>
      </c>
      <c r="E17" s="82" t="s">
        <v>139</v>
      </c>
    </row>
    <row r="18" spans="2:5">
      <c r="C18" s="163">
        <v>4</v>
      </c>
      <c r="D18" s="96" t="s">
        <v>26</v>
      </c>
      <c r="E18" s="82" t="s">
        <v>140</v>
      </c>
    </row>
    <row r="19" spans="2:5">
      <c r="C19" s="163">
        <v>5</v>
      </c>
      <c r="D19" s="96" t="s">
        <v>42</v>
      </c>
      <c r="E19" s="82" t="s">
        <v>151</v>
      </c>
    </row>
    <row r="20" spans="2:5">
      <c r="C20" s="163">
        <v>6</v>
      </c>
      <c r="D20" s="96" t="s">
        <v>35</v>
      </c>
      <c r="E20" s="82" t="s">
        <v>175</v>
      </c>
    </row>
    <row r="21" spans="2:5" ht="15.75" thickBot="1">
      <c r="C21" s="166"/>
      <c r="D21" s="97"/>
      <c r="E21" s="5"/>
    </row>
    <row r="24" spans="2:5" ht="15.75" thickBot="1">
      <c r="B24" s="159" t="s">
        <v>144</v>
      </c>
    </row>
    <row r="25" spans="2:5" ht="15.75" thickBot="1">
      <c r="C25" s="165" t="s">
        <v>134</v>
      </c>
      <c r="D25" s="94" t="s">
        <v>135</v>
      </c>
      <c r="E25" s="87" t="s">
        <v>136</v>
      </c>
    </row>
    <row r="26" spans="2:5" ht="30.75" customHeight="1" thickTop="1">
      <c r="C26" s="162">
        <v>0</v>
      </c>
      <c r="D26" s="95" t="s">
        <v>145</v>
      </c>
      <c r="E26" s="167" t="s">
        <v>152</v>
      </c>
    </row>
    <row r="27" spans="2:5" ht="120" customHeight="1">
      <c r="C27" s="163">
        <v>1</v>
      </c>
      <c r="D27" s="96" t="s">
        <v>177</v>
      </c>
      <c r="E27" s="98" t="s">
        <v>179</v>
      </c>
    </row>
    <row r="28" spans="2:5" ht="81" customHeight="1">
      <c r="C28" s="163">
        <v>2</v>
      </c>
      <c r="D28" s="96" t="s">
        <v>174</v>
      </c>
      <c r="E28" s="98" t="s">
        <v>184</v>
      </c>
    </row>
    <row r="29" spans="2:5" ht="45" customHeight="1">
      <c r="C29" s="163">
        <v>3</v>
      </c>
      <c r="D29" s="96" t="s">
        <v>150</v>
      </c>
      <c r="E29" s="98" t="s">
        <v>153</v>
      </c>
    </row>
    <row r="30" spans="2:5" ht="16.5" customHeight="1">
      <c r="C30" s="163">
        <v>4</v>
      </c>
      <c r="D30" s="96" t="s">
        <v>146</v>
      </c>
      <c r="E30" s="82" t="s">
        <v>158</v>
      </c>
    </row>
    <row r="31" spans="2:5" ht="16.5" customHeight="1">
      <c r="C31" s="163">
        <v>5</v>
      </c>
      <c r="D31" s="96" t="s">
        <v>147</v>
      </c>
      <c r="E31" s="82" t="s">
        <v>154</v>
      </c>
    </row>
    <row r="32" spans="2:5">
      <c r="C32" s="163"/>
      <c r="D32" s="96"/>
      <c r="E32" s="82"/>
    </row>
    <row r="33" spans="2:5">
      <c r="C33" s="163"/>
      <c r="D33" s="96"/>
      <c r="E33" s="82"/>
    </row>
    <row r="34" spans="2:5" ht="15.75" thickBot="1">
      <c r="C34" s="166"/>
      <c r="D34" s="97"/>
      <c r="E34" s="5"/>
    </row>
    <row r="37" spans="2:5" ht="15.75" thickBot="1">
      <c r="B37" s="159" t="s">
        <v>171</v>
      </c>
    </row>
    <row r="38" spans="2:5">
      <c r="C38" s="213"/>
      <c r="D38" s="214"/>
      <c r="E38" s="119" t="s">
        <v>118</v>
      </c>
    </row>
    <row r="39" spans="2:5" ht="15.75" thickBot="1">
      <c r="C39" s="215"/>
      <c r="D39" s="216"/>
      <c r="E39" s="5" t="s">
        <v>119</v>
      </c>
    </row>
  </sheetData>
  <mergeCells count="2">
    <mergeCell ref="C38:D38"/>
    <mergeCell ref="C39:D39"/>
  </mergeCells>
  <phoneticPr fontId="2"/>
  <hyperlinks>
    <hyperlink ref="E8" r:id="rId1" xr:uid="{F7FF0CD3-73B1-4071-8F17-AAD080EF5BE7}"/>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17" t="s">
        <v>18</v>
      </c>
      <c r="C2" s="218"/>
      <c r="D2" s="223" t="s">
        <v>254</v>
      </c>
      <c r="E2" s="224"/>
      <c r="F2" s="224"/>
      <c r="G2" s="224"/>
      <c r="H2" s="225"/>
    </row>
    <row r="3" spans="2:14">
      <c r="B3" s="219" t="s">
        <v>116</v>
      </c>
      <c r="C3" s="220"/>
      <c r="D3" s="226" t="s">
        <v>260</v>
      </c>
      <c r="E3" s="227"/>
      <c r="F3" s="227"/>
      <c r="G3" s="227"/>
      <c r="H3" s="228"/>
    </row>
    <row r="4" spans="2:14" ht="15.75" thickBot="1">
      <c r="B4" s="221" t="s">
        <v>17</v>
      </c>
      <c r="C4" s="222"/>
      <c r="D4" s="229" t="str">
        <f ca="1">表紙!D3&amp;".c"</f>
        <v>alert_S_RTAN-CSTD-1-00-A-C0.c</v>
      </c>
      <c r="E4" s="230"/>
      <c r="F4" s="230"/>
      <c r="G4" s="230"/>
      <c r="H4" s="231"/>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17" t="s">
        <v>36</v>
      </c>
      <c r="C6" s="218"/>
      <c r="D6" s="232" t="str">
        <f ca="1">MID(D4, LEN("alert_") + 1, FIND("-",D4,1) - LEN("alert_") - 1)</f>
        <v>S_RTAN</v>
      </c>
      <c r="E6" s="233"/>
      <c r="F6" s="233"/>
      <c r="G6" s="233"/>
      <c r="H6" s="234"/>
    </row>
    <row r="7" spans="2:14">
      <c r="B7" s="219" t="s">
        <v>37</v>
      </c>
      <c r="C7" s="220"/>
      <c r="D7" s="235">
        <f>COUNTA($D$13:$D$37)</f>
        <v>1</v>
      </c>
      <c r="E7" s="236"/>
      <c r="F7" s="236"/>
      <c r="G7" s="236"/>
      <c r="H7" s="237"/>
    </row>
    <row r="8" spans="2:14">
      <c r="B8" s="219" t="s">
        <v>95</v>
      </c>
      <c r="C8" s="220"/>
      <c r="D8" s="235" t="str">
        <f ca="1">"st_gp_ALERT_"&amp;UPPER(D6)&amp;"_MTRX"</f>
        <v>st_gp_ALERT_S_RTAN_MTRX</v>
      </c>
      <c r="E8" s="236"/>
      <c r="F8" s="236"/>
      <c r="G8" s="236"/>
      <c r="H8" s="237"/>
    </row>
    <row r="9" spans="2:14">
      <c r="B9" s="219" t="s">
        <v>38</v>
      </c>
      <c r="C9" s="220"/>
      <c r="D9" s="238" t="s">
        <v>210</v>
      </c>
      <c r="E9" s="239"/>
      <c r="F9" s="239"/>
      <c r="G9" s="239"/>
      <c r="H9" s="240"/>
    </row>
    <row r="10" spans="2:14" ht="15.75" thickBot="1">
      <c r="B10" s="221" t="s">
        <v>44</v>
      </c>
      <c r="C10" s="222"/>
      <c r="D10" s="241"/>
      <c r="E10" s="242"/>
      <c r="F10" s="242"/>
      <c r="G10" s="242"/>
      <c r="H10" s="243"/>
    </row>
    <row r="11" spans="2:14" ht="15.75" thickBot="1"/>
    <row r="12" spans="2:14" ht="15.75" thickBot="1">
      <c r="B12" s="150" t="s">
        <v>34</v>
      </c>
      <c r="C12" s="112" t="s">
        <v>43</v>
      </c>
      <c r="D12" s="113" t="s">
        <v>35</v>
      </c>
      <c r="E12" s="113" t="s">
        <v>39</v>
      </c>
      <c r="F12" s="113" t="s">
        <v>40</v>
      </c>
      <c r="G12" s="113" t="s">
        <v>41</v>
      </c>
      <c r="H12" s="114" t="s">
        <v>42</v>
      </c>
      <c r="I12" s="155" t="s">
        <v>51</v>
      </c>
      <c r="K12" t="s">
        <v>45</v>
      </c>
      <c r="L12" t="s">
        <v>38</v>
      </c>
      <c r="M12" t="s">
        <v>87</v>
      </c>
    </row>
    <row r="13" spans="2:14" ht="15.75" thickTop="1">
      <c r="B13" s="115">
        <v>1</v>
      </c>
      <c r="C13" s="117" t="s">
        <v>31</v>
      </c>
      <c r="D13" s="118" t="s">
        <v>48</v>
      </c>
      <c r="E13" s="118" t="s">
        <v>170</v>
      </c>
      <c r="F13" s="59" t="str">
        <f t="shared" ref="F13:F37" ca="1" si="0">IF($D13&lt;&gt;"","u4_s_Alert"&amp;UPPER(LEFT($D$6,1))&amp;LOWER(MID($D$6,2,100))&amp;IF($D$7=1,"",N13)&amp;"Srcchk","")</f>
        <v>u4_s_AlertS_rtanSrcchk</v>
      </c>
      <c r="G13" s="59" t="str">
        <f t="shared" ref="G13:G37" si="1">IF($D13&lt;&gt;"",IF($E13="○","vd_s_Alert"&amp;UPPER(LEFT($D$6,1))&amp;LOWER(MID($D$6,2,100))&amp;IF($D$7=1,"",N13)&amp;"RwTx","NULL"),"")</f>
        <v>NULL</v>
      </c>
      <c r="H13" s="116" t="str">
        <f ca="1">IF($D13&lt;&gt;"","ALERT_CH_"&amp;UPPER($D$6)&amp;IF($D$7=1,"","_"&amp;UPPER($C13)),"")</f>
        <v>ALERT_CH_S_RTAN</v>
      </c>
      <c r="I13" s="156" t="str">
        <f ca="1">IF($D13&lt;&gt;"","ALERT_REQ_"&amp;UPPER($D$6)&amp;IF($D$7=1,"","_"&amp;UPPER($C13)),"")</f>
        <v>ALERT_REQ_S_RTAN</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5">
        <v>2</v>
      </c>
      <c r="C14" s="153"/>
      <c r="D14" s="154"/>
      <c r="E14" s="154"/>
      <c r="F14" s="54" t="str">
        <f t="shared" si="0"/>
        <v/>
      </c>
      <c r="G14" s="54" t="str">
        <f t="shared" si="1"/>
        <v/>
      </c>
      <c r="H14" s="74" t="str">
        <f t="shared" ref="H14:H37" si="4">IF($D14&lt;&gt;"","ALERT_CH_"&amp;UPPER($D$6)&amp;IF($D$7=1,"","_"&amp;UPPER($C14)),"")</f>
        <v/>
      </c>
      <c r="I14" s="157" t="str">
        <f t="shared" ref="I14:I37" si="5">IF($D14&lt;&gt;"","ALERT_REQ_"&amp;UPPER($D$6)&amp;IF($D$7=1,"","_"&amp;UPPER($C14)),"")</f>
        <v/>
      </c>
      <c r="K14" t="s">
        <v>47</v>
      </c>
      <c r="L14" t="str">
        <f ca="1">"vd_g_Alert"&amp;UPPER(LEFT(D6,1))&amp;LOWER(MID(D6,2,100))&amp;"Init"</f>
        <v>vd_g_AlertS_rtanInit</v>
      </c>
      <c r="M14" t="e">
        <f t="shared" si="2"/>
        <v>#VALUE!</v>
      </c>
      <c r="N14" t="str">
        <f t="shared" si="3"/>
        <v/>
      </c>
    </row>
    <row r="15" spans="2:14">
      <c r="B15" s="105">
        <v>3</v>
      </c>
      <c r="C15" s="153"/>
      <c r="D15" s="154"/>
      <c r="E15" s="154"/>
      <c r="F15" s="54" t="str">
        <f t="shared" si="0"/>
        <v/>
      </c>
      <c r="G15" s="54" t="str">
        <f t="shared" si="1"/>
        <v/>
      </c>
      <c r="H15" s="74" t="str">
        <f t="shared" si="4"/>
        <v/>
      </c>
      <c r="I15" s="157" t="str">
        <f t="shared" si="5"/>
        <v/>
      </c>
      <c r="K15" t="s">
        <v>120</v>
      </c>
      <c r="M15" t="e">
        <f t="shared" si="2"/>
        <v>#VALUE!</v>
      </c>
      <c r="N15" t="str">
        <f t="shared" si="3"/>
        <v/>
      </c>
    </row>
    <row r="16" spans="2:14">
      <c r="B16" s="105">
        <v>4</v>
      </c>
      <c r="C16" s="153"/>
      <c r="D16" s="154"/>
      <c r="E16" s="154"/>
      <c r="F16" s="54" t="str">
        <f t="shared" si="0"/>
        <v/>
      </c>
      <c r="G16" s="54" t="str">
        <f t="shared" si="1"/>
        <v/>
      </c>
      <c r="H16" s="74" t="str">
        <f t="shared" si="4"/>
        <v/>
      </c>
      <c r="I16" s="157" t="str">
        <f t="shared" si="5"/>
        <v/>
      </c>
      <c r="K16" t="s">
        <v>121</v>
      </c>
      <c r="M16" t="e">
        <f t="shared" si="2"/>
        <v>#VALUE!</v>
      </c>
      <c r="N16" t="str">
        <f t="shared" si="3"/>
        <v/>
      </c>
    </row>
    <row r="17" spans="2:14">
      <c r="B17" s="105">
        <v>5</v>
      </c>
      <c r="C17" s="153"/>
      <c r="D17" s="154"/>
      <c r="E17" s="154"/>
      <c r="F17" s="54" t="str">
        <f t="shared" si="0"/>
        <v/>
      </c>
      <c r="G17" s="54" t="str">
        <f t="shared" si="1"/>
        <v/>
      </c>
      <c r="H17" s="74" t="str">
        <f t="shared" si="4"/>
        <v/>
      </c>
      <c r="I17" s="157" t="str">
        <f t="shared" si="5"/>
        <v/>
      </c>
      <c r="K17" t="s">
        <v>48</v>
      </c>
      <c r="M17" t="e">
        <f t="shared" si="2"/>
        <v>#VALUE!</v>
      </c>
      <c r="N17" t="str">
        <f t="shared" si="3"/>
        <v/>
      </c>
    </row>
    <row r="18" spans="2:14">
      <c r="B18" s="105">
        <v>6</v>
      </c>
      <c r="C18" s="153"/>
      <c r="D18" s="154"/>
      <c r="E18" s="154"/>
      <c r="F18" s="54" t="str">
        <f t="shared" si="0"/>
        <v/>
      </c>
      <c r="G18" s="54" t="str">
        <f t="shared" si="1"/>
        <v/>
      </c>
      <c r="H18" s="74" t="str">
        <f t="shared" si="4"/>
        <v/>
      </c>
      <c r="I18" s="157" t="str">
        <f t="shared" si="5"/>
        <v/>
      </c>
      <c r="K18" t="s">
        <v>49</v>
      </c>
      <c r="M18" t="e">
        <f t="shared" si="2"/>
        <v>#VALUE!</v>
      </c>
      <c r="N18" t="str">
        <f t="shared" si="3"/>
        <v/>
      </c>
    </row>
    <row r="19" spans="2:14">
      <c r="B19" s="105">
        <v>7</v>
      </c>
      <c r="C19" s="153"/>
      <c r="D19" s="154"/>
      <c r="E19" s="154"/>
      <c r="F19" s="54" t="str">
        <f t="shared" si="0"/>
        <v/>
      </c>
      <c r="G19" s="54" t="str">
        <f t="shared" si="1"/>
        <v/>
      </c>
      <c r="H19" s="74" t="str">
        <f t="shared" si="4"/>
        <v/>
      </c>
      <c r="I19" s="157" t="str">
        <f t="shared" si="5"/>
        <v/>
      </c>
      <c r="K19" t="s">
        <v>49</v>
      </c>
      <c r="M19" t="e">
        <f t="shared" si="2"/>
        <v>#VALUE!</v>
      </c>
      <c r="N19" t="str">
        <f t="shared" si="3"/>
        <v/>
      </c>
    </row>
    <row r="20" spans="2:14">
      <c r="B20" s="105">
        <v>8</v>
      </c>
      <c r="C20" s="153"/>
      <c r="D20" s="154"/>
      <c r="E20" s="154"/>
      <c r="F20" s="54" t="str">
        <f t="shared" si="0"/>
        <v/>
      </c>
      <c r="G20" s="54" t="str">
        <f t="shared" si="1"/>
        <v/>
      </c>
      <c r="H20" s="74" t="str">
        <f t="shared" si="4"/>
        <v/>
      </c>
      <c r="I20" s="157" t="str">
        <f t="shared" si="5"/>
        <v/>
      </c>
      <c r="K20" t="s">
        <v>49</v>
      </c>
      <c r="M20" t="e">
        <f t="shared" si="2"/>
        <v>#VALUE!</v>
      </c>
      <c r="N20" t="str">
        <f t="shared" si="3"/>
        <v/>
      </c>
    </row>
    <row r="21" spans="2:14">
      <c r="B21" s="105">
        <v>9</v>
      </c>
      <c r="C21" s="153"/>
      <c r="D21" s="154"/>
      <c r="E21" s="154"/>
      <c r="F21" s="54" t="str">
        <f t="shared" si="0"/>
        <v/>
      </c>
      <c r="G21" s="54" t="str">
        <f t="shared" si="1"/>
        <v/>
      </c>
      <c r="H21" s="74" t="str">
        <f t="shared" si="4"/>
        <v/>
      </c>
      <c r="I21" s="157" t="str">
        <f t="shared" si="5"/>
        <v/>
      </c>
      <c r="K21" t="s">
        <v>49</v>
      </c>
      <c r="M21" t="e">
        <f t="shared" si="2"/>
        <v>#VALUE!</v>
      </c>
      <c r="N21" t="str">
        <f t="shared" si="3"/>
        <v/>
      </c>
    </row>
    <row r="22" spans="2:14">
      <c r="B22" s="105">
        <v>10</v>
      </c>
      <c r="C22" s="153"/>
      <c r="D22" s="154"/>
      <c r="E22" s="154"/>
      <c r="F22" s="54" t="str">
        <f t="shared" si="0"/>
        <v/>
      </c>
      <c r="G22" s="54" t="str">
        <f t="shared" si="1"/>
        <v/>
      </c>
      <c r="H22" s="74" t="str">
        <f t="shared" si="4"/>
        <v/>
      </c>
      <c r="I22" s="157" t="str">
        <f t="shared" si="5"/>
        <v/>
      </c>
      <c r="K22" t="s">
        <v>49</v>
      </c>
      <c r="M22" t="e">
        <f t="shared" si="2"/>
        <v>#VALUE!</v>
      </c>
      <c r="N22" t="str">
        <f t="shared" si="3"/>
        <v/>
      </c>
    </row>
    <row r="23" spans="2:14">
      <c r="B23" s="105">
        <v>11</v>
      </c>
      <c r="C23" s="153"/>
      <c r="D23" s="154"/>
      <c r="E23" s="154"/>
      <c r="F23" s="54" t="str">
        <f t="shared" si="0"/>
        <v/>
      </c>
      <c r="G23" s="54" t="str">
        <f t="shared" si="1"/>
        <v/>
      </c>
      <c r="H23" s="74" t="str">
        <f t="shared" si="4"/>
        <v/>
      </c>
      <c r="I23" s="157" t="str">
        <f t="shared" si="5"/>
        <v/>
      </c>
      <c r="K23" t="s">
        <v>49</v>
      </c>
      <c r="M23" t="e">
        <f t="shared" si="2"/>
        <v>#VALUE!</v>
      </c>
      <c r="N23" t="str">
        <f t="shared" si="3"/>
        <v/>
      </c>
    </row>
    <row r="24" spans="2:14">
      <c r="B24" s="105">
        <v>12</v>
      </c>
      <c r="C24" s="153"/>
      <c r="D24" s="154"/>
      <c r="E24" s="154"/>
      <c r="F24" s="54" t="str">
        <f t="shared" si="0"/>
        <v/>
      </c>
      <c r="G24" s="54" t="str">
        <f t="shared" si="1"/>
        <v/>
      </c>
      <c r="H24" s="74" t="str">
        <f t="shared" si="4"/>
        <v/>
      </c>
      <c r="I24" s="157" t="str">
        <f t="shared" si="5"/>
        <v/>
      </c>
      <c r="K24" t="s">
        <v>49</v>
      </c>
      <c r="M24" t="e">
        <f t="shared" si="2"/>
        <v>#VALUE!</v>
      </c>
      <c r="N24" t="str">
        <f t="shared" si="3"/>
        <v/>
      </c>
    </row>
    <row r="25" spans="2:14">
      <c r="B25" s="105">
        <v>13</v>
      </c>
      <c r="C25" s="153"/>
      <c r="D25" s="154"/>
      <c r="E25" s="154"/>
      <c r="F25" s="54" t="str">
        <f t="shared" si="0"/>
        <v/>
      </c>
      <c r="G25" s="54" t="str">
        <f t="shared" si="1"/>
        <v/>
      </c>
      <c r="H25" s="74" t="str">
        <f t="shared" si="4"/>
        <v/>
      </c>
      <c r="I25" s="157" t="str">
        <f t="shared" si="5"/>
        <v/>
      </c>
      <c r="K25" t="s">
        <v>49</v>
      </c>
      <c r="M25" t="e">
        <f t="shared" si="2"/>
        <v>#VALUE!</v>
      </c>
      <c r="N25" t="str">
        <f t="shared" si="3"/>
        <v/>
      </c>
    </row>
    <row r="26" spans="2:14">
      <c r="B26" s="105">
        <v>14</v>
      </c>
      <c r="C26" s="153"/>
      <c r="D26" s="154"/>
      <c r="E26" s="154"/>
      <c r="F26" s="54" t="str">
        <f t="shared" si="0"/>
        <v/>
      </c>
      <c r="G26" s="54" t="str">
        <f t="shared" si="1"/>
        <v/>
      </c>
      <c r="H26" s="74" t="str">
        <f t="shared" si="4"/>
        <v/>
      </c>
      <c r="I26" s="157" t="str">
        <f t="shared" si="5"/>
        <v/>
      </c>
      <c r="K26" t="s">
        <v>49</v>
      </c>
      <c r="M26" t="e">
        <f t="shared" si="2"/>
        <v>#VALUE!</v>
      </c>
      <c r="N26" t="str">
        <f t="shared" si="3"/>
        <v/>
      </c>
    </row>
    <row r="27" spans="2:14">
      <c r="B27" s="105">
        <v>15</v>
      </c>
      <c r="C27" s="153"/>
      <c r="D27" s="154"/>
      <c r="E27" s="154"/>
      <c r="F27" s="54" t="str">
        <f t="shared" si="0"/>
        <v/>
      </c>
      <c r="G27" s="54" t="str">
        <f t="shared" si="1"/>
        <v/>
      </c>
      <c r="H27" s="74" t="str">
        <f t="shared" si="4"/>
        <v/>
      </c>
      <c r="I27" s="157" t="str">
        <f t="shared" si="5"/>
        <v/>
      </c>
      <c r="K27" t="s">
        <v>49</v>
      </c>
      <c r="M27" t="e">
        <f t="shared" si="2"/>
        <v>#VALUE!</v>
      </c>
      <c r="N27" t="str">
        <f t="shared" si="3"/>
        <v/>
      </c>
    </row>
    <row r="28" spans="2:14">
      <c r="B28" s="105">
        <v>16</v>
      </c>
      <c r="C28" s="153"/>
      <c r="D28" s="154"/>
      <c r="E28" s="154"/>
      <c r="F28" s="54" t="str">
        <f t="shared" si="0"/>
        <v/>
      </c>
      <c r="G28" s="54" t="str">
        <f t="shared" si="1"/>
        <v/>
      </c>
      <c r="H28" s="74" t="str">
        <f t="shared" si="4"/>
        <v/>
      </c>
      <c r="I28" s="157" t="str">
        <f t="shared" si="5"/>
        <v/>
      </c>
      <c r="K28" t="s">
        <v>49</v>
      </c>
      <c r="M28" t="e">
        <f t="shared" si="2"/>
        <v>#VALUE!</v>
      </c>
      <c r="N28" t="str">
        <f t="shared" si="3"/>
        <v/>
      </c>
    </row>
    <row r="29" spans="2:14">
      <c r="B29" s="105">
        <v>17</v>
      </c>
      <c r="C29" s="153"/>
      <c r="D29" s="154"/>
      <c r="E29" s="154"/>
      <c r="F29" s="54" t="str">
        <f t="shared" si="0"/>
        <v/>
      </c>
      <c r="G29" s="54" t="str">
        <f t="shared" si="1"/>
        <v/>
      </c>
      <c r="H29" s="74" t="str">
        <f t="shared" si="4"/>
        <v/>
      </c>
      <c r="I29" s="157" t="str">
        <f t="shared" si="5"/>
        <v/>
      </c>
      <c r="K29" t="s">
        <v>49</v>
      </c>
      <c r="M29" t="e">
        <f t="shared" si="2"/>
        <v>#VALUE!</v>
      </c>
      <c r="N29" t="str">
        <f t="shared" si="3"/>
        <v/>
      </c>
    </row>
    <row r="30" spans="2:14">
      <c r="B30" s="105">
        <v>18</v>
      </c>
      <c r="C30" s="153"/>
      <c r="D30" s="154"/>
      <c r="E30" s="154"/>
      <c r="F30" s="54" t="str">
        <f t="shared" si="0"/>
        <v/>
      </c>
      <c r="G30" s="54" t="str">
        <f t="shared" si="1"/>
        <v/>
      </c>
      <c r="H30" s="74" t="str">
        <f t="shared" si="4"/>
        <v/>
      </c>
      <c r="I30" s="157" t="str">
        <f t="shared" si="5"/>
        <v/>
      </c>
      <c r="K30" t="s">
        <v>49</v>
      </c>
      <c r="M30" t="e">
        <f t="shared" si="2"/>
        <v>#VALUE!</v>
      </c>
      <c r="N30" t="str">
        <f t="shared" si="3"/>
        <v/>
      </c>
    </row>
    <row r="31" spans="2:14">
      <c r="B31" s="105">
        <v>19</v>
      </c>
      <c r="C31" s="153"/>
      <c r="D31" s="154"/>
      <c r="E31" s="154"/>
      <c r="F31" s="54" t="str">
        <f t="shared" si="0"/>
        <v/>
      </c>
      <c r="G31" s="54" t="str">
        <f t="shared" si="1"/>
        <v/>
      </c>
      <c r="H31" s="74" t="str">
        <f t="shared" si="4"/>
        <v/>
      </c>
      <c r="I31" s="157" t="str">
        <f t="shared" si="5"/>
        <v/>
      </c>
      <c r="K31" t="s">
        <v>49</v>
      </c>
      <c r="M31" t="e">
        <f t="shared" si="2"/>
        <v>#VALUE!</v>
      </c>
      <c r="N31" t="str">
        <f t="shared" si="3"/>
        <v/>
      </c>
    </row>
    <row r="32" spans="2:14">
      <c r="B32" s="105">
        <v>20</v>
      </c>
      <c r="C32" s="153"/>
      <c r="D32" s="154"/>
      <c r="E32" s="154"/>
      <c r="F32" s="54" t="str">
        <f t="shared" si="0"/>
        <v/>
      </c>
      <c r="G32" s="54" t="str">
        <f t="shared" si="1"/>
        <v/>
      </c>
      <c r="H32" s="74" t="str">
        <f t="shared" si="4"/>
        <v/>
      </c>
      <c r="I32" s="157" t="str">
        <f t="shared" si="5"/>
        <v/>
      </c>
      <c r="K32" t="s">
        <v>49</v>
      </c>
      <c r="M32" t="e">
        <f t="shared" si="2"/>
        <v>#VALUE!</v>
      </c>
      <c r="N32" t="str">
        <f t="shared" si="3"/>
        <v/>
      </c>
    </row>
    <row r="33" spans="2:14">
      <c r="B33" s="105">
        <v>21</v>
      </c>
      <c r="C33" s="153"/>
      <c r="D33" s="154"/>
      <c r="E33" s="154"/>
      <c r="F33" s="54" t="str">
        <f t="shared" si="0"/>
        <v/>
      </c>
      <c r="G33" s="54" t="str">
        <f t="shared" si="1"/>
        <v/>
      </c>
      <c r="H33" s="74" t="str">
        <f t="shared" si="4"/>
        <v/>
      </c>
      <c r="I33" s="157" t="str">
        <f t="shared" si="5"/>
        <v/>
      </c>
      <c r="K33" t="s">
        <v>49</v>
      </c>
      <c r="M33" t="e">
        <f t="shared" si="2"/>
        <v>#VALUE!</v>
      </c>
      <c r="N33" t="str">
        <f t="shared" si="3"/>
        <v/>
      </c>
    </row>
    <row r="34" spans="2:14">
      <c r="B34" s="105">
        <v>22</v>
      </c>
      <c r="C34" s="153"/>
      <c r="D34" s="154"/>
      <c r="E34" s="154"/>
      <c r="F34" s="54" t="str">
        <f t="shared" si="0"/>
        <v/>
      </c>
      <c r="G34" s="54" t="str">
        <f t="shared" si="1"/>
        <v/>
      </c>
      <c r="H34" s="74" t="str">
        <f t="shared" si="4"/>
        <v/>
      </c>
      <c r="I34" s="157" t="str">
        <f t="shared" si="5"/>
        <v/>
      </c>
      <c r="K34" t="s">
        <v>49</v>
      </c>
      <c r="M34" t="e">
        <f t="shared" si="2"/>
        <v>#VALUE!</v>
      </c>
      <c r="N34" t="str">
        <f t="shared" si="3"/>
        <v/>
      </c>
    </row>
    <row r="35" spans="2:14">
      <c r="B35" s="105">
        <v>23</v>
      </c>
      <c r="C35" s="153"/>
      <c r="D35" s="154"/>
      <c r="E35" s="154"/>
      <c r="F35" s="54" t="str">
        <f t="shared" si="0"/>
        <v/>
      </c>
      <c r="G35" s="54" t="str">
        <f t="shared" si="1"/>
        <v/>
      </c>
      <c r="H35" s="74" t="str">
        <f t="shared" si="4"/>
        <v/>
      </c>
      <c r="I35" s="157" t="str">
        <f t="shared" si="5"/>
        <v/>
      </c>
      <c r="K35" t="s">
        <v>49</v>
      </c>
      <c r="M35" t="e">
        <f t="shared" si="2"/>
        <v>#VALUE!</v>
      </c>
      <c r="N35" t="str">
        <f t="shared" si="3"/>
        <v/>
      </c>
    </row>
    <row r="36" spans="2:14">
      <c r="B36" s="105">
        <v>24</v>
      </c>
      <c r="C36" s="153"/>
      <c r="D36" s="154"/>
      <c r="E36" s="154"/>
      <c r="F36" s="54" t="str">
        <f t="shared" si="0"/>
        <v/>
      </c>
      <c r="G36" s="54" t="str">
        <f t="shared" si="1"/>
        <v/>
      </c>
      <c r="H36" s="74" t="str">
        <f t="shared" si="4"/>
        <v/>
      </c>
      <c r="I36" s="157" t="str">
        <f t="shared" si="5"/>
        <v/>
      </c>
      <c r="K36" t="s">
        <v>49</v>
      </c>
      <c r="M36" t="e">
        <f t="shared" si="2"/>
        <v>#VALUE!</v>
      </c>
      <c r="N36" t="str">
        <f t="shared" si="3"/>
        <v/>
      </c>
    </row>
    <row r="37" spans="2:14" ht="15.75" thickBot="1">
      <c r="B37" s="106">
        <v>25</v>
      </c>
      <c r="C37" s="151"/>
      <c r="D37" s="152"/>
      <c r="E37" s="152"/>
      <c r="F37" s="62" t="str">
        <f t="shared" si="0"/>
        <v/>
      </c>
      <c r="G37" s="62" t="str">
        <f t="shared" si="1"/>
        <v/>
      </c>
      <c r="H37" s="75" t="str">
        <f t="shared" si="4"/>
        <v/>
      </c>
      <c r="I37" s="15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196</v>
      </c>
      <c r="O2" t="s">
        <v>198</v>
      </c>
    </row>
    <row r="3" spans="2:18" ht="15.75" thickBot="1">
      <c r="B3" s="150" t="s">
        <v>34</v>
      </c>
      <c r="C3" s="113" t="s">
        <v>186</v>
      </c>
      <c r="D3" s="113" t="s">
        <v>192</v>
      </c>
      <c r="E3" s="114" t="s">
        <v>193</v>
      </c>
      <c r="F3" s="193" t="s">
        <v>188</v>
      </c>
      <c r="G3" s="190" t="s">
        <v>201</v>
      </c>
      <c r="O3" s="150" t="s">
        <v>34</v>
      </c>
      <c r="P3" s="189" t="s">
        <v>182</v>
      </c>
      <c r="Q3" s="189" t="s">
        <v>195</v>
      </c>
      <c r="R3" s="190" t="s">
        <v>188</v>
      </c>
    </row>
    <row r="4" spans="2:18" ht="15.75" hidden="1" thickTop="1">
      <c r="B4" s="181">
        <v>0</v>
      </c>
      <c r="C4" s="182" t="s">
        <v>172</v>
      </c>
      <c r="D4" s="182"/>
      <c r="E4" s="183"/>
      <c r="F4" s="194"/>
      <c r="G4" s="82"/>
      <c r="O4" s="191">
        <v>0</v>
      </c>
      <c r="P4" s="188" t="s">
        <v>172</v>
      </c>
      <c r="Q4" s="188" t="s">
        <v>172</v>
      </c>
      <c r="R4" s="145"/>
    </row>
    <row r="5" spans="2:18" ht="15.75" thickTop="1">
      <c r="B5" s="184">
        <v>1</v>
      </c>
      <c r="C5" s="154"/>
      <c r="D5" s="25"/>
      <c r="E5" s="74" t="str">
        <f>IF($C5&lt;&gt;"","ALERT_" &amp; D5 &amp; "_ID_"&amp;UPPER(Matrix!$D$6) &amp; "_" &amp; $C5,"")</f>
        <v/>
      </c>
      <c r="F5" s="123"/>
      <c r="G5" s="74" t="str">
        <f>IF(E5&lt;&gt;"",LEN(E5),"")</f>
        <v/>
      </c>
      <c r="O5" s="184">
        <v>1</v>
      </c>
      <c r="P5" s="154"/>
      <c r="Q5" s="154"/>
      <c r="R5" s="124"/>
    </row>
    <row r="6" spans="2:18">
      <c r="B6" s="184">
        <v>2</v>
      </c>
      <c r="C6" s="154"/>
      <c r="D6" s="25"/>
      <c r="E6" s="74" t="str">
        <f>IF($C6&lt;&gt;"","ALERT_" &amp; D6 &amp; "_ID_"&amp;UPPER(Matrix!$D$6) &amp; "_" &amp; $C6,"")</f>
        <v/>
      </c>
      <c r="F6" s="123"/>
      <c r="G6" s="74" t="str">
        <f t="shared" ref="G6:G29" si="0">IF(E6&lt;&gt;"",LEN(E6),"")</f>
        <v/>
      </c>
      <c r="O6" s="184">
        <v>2</v>
      </c>
      <c r="P6" s="154"/>
      <c r="Q6" s="154"/>
      <c r="R6" s="124"/>
    </row>
    <row r="7" spans="2:18">
      <c r="B7" s="184">
        <v>3</v>
      </c>
      <c r="C7" s="154"/>
      <c r="D7" s="25"/>
      <c r="E7" s="74" t="str">
        <f>IF($C7&lt;&gt;"","ALERT_" &amp; D7 &amp; "_ID_"&amp;UPPER(Matrix!$D$6) &amp; "_" &amp; $C7,"")</f>
        <v/>
      </c>
      <c r="F7" s="123"/>
      <c r="G7" s="74" t="str">
        <f t="shared" si="0"/>
        <v/>
      </c>
      <c r="O7" s="184">
        <v>3</v>
      </c>
      <c r="P7" s="154"/>
      <c r="Q7" s="154"/>
      <c r="R7" s="124"/>
    </row>
    <row r="8" spans="2:18">
      <c r="B8" s="184">
        <v>4</v>
      </c>
      <c r="C8" s="154"/>
      <c r="D8" s="25"/>
      <c r="E8" s="74" t="str">
        <f>IF($C8&lt;&gt;"","ALERT_" &amp; D8 &amp; "_ID_"&amp;UPPER(Matrix!$D$6) &amp; "_" &amp; $C8,"")</f>
        <v/>
      </c>
      <c r="F8" s="123"/>
      <c r="G8" s="74" t="str">
        <f t="shared" si="0"/>
        <v/>
      </c>
      <c r="O8" s="184">
        <v>4</v>
      </c>
      <c r="P8" s="154"/>
      <c r="Q8" s="154"/>
      <c r="R8" s="124"/>
    </row>
    <row r="9" spans="2:18">
      <c r="B9" s="184">
        <v>5</v>
      </c>
      <c r="C9" s="154"/>
      <c r="D9" s="25"/>
      <c r="E9" s="74" t="str">
        <f>IF($C9&lt;&gt;"","ALERT_" &amp; D9 &amp; "_ID_"&amp;UPPER(Matrix!$D$6) &amp; "_" &amp; $C9,"")</f>
        <v/>
      </c>
      <c r="F9" s="123"/>
      <c r="G9" s="74" t="str">
        <f t="shared" si="0"/>
        <v/>
      </c>
      <c r="O9" s="184">
        <v>5</v>
      </c>
      <c r="P9" s="154"/>
      <c r="Q9" s="154"/>
      <c r="R9" s="124"/>
    </row>
    <row r="10" spans="2:18">
      <c r="B10" s="184">
        <v>6</v>
      </c>
      <c r="C10" s="154"/>
      <c r="D10" s="25"/>
      <c r="E10" s="74" t="str">
        <f>IF($C10&lt;&gt;"","ALERT_" &amp; D10 &amp; "_ID_"&amp;UPPER(Matrix!$D$6) &amp; "_" &amp; $C10,"")</f>
        <v/>
      </c>
      <c r="F10" s="123"/>
      <c r="G10" s="74" t="str">
        <f t="shared" si="0"/>
        <v/>
      </c>
      <c r="O10" s="184">
        <v>6</v>
      </c>
      <c r="P10" s="154"/>
      <c r="Q10" s="154"/>
      <c r="R10" s="124"/>
    </row>
    <row r="11" spans="2:18">
      <c r="B11" s="184">
        <v>7</v>
      </c>
      <c r="C11" s="154"/>
      <c r="D11" s="25"/>
      <c r="E11" s="74" t="str">
        <f>IF($C11&lt;&gt;"","ALERT_" &amp; D11 &amp; "_ID_"&amp;UPPER(Matrix!$D$6) &amp; "_" &amp; $C11,"")</f>
        <v/>
      </c>
      <c r="F11" s="123"/>
      <c r="G11" s="74" t="str">
        <f t="shared" si="0"/>
        <v/>
      </c>
      <c r="O11" s="184">
        <v>7</v>
      </c>
      <c r="P11" s="154"/>
      <c r="Q11" s="154"/>
      <c r="R11" s="124"/>
    </row>
    <row r="12" spans="2:18">
      <c r="B12" s="184">
        <v>8</v>
      </c>
      <c r="C12" s="154"/>
      <c r="D12" s="25"/>
      <c r="E12" s="74" t="str">
        <f>IF($C12&lt;&gt;"","ALERT_" &amp; D12 &amp; "_ID_"&amp;UPPER(Matrix!$D$6) &amp; "_" &amp; $C12,"")</f>
        <v/>
      </c>
      <c r="F12" s="123"/>
      <c r="G12" s="74" t="str">
        <f t="shared" si="0"/>
        <v/>
      </c>
      <c r="O12" s="184">
        <v>8</v>
      </c>
      <c r="P12" s="154"/>
      <c r="Q12" s="154"/>
      <c r="R12" s="124"/>
    </row>
    <row r="13" spans="2:18">
      <c r="B13" s="184">
        <v>9</v>
      </c>
      <c r="C13" s="154"/>
      <c r="D13" s="25"/>
      <c r="E13" s="74" t="str">
        <f>IF($C13&lt;&gt;"","ALERT_" &amp; D13 &amp; "_ID_"&amp;UPPER(Matrix!$D$6) &amp; "_" &amp; $C13,"")</f>
        <v/>
      </c>
      <c r="F13" s="123"/>
      <c r="G13" s="74" t="str">
        <f t="shared" si="0"/>
        <v/>
      </c>
      <c r="O13" s="184">
        <v>9</v>
      </c>
      <c r="P13" s="154"/>
      <c r="Q13" s="154"/>
      <c r="R13" s="124"/>
    </row>
    <row r="14" spans="2:18">
      <c r="B14" s="184">
        <v>10</v>
      </c>
      <c r="C14" s="154"/>
      <c r="D14" s="25"/>
      <c r="E14" s="74" t="str">
        <f>IF($C14&lt;&gt;"","ALERT_" &amp; D14 &amp; "_ID_"&amp;UPPER(Matrix!$D$6) &amp; "_" &amp; $C14,"")</f>
        <v/>
      </c>
      <c r="F14" s="123"/>
      <c r="G14" s="74" t="str">
        <f t="shared" si="0"/>
        <v/>
      </c>
      <c r="O14" s="184">
        <v>10</v>
      </c>
      <c r="P14" s="154"/>
      <c r="Q14" s="154"/>
      <c r="R14" s="124"/>
    </row>
    <row r="15" spans="2:18">
      <c r="B15" s="184">
        <v>11</v>
      </c>
      <c r="C15" s="154"/>
      <c r="D15" s="25"/>
      <c r="E15" s="74" t="str">
        <f>IF($C15&lt;&gt;"","ALERT_" &amp; D15 &amp; "_ID_"&amp;UPPER(Matrix!$D$6) &amp; "_" &amp; $C15,"")</f>
        <v/>
      </c>
      <c r="F15" s="123"/>
      <c r="G15" s="74" t="str">
        <f t="shared" si="0"/>
        <v/>
      </c>
      <c r="O15" s="184">
        <v>11</v>
      </c>
      <c r="P15" s="154"/>
      <c r="Q15" s="154"/>
      <c r="R15" s="124"/>
    </row>
    <row r="16" spans="2:18">
      <c r="B16" s="184">
        <v>12</v>
      </c>
      <c r="C16" s="154"/>
      <c r="D16" s="25"/>
      <c r="E16" s="74" t="str">
        <f>IF($C16&lt;&gt;"","ALERT_" &amp; D16 &amp; "_ID_"&amp;UPPER(Matrix!$D$6) &amp; "_" &amp; $C16,"")</f>
        <v/>
      </c>
      <c r="F16" s="123"/>
      <c r="G16" s="74" t="str">
        <f t="shared" si="0"/>
        <v/>
      </c>
      <c r="O16" s="184">
        <v>12</v>
      </c>
      <c r="P16" s="154"/>
      <c r="Q16" s="154"/>
      <c r="R16" s="124"/>
    </row>
    <row r="17" spans="2:18">
      <c r="B17" s="184">
        <v>13</v>
      </c>
      <c r="C17" s="154"/>
      <c r="D17" s="25"/>
      <c r="E17" s="74" t="str">
        <f>IF($C17&lt;&gt;"","ALERT_" &amp; D17 &amp; "_ID_"&amp;UPPER(Matrix!$D$6) &amp; "_" &amp; $C17,"")</f>
        <v/>
      </c>
      <c r="F17" s="123"/>
      <c r="G17" s="74" t="str">
        <f t="shared" si="0"/>
        <v/>
      </c>
      <c r="O17" s="184">
        <v>13</v>
      </c>
      <c r="P17" s="154"/>
      <c r="Q17" s="154"/>
      <c r="R17" s="124"/>
    </row>
    <row r="18" spans="2:18">
      <c r="B18" s="184">
        <v>14</v>
      </c>
      <c r="C18" s="154"/>
      <c r="D18" s="25"/>
      <c r="E18" s="74" t="str">
        <f>IF($C18&lt;&gt;"","ALERT_" &amp; D18 &amp; "_ID_"&amp;UPPER(Matrix!$D$6) &amp; "_" &amp; $C18,"")</f>
        <v/>
      </c>
      <c r="F18" s="123"/>
      <c r="G18" s="74" t="str">
        <f t="shared" si="0"/>
        <v/>
      </c>
      <c r="O18" s="184">
        <v>14</v>
      </c>
      <c r="P18" s="154"/>
      <c r="Q18" s="154"/>
      <c r="R18" s="124"/>
    </row>
    <row r="19" spans="2:18">
      <c r="B19" s="184">
        <v>15</v>
      </c>
      <c r="C19" s="154"/>
      <c r="D19" s="25"/>
      <c r="E19" s="74" t="str">
        <f>IF($C19&lt;&gt;"","ALERT_" &amp; D19 &amp; "_ID_"&amp;UPPER(Matrix!$D$6) &amp; "_" &amp; $C19,"")</f>
        <v/>
      </c>
      <c r="F19" s="123"/>
      <c r="G19" s="74" t="str">
        <f t="shared" si="0"/>
        <v/>
      </c>
      <c r="O19" s="184">
        <v>15</v>
      </c>
      <c r="P19" s="154"/>
      <c r="Q19" s="154"/>
      <c r="R19" s="124"/>
    </row>
    <row r="20" spans="2:18">
      <c r="B20" s="184">
        <v>16</v>
      </c>
      <c r="C20" s="154"/>
      <c r="D20" s="25"/>
      <c r="E20" s="74" t="str">
        <f>IF($C20&lt;&gt;"","ALERT_" &amp; D20 &amp; "_ID_"&amp;UPPER(Matrix!$D$6) &amp; "_" &amp; $C20,"")</f>
        <v/>
      </c>
      <c r="F20" s="123"/>
      <c r="G20" s="74" t="str">
        <f t="shared" si="0"/>
        <v/>
      </c>
      <c r="O20" s="184">
        <v>16</v>
      </c>
      <c r="P20" s="154"/>
      <c r="Q20" s="154"/>
      <c r="R20" s="124"/>
    </row>
    <row r="21" spans="2:18">
      <c r="B21" s="184">
        <v>17</v>
      </c>
      <c r="C21" s="154"/>
      <c r="D21" s="25"/>
      <c r="E21" s="74" t="str">
        <f>IF($C21&lt;&gt;"","ALERT_" &amp; D21 &amp; "_ID_"&amp;UPPER(Matrix!$D$6) &amp; "_" &amp; $C21,"")</f>
        <v/>
      </c>
      <c r="F21" s="123"/>
      <c r="G21" s="74" t="str">
        <f t="shared" si="0"/>
        <v/>
      </c>
      <c r="O21" s="184">
        <v>17</v>
      </c>
      <c r="P21" s="154"/>
      <c r="Q21" s="154"/>
      <c r="R21" s="124"/>
    </row>
    <row r="22" spans="2:18">
      <c r="B22" s="184">
        <v>18</v>
      </c>
      <c r="C22" s="154"/>
      <c r="D22" s="25"/>
      <c r="E22" s="74" t="str">
        <f>IF($C22&lt;&gt;"","ALERT_" &amp; D22 &amp; "_ID_"&amp;UPPER(Matrix!$D$6) &amp; "_" &amp; $C22,"")</f>
        <v/>
      </c>
      <c r="F22" s="123"/>
      <c r="G22" s="74" t="str">
        <f t="shared" si="0"/>
        <v/>
      </c>
      <c r="O22" s="184">
        <v>18</v>
      </c>
      <c r="P22" s="154"/>
      <c r="Q22" s="154"/>
      <c r="R22" s="124"/>
    </row>
    <row r="23" spans="2:18">
      <c r="B23" s="184">
        <v>19</v>
      </c>
      <c r="C23" s="154"/>
      <c r="D23" s="25"/>
      <c r="E23" s="74" t="str">
        <f>IF($C23&lt;&gt;"","ALERT_" &amp; D23 &amp; "_ID_"&amp;UPPER(Matrix!$D$6) &amp; "_" &amp; $C23,"")</f>
        <v/>
      </c>
      <c r="F23" s="123"/>
      <c r="G23" s="74" t="str">
        <f t="shared" si="0"/>
        <v/>
      </c>
      <c r="O23" s="184">
        <v>19</v>
      </c>
      <c r="P23" s="154"/>
      <c r="Q23" s="154"/>
      <c r="R23" s="124"/>
    </row>
    <row r="24" spans="2:18">
      <c r="B24" s="184">
        <v>20</v>
      </c>
      <c r="C24" s="154"/>
      <c r="D24" s="25"/>
      <c r="E24" s="74" t="str">
        <f>IF($C24&lt;&gt;"","ALERT_" &amp; D24 &amp; "_ID_"&amp;UPPER(Matrix!$D$6) &amp; "_" &amp; $C24,"")</f>
        <v/>
      </c>
      <c r="F24" s="123"/>
      <c r="G24" s="74" t="str">
        <f t="shared" si="0"/>
        <v/>
      </c>
      <c r="O24" s="184">
        <v>20</v>
      </c>
      <c r="P24" s="154"/>
      <c r="Q24" s="154"/>
      <c r="R24" s="124"/>
    </row>
    <row r="25" spans="2:18">
      <c r="B25" s="184">
        <v>21</v>
      </c>
      <c r="C25" s="154"/>
      <c r="D25" s="25"/>
      <c r="E25" s="74" t="str">
        <f>IF($C25&lt;&gt;"","ALERT_" &amp; D25 &amp; "_ID_"&amp;UPPER(Matrix!$D$6) &amp; "_" &amp; $C25,"")</f>
        <v/>
      </c>
      <c r="F25" s="123"/>
      <c r="G25" s="74" t="str">
        <f t="shared" si="0"/>
        <v/>
      </c>
      <c r="O25" s="184">
        <v>21</v>
      </c>
      <c r="P25" s="154"/>
      <c r="Q25" s="154"/>
      <c r="R25" s="124"/>
    </row>
    <row r="26" spans="2:18">
      <c r="B26" s="184">
        <v>22</v>
      </c>
      <c r="C26" s="154"/>
      <c r="D26" s="25"/>
      <c r="E26" s="74" t="str">
        <f>IF($C26&lt;&gt;"","ALERT_" &amp; D26 &amp; "_ID_"&amp;UPPER(Matrix!$D$6) &amp; "_" &amp; $C26,"")</f>
        <v/>
      </c>
      <c r="F26" s="123"/>
      <c r="G26" s="74" t="str">
        <f t="shared" si="0"/>
        <v/>
      </c>
      <c r="O26" s="184">
        <v>22</v>
      </c>
      <c r="P26" s="154"/>
      <c r="Q26" s="154"/>
      <c r="R26" s="124"/>
    </row>
    <row r="27" spans="2:18">
      <c r="B27" s="184">
        <v>23</v>
      </c>
      <c r="C27" s="154"/>
      <c r="D27" s="25"/>
      <c r="E27" s="74" t="str">
        <f>IF($C27&lt;&gt;"","ALERT_" &amp; D27 &amp; "_ID_"&amp;UPPER(Matrix!$D$6) &amp; "_" &amp; $C27,"")</f>
        <v/>
      </c>
      <c r="F27" s="123"/>
      <c r="G27" s="74" t="str">
        <f t="shared" si="0"/>
        <v/>
      </c>
      <c r="O27" s="184">
        <v>23</v>
      </c>
      <c r="P27" s="154"/>
      <c r="Q27" s="154"/>
      <c r="R27" s="124"/>
    </row>
    <row r="28" spans="2:18">
      <c r="B28" s="184">
        <v>24</v>
      </c>
      <c r="C28" s="154"/>
      <c r="D28" s="25"/>
      <c r="E28" s="74" t="str">
        <f>IF($C28&lt;&gt;"","ALERT_" &amp; D28 &amp; "_ID_"&amp;UPPER(Matrix!$D$6) &amp; "_" &amp; $C28,"")</f>
        <v/>
      </c>
      <c r="F28" s="123"/>
      <c r="G28" s="74" t="str">
        <f t="shared" si="0"/>
        <v/>
      </c>
      <c r="O28" s="184">
        <v>24</v>
      </c>
      <c r="P28" s="154"/>
      <c r="Q28" s="154"/>
      <c r="R28" s="124"/>
    </row>
    <row r="29" spans="2:18" ht="15.75" thickBot="1">
      <c r="B29" s="185">
        <v>25</v>
      </c>
      <c r="C29" s="152"/>
      <c r="D29" s="61"/>
      <c r="E29" s="75" t="str">
        <f>IF($C29&lt;&gt;"","ALERT_" &amp; D29 &amp; "_ID_"&amp;UPPER(Matrix!$D$6) &amp; "_" &amp; $C29,"")</f>
        <v/>
      </c>
      <c r="F29" s="125"/>
      <c r="G29" s="75" t="str">
        <f t="shared" si="0"/>
        <v/>
      </c>
      <c r="O29" s="185">
        <v>25</v>
      </c>
      <c r="P29" s="152"/>
      <c r="Q29" s="152"/>
      <c r="R29" s="126"/>
    </row>
    <row r="32" spans="2:18" ht="15.75" thickBot="1">
      <c r="B32" t="s">
        <v>197</v>
      </c>
      <c r="O32" t="s">
        <v>194</v>
      </c>
    </row>
    <row r="33" spans="2:18" ht="15.75" thickBot="1">
      <c r="B33" s="150" t="s">
        <v>34</v>
      </c>
      <c r="C33" s="113" t="s">
        <v>186</v>
      </c>
      <c r="D33" s="113" t="s">
        <v>191</v>
      </c>
      <c r="E33" s="114" t="s">
        <v>189</v>
      </c>
      <c r="F33" s="190" t="s">
        <v>190</v>
      </c>
      <c r="G33" s="190" t="s">
        <v>201</v>
      </c>
      <c r="O33" s="150" t="s">
        <v>34</v>
      </c>
      <c r="P33" s="189" t="s">
        <v>183</v>
      </c>
      <c r="Q33" s="189" t="s">
        <v>199</v>
      </c>
      <c r="R33" s="190" t="s">
        <v>187</v>
      </c>
    </row>
    <row r="34" spans="2:18" ht="15.75" hidden="1" thickTop="1">
      <c r="B34" s="181">
        <v>0</v>
      </c>
      <c r="C34" s="182" t="s">
        <v>172</v>
      </c>
      <c r="D34" s="182"/>
      <c r="E34" s="183"/>
      <c r="F34" s="192" t="s">
        <v>172</v>
      </c>
      <c r="G34" s="82"/>
      <c r="O34" s="191">
        <v>0</v>
      </c>
      <c r="P34" s="188" t="s">
        <v>172</v>
      </c>
      <c r="Q34" s="188" t="s">
        <v>172</v>
      </c>
      <c r="R34" s="192" t="s">
        <v>172</v>
      </c>
    </row>
    <row r="35" spans="2:18" ht="15.75" thickTop="1">
      <c r="B35" s="184">
        <v>1</v>
      </c>
      <c r="C35" s="154"/>
      <c r="D35" s="25"/>
      <c r="E35" s="74" t="str">
        <f>IF($C35&lt;&gt;"","ALERT_" &amp; UPPER(Matrix!$D$6) &amp; "_" &amp; $C35,"")</f>
        <v/>
      </c>
      <c r="F35" s="186"/>
      <c r="G35" s="74" t="str">
        <f>IF(E35&lt;&gt;"",LEN(E35),"")</f>
        <v/>
      </c>
      <c r="O35" s="184">
        <v>1</v>
      </c>
      <c r="P35" s="154"/>
      <c r="Q35" s="154"/>
      <c r="R35" s="186"/>
    </row>
    <row r="36" spans="2:18">
      <c r="B36" s="184">
        <v>2</v>
      </c>
      <c r="C36" s="154"/>
      <c r="D36" s="25"/>
      <c r="E36" s="74" t="str">
        <f>IF($C36&lt;&gt;"","ALERT_" &amp; UPPER(Matrix!$D$6) &amp; "_" &amp; $C36,"")</f>
        <v/>
      </c>
      <c r="F36" s="186"/>
      <c r="G36" s="74" t="str">
        <f>IF(E36&lt;&gt;"",LEN(E36),"")</f>
        <v/>
      </c>
      <c r="O36" s="184">
        <v>2</v>
      </c>
      <c r="P36" s="154"/>
      <c r="Q36" s="154"/>
      <c r="R36" s="186"/>
    </row>
    <row r="37" spans="2:18">
      <c r="B37" s="184">
        <v>3</v>
      </c>
      <c r="C37" s="154"/>
      <c r="D37" s="25"/>
      <c r="E37" s="74" t="str">
        <f>IF($C37&lt;&gt;"","ALERT_" &amp; UPPER(Matrix!$D$6) &amp; "_" &amp; $C37,"")</f>
        <v/>
      </c>
      <c r="F37" s="186"/>
      <c r="G37" s="74" t="str">
        <f>IF(E37&lt;&gt;"",LEN(E37),"")</f>
        <v/>
      </c>
      <c r="O37" s="184">
        <v>3</v>
      </c>
      <c r="P37" s="154"/>
      <c r="Q37" s="154"/>
      <c r="R37" s="186"/>
    </row>
    <row r="38" spans="2:18">
      <c r="B38" s="184">
        <v>4</v>
      </c>
      <c r="C38" s="154"/>
      <c r="D38" s="25"/>
      <c r="E38" s="74" t="str">
        <f>IF($C38&lt;&gt;"","ALERT_" &amp; UPPER(Matrix!$D$6) &amp; "_" &amp; $C38,"")</f>
        <v/>
      </c>
      <c r="F38" s="186"/>
      <c r="G38" s="74" t="str">
        <f t="shared" ref="G38:G59" si="1">IF(E38&lt;&gt;"",LEN(E38),"")</f>
        <v/>
      </c>
      <c r="O38" s="184">
        <v>4</v>
      </c>
      <c r="P38" s="154"/>
      <c r="Q38" s="154"/>
      <c r="R38" s="186"/>
    </row>
    <row r="39" spans="2:18">
      <c r="B39" s="184">
        <v>5</v>
      </c>
      <c r="C39" s="154"/>
      <c r="D39" s="25"/>
      <c r="E39" s="74" t="str">
        <f>IF($C39&lt;&gt;"","ALERT_" &amp; UPPER(Matrix!$D$6) &amp; "_" &amp; $C39,"")</f>
        <v/>
      </c>
      <c r="F39" s="186"/>
      <c r="G39" s="74" t="str">
        <f t="shared" si="1"/>
        <v/>
      </c>
      <c r="O39" s="184">
        <v>5</v>
      </c>
      <c r="P39" s="154"/>
      <c r="Q39" s="154"/>
      <c r="R39" s="186"/>
    </row>
    <row r="40" spans="2:18">
      <c r="B40" s="184">
        <v>6</v>
      </c>
      <c r="C40" s="154"/>
      <c r="D40" s="25"/>
      <c r="E40" s="74" t="str">
        <f>IF($C40&lt;&gt;"","ALERT_" &amp; UPPER(Matrix!$D$6) &amp; "_" &amp; $C40,"")</f>
        <v/>
      </c>
      <c r="F40" s="186"/>
      <c r="G40" s="74" t="str">
        <f t="shared" si="1"/>
        <v/>
      </c>
      <c r="O40" s="184">
        <v>6</v>
      </c>
      <c r="P40" s="154"/>
      <c r="Q40" s="154"/>
      <c r="R40" s="186"/>
    </row>
    <row r="41" spans="2:18">
      <c r="B41" s="184">
        <v>7</v>
      </c>
      <c r="C41" s="154"/>
      <c r="D41" s="25"/>
      <c r="E41" s="74" t="str">
        <f>IF($C41&lt;&gt;"","ALERT_" &amp; UPPER(Matrix!$D$6) &amp; "_" &amp; $C41,"")</f>
        <v/>
      </c>
      <c r="F41" s="186"/>
      <c r="G41" s="74" t="str">
        <f t="shared" si="1"/>
        <v/>
      </c>
      <c r="O41" s="184">
        <v>7</v>
      </c>
      <c r="P41" s="154"/>
      <c r="Q41" s="154"/>
      <c r="R41" s="186"/>
    </row>
    <row r="42" spans="2:18">
      <c r="B42" s="184">
        <v>8</v>
      </c>
      <c r="C42" s="154"/>
      <c r="D42" s="25"/>
      <c r="E42" s="74" t="str">
        <f>IF($C42&lt;&gt;"","ALERT_" &amp; UPPER(Matrix!$D$6) &amp; "_" &amp; $C42,"")</f>
        <v/>
      </c>
      <c r="F42" s="186"/>
      <c r="G42" s="74" t="str">
        <f t="shared" si="1"/>
        <v/>
      </c>
      <c r="O42" s="184">
        <v>8</v>
      </c>
      <c r="P42" s="154"/>
      <c r="Q42" s="154"/>
      <c r="R42" s="186"/>
    </row>
    <row r="43" spans="2:18">
      <c r="B43" s="184">
        <v>9</v>
      </c>
      <c r="C43" s="154"/>
      <c r="D43" s="25"/>
      <c r="E43" s="74" t="str">
        <f>IF($C43&lt;&gt;"","ALERT_" &amp; UPPER(Matrix!$D$6) &amp; "_" &amp; $C43,"")</f>
        <v/>
      </c>
      <c r="F43" s="186"/>
      <c r="G43" s="74" t="str">
        <f t="shared" si="1"/>
        <v/>
      </c>
      <c r="O43" s="184">
        <v>9</v>
      </c>
      <c r="P43" s="154"/>
      <c r="Q43" s="154"/>
      <c r="R43" s="186"/>
    </row>
    <row r="44" spans="2:18">
      <c r="B44" s="184">
        <v>10</v>
      </c>
      <c r="C44" s="154"/>
      <c r="D44" s="25"/>
      <c r="E44" s="74" t="str">
        <f>IF($C44&lt;&gt;"","ALERT_" &amp; UPPER(Matrix!$D$6) &amp; "_" &amp; $C44,"")</f>
        <v/>
      </c>
      <c r="F44" s="186"/>
      <c r="G44" s="74" t="str">
        <f t="shared" si="1"/>
        <v/>
      </c>
      <c r="O44" s="184">
        <v>10</v>
      </c>
      <c r="P44" s="154"/>
      <c r="Q44" s="154"/>
      <c r="R44" s="186"/>
    </row>
    <row r="45" spans="2:18">
      <c r="B45" s="184">
        <v>11</v>
      </c>
      <c r="C45" s="154"/>
      <c r="D45" s="25"/>
      <c r="E45" s="74" t="str">
        <f>IF($C45&lt;&gt;"","ALERT_" &amp; UPPER(Matrix!$D$6) &amp; "_" &amp; $C45,"")</f>
        <v/>
      </c>
      <c r="F45" s="186"/>
      <c r="G45" s="74" t="str">
        <f t="shared" si="1"/>
        <v/>
      </c>
      <c r="O45" s="184">
        <v>11</v>
      </c>
      <c r="P45" s="154"/>
      <c r="Q45" s="154"/>
      <c r="R45" s="186"/>
    </row>
    <row r="46" spans="2:18">
      <c r="B46" s="184">
        <v>12</v>
      </c>
      <c r="C46" s="154"/>
      <c r="D46" s="25"/>
      <c r="E46" s="74" t="str">
        <f>IF($C46&lt;&gt;"","ALERT_" &amp; UPPER(Matrix!$D$6) &amp; "_" &amp; $C46,"")</f>
        <v/>
      </c>
      <c r="F46" s="186"/>
      <c r="G46" s="74" t="str">
        <f t="shared" si="1"/>
        <v/>
      </c>
      <c r="O46" s="184">
        <v>12</v>
      </c>
      <c r="P46" s="154"/>
      <c r="Q46" s="154"/>
      <c r="R46" s="186"/>
    </row>
    <row r="47" spans="2:18">
      <c r="B47" s="184">
        <v>13</v>
      </c>
      <c r="C47" s="154"/>
      <c r="D47" s="25"/>
      <c r="E47" s="74" t="str">
        <f>IF($C47&lt;&gt;"","ALERT_" &amp; UPPER(Matrix!$D$6) &amp; "_" &amp; $C47,"")</f>
        <v/>
      </c>
      <c r="F47" s="186"/>
      <c r="G47" s="74" t="str">
        <f t="shared" si="1"/>
        <v/>
      </c>
      <c r="O47" s="184">
        <v>13</v>
      </c>
      <c r="P47" s="154"/>
      <c r="Q47" s="154"/>
      <c r="R47" s="186"/>
    </row>
    <row r="48" spans="2:18">
      <c r="B48" s="184">
        <v>14</v>
      </c>
      <c r="C48" s="154"/>
      <c r="D48" s="25"/>
      <c r="E48" s="74" t="str">
        <f>IF($C48&lt;&gt;"","ALERT_" &amp; UPPER(Matrix!$D$6) &amp; "_" &amp; $C48,"")</f>
        <v/>
      </c>
      <c r="F48" s="186"/>
      <c r="G48" s="74" t="str">
        <f t="shared" si="1"/>
        <v/>
      </c>
      <c r="O48" s="184">
        <v>14</v>
      </c>
      <c r="P48" s="154"/>
      <c r="Q48" s="154"/>
      <c r="R48" s="186"/>
    </row>
    <row r="49" spans="2:18">
      <c r="B49" s="184">
        <v>15</v>
      </c>
      <c r="C49" s="154"/>
      <c r="D49" s="25"/>
      <c r="E49" s="74" t="str">
        <f>IF($C49&lt;&gt;"","ALERT_" &amp; UPPER(Matrix!$D$6) &amp; "_" &amp; $C49,"")</f>
        <v/>
      </c>
      <c r="F49" s="186"/>
      <c r="G49" s="74" t="str">
        <f t="shared" si="1"/>
        <v/>
      </c>
      <c r="O49" s="184">
        <v>15</v>
      </c>
      <c r="P49" s="154"/>
      <c r="Q49" s="154"/>
      <c r="R49" s="186"/>
    </row>
    <row r="50" spans="2:18">
      <c r="B50" s="184">
        <v>16</v>
      </c>
      <c r="C50" s="154"/>
      <c r="D50" s="25"/>
      <c r="E50" s="74" t="str">
        <f>IF($C50&lt;&gt;"","ALERT_" &amp; UPPER(Matrix!$D$6) &amp; "_" &amp; $C50,"")</f>
        <v/>
      </c>
      <c r="F50" s="186"/>
      <c r="G50" s="74" t="str">
        <f t="shared" si="1"/>
        <v/>
      </c>
      <c r="O50" s="184">
        <v>16</v>
      </c>
      <c r="P50" s="154"/>
      <c r="Q50" s="154"/>
      <c r="R50" s="186"/>
    </row>
    <row r="51" spans="2:18">
      <c r="B51" s="184">
        <v>17</v>
      </c>
      <c r="C51" s="154"/>
      <c r="D51" s="25"/>
      <c r="E51" s="74" t="str">
        <f>IF($C51&lt;&gt;"","ALERT_" &amp; UPPER(Matrix!$D$6) &amp; "_" &amp; $C51,"")</f>
        <v/>
      </c>
      <c r="F51" s="186"/>
      <c r="G51" s="74" t="str">
        <f t="shared" si="1"/>
        <v/>
      </c>
      <c r="O51" s="184">
        <v>17</v>
      </c>
      <c r="P51" s="154"/>
      <c r="Q51" s="154"/>
      <c r="R51" s="186"/>
    </row>
    <row r="52" spans="2:18">
      <c r="B52" s="184">
        <v>18</v>
      </c>
      <c r="C52" s="154"/>
      <c r="D52" s="25"/>
      <c r="E52" s="74" t="str">
        <f>IF($C52&lt;&gt;"","ALERT_" &amp; UPPER(Matrix!$D$6) &amp; "_" &amp; $C52,"")</f>
        <v/>
      </c>
      <c r="F52" s="186"/>
      <c r="G52" s="74" t="str">
        <f t="shared" si="1"/>
        <v/>
      </c>
      <c r="O52" s="184">
        <v>18</v>
      </c>
      <c r="P52" s="154"/>
      <c r="Q52" s="154"/>
      <c r="R52" s="186"/>
    </row>
    <row r="53" spans="2:18">
      <c r="B53" s="184">
        <v>19</v>
      </c>
      <c r="C53" s="154"/>
      <c r="D53" s="25"/>
      <c r="E53" s="74" t="str">
        <f>IF($C53&lt;&gt;"","ALERT_" &amp; UPPER(Matrix!$D$6) &amp; "_" &amp; $C53,"")</f>
        <v/>
      </c>
      <c r="F53" s="186"/>
      <c r="G53" s="74" t="str">
        <f t="shared" si="1"/>
        <v/>
      </c>
      <c r="O53" s="184">
        <v>19</v>
      </c>
      <c r="P53" s="154"/>
      <c r="Q53" s="154"/>
      <c r="R53" s="186"/>
    </row>
    <row r="54" spans="2:18">
      <c r="B54" s="184">
        <v>20</v>
      </c>
      <c r="C54" s="154"/>
      <c r="D54" s="25"/>
      <c r="E54" s="74" t="str">
        <f>IF($C54&lt;&gt;"","ALERT_" &amp; UPPER(Matrix!$D$6) &amp; "_" &amp; $C54,"")</f>
        <v/>
      </c>
      <c r="F54" s="186"/>
      <c r="G54" s="74" t="str">
        <f t="shared" si="1"/>
        <v/>
      </c>
      <c r="O54" s="184">
        <v>20</v>
      </c>
      <c r="P54" s="154"/>
      <c r="Q54" s="154"/>
      <c r="R54" s="186"/>
    </row>
    <row r="55" spans="2:18">
      <c r="B55" s="184">
        <v>21</v>
      </c>
      <c r="C55" s="154"/>
      <c r="D55" s="25"/>
      <c r="E55" s="74" t="str">
        <f>IF($C55&lt;&gt;"","ALERT_" &amp; UPPER(Matrix!$D$6) &amp; "_" &amp; $C55,"")</f>
        <v/>
      </c>
      <c r="F55" s="186"/>
      <c r="G55" s="74" t="str">
        <f t="shared" si="1"/>
        <v/>
      </c>
      <c r="O55" s="184">
        <v>21</v>
      </c>
      <c r="P55" s="154"/>
      <c r="Q55" s="154"/>
      <c r="R55" s="186"/>
    </row>
    <row r="56" spans="2:18">
      <c r="B56" s="184">
        <v>22</v>
      </c>
      <c r="C56" s="154"/>
      <c r="D56" s="25"/>
      <c r="E56" s="74" t="str">
        <f>IF($C56&lt;&gt;"","ALERT_" &amp; UPPER(Matrix!$D$6) &amp; "_" &amp; $C56,"")</f>
        <v/>
      </c>
      <c r="F56" s="186"/>
      <c r="G56" s="74" t="str">
        <f t="shared" si="1"/>
        <v/>
      </c>
      <c r="O56" s="184">
        <v>22</v>
      </c>
      <c r="P56" s="154"/>
      <c r="Q56" s="154"/>
      <c r="R56" s="186"/>
    </row>
    <row r="57" spans="2:18">
      <c r="B57" s="184">
        <v>23</v>
      </c>
      <c r="C57" s="154"/>
      <c r="D57" s="25"/>
      <c r="E57" s="74" t="str">
        <f>IF($C57&lt;&gt;"","ALERT_" &amp; UPPER(Matrix!$D$6) &amp; "_" &amp; $C57,"")</f>
        <v/>
      </c>
      <c r="F57" s="186"/>
      <c r="G57" s="74" t="str">
        <f t="shared" si="1"/>
        <v/>
      </c>
      <c r="O57" s="184">
        <v>23</v>
      </c>
      <c r="P57" s="154"/>
      <c r="Q57" s="154"/>
      <c r="R57" s="186"/>
    </row>
    <row r="58" spans="2:18">
      <c r="B58" s="184">
        <v>24</v>
      </c>
      <c r="C58" s="154"/>
      <c r="D58" s="25"/>
      <c r="E58" s="74" t="str">
        <f>IF($C58&lt;&gt;"","ALERT_" &amp; UPPER(Matrix!$D$6) &amp; "_" &amp; $C58,"")</f>
        <v/>
      </c>
      <c r="F58" s="186"/>
      <c r="G58" s="74" t="str">
        <f t="shared" si="1"/>
        <v/>
      </c>
      <c r="O58" s="184">
        <v>24</v>
      </c>
      <c r="P58" s="154"/>
      <c r="Q58" s="154"/>
      <c r="R58" s="186"/>
    </row>
    <row r="59" spans="2:18" ht="15.75" thickBot="1">
      <c r="B59" s="185">
        <v>25</v>
      </c>
      <c r="C59" s="152"/>
      <c r="D59" s="61"/>
      <c r="E59" s="75" t="str">
        <f>IF($C59&lt;&gt;"","ALERT_" &amp; UPPER(Matrix!$D$6) &amp; "_" &amp; $C59,"")</f>
        <v/>
      </c>
      <c r="F59" s="187"/>
      <c r="G59" s="75" t="str">
        <f t="shared" si="1"/>
        <v/>
      </c>
      <c r="O59" s="185">
        <v>25</v>
      </c>
      <c r="P59" s="152"/>
      <c r="Q59" s="152"/>
      <c r="R59" s="18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 customWidth="1"/>
    <col min="9" max="9" width="12.42578125" customWidth="1"/>
    <col min="10" max="10" width="30.42578125" bestFit="1"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99" t="s">
        <v>104</v>
      </c>
    </row>
    <row r="2" spans="2:21" ht="15.75" thickBot="1">
      <c r="B2" s="107" t="s">
        <v>58</v>
      </c>
      <c r="C2" s="108" t="s">
        <v>122</v>
      </c>
      <c r="D2" s="109" t="s">
        <v>52</v>
      </c>
      <c r="E2" s="110" t="s">
        <v>53</v>
      </c>
      <c r="F2" s="111" t="s">
        <v>23</v>
      </c>
      <c r="G2" s="110" t="s">
        <v>54</v>
      </c>
      <c r="H2" s="111" t="s">
        <v>25</v>
      </c>
      <c r="I2" s="110" t="s">
        <v>55</v>
      </c>
      <c r="J2" s="111" t="s">
        <v>169</v>
      </c>
      <c r="K2" s="110" t="s">
        <v>56</v>
      </c>
      <c r="L2" s="111" t="s">
        <v>26</v>
      </c>
      <c r="M2" s="108" t="s">
        <v>57</v>
      </c>
      <c r="N2" s="111" t="s">
        <v>117</v>
      </c>
      <c r="O2" s="127" t="s">
        <v>83</v>
      </c>
    </row>
    <row r="3" spans="2:21" ht="16.5" hidden="1" thickTop="1" thickBot="1">
      <c r="B3" s="26"/>
      <c r="C3" s="58" t="s">
        <v>108</v>
      </c>
      <c r="D3" s="120"/>
      <c r="E3" s="12"/>
      <c r="F3" s="14"/>
      <c r="G3" s="12"/>
      <c r="H3" s="14"/>
      <c r="I3" s="12"/>
      <c r="J3" s="14"/>
      <c r="K3" s="12"/>
      <c r="L3" s="14"/>
      <c r="M3" s="59"/>
      <c r="N3" s="116"/>
      <c r="O3" s="128"/>
      <c r="U3" s="103" t="s">
        <v>98</v>
      </c>
    </row>
    <row r="4" spans="2:21" ht="15.75" thickTop="1">
      <c r="B4" s="26" t="s">
        <v>211</v>
      </c>
      <c r="C4" s="58" t="s">
        <v>78</v>
      </c>
      <c r="D4" s="120">
        <v>0</v>
      </c>
      <c r="E4" s="121" t="s">
        <v>128</v>
      </c>
      <c r="F4" s="122" t="s">
        <v>31</v>
      </c>
      <c r="G4" s="121" t="s">
        <v>128</v>
      </c>
      <c r="H4" s="122" t="s">
        <v>31</v>
      </c>
      <c r="I4" s="121" t="s">
        <v>128</v>
      </c>
      <c r="J4" s="122" t="s">
        <v>255</v>
      </c>
      <c r="K4" s="121" t="s">
        <v>128</v>
      </c>
      <c r="L4" s="122" t="s">
        <v>31</v>
      </c>
      <c r="M4" s="59">
        <f ca="1">LEN(N4)</f>
        <v>20</v>
      </c>
      <c r="N4" s="116" t="str">
        <f ca="1">VLOOKUP($B4,Matrix!$H$13:$I$37,2,FALSE)&amp;"_"&amp;C4</f>
        <v>ALERT_REQ_S_RTAN_ACT</v>
      </c>
      <c r="O4" s="128" t="str">
        <f t="shared" ref="O4:O35" ca="1" si="0">"#define "&amp;N4&amp;REPT(" ",48-M4)&amp;"("&amp;D4&amp;"U)"</f>
        <v>#define ALERT_REQ_S_RTAN_ACT                            (0U)</v>
      </c>
      <c r="U4" s="103" t="s">
        <v>98</v>
      </c>
    </row>
    <row r="5" spans="2:21">
      <c r="B5" s="26"/>
      <c r="C5" s="25"/>
      <c r="D5" s="123"/>
      <c r="E5" s="26"/>
      <c r="F5" s="124"/>
      <c r="G5" s="26"/>
      <c r="H5" s="124"/>
      <c r="I5" s="26"/>
      <c r="J5" s="124"/>
      <c r="K5" s="26"/>
      <c r="L5" s="124"/>
      <c r="M5" s="54" t="e">
        <f t="shared" ref="M5:M68" ca="1" si="1">LEN(N5)</f>
        <v>#N/A</v>
      </c>
      <c r="N5" s="116" t="e">
        <f ca="1">VLOOKUP($B5,Matrix!$H$13:$I$37,2,FALSE)&amp;"_"&amp;C5</f>
        <v>#N/A</v>
      </c>
      <c r="O5" s="129" t="e">
        <f t="shared" ca="1" si="0"/>
        <v>#N/A</v>
      </c>
      <c r="U5" s="101" t="s">
        <v>99</v>
      </c>
    </row>
    <row r="6" spans="2:21">
      <c r="B6" s="26"/>
      <c r="C6" s="58"/>
      <c r="D6" s="120"/>
      <c r="E6" s="26"/>
      <c r="F6" s="124"/>
      <c r="G6" s="26"/>
      <c r="H6" s="124"/>
      <c r="I6" s="26"/>
      <c r="J6" s="124"/>
      <c r="K6" s="26"/>
      <c r="L6" s="124"/>
      <c r="M6" s="54" t="e">
        <f t="shared" ca="1" si="1"/>
        <v>#N/A</v>
      </c>
      <c r="N6" s="116" t="e">
        <f ca="1">VLOOKUP($B6,Matrix!$H$13:$I$37,2,FALSE)&amp;"_"&amp;C6</f>
        <v>#N/A</v>
      </c>
      <c r="O6" s="129" t="e">
        <f t="shared" ca="1" si="0"/>
        <v>#N/A</v>
      </c>
      <c r="U6" s="32" t="s">
        <v>100</v>
      </c>
    </row>
    <row r="7" spans="2:21">
      <c r="B7" s="26"/>
      <c r="C7" s="25"/>
      <c r="D7" s="123"/>
      <c r="E7" s="26"/>
      <c r="F7" s="124"/>
      <c r="G7" s="26"/>
      <c r="H7" s="124"/>
      <c r="I7" s="26"/>
      <c r="J7" s="124"/>
      <c r="K7" s="26"/>
      <c r="L7" s="124"/>
      <c r="M7" s="54" t="e">
        <f t="shared" ca="1" si="1"/>
        <v>#N/A</v>
      </c>
      <c r="N7" s="116" t="e">
        <f ca="1">VLOOKUP($B7,Matrix!$H$13:$I$37,2,FALSE)&amp;"_"&amp;C7</f>
        <v>#N/A</v>
      </c>
      <c r="O7" s="129" t="e">
        <f t="shared" ca="1" si="0"/>
        <v>#N/A</v>
      </c>
      <c r="U7" s="32" t="s">
        <v>101</v>
      </c>
    </row>
    <row r="8" spans="2:21">
      <c r="B8" s="26"/>
      <c r="C8" s="25"/>
      <c r="D8" s="123"/>
      <c r="E8" s="26"/>
      <c r="F8" s="124"/>
      <c r="G8" s="26"/>
      <c r="H8" s="124"/>
      <c r="I8" s="26"/>
      <c r="J8" s="124"/>
      <c r="K8" s="26"/>
      <c r="L8" s="124"/>
      <c r="M8" s="54" t="e">
        <f t="shared" ca="1" si="1"/>
        <v>#N/A</v>
      </c>
      <c r="N8" s="116" t="e">
        <f ca="1">VLOOKUP($B8,Matrix!$H$13:$I$37,2,FALSE)&amp;"_"&amp;C8</f>
        <v>#N/A</v>
      </c>
      <c r="O8" s="129" t="e">
        <f t="shared" ca="1" si="0"/>
        <v>#N/A</v>
      </c>
      <c r="U8" s="32" t="s">
        <v>102</v>
      </c>
    </row>
    <row r="9" spans="2:21">
      <c r="B9" s="26"/>
      <c r="C9" s="25"/>
      <c r="D9" s="123"/>
      <c r="E9" s="26"/>
      <c r="F9" s="124"/>
      <c r="G9" s="26"/>
      <c r="H9" s="124"/>
      <c r="I9" s="26"/>
      <c r="J9" s="124"/>
      <c r="K9" s="26"/>
      <c r="L9" s="124"/>
      <c r="M9" s="54" t="e">
        <f t="shared" ca="1" si="1"/>
        <v>#N/A</v>
      </c>
      <c r="N9" s="116" t="e">
        <f ca="1">VLOOKUP($B9,Matrix!$H$13:$I$37,2,FALSE)&amp;"_"&amp;C9</f>
        <v>#N/A</v>
      </c>
      <c r="O9" s="129" t="e">
        <f t="shared" ca="1" si="0"/>
        <v>#N/A</v>
      </c>
      <c r="U9" s="32" t="s">
        <v>103</v>
      </c>
    </row>
    <row r="10" spans="2:21">
      <c r="B10" s="26"/>
      <c r="C10" s="25"/>
      <c r="D10" s="123"/>
      <c r="E10" s="26"/>
      <c r="F10" s="124"/>
      <c r="G10" s="26"/>
      <c r="H10" s="124"/>
      <c r="I10" s="26"/>
      <c r="J10" s="124"/>
      <c r="K10" s="26"/>
      <c r="L10" s="124"/>
      <c r="M10" s="54" t="e">
        <f t="shared" ca="1" si="1"/>
        <v>#N/A</v>
      </c>
      <c r="N10" s="116" t="e">
        <f ca="1">VLOOKUP($B10,Matrix!$H$13:$I$37,2,FALSE)&amp;"_"&amp;C10</f>
        <v>#N/A</v>
      </c>
      <c r="O10" s="129" t="e">
        <f t="shared" ca="1" si="0"/>
        <v>#N/A</v>
      </c>
      <c r="U10" s="32"/>
    </row>
    <row r="11" spans="2:21">
      <c r="B11" s="26"/>
      <c r="C11" s="25"/>
      <c r="D11" s="123"/>
      <c r="E11" s="26"/>
      <c r="F11" s="124"/>
      <c r="G11" s="26"/>
      <c r="H11" s="124"/>
      <c r="I11" s="26"/>
      <c r="J11" s="124"/>
      <c r="K11" s="26"/>
      <c r="L11" s="124"/>
      <c r="M11" s="54" t="e">
        <f t="shared" ca="1" si="1"/>
        <v>#N/A</v>
      </c>
      <c r="N11" s="116" t="e">
        <f ca="1">VLOOKUP($B11,Matrix!$H$13:$I$37,2,FALSE)&amp;"_"&amp;C11</f>
        <v>#N/A</v>
      </c>
      <c r="O11" s="129" t="e">
        <f t="shared" ca="1" si="0"/>
        <v>#N/A</v>
      </c>
      <c r="U11" s="32"/>
    </row>
    <row r="12" spans="2:21">
      <c r="B12" s="26"/>
      <c r="C12" s="25"/>
      <c r="D12" s="123"/>
      <c r="E12" s="26"/>
      <c r="F12" s="124"/>
      <c r="G12" s="26"/>
      <c r="H12" s="124"/>
      <c r="I12" s="26"/>
      <c r="J12" s="124"/>
      <c r="K12" s="26"/>
      <c r="L12" s="124"/>
      <c r="M12" s="54" t="e">
        <f t="shared" ca="1" si="1"/>
        <v>#N/A</v>
      </c>
      <c r="N12" s="116" t="e">
        <f ca="1">VLOOKUP($B12,Matrix!$H$13:$I$37,2,FALSE)&amp;"_"&amp;C12</f>
        <v>#N/A</v>
      </c>
      <c r="O12" s="129" t="e">
        <f t="shared" ca="1" si="0"/>
        <v>#N/A</v>
      </c>
      <c r="U12" s="32"/>
    </row>
    <row r="13" spans="2:21" ht="15.75" thickBot="1">
      <c r="B13" s="26"/>
      <c r="C13" s="25"/>
      <c r="D13" s="123"/>
      <c r="E13" s="26"/>
      <c r="F13" s="124"/>
      <c r="G13" s="26"/>
      <c r="H13" s="124"/>
      <c r="I13" s="26"/>
      <c r="J13" s="124"/>
      <c r="K13" s="26"/>
      <c r="L13" s="124"/>
      <c r="M13" s="54" t="e">
        <f t="shared" ca="1" si="1"/>
        <v>#N/A</v>
      </c>
      <c r="N13" s="116" t="e">
        <f ca="1">VLOOKUP($B13,Matrix!$H$13:$I$37,2,FALSE)&amp;"_"&amp;C13</f>
        <v>#N/A</v>
      </c>
      <c r="O13" s="129" t="e">
        <f t="shared" ca="1" si="0"/>
        <v>#N/A</v>
      </c>
      <c r="U13" s="102"/>
    </row>
    <row r="14" spans="2:21">
      <c r="B14" s="26"/>
      <c r="C14" s="25"/>
      <c r="D14" s="123"/>
      <c r="E14" s="26"/>
      <c r="F14" s="124"/>
      <c r="G14" s="26"/>
      <c r="H14" s="124"/>
      <c r="I14" s="26"/>
      <c r="J14" s="124"/>
      <c r="K14" s="26"/>
      <c r="L14" s="124"/>
      <c r="M14" s="54" t="e">
        <f t="shared" ca="1" si="1"/>
        <v>#N/A</v>
      </c>
      <c r="N14" s="116" t="e">
        <f ca="1">VLOOKUP($B14,Matrix!$H$13:$I$37,2,FALSE)&amp;"_"&amp;C14</f>
        <v>#N/A</v>
      </c>
      <c r="O14" s="129" t="e">
        <f t="shared" ca="1" si="0"/>
        <v>#N/A</v>
      </c>
    </row>
    <row r="15" spans="2:21">
      <c r="B15" s="26"/>
      <c r="C15" s="25"/>
      <c r="D15" s="123"/>
      <c r="E15" s="26"/>
      <c r="F15" s="124"/>
      <c r="G15" s="26"/>
      <c r="H15" s="124"/>
      <c r="I15" s="26"/>
      <c r="J15" s="124"/>
      <c r="K15" s="26"/>
      <c r="L15" s="124"/>
      <c r="M15" s="54" t="e">
        <f t="shared" ca="1" si="1"/>
        <v>#N/A</v>
      </c>
      <c r="N15" s="116" t="e">
        <f ca="1">VLOOKUP($B15,Matrix!$H$13:$I$37,2,FALSE)&amp;"_"&amp;C15</f>
        <v>#N/A</v>
      </c>
      <c r="O15" s="129" t="e">
        <f t="shared" ca="1" si="0"/>
        <v>#N/A</v>
      </c>
    </row>
    <row r="16" spans="2:21">
      <c r="B16" s="26"/>
      <c r="C16" s="25"/>
      <c r="D16" s="123"/>
      <c r="E16" s="26"/>
      <c r="F16" s="124"/>
      <c r="G16" s="26"/>
      <c r="H16" s="124"/>
      <c r="I16" s="26"/>
      <c r="J16" s="124"/>
      <c r="K16" s="26"/>
      <c r="L16" s="124"/>
      <c r="M16" s="54" t="e">
        <f t="shared" ca="1" si="1"/>
        <v>#N/A</v>
      </c>
      <c r="N16" s="116" t="e">
        <f ca="1">VLOOKUP($B16,Matrix!$H$13:$I$37,2,FALSE)&amp;"_"&amp;C16</f>
        <v>#N/A</v>
      </c>
      <c r="O16" s="129" t="e">
        <f t="shared" ca="1" si="0"/>
        <v>#N/A</v>
      </c>
    </row>
    <row r="17" spans="2:15">
      <c r="B17" s="26"/>
      <c r="C17" s="25"/>
      <c r="D17" s="123"/>
      <c r="E17" s="26"/>
      <c r="F17" s="124"/>
      <c r="G17" s="26"/>
      <c r="H17" s="124"/>
      <c r="I17" s="26"/>
      <c r="J17" s="124"/>
      <c r="K17" s="26"/>
      <c r="L17" s="124"/>
      <c r="M17" s="54" t="e">
        <f t="shared" ca="1" si="1"/>
        <v>#N/A</v>
      </c>
      <c r="N17" s="116" t="e">
        <f ca="1">VLOOKUP($B17,Matrix!$H$13:$I$37,2,FALSE)&amp;"_"&amp;C17</f>
        <v>#N/A</v>
      </c>
      <c r="O17" s="129" t="e">
        <f t="shared" ca="1" si="0"/>
        <v>#N/A</v>
      </c>
    </row>
    <row r="18" spans="2:15">
      <c r="B18" s="26"/>
      <c r="C18" s="25"/>
      <c r="D18" s="123"/>
      <c r="E18" s="26"/>
      <c r="F18" s="124"/>
      <c r="G18" s="26"/>
      <c r="H18" s="124"/>
      <c r="I18" s="26"/>
      <c r="J18" s="124"/>
      <c r="K18" s="26"/>
      <c r="L18" s="124"/>
      <c r="M18" s="54" t="e">
        <f t="shared" ca="1" si="1"/>
        <v>#N/A</v>
      </c>
      <c r="N18" s="116" t="e">
        <f ca="1">VLOOKUP($B18,Matrix!$H$13:$I$37,2,FALSE)&amp;"_"&amp;C18</f>
        <v>#N/A</v>
      </c>
      <c r="O18" s="129" t="e">
        <f t="shared" ca="1" si="0"/>
        <v>#N/A</v>
      </c>
    </row>
    <row r="19" spans="2:15">
      <c r="B19" s="26"/>
      <c r="C19" s="25"/>
      <c r="D19" s="123"/>
      <c r="E19" s="26"/>
      <c r="F19" s="124"/>
      <c r="G19" s="26"/>
      <c r="H19" s="124"/>
      <c r="I19" s="26"/>
      <c r="J19" s="124"/>
      <c r="K19" s="26"/>
      <c r="L19" s="124"/>
      <c r="M19" s="54" t="e">
        <f t="shared" ca="1" si="1"/>
        <v>#N/A</v>
      </c>
      <c r="N19" s="116" t="e">
        <f ca="1">VLOOKUP($B19,Matrix!$H$13:$I$37,2,FALSE)&amp;"_"&amp;C19</f>
        <v>#N/A</v>
      </c>
      <c r="O19" s="129" t="e">
        <f t="shared" ca="1" si="0"/>
        <v>#N/A</v>
      </c>
    </row>
    <row r="20" spans="2:15">
      <c r="B20" s="26"/>
      <c r="C20" s="25"/>
      <c r="D20" s="123"/>
      <c r="E20" s="26"/>
      <c r="F20" s="124"/>
      <c r="G20" s="26"/>
      <c r="H20" s="124"/>
      <c r="I20" s="26"/>
      <c r="J20" s="124"/>
      <c r="K20" s="26"/>
      <c r="L20" s="124"/>
      <c r="M20" s="54" t="e">
        <f t="shared" ca="1" si="1"/>
        <v>#N/A</v>
      </c>
      <c r="N20" s="116" t="e">
        <f ca="1">VLOOKUP($B20,Matrix!$H$13:$I$37,2,FALSE)&amp;"_"&amp;C20</f>
        <v>#N/A</v>
      </c>
      <c r="O20" s="129" t="e">
        <f t="shared" ca="1" si="0"/>
        <v>#N/A</v>
      </c>
    </row>
    <row r="21" spans="2:15">
      <c r="B21" s="26"/>
      <c r="C21" s="25"/>
      <c r="D21" s="123"/>
      <c r="E21" s="26"/>
      <c r="F21" s="124"/>
      <c r="G21" s="26"/>
      <c r="H21" s="124"/>
      <c r="I21" s="26"/>
      <c r="J21" s="124"/>
      <c r="K21" s="26"/>
      <c r="L21" s="124"/>
      <c r="M21" s="54" t="e">
        <f t="shared" ca="1" si="1"/>
        <v>#N/A</v>
      </c>
      <c r="N21" s="116" t="e">
        <f ca="1">VLOOKUP($B21,Matrix!$H$13:$I$37,2,FALSE)&amp;"_"&amp;C21</f>
        <v>#N/A</v>
      </c>
      <c r="O21" s="129" t="e">
        <f t="shared" ca="1" si="0"/>
        <v>#N/A</v>
      </c>
    </row>
    <row r="22" spans="2:15">
      <c r="B22" s="26"/>
      <c r="C22" s="25"/>
      <c r="D22" s="123"/>
      <c r="E22" s="26"/>
      <c r="F22" s="124"/>
      <c r="G22" s="26"/>
      <c r="H22" s="124"/>
      <c r="I22" s="26"/>
      <c r="J22" s="124"/>
      <c r="K22" s="26"/>
      <c r="L22" s="124"/>
      <c r="M22" s="54" t="e">
        <f t="shared" ca="1" si="1"/>
        <v>#N/A</v>
      </c>
      <c r="N22" s="116" t="e">
        <f ca="1">VLOOKUP($B22,Matrix!$H$13:$I$37,2,FALSE)&amp;"_"&amp;C22</f>
        <v>#N/A</v>
      </c>
      <c r="O22" s="129" t="e">
        <f t="shared" ca="1" si="0"/>
        <v>#N/A</v>
      </c>
    </row>
    <row r="23" spans="2:15">
      <c r="B23" s="26"/>
      <c r="C23" s="25"/>
      <c r="D23" s="123"/>
      <c r="E23" s="26"/>
      <c r="F23" s="124"/>
      <c r="G23" s="26"/>
      <c r="H23" s="124"/>
      <c r="I23" s="26"/>
      <c r="J23" s="124"/>
      <c r="K23" s="26"/>
      <c r="L23" s="124"/>
      <c r="M23" s="54" t="e">
        <f t="shared" ca="1" si="1"/>
        <v>#N/A</v>
      </c>
      <c r="N23" s="116" t="e">
        <f ca="1">VLOOKUP($B23,Matrix!$H$13:$I$37,2,FALSE)&amp;"_"&amp;C23</f>
        <v>#N/A</v>
      </c>
      <c r="O23" s="129" t="e">
        <f t="shared" ca="1" si="0"/>
        <v>#N/A</v>
      </c>
    </row>
    <row r="24" spans="2:15">
      <c r="B24" s="26"/>
      <c r="C24" s="25"/>
      <c r="D24" s="123"/>
      <c r="E24" s="26"/>
      <c r="F24" s="124"/>
      <c r="G24" s="26"/>
      <c r="H24" s="124"/>
      <c r="I24" s="26"/>
      <c r="J24" s="124"/>
      <c r="K24" s="26"/>
      <c r="L24" s="124"/>
      <c r="M24" s="54" t="e">
        <f t="shared" ca="1" si="1"/>
        <v>#N/A</v>
      </c>
      <c r="N24" s="116" t="e">
        <f ca="1">VLOOKUP($B24,Matrix!$H$13:$I$37,2,FALSE)&amp;"_"&amp;C24</f>
        <v>#N/A</v>
      </c>
      <c r="O24" s="129" t="e">
        <f t="shared" ca="1" si="0"/>
        <v>#N/A</v>
      </c>
    </row>
    <row r="25" spans="2:15">
      <c r="B25" s="26"/>
      <c r="C25" s="25"/>
      <c r="D25" s="123"/>
      <c r="E25" s="26"/>
      <c r="F25" s="124"/>
      <c r="G25" s="26"/>
      <c r="H25" s="124"/>
      <c r="I25" s="26"/>
      <c r="J25" s="124"/>
      <c r="K25" s="26"/>
      <c r="L25" s="124"/>
      <c r="M25" s="54" t="e">
        <f t="shared" ca="1" si="1"/>
        <v>#N/A</v>
      </c>
      <c r="N25" s="116" t="e">
        <f ca="1">VLOOKUP($B25,Matrix!$H$13:$I$37,2,FALSE)&amp;"_"&amp;C25</f>
        <v>#N/A</v>
      </c>
      <c r="O25" s="129" t="e">
        <f t="shared" ca="1" si="0"/>
        <v>#N/A</v>
      </c>
    </row>
    <row r="26" spans="2:15">
      <c r="B26" s="26"/>
      <c r="C26" s="25"/>
      <c r="D26" s="123"/>
      <c r="E26" s="26"/>
      <c r="F26" s="124"/>
      <c r="G26" s="26"/>
      <c r="H26" s="124"/>
      <c r="I26" s="26"/>
      <c r="J26" s="124"/>
      <c r="K26" s="26"/>
      <c r="L26" s="124"/>
      <c r="M26" s="54" t="e">
        <f t="shared" ca="1" si="1"/>
        <v>#N/A</v>
      </c>
      <c r="N26" s="116" t="e">
        <f ca="1">VLOOKUP($B26,Matrix!$H$13:$I$37,2,FALSE)&amp;"_"&amp;C26</f>
        <v>#N/A</v>
      </c>
      <c r="O26" s="129" t="e">
        <f t="shared" ca="1" si="0"/>
        <v>#N/A</v>
      </c>
    </row>
    <row r="27" spans="2:15">
      <c r="B27" s="26"/>
      <c r="C27" s="25"/>
      <c r="D27" s="123"/>
      <c r="E27" s="26"/>
      <c r="F27" s="124"/>
      <c r="G27" s="26"/>
      <c r="H27" s="124"/>
      <c r="I27" s="26"/>
      <c r="J27" s="124"/>
      <c r="K27" s="26"/>
      <c r="L27" s="124"/>
      <c r="M27" s="54" t="e">
        <f t="shared" ca="1" si="1"/>
        <v>#N/A</v>
      </c>
      <c r="N27" s="116" t="e">
        <f ca="1">VLOOKUP($B27,Matrix!$H$13:$I$37,2,FALSE)&amp;"_"&amp;C27</f>
        <v>#N/A</v>
      </c>
      <c r="O27" s="129" t="e">
        <f t="shared" ca="1" si="0"/>
        <v>#N/A</v>
      </c>
    </row>
    <row r="28" spans="2:15">
      <c r="B28" s="26"/>
      <c r="C28" s="25"/>
      <c r="D28" s="123"/>
      <c r="E28" s="26"/>
      <c r="F28" s="124"/>
      <c r="G28" s="26"/>
      <c r="H28" s="124"/>
      <c r="I28" s="26"/>
      <c r="J28" s="124"/>
      <c r="K28" s="26"/>
      <c r="L28" s="124"/>
      <c r="M28" s="54" t="e">
        <f t="shared" ca="1" si="1"/>
        <v>#N/A</v>
      </c>
      <c r="N28" s="116" t="e">
        <f ca="1">VLOOKUP($B28,Matrix!$H$13:$I$37,2,FALSE)&amp;"_"&amp;C28</f>
        <v>#N/A</v>
      </c>
      <c r="O28" s="129" t="e">
        <f t="shared" ca="1" si="0"/>
        <v>#N/A</v>
      </c>
    </row>
    <row r="29" spans="2:15">
      <c r="B29" s="26"/>
      <c r="C29" s="25"/>
      <c r="D29" s="123"/>
      <c r="E29" s="26"/>
      <c r="F29" s="124"/>
      <c r="G29" s="26"/>
      <c r="H29" s="124"/>
      <c r="I29" s="26"/>
      <c r="J29" s="124"/>
      <c r="K29" s="26"/>
      <c r="L29" s="124"/>
      <c r="M29" s="54" t="e">
        <f t="shared" ca="1" si="1"/>
        <v>#N/A</v>
      </c>
      <c r="N29" s="116" t="e">
        <f ca="1">VLOOKUP($B29,Matrix!$H$13:$I$37,2,FALSE)&amp;"_"&amp;C29</f>
        <v>#N/A</v>
      </c>
      <c r="O29" s="129" t="e">
        <f t="shared" ca="1" si="0"/>
        <v>#N/A</v>
      </c>
    </row>
    <row r="30" spans="2:15">
      <c r="B30" s="26"/>
      <c r="C30" s="25"/>
      <c r="D30" s="123"/>
      <c r="E30" s="26"/>
      <c r="F30" s="124"/>
      <c r="G30" s="26"/>
      <c r="H30" s="124"/>
      <c r="I30" s="26"/>
      <c r="J30" s="124"/>
      <c r="K30" s="26"/>
      <c r="L30" s="124"/>
      <c r="M30" s="54" t="e">
        <f t="shared" ca="1" si="1"/>
        <v>#N/A</v>
      </c>
      <c r="N30" s="116" t="e">
        <f ca="1">VLOOKUP($B30,Matrix!$H$13:$I$37,2,FALSE)&amp;"_"&amp;C30</f>
        <v>#N/A</v>
      </c>
      <c r="O30" s="129" t="e">
        <f t="shared" ca="1" si="0"/>
        <v>#N/A</v>
      </c>
    </row>
    <row r="31" spans="2:15">
      <c r="B31" s="26"/>
      <c r="C31" s="25"/>
      <c r="D31" s="123"/>
      <c r="E31" s="26"/>
      <c r="F31" s="124"/>
      <c r="G31" s="26"/>
      <c r="H31" s="124"/>
      <c r="I31" s="26"/>
      <c r="J31" s="124"/>
      <c r="K31" s="26"/>
      <c r="L31" s="124"/>
      <c r="M31" s="54" t="e">
        <f t="shared" ca="1" si="1"/>
        <v>#N/A</v>
      </c>
      <c r="N31" s="116" t="e">
        <f ca="1">VLOOKUP($B31,Matrix!$H$13:$I$37,2,FALSE)&amp;"_"&amp;C31</f>
        <v>#N/A</v>
      </c>
      <c r="O31" s="129" t="e">
        <f t="shared" ca="1" si="0"/>
        <v>#N/A</v>
      </c>
    </row>
    <row r="32" spans="2:15">
      <c r="B32" s="26"/>
      <c r="C32" s="25"/>
      <c r="D32" s="123"/>
      <c r="E32" s="26"/>
      <c r="F32" s="124"/>
      <c r="G32" s="26"/>
      <c r="H32" s="124"/>
      <c r="I32" s="26"/>
      <c r="J32" s="124"/>
      <c r="K32" s="26"/>
      <c r="L32" s="124"/>
      <c r="M32" s="54" t="e">
        <f t="shared" ca="1" si="1"/>
        <v>#N/A</v>
      </c>
      <c r="N32" s="116" t="e">
        <f ca="1">VLOOKUP($B32,Matrix!$H$13:$I$37,2,FALSE)&amp;"_"&amp;C32</f>
        <v>#N/A</v>
      </c>
      <c r="O32" s="129" t="e">
        <f t="shared" ca="1" si="0"/>
        <v>#N/A</v>
      </c>
    </row>
    <row r="33" spans="2:15">
      <c r="B33" s="26"/>
      <c r="C33" s="25"/>
      <c r="D33" s="123"/>
      <c r="E33" s="26"/>
      <c r="F33" s="124"/>
      <c r="G33" s="26"/>
      <c r="H33" s="124"/>
      <c r="I33" s="26"/>
      <c r="J33" s="124"/>
      <c r="K33" s="26"/>
      <c r="L33" s="124"/>
      <c r="M33" s="54" t="e">
        <f t="shared" ca="1" si="1"/>
        <v>#N/A</v>
      </c>
      <c r="N33" s="116" t="e">
        <f ca="1">VLOOKUP($B33,Matrix!$H$13:$I$37,2,FALSE)&amp;"_"&amp;C33</f>
        <v>#N/A</v>
      </c>
      <c r="O33" s="129" t="e">
        <f t="shared" ca="1" si="0"/>
        <v>#N/A</v>
      </c>
    </row>
    <row r="34" spans="2:15">
      <c r="B34" s="26"/>
      <c r="C34" s="25"/>
      <c r="D34" s="123"/>
      <c r="E34" s="26"/>
      <c r="F34" s="124"/>
      <c r="G34" s="26"/>
      <c r="H34" s="124"/>
      <c r="I34" s="26"/>
      <c r="J34" s="124"/>
      <c r="K34" s="26"/>
      <c r="L34" s="124"/>
      <c r="M34" s="54" t="e">
        <f t="shared" ca="1" si="1"/>
        <v>#N/A</v>
      </c>
      <c r="N34" s="116" t="e">
        <f ca="1">VLOOKUP($B34,Matrix!$H$13:$I$37,2,FALSE)&amp;"_"&amp;C34</f>
        <v>#N/A</v>
      </c>
      <c r="O34" s="129" t="e">
        <f t="shared" ca="1" si="0"/>
        <v>#N/A</v>
      </c>
    </row>
    <row r="35" spans="2:15">
      <c r="B35" s="26"/>
      <c r="C35" s="25"/>
      <c r="D35" s="123"/>
      <c r="E35" s="26"/>
      <c r="F35" s="124"/>
      <c r="G35" s="26"/>
      <c r="H35" s="124"/>
      <c r="I35" s="26"/>
      <c r="J35" s="124"/>
      <c r="K35" s="26"/>
      <c r="L35" s="124"/>
      <c r="M35" s="54" t="e">
        <f t="shared" ca="1" si="1"/>
        <v>#N/A</v>
      </c>
      <c r="N35" s="116" t="e">
        <f ca="1">VLOOKUP($B35,Matrix!$H$13:$I$37,2,FALSE)&amp;"_"&amp;C35</f>
        <v>#N/A</v>
      </c>
      <c r="O35" s="129" t="e">
        <f t="shared" ca="1" si="0"/>
        <v>#N/A</v>
      </c>
    </row>
    <row r="36" spans="2:15">
      <c r="B36" s="26"/>
      <c r="C36" s="25"/>
      <c r="D36" s="123"/>
      <c r="E36" s="26"/>
      <c r="F36" s="124"/>
      <c r="G36" s="26"/>
      <c r="H36" s="124"/>
      <c r="I36" s="26"/>
      <c r="J36" s="124"/>
      <c r="K36" s="26"/>
      <c r="L36" s="124"/>
      <c r="M36" s="54" t="e">
        <f t="shared" ca="1" si="1"/>
        <v>#N/A</v>
      </c>
      <c r="N36" s="116" t="e">
        <f ca="1">VLOOKUP($B36,Matrix!$H$13:$I$37,2,FALSE)&amp;"_"&amp;C36</f>
        <v>#N/A</v>
      </c>
      <c r="O36" s="129" t="e">
        <f t="shared" ref="O36:O67" ca="1" si="2">"#define "&amp;N36&amp;REPT(" ",48-M36)&amp;"("&amp;D36&amp;"U)"</f>
        <v>#N/A</v>
      </c>
    </row>
    <row r="37" spans="2:15">
      <c r="B37" s="26"/>
      <c r="C37" s="25"/>
      <c r="D37" s="123"/>
      <c r="E37" s="26"/>
      <c r="F37" s="124"/>
      <c r="G37" s="26"/>
      <c r="H37" s="124"/>
      <c r="I37" s="26"/>
      <c r="J37" s="124"/>
      <c r="K37" s="26"/>
      <c r="L37" s="124"/>
      <c r="M37" s="54" t="e">
        <f t="shared" ca="1" si="1"/>
        <v>#N/A</v>
      </c>
      <c r="N37" s="116" t="e">
        <f ca="1">VLOOKUP($B37,Matrix!$H$13:$I$37,2,FALSE)&amp;"_"&amp;C37</f>
        <v>#N/A</v>
      </c>
      <c r="O37" s="129" t="e">
        <f t="shared" ca="1" si="2"/>
        <v>#N/A</v>
      </c>
    </row>
    <row r="38" spans="2:15">
      <c r="B38" s="26"/>
      <c r="C38" s="25"/>
      <c r="D38" s="123"/>
      <c r="E38" s="26"/>
      <c r="F38" s="124"/>
      <c r="G38" s="26"/>
      <c r="H38" s="124"/>
      <c r="I38" s="26"/>
      <c r="J38" s="124"/>
      <c r="K38" s="26"/>
      <c r="L38" s="124"/>
      <c r="M38" s="54" t="e">
        <f t="shared" ca="1" si="1"/>
        <v>#N/A</v>
      </c>
      <c r="N38" s="116" t="e">
        <f ca="1">VLOOKUP($B38,Matrix!$H$13:$I$37,2,FALSE)&amp;"_"&amp;C38</f>
        <v>#N/A</v>
      </c>
      <c r="O38" s="129" t="e">
        <f t="shared" ca="1" si="2"/>
        <v>#N/A</v>
      </c>
    </row>
    <row r="39" spans="2:15">
      <c r="B39" s="26"/>
      <c r="C39" s="25"/>
      <c r="D39" s="123"/>
      <c r="E39" s="26"/>
      <c r="F39" s="124"/>
      <c r="G39" s="26"/>
      <c r="H39" s="124"/>
      <c r="I39" s="26"/>
      <c r="J39" s="124"/>
      <c r="K39" s="26"/>
      <c r="L39" s="124"/>
      <c r="M39" s="54" t="e">
        <f t="shared" ca="1" si="1"/>
        <v>#N/A</v>
      </c>
      <c r="N39" s="116" t="e">
        <f ca="1">VLOOKUP($B39,Matrix!$H$13:$I$37,2,FALSE)&amp;"_"&amp;C39</f>
        <v>#N/A</v>
      </c>
      <c r="O39" s="129" t="e">
        <f t="shared" ca="1" si="2"/>
        <v>#N/A</v>
      </c>
    </row>
    <row r="40" spans="2:15">
      <c r="B40" s="26"/>
      <c r="C40" s="25"/>
      <c r="D40" s="123"/>
      <c r="E40" s="26"/>
      <c r="F40" s="124"/>
      <c r="G40" s="26"/>
      <c r="H40" s="124"/>
      <c r="I40" s="26"/>
      <c r="J40" s="124"/>
      <c r="K40" s="26"/>
      <c r="L40" s="124"/>
      <c r="M40" s="54" t="e">
        <f t="shared" ca="1" si="1"/>
        <v>#N/A</v>
      </c>
      <c r="N40" s="116" t="e">
        <f ca="1">VLOOKUP($B40,Matrix!$H$13:$I$37,2,FALSE)&amp;"_"&amp;C40</f>
        <v>#N/A</v>
      </c>
      <c r="O40" s="129" t="e">
        <f t="shared" ca="1" si="2"/>
        <v>#N/A</v>
      </c>
    </row>
    <row r="41" spans="2:15">
      <c r="B41" s="26"/>
      <c r="C41" s="25"/>
      <c r="D41" s="123"/>
      <c r="E41" s="26"/>
      <c r="F41" s="124"/>
      <c r="G41" s="26"/>
      <c r="H41" s="124"/>
      <c r="I41" s="26"/>
      <c r="J41" s="124"/>
      <c r="K41" s="26"/>
      <c r="L41" s="124"/>
      <c r="M41" s="54" t="e">
        <f t="shared" ca="1" si="1"/>
        <v>#N/A</v>
      </c>
      <c r="N41" s="116" t="e">
        <f ca="1">VLOOKUP($B41,Matrix!$H$13:$I$37,2,FALSE)&amp;"_"&amp;C41</f>
        <v>#N/A</v>
      </c>
      <c r="O41" s="129" t="e">
        <f t="shared" ca="1" si="2"/>
        <v>#N/A</v>
      </c>
    </row>
    <row r="42" spans="2:15">
      <c r="B42" s="26"/>
      <c r="C42" s="25"/>
      <c r="D42" s="123"/>
      <c r="E42" s="26"/>
      <c r="F42" s="124"/>
      <c r="G42" s="26"/>
      <c r="H42" s="124"/>
      <c r="I42" s="26"/>
      <c r="J42" s="124"/>
      <c r="K42" s="26"/>
      <c r="L42" s="124"/>
      <c r="M42" s="54" t="e">
        <f t="shared" ca="1" si="1"/>
        <v>#N/A</v>
      </c>
      <c r="N42" s="116" t="e">
        <f ca="1">VLOOKUP($B42,Matrix!$H$13:$I$37,2,FALSE)&amp;"_"&amp;C42</f>
        <v>#N/A</v>
      </c>
      <c r="O42" s="129" t="e">
        <f t="shared" ca="1" si="2"/>
        <v>#N/A</v>
      </c>
    </row>
    <row r="43" spans="2:15">
      <c r="B43" s="26"/>
      <c r="C43" s="25"/>
      <c r="D43" s="123"/>
      <c r="E43" s="26"/>
      <c r="F43" s="124"/>
      <c r="G43" s="26"/>
      <c r="H43" s="124"/>
      <c r="I43" s="26"/>
      <c r="J43" s="124"/>
      <c r="K43" s="26"/>
      <c r="L43" s="124"/>
      <c r="M43" s="54" t="e">
        <f t="shared" ca="1" si="1"/>
        <v>#N/A</v>
      </c>
      <c r="N43" s="116" t="e">
        <f ca="1">VLOOKUP($B43,Matrix!$H$13:$I$37,2,FALSE)&amp;"_"&amp;C43</f>
        <v>#N/A</v>
      </c>
      <c r="O43" s="129" t="e">
        <f t="shared" ca="1" si="2"/>
        <v>#N/A</v>
      </c>
    </row>
    <row r="44" spans="2:15">
      <c r="B44" s="26"/>
      <c r="C44" s="25"/>
      <c r="D44" s="123"/>
      <c r="E44" s="26"/>
      <c r="F44" s="124"/>
      <c r="G44" s="26"/>
      <c r="H44" s="124"/>
      <c r="I44" s="26"/>
      <c r="J44" s="124"/>
      <c r="K44" s="26"/>
      <c r="L44" s="124"/>
      <c r="M44" s="54" t="e">
        <f t="shared" ca="1" si="1"/>
        <v>#N/A</v>
      </c>
      <c r="N44" s="116" t="e">
        <f ca="1">VLOOKUP($B44,Matrix!$H$13:$I$37,2,FALSE)&amp;"_"&amp;C44</f>
        <v>#N/A</v>
      </c>
      <c r="O44" s="129" t="e">
        <f t="shared" ca="1" si="2"/>
        <v>#N/A</v>
      </c>
    </row>
    <row r="45" spans="2:15">
      <c r="B45" s="26"/>
      <c r="C45" s="25"/>
      <c r="D45" s="123"/>
      <c r="E45" s="26"/>
      <c r="F45" s="124"/>
      <c r="G45" s="26"/>
      <c r="H45" s="124"/>
      <c r="I45" s="26"/>
      <c r="J45" s="124"/>
      <c r="K45" s="26"/>
      <c r="L45" s="124"/>
      <c r="M45" s="54" t="e">
        <f t="shared" ca="1" si="1"/>
        <v>#N/A</v>
      </c>
      <c r="N45" s="116" t="e">
        <f ca="1">VLOOKUP($B45,Matrix!$H$13:$I$37,2,FALSE)&amp;"_"&amp;C45</f>
        <v>#N/A</v>
      </c>
      <c r="O45" s="129" t="e">
        <f t="shared" ca="1" si="2"/>
        <v>#N/A</v>
      </c>
    </row>
    <row r="46" spans="2:15">
      <c r="B46" s="26"/>
      <c r="C46" s="25"/>
      <c r="D46" s="123"/>
      <c r="E46" s="26"/>
      <c r="F46" s="124"/>
      <c r="G46" s="26"/>
      <c r="H46" s="124"/>
      <c r="I46" s="26"/>
      <c r="J46" s="124"/>
      <c r="K46" s="26"/>
      <c r="L46" s="124"/>
      <c r="M46" s="54" t="e">
        <f t="shared" ca="1" si="1"/>
        <v>#N/A</v>
      </c>
      <c r="N46" s="116" t="e">
        <f ca="1">VLOOKUP($B46,Matrix!$H$13:$I$37,2,FALSE)&amp;"_"&amp;C46</f>
        <v>#N/A</v>
      </c>
      <c r="O46" s="129" t="e">
        <f t="shared" ca="1" si="2"/>
        <v>#N/A</v>
      </c>
    </row>
    <row r="47" spans="2:15">
      <c r="B47" s="26"/>
      <c r="C47" s="25"/>
      <c r="D47" s="123"/>
      <c r="E47" s="26"/>
      <c r="F47" s="124"/>
      <c r="G47" s="26"/>
      <c r="H47" s="124"/>
      <c r="I47" s="26"/>
      <c r="J47" s="124"/>
      <c r="K47" s="26"/>
      <c r="L47" s="124"/>
      <c r="M47" s="54" t="e">
        <f t="shared" ca="1" si="1"/>
        <v>#N/A</v>
      </c>
      <c r="N47" s="116" t="e">
        <f ca="1">VLOOKUP($B47,Matrix!$H$13:$I$37,2,FALSE)&amp;"_"&amp;C47</f>
        <v>#N/A</v>
      </c>
      <c r="O47" s="129" t="e">
        <f t="shared" ca="1" si="2"/>
        <v>#N/A</v>
      </c>
    </row>
    <row r="48" spans="2:15">
      <c r="B48" s="26"/>
      <c r="C48" s="25"/>
      <c r="D48" s="123"/>
      <c r="E48" s="26"/>
      <c r="F48" s="124"/>
      <c r="G48" s="26"/>
      <c r="H48" s="124"/>
      <c r="I48" s="26"/>
      <c r="J48" s="124"/>
      <c r="K48" s="26"/>
      <c r="L48" s="124"/>
      <c r="M48" s="54" t="e">
        <f t="shared" ca="1" si="1"/>
        <v>#N/A</v>
      </c>
      <c r="N48" s="116" t="e">
        <f ca="1">VLOOKUP($B48,Matrix!$H$13:$I$37,2,FALSE)&amp;"_"&amp;C48</f>
        <v>#N/A</v>
      </c>
      <c r="O48" s="129" t="e">
        <f t="shared" ca="1" si="2"/>
        <v>#N/A</v>
      </c>
    </row>
    <row r="49" spans="2:15">
      <c r="B49" s="26"/>
      <c r="C49" s="25"/>
      <c r="D49" s="123"/>
      <c r="E49" s="26"/>
      <c r="F49" s="124"/>
      <c r="G49" s="26"/>
      <c r="H49" s="124"/>
      <c r="I49" s="26"/>
      <c r="J49" s="124"/>
      <c r="K49" s="26"/>
      <c r="L49" s="124"/>
      <c r="M49" s="54" t="e">
        <f t="shared" ca="1" si="1"/>
        <v>#N/A</v>
      </c>
      <c r="N49" s="116" t="e">
        <f ca="1">VLOOKUP($B49,Matrix!$H$13:$I$37,2,FALSE)&amp;"_"&amp;C49</f>
        <v>#N/A</v>
      </c>
      <c r="O49" s="129" t="e">
        <f t="shared" ca="1" si="2"/>
        <v>#N/A</v>
      </c>
    </row>
    <row r="50" spans="2:15">
      <c r="B50" s="26"/>
      <c r="C50" s="25"/>
      <c r="D50" s="123"/>
      <c r="E50" s="26"/>
      <c r="F50" s="124"/>
      <c r="G50" s="26"/>
      <c r="H50" s="124"/>
      <c r="I50" s="26"/>
      <c r="J50" s="124"/>
      <c r="K50" s="26"/>
      <c r="L50" s="124"/>
      <c r="M50" s="54" t="e">
        <f t="shared" ca="1" si="1"/>
        <v>#N/A</v>
      </c>
      <c r="N50" s="116" t="e">
        <f ca="1">VLOOKUP($B50,Matrix!$H$13:$I$37,2,FALSE)&amp;"_"&amp;C50</f>
        <v>#N/A</v>
      </c>
      <c r="O50" s="129" t="e">
        <f t="shared" ca="1" si="2"/>
        <v>#N/A</v>
      </c>
    </row>
    <row r="51" spans="2:15">
      <c r="B51" s="26"/>
      <c r="C51" s="25"/>
      <c r="D51" s="123"/>
      <c r="E51" s="26"/>
      <c r="F51" s="124"/>
      <c r="G51" s="26"/>
      <c r="H51" s="124"/>
      <c r="I51" s="26"/>
      <c r="J51" s="124"/>
      <c r="K51" s="26"/>
      <c r="L51" s="124"/>
      <c r="M51" s="54" t="e">
        <f t="shared" ca="1" si="1"/>
        <v>#N/A</v>
      </c>
      <c r="N51" s="116" t="e">
        <f ca="1">VLOOKUP($B51,Matrix!$H$13:$I$37,2,FALSE)&amp;"_"&amp;C51</f>
        <v>#N/A</v>
      </c>
      <c r="O51" s="129" t="e">
        <f t="shared" ca="1" si="2"/>
        <v>#N/A</v>
      </c>
    </row>
    <row r="52" spans="2:15">
      <c r="B52" s="26"/>
      <c r="C52" s="25"/>
      <c r="D52" s="123"/>
      <c r="E52" s="26"/>
      <c r="F52" s="124"/>
      <c r="G52" s="26"/>
      <c r="H52" s="124"/>
      <c r="I52" s="26"/>
      <c r="J52" s="124"/>
      <c r="K52" s="26"/>
      <c r="L52" s="124"/>
      <c r="M52" s="54" t="e">
        <f t="shared" ca="1" si="1"/>
        <v>#N/A</v>
      </c>
      <c r="N52" s="116" t="e">
        <f ca="1">VLOOKUP($B52,Matrix!$H$13:$I$37,2,FALSE)&amp;"_"&amp;C52</f>
        <v>#N/A</v>
      </c>
      <c r="O52" s="129" t="e">
        <f t="shared" ca="1" si="2"/>
        <v>#N/A</v>
      </c>
    </row>
    <row r="53" spans="2:15">
      <c r="B53" s="26"/>
      <c r="C53" s="25"/>
      <c r="D53" s="123"/>
      <c r="E53" s="26"/>
      <c r="F53" s="124"/>
      <c r="G53" s="26"/>
      <c r="H53" s="124"/>
      <c r="I53" s="26"/>
      <c r="J53" s="124"/>
      <c r="K53" s="26"/>
      <c r="L53" s="124"/>
      <c r="M53" s="54" t="e">
        <f t="shared" ca="1" si="1"/>
        <v>#N/A</v>
      </c>
      <c r="N53" s="116" t="e">
        <f ca="1">VLOOKUP($B53,Matrix!$H$13:$I$37,2,FALSE)&amp;"_"&amp;C53</f>
        <v>#N/A</v>
      </c>
      <c r="O53" s="129" t="e">
        <f t="shared" ca="1" si="2"/>
        <v>#N/A</v>
      </c>
    </row>
    <row r="54" spans="2:15">
      <c r="B54" s="26"/>
      <c r="C54" s="25"/>
      <c r="D54" s="123"/>
      <c r="E54" s="26"/>
      <c r="F54" s="124"/>
      <c r="G54" s="26"/>
      <c r="H54" s="124"/>
      <c r="I54" s="26"/>
      <c r="J54" s="124"/>
      <c r="K54" s="26"/>
      <c r="L54" s="124"/>
      <c r="M54" s="54" t="e">
        <f t="shared" ca="1" si="1"/>
        <v>#N/A</v>
      </c>
      <c r="N54" s="116" t="e">
        <f ca="1">VLOOKUP($B54,Matrix!$H$13:$I$37,2,FALSE)&amp;"_"&amp;C54</f>
        <v>#N/A</v>
      </c>
      <c r="O54" s="129" t="e">
        <f t="shared" ca="1" si="2"/>
        <v>#N/A</v>
      </c>
    </row>
    <row r="55" spans="2:15">
      <c r="B55" s="26"/>
      <c r="C55" s="25"/>
      <c r="D55" s="123"/>
      <c r="E55" s="26"/>
      <c r="F55" s="124"/>
      <c r="G55" s="26"/>
      <c r="H55" s="124"/>
      <c r="I55" s="26"/>
      <c r="J55" s="124"/>
      <c r="K55" s="26"/>
      <c r="L55" s="124"/>
      <c r="M55" s="54" t="e">
        <f t="shared" ca="1" si="1"/>
        <v>#N/A</v>
      </c>
      <c r="N55" s="116" t="e">
        <f ca="1">VLOOKUP($B55,Matrix!$H$13:$I$37,2,FALSE)&amp;"_"&amp;C55</f>
        <v>#N/A</v>
      </c>
      <c r="O55" s="129" t="e">
        <f t="shared" ca="1" si="2"/>
        <v>#N/A</v>
      </c>
    </row>
    <row r="56" spans="2:15">
      <c r="B56" s="26"/>
      <c r="C56" s="25"/>
      <c r="D56" s="123"/>
      <c r="E56" s="26"/>
      <c r="F56" s="124"/>
      <c r="G56" s="26"/>
      <c r="H56" s="124"/>
      <c r="I56" s="26"/>
      <c r="J56" s="124"/>
      <c r="K56" s="26"/>
      <c r="L56" s="124"/>
      <c r="M56" s="54" t="e">
        <f t="shared" ca="1" si="1"/>
        <v>#N/A</v>
      </c>
      <c r="N56" s="116" t="e">
        <f ca="1">VLOOKUP($B56,Matrix!$H$13:$I$37,2,FALSE)&amp;"_"&amp;C56</f>
        <v>#N/A</v>
      </c>
      <c r="O56" s="129" t="e">
        <f t="shared" ca="1" si="2"/>
        <v>#N/A</v>
      </c>
    </row>
    <row r="57" spans="2:15">
      <c r="B57" s="26"/>
      <c r="C57" s="25"/>
      <c r="D57" s="123"/>
      <c r="E57" s="26"/>
      <c r="F57" s="124"/>
      <c r="G57" s="26"/>
      <c r="H57" s="124"/>
      <c r="I57" s="26"/>
      <c r="J57" s="124"/>
      <c r="K57" s="26"/>
      <c r="L57" s="124"/>
      <c r="M57" s="54" t="e">
        <f t="shared" ca="1" si="1"/>
        <v>#N/A</v>
      </c>
      <c r="N57" s="116" t="e">
        <f ca="1">VLOOKUP($B57,Matrix!$H$13:$I$37,2,FALSE)&amp;"_"&amp;C57</f>
        <v>#N/A</v>
      </c>
      <c r="O57" s="129" t="e">
        <f t="shared" ca="1" si="2"/>
        <v>#N/A</v>
      </c>
    </row>
    <row r="58" spans="2:15">
      <c r="B58" s="26"/>
      <c r="C58" s="25"/>
      <c r="D58" s="123"/>
      <c r="E58" s="26"/>
      <c r="F58" s="124"/>
      <c r="G58" s="26"/>
      <c r="H58" s="124"/>
      <c r="I58" s="26"/>
      <c r="J58" s="124"/>
      <c r="K58" s="26"/>
      <c r="L58" s="124"/>
      <c r="M58" s="54" t="e">
        <f t="shared" ca="1" si="1"/>
        <v>#N/A</v>
      </c>
      <c r="N58" s="116" t="e">
        <f ca="1">VLOOKUP($B58,Matrix!$H$13:$I$37,2,FALSE)&amp;"_"&amp;C58</f>
        <v>#N/A</v>
      </c>
      <c r="O58" s="129" t="e">
        <f t="shared" ca="1" si="2"/>
        <v>#N/A</v>
      </c>
    </row>
    <row r="59" spans="2:15">
      <c r="B59" s="26"/>
      <c r="C59" s="25"/>
      <c r="D59" s="123"/>
      <c r="E59" s="26"/>
      <c r="F59" s="124"/>
      <c r="G59" s="26"/>
      <c r="H59" s="124"/>
      <c r="I59" s="26"/>
      <c r="J59" s="124"/>
      <c r="K59" s="26"/>
      <c r="L59" s="124"/>
      <c r="M59" s="54" t="e">
        <f t="shared" ca="1" si="1"/>
        <v>#N/A</v>
      </c>
      <c r="N59" s="116" t="e">
        <f ca="1">VLOOKUP($B59,Matrix!$H$13:$I$37,2,FALSE)&amp;"_"&amp;C59</f>
        <v>#N/A</v>
      </c>
      <c r="O59" s="129" t="e">
        <f t="shared" ca="1" si="2"/>
        <v>#N/A</v>
      </c>
    </row>
    <row r="60" spans="2:15">
      <c r="B60" s="26"/>
      <c r="C60" s="25"/>
      <c r="D60" s="123"/>
      <c r="E60" s="26"/>
      <c r="F60" s="124"/>
      <c r="G60" s="26"/>
      <c r="H60" s="124"/>
      <c r="I60" s="26"/>
      <c r="J60" s="124"/>
      <c r="K60" s="26"/>
      <c r="L60" s="124"/>
      <c r="M60" s="54" t="e">
        <f t="shared" ca="1" si="1"/>
        <v>#N/A</v>
      </c>
      <c r="N60" s="116" t="e">
        <f ca="1">VLOOKUP($B60,Matrix!$H$13:$I$37,2,FALSE)&amp;"_"&amp;C60</f>
        <v>#N/A</v>
      </c>
      <c r="O60" s="129" t="e">
        <f t="shared" ca="1" si="2"/>
        <v>#N/A</v>
      </c>
    </row>
    <row r="61" spans="2:15">
      <c r="B61" s="26"/>
      <c r="C61" s="25"/>
      <c r="D61" s="123"/>
      <c r="E61" s="26"/>
      <c r="F61" s="124"/>
      <c r="G61" s="26"/>
      <c r="H61" s="124"/>
      <c r="I61" s="26"/>
      <c r="J61" s="124"/>
      <c r="K61" s="26"/>
      <c r="L61" s="124"/>
      <c r="M61" s="54" t="e">
        <f t="shared" ca="1" si="1"/>
        <v>#N/A</v>
      </c>
      <c r="N61" s="116" t="e">
        <f ca="1">VLOOKUP($B61,Matrix!$H$13:$I$37,2,FALSE)&amp;"_"&amp;C61</f>
        <v>#N/A</v>
      </c>
      <c r="O61" s="129" t="e">
        <f t="shared" ca="1" si="2"/>
        <v>#N/A</v>
      </c>
    </row>
    <row r="62" spans="2:15">
      <c r="B62" s="26"/>
      <c r="C62" s="25"/>
      <c r="D62" s="123"/>
      <c r="E62" s="26"/>
      <c r="F62" s="124"/>
      <c r="G62" s="26"/>
      <c r="H62" s="124"/>
      <c r="I62" s="26"/>
      <c r="J62" s="124"/>
      <c r="K62" s="26"/>
      <c r="L62" s="124"/>
      <c r="M62" s="54" t="e">
        <f t="shared" ca="1" si="1"/>
        <v>#N/A</v>
      </c>
      <c r="N62" s="116" t="e">
        <f ca="1">VLOOKUP($B62,Matrix!$H$13:$I$37,2,FALSE)&amp;"_"&amp;C62</f>
        <v>#N/A</v>
      </c>
      <c r="O62" s="129" t="e">
        <f t="shared" ca="1" si="2"/>
        <v>#N/A</v>
      </c>
    </row>
    <row r="63" spans="2:15">
      <c r="B63" s="26"/>
      <c r="C63" s="25"/>
      <c r="D63" s="123"/>
      <c r="E63" s="26"/>
      <c r="F63" s="124"/>
      <c r="G63" s="26"/>
      <c r="H63" s="124"/>
      <c r="I63" s="26"/>
      <c r="J63" s="124"/>
      <c r="K63" s="26"/>
      <c r="L63" s="124"/>
      <c r="M63" s="54" t="e">
        <f t="shared" ca="1" si="1"/>
        <v>#N/A</v>
      </c>
      <c r="N63" s="116" t="e">
        <f ca="1">VLOOKUP($B63,Matrix!$H$13:$I$37,2,FALSE)&amp;"_"&amp;C63</f>
        <v>#N/A</v>
      </c>
      <c r="O63" s="129" t="e">
        <f t="shared" ca="1" si="2"/>
        <v>#N/A</v>
      </c>
    </row>
    <row r="64" spans="2:15">
      <c r="B64" s="26"/>
      <c r="C64" s="25"/>
      <c r="D64" s="123"/>
      <c r="E64" s="26"/>
      <c r="F64" s="124"/>
      <c r="G64" s="26"/>
      <c r="H64" s="124"/>
      <c r="I64" s="26"/>
      <c r="J64" s="124"/>
      <c r="K64" s="26"/>
      <c r="L64" s="124"/>
      <c r="M64" s="54" t="e">
        <f t="shared" ca="1" si="1"/>
        <v>#N/A</v>
      </c>
      <c r="N64" s="116" t="e">
        <f ca="1">VLOOKUP($B64,Matrix!$H$13:$I$37,2,FALSE)&amp;"_"&amp;C64</f>
        <v>#N/A</v>
      </c>
      <c r="O64" s="129" t="e">
        <f t="shared" ca="1" si="2"/>
        <v>#N/A</v>
      </c>
    </row>
    <row r="65" spans="2:15">
      <c r="B65" s="26"/>
      <c r="C65" s="25"/>
      <c r="D65" s="123"/>
      <c r="E65" s="26"/>
      <c r="F65" s="124"/>
      <c r="G65" s="26"/>
      <c r="H65" s="124"/>
      <c r="I65" s="26"/>
      <c r="J65" s="124"/>
      <c r="K65" s="26"/>
      <c r="L65" s="124"/>
      <c r="M65" s="54" t="e">
        <f t="shared" ca="1" si="1"/>
        <v>#N/A</v>
      </c>
      <c r="N65" s="116" t="e">
        <f ca="1">VLOOKUP($B65,Matrix!$H$13:$I$37,2,FALSE)&amp;"_"&amp;C65</f>
        <v>#N/A</v>
      </c>
      <c r="O65" s="129" t="e">
        <f t="shared" ca="1" si="2"/>
        <v>#N/A</v>
      </c>
    </row>
    <row r="66" spans="2:15">
      <c r="B66" s="26"/>
      <c r="C66" s="25"/>
      <c r="D66" s="123"/>
      <c r="E66" s="26"/>
      <c r="F66" s="124"/>
      <c r="G66" s="26"/>
      <c r="H66" s="124"/>
      <c r="I66" s="26"/>
      <c r="J66" s="124"/>
      <c r="K66" s="26"/>
      <c r="L66" s="124"/>
      <c r="M66" s="54" t="e">
        <f t="shared" ca="1" si="1"/>
        <v>#N/A</v>
      </c>
      <c r="N66" s="116" t="e">
        <f ca="1">VLOOKUP($B66,Matrix!$H$13:$I$37,2,FALSE)&amp;"_"&amp;C66</f>
        <v>#N/A</v>
      </c>
      <c r="O66" s="129" t="e">
        <f t="shared" ca="1" si="2"/>
        <v>#N/A</v>
      </c>
    </row>
    <row r="67" spans="2:15">
      <c r="B67" s="26"/>
      <c r="C67" s="25"/>
      <c r="D67" s="123"/>
      <c r="E67" s="26"/>
      <c r="F67" s="124"/>
      <c r="G67" s="26"/>
      <c r="H67" s="124"/>
      <c r="I67" s="26"/>
      <c r="J67" s="124"/>
      <c r="K67" s="26"/>
      <c r="L67" s="124"/>
      <c r="M67" s="54" t="e">
        <f t="shared" ca="1" si="1"/>
        <v>#N/A</v>
      </c>
      <c r="N67" s="116" t="e">
        <f ca="1">VLOOKUP($B67,Matrix!$H$13:$I$37,2,FALSE)&amp;"_"&amp;C67</f>
        <v>#N/A</v>
      </c>
      <c r="O67" s="129" t="e">
        <f t="shared" ca="1" si="2"/>
        <v>#N/A</v>
      </c>
    </row>
    <row r="68" spans="2:15">
      <c r="B68" s="26"/>
      <c r="C68" s="25"/>
      <c r="D68" s="123"/>
      <c r="E68" s="26"/>
      <c r="F68" s="124"/>
      <c r="G68" s="26"/>
      <c r="H68" s="124"/>
      <c r="I68" s="26"/>
      <c r="J68" s="124"/>
      <c r="K68" s="26"/>
      <c r="L68" s="124"/>
      <c r="M68" s="54" t="e">
        <f t="shared" ca="1" si="1"/>
        <v>#N/A</v>
      </c>
      <c r="N68" s="116" t="e">
        <f ca="1">VLOOKUP($B68,Matrix!$H$13:$I$37,2,FALSE)&amp;"_"&amp;C68</f>
        <v>#N/A</v>
      </c>
      <c r="O68" s="129" t="e">
        <f t="shared" ref="O68:O99" ca="1" si="3">"#define "&amp;N68&amp;REPT(" ",48-M68)&amp;"("&amp;D68&amp;"U)"</f>
        <v>#N/A</v>
      </c>
    </row>
    <row r="69" spans="2:15">
      <c r="B69" s="26"/>
      <c r="C69" s="25"/>
      <c r="D69" s="123"/>
      <c r="E69" s="26"/>
      <c r="F69" s="124"/>
      <c r="G69" s="26"/>
      <c r="H69" s="124"/>
      <c r="I69" s="26"/>
      <c r="J69" s="124"/>
      <c r="K69" s="26"/>
      <c r="L69" s="124"/>
      <c r="M69" s="54" t="e">
        <f t="shared" ref="M69:M103" ca="1" si="4">LEN(N69)</f>
        <v>#N/A</v>
      </c>
      <c r="N69" s="116" t="e">
        <f ca="1">VLOOKUP($B69,Matrix!$H$13:$I$37,2,FALSE)&amp;"_"&amp;C69</f>
        <v>#N/A</v>
      </c>
      <c r="O69" s="129" t="e">
        <f t="shared" ca="1" si="3"/>
        <v>#N/A</v>
      </c>
    </row>
    <row r="70" spans="2:15">
      <c r="B70" s="26"/>
      <c r="C70" s="25"/>
      <c r="D70" s="123"/>
      <c r="E70" s="26"/>
      <c r="F70" s="124"/>
      <c r="G70" s="26"/>
      <c r="H70" s="124"/>
      <c r="I70" s="26"/>
      <c r="J70" s="124"/>
      <c r="K70" s="26"/>
      <c r="L70" s="124"/>
      <c r="M70" s="54" t="e">
        <f t="shared" ca="1" si="4"/>
        <v>#N/A</v>
      </c>
      <c r="N70" s="116" t="e">
        <f ca="1">VLOOKUP($B70,Matrix!$H$13:$I$37,2,FALSE)&amp;"_"&amp;C70</f>
        <v>#N/A</v>
      </c>
      <c r="O70" s="129" t="e">
        <f t="shared" ca="1" si="3"/>
        <v>#N/A</v>
      </c>
    </row>
    <row r="71" spans="2:15">
      <c r="B71" s="26"/>
      <c r="C71" s="25"/>
      <c r="D71" s="123"/>
      <c r="E71" s="26"/>
      <c r="F71" s="124"/>
      <c r="G71" s="26"/>
      <c r="H71" s="124"/>
      <c r="I71" s="26"/>
      <c r="J71" s="124"/>
      <c r="K71" s="26"/>
      <c r="L71" s="124"/>
      <c r="M71" s="54" t="e">
        <f t="shared" ca="1" si="4"/>
        <v>#N/A</v>
      </c>
      <c r="N71" s="116" t="e">
        <f ca="1">VLOOKUP($B71,Matrix!$H$13:$I$37,2,FALSE)&amp;"_"&amp;C71</f>
        <v>#N/A</v>
      </c>
      <c r="O71" s="129" t="e">
        <f t="shared" ca="1" si="3"/>
        <v>#N/A</v>
      </c>
    </row>
    <row r="72" spans="2:15">
      <c r="B72" s="26"/>
      <c r="C72" s="25"/>
      <c r="D72" s="123"/>
      <c r="E72" s="26"/>
      <c r="F72" s="124"/>
      <c r="G72" s="26"/>
      <c r="H72" s="124"/>
      <c r="I72" s="26"/>
      <c r="J72" s="124"/>
      <c r="K72" s="26"/>
      <c r="L72" s="124"/>
      <c r="M72" s="54" t="e">
        <f t="shared" ca="1" si="4"/>
        <v>#N/A</v>
      </c>
      <c r="N72" s="116" t="e">
        <f ca="1">VLOOKUP($B72,Matrix!$H$13:$I$37,2,FALSE)&amp;"_"&amp;C72</f>
        <v>#N/A</v>
      </c>
      <c r="O72" s="129" t="e">
        <f t="shared" ca="1" si="3"/>
        <v>#N/A</v>
      </c>
    </row>
    <row r="73" spans="2:15">
      <c r="B73" s="26"/>
      <c r="C73" s="25"/>
      <c r="D73" s="123"/>
      <c r="E73" s="26"/>
      <c r="F73" s="124"/>
      <c r="G73" s="26"/>
      <c r="H73" s="124"/>
      <c r="I73" s="26"/>
      <c r="J73" s="124"/>
      <c r="K73" s="26"/>
      <c r="L73" s="124"/>
      <c r="M73" s="54" t="e">
        <f t="shared" ca="1" si="4"/>
        <v>#N/A</v>
      </c>
      <c r="N73" s="116" t="e">
        <f ca="1">VLOOKUP($B73,Matrix!$H$13:$I$37,2,FALSE)&amp;"_"&amp;C73</f>
        <v>#N/A</v>
      </c>
      <c r="O73" s="129" t="e">
        <f t="shared" ca="1" si="3"/>
        <v>#N/A</v>
      </c>
    </row>
    <row r="74" spans="2:15">
      <c r="B74" s="26"/>
      <c r="C74" s="25"/>
      <c r="D74" s="123"/>
      <c r="E74" s="26"/>
      <c r="F74" s="124"/>
      <c r="G74" s="26"/>
      <c r="H74" s="124"/>
      <c r="I74" s="26"/>
      <c r="J74" s="124"/>
      <c r="K74" s="26"/>
      <c r="L74" s="124"/>
      <c r="M74" s="54" t="e">
        <f t="shared" ca="1" si="4"/>
        <v>#N/A</v>
      </c>
      <c r="N74" s="116" t="e">
        <f ca="1">VLOOKUP($B74,Matrix!$H$13:$I$37,2,FALSE)&amp;"_"&amp;C74</f>
        <v>#N/A</v>
      </c>
      <c r="O74" s="129" t="e">
        <f t="shared" ca="1" si="3"/>
        <v>#N/A</v>
      </c>
    </row>
    <row r="75" spans="2:15">
      <c r="B75" s="26"/>
      <c r="C75" s="25"/>
      <c r="D75" s="123"/>
      <c r="E75" s="26"/>
      <c r="F75" s="124"/>
      <c r="G75" s="26"/>
      <c r="H75" s="124"/>
      <c r="I75" s="26"/>
      <c r="J75" s="124"/>
      <c r="K75" s="26"/>
      <c r="L75" s="124"/>
      <c r="M75" s="54" t="e">
        <f t="shared" ca="1" si="4"/>
        <v>#N/A</v>
      </c>
      <c r="N75" s="116" t="e">
        <f ca="1">VLOOKUP($B75,Matrix!$H$13:$I$37,2,FALSE)&amp;"_"&amp;C75</f>
        <v>#N/A</v>
      </c>
      <c r="O75" s="129" t="e">
        <f t="shared" ca="1" si="3"/>
        <v>#N/A</v>
      </c>
    </row>
    <row r="76" spans="2:15">
      <c r="B76" s="26"/>
      <c r="C76" s="25"/>
      <c r="D76" s="123"/>
      <c r="E76" s="26"/>
      <c r="F76" s="124"/>
      <c r="G76" s="26"/>
      <c r="H76" s="124"/>
      <c r="I76" s="26"/>
      <c r="J76" s="124"/>
      <c r="K76" s="26"/>
      <c r="L76" s="124"/>
      <c r="M76" s="54" t="e">
        <f t="shared" ca="1" si="4"/>
        <v>#N/A</v>
      </c>
      <c r="N76" s="116" t="e">
        <f ca="1">VLOOKUP($B76,Matrix!$H$13:$I$37,2,FALSE)&amp;"_"&amp;C76</f>
        <v>#N/A</v>
      </c>
      <c r="O76" s="129" t="e">
        <f t="shared" ca="1" si="3"/>
        <v>#N/A</v>
      </c>
    </row>
    <row r="77" spans="2:15">
      <c r="B77" s="26"/>
      <c r="C77" s="25"/>
      <c r="D77" s="123"/>
      <c r="E77" s="26"/>
      <c r="F77" s="124"/>
      <c r="G77" s="26"/>
      <c r="H77" s="124"/>
      <c r="I77" s="26"/>
      <c r="J77" s="124"/>
      <c r="K77" s="26"/>
      <c r="L77" s="124"/>
      <c r="M77" s="54" t="e">
        <f t="shared" ca="1" si="4"/>
        <v>#N/A</v>
      </c>
      <c r="N77" s="116" t="e">
        <f ca="1">VLOOKUP($B77,Matrix!$H$13:$I$37,2,FALSE)&amp;"_"&amp;C77</f>
        <v>#N/A</v>
      </c>
      <c r="O77" s="129" t="e">
        <f t="shared" ca="1" si="3"/>
        <v>#N/A</v>
      </c>
    </row>
    <row r="78" spans="2:15">
      <c r="B78" s="26"/>
      <c r="C78" s="25"/>
      <c r="D78" s="123"/>
      <c r="E78" s="26"/>
      <c r="F78" s="124"/>
      <c r="G78" s="26"/>
      <c r="H78" s="124"/>
      <c r="I78" s="26"/>
      <c r="J78" s="124"/>
      <c r="K78" s="26"/>
      <c r="L78" s="124"/>
      <c r="M78" s="54" t="e">
        <f t="shared" ca="1" si="4"/>
        <v>#N/A</v>
      </c>
      <c r="N78" s="116" t="e">
        <f ca="1">VLOOKUP($B78,Matrix!$H$13:$I$37,2,FALSE)&amp;"_"&amp;C78</f>
        <v>#N/A</v>
      </c>
      <c r="O78" s="129" t="e">
        <f t="shared" ca="1" si="3"/>
        <v>#N/A</v>
      </c>
    </row>
    <row r="79" spans="2:15">
      <c r="B79" s="26"/>
      <c r="C79" s="25"/>
      <c r="D79" s="123"/>
      <c r="E79" s="26"/>
      <c r="F79" s="124"/>
      <c r="G79" s="26"/>
      <c r="H79" s="124"/>
      <c r="I79" s="26"/>
      <c r="J79" s="124"/>
      <c r="K79" s="26"/>
      <c r="L79" s="124"/>
      <c r="M79" s="54" t="e">
        <f t="shared" ca="1" si="4"/>
        <v>#N/A</v>
      </c>
      <c r="N79" s="116" t="e">
        <f ca="1">VLOOKUP($B79,Matrix!$H$13:$I$37,2,FALSE)&amp;"_"&amp;C79</f>
        <v>#N/A</v>
      </c>
      <c r="O79" s="129" t="e">
        <f t="shared" ca="1" si="3"/>
        <v>#N/A</v>
      </c>
    </row>
    <row r="80" spans="2:15">
      <c r="B80" s="26"/>
      <c r="C80" s="25"/>
      <c r="D80" s="123"/>
      <c r="E80" s="26"/>
      <c r="F80" s="124"/>
      <c r="G80" s="26"/>
      <c r="H80" s="124"/>
      <c r="I80" s="26"/>
      <c r="J80" s="124"/>
      <c r="K80" s="26"/>
      <c r="L80" s="124"/>
      <c r="M80" s="54" t="e">
        <f t="shared" ca="1" si="4"/>
        <v>#N/A</v>
      </c>
      <c r="N80" s="116" t="e">
        <f ca="1">VLOOKUP($B80,Matrix!$H$13:$I$37,2,FALSE)&amp;"_"&amp;C80</f>
        <v>#N/A</v>
      </c>
      <c r="O80" s="129" t="e">
        <f t="shared" ca="1" si="3"/>
        <v>#N/A</v>
      </c>
    </row>
    <row r="81" spans="2:15">
      <c r="B81" s="26"/>
      <c r="C81" s="25"/>
      <c r="D81" s="123"/>
      <c r="E81" s="26"/>
      <c r="F81" s="124"/>
      <c r="G81" s="26"/>
      <c r="H81" s="124"/>
      <c r="I81" s="26"/>
      <c r="J81" s="124"/>
      <c r="K81" s="26"/>
      <c r="L81" s="124"/>
      <c r="M81" s="54" t="e">
        <f t="shared" ca="1" si="4"/>
        <v>#N/A</v>
      </c>
      <c r="N81" s="116" t="e">
        <f ca="1">VLOOKUP($B81,Matrix!$H$13:$I$37,2,FALSE)&amp;"_"&amp;C81</f>
        <v>#N/A</v>
      </c>
      <c r="O81" s="129" t="e">
        <f t="shared" ca="1" si="3"/>
        <v>#N/A</v>
      </c>
    </row>
    <row r="82" spans="2:15">
      <c r="B82" s="26"/>
      <c r="C82" s="25"/>
      <c r="D82" s="123"/>
      <c r="E82" s="26"/>
      <c r="F82" s="124"/>
      <c r="G82" s="26"/>
      <c r="H82" s="124"/>
      <c r="I82" s="26"/>
      <c r="J82" s="124"/>
      <c r="K82" s="26"/>
      <c r="L82" s="124"/>
      <c r="M82" s="54" t="e">
        <f t="shared" ca="1" si="4"/>
        <v>#N/A</v>
      </c>
      <c r="N82" s="116" t="e">
        <f ca="1">VLOOKUP($B82,Matrix!$H$13:$I$37,2,FALSE)&amp;"_"&amp;C82</f>
        <v>#N/A</v>
      </c>
      <c r="O82" s="129" t="e">
        <f t="shared" ca="1" si="3"/>
        <v>#N/A</v>
      </c>
    </row>
    <row r="83" spans="2:15">
      <c r="B83" s="26"/>
      <c r="C83" s="25"/>
      <c r="D83" s="123"/>
      <c r="E83" s="26"/>
      <c r="F83" s="124"/>
      <c r="G83" s="26"/>
      <c r="H83" s="124"/>
      <c r="I83" s="26"/>
      <c r="J83" s="124"/>
      <c r="K83" s="26"/>
      <c r="L83" s="124"/>
      <c r="M83" s="54" t="e">
        <f t="shared" ca="1" si="4"/>
        <v>#N/A</v>
      </c>
      <c r="N83" s="116" t="e">
        <f ca="1">VLOOKUP($B83,Matrix!$H$13:$I$37,2,FALSE)&amp;"_"&amp;C83</f>
        <v>#N/A</v>
      </c>
      <c r="O83" s="129" t="e">
        <f t="shared" ca="1" si="3"/>
        <v>#N/A</v>
      </c>
    </row>
    <row r="84" spans="2:15">
      <c r="B84" s="26"/>
      <c r="C84" s="25"/>
      <c r="D84" s="123"/>
      <c r="E84" s="26"/>
      <c r="F84" s="124"/>
      <c r="G84" s="26"/>
      <c r="H84" s="124"/>
      <c r="I84" s="26"/>
      <c r="J84" s="124"/>
      <c r="K84" s="26"/>
      <c r="L84" s="124"/>
      <c r="M84" s="54" t="e">
        <f t="shared" ca="1" si="4"/>
        <v>#N/A</v>
      </c>
      <c r="N84" s="116" t="e">
        <f ca="1">VLOOKUP($B84,Matrix!$H$13:$I$37,2,FALSE)&amp;"_"&amp;C84</f>
        <v>#N/A</v>
      </c>
      <c r="O84" s="129" t="e">
        <f t="shared" ca="1" si="3"/>
        <v>#N/A</v>
      </c>
    </row>
    <row r="85" spans="2:15">
      <c r="B85" s="26"/>
      <c r="C85" s="25"/>
      <c r="D85" s="123"/>
      <c r="E85" s="26"/>
      <c r="F85" s="124"/>
      <c r="G85" s="26"/>
      <c r="H85" s="124"/>
      <c r="I85" s="26"/>
      <c r="J85" s="124"/>
      <c r="K85" s="26"/>
      <c r="L85" s="124"/>
      <c r="M85" s="54" t="e">
        <f t="shared" ca="1" si="4"/>
        <v>#N/A</v>
      </c>
      <c r="N85" s="116" t="e">
        <f ca="1">VLOOKUP($B85,Matrix!$H$13:$I$37,2,FALSE)&amp;"_"&amp;C85</f>
        <v>#N/A</v>
      </c>
      <c r="O85" s="129" t="e">
        <f t="shared" ca="1" si="3"/>
        <v>#N/A</v>
      </c>
    </row>
    <row r="86" spans="2:15">
      <c r="B86" s="26"/>
      <c r="C86" s="25"/>
      <c r="D86" s="123"/>
      <c r="E86" s="26"/>
      <c r="F86" s="124"/>
      <c r="G86" s="26"/>
      <c r="H86" s="124"/>
      <c r="I86" s="26"/>
      <c r="J86" s="124"/>
      <c r="K86" s="26"/>
      <c r="L86" s="124"/>
      <c r="M86" s="54" t="e">
        <f t="shared" ca="1" si="4"/>
        <v>#N/A</v>
      </c>
      <c r="N86" s="116" t="e">
        <f ca="1">VLOOKUP($B86,Matrix!$H$13:$I$37,2,FALSE)&amp;"_"&amp;C86</f>
        <v>#N/A</v>
      </c>
      <c r="O86" s="129" t="e">
        <f t="shared" ca="1" si="3"/>
        <v>#N/A</v>
      </c>
    </row>
    <row r="87" spans="2:15">
      <c r="B87" s="26"/>
      <c r="C87" s="25"/>
      <c r="D87" s="123"/>
      <c r="E87" s="26"/>
      <c r="F87" s="124"/>
      <c r="G87" s="26"/>
      <c r="H87" s="124"/>
      <c r="I87" s="26"/>
      <c r="J87" s="124"/>
      <c r="K87" s="26"/>
      <c r="L87" s="124"/>
      <c r="M87" s="54" t="e">
        <f t="shared" ca="1" si="4"/>
        <v>#N/A</v>
      </c>
      <c r="N87" s="74" t="e">
        <f ca="1">VLOOKUP($B87,Matrix!$H$13:$I$37,2,FALSE)&amp;"_"&amp;C87</f>
        <v>#N/A</v>
      </c>
      <c r="O87" s="129" t="e">
        <f t="shared" ca="1" si="3"/>
        <v>#N/A</v>
      </c>
    </row>
    <row r="88" spans="2:15">
      <c r="B88" s="26"/>
      <c r="C88" s="25"/>
      <c r="D88" s="123"/>
      <c r="E88" s="26"/>
      <c r="F88" s="124"/>
      <c r="G88" s="26"/>
      <c r="H88" s="124"/>
      <c r="I88" s="26"/>
      <c r="J88" s="124"/>
      <c r="K88" s="26"/>
      <c r="L88" s="124"/>
      <c r="M88" s="54" t="e">
        <f t="shared" ca="1" si="4"/>
        <v>#N/A</v>
      </c>
      <c r="N88" s="74" t="e">
        <f ca="1">VLOOKUP($B88,Matrix!$H$13:$I$37,2,FALSE)&amp;"_"&amp;C88</f>
        <v>#N/A</v>
      </c>
      <c r="O88" s="129" t="e">
        <f t="shared" ca="1" si="3"/>
        <v>#N/A</v>
      </c>
    </row>
    <row r="89" spans="2:15">
      <c r="B89" s="26"/>
      <c r="C89" s="25"/>
      <c r="D89" s="123"/>
      <c r="E89" s="26"/>
      <c r="F89" s="124"/>
      <c r="G89" s="26"/>
      <c r="H89" s="124"/>
      <c r="I89" s="26"/>
      <c r="J89" s="124"/>
      <c r="K89" s="26"/>
      <c r="L89" s="124"/>
      <c r="M89" s="54" t="e">
        <f t="shared" ca="1" si="4"/>
        <v>#N/A</v>
      </c>
      <c r="N89" s="74" t="e">
        <f ca="1">VLOOKUP($B89,Matrix!$H$13:$I$37,2,FALSE)&amp;"_"&amp;C89</f>
        <v>#N/A</v>
      </c>
      <c r="O89" s="129" t="e">
        <f t="shared" ca="1" si="3"/>
        <v>#N/A</v>
      </c>
    </row>
    <row r="90" spans="2:15">
      <c r="B90" s="26"/>
      <c r="C90" s="25"/>
      <c r="D90" s="123"/>
      <c r="E90" s="26"/>
      <c r="F90" s="124"/>
      <c r="G90" s="26"/>
      <c r="H90" s="124"/>
      <c r="I90" s="26"/>
      <c r="J90" s="124"/>
      <c r="K90" s="26"/>
      <c r="L90" s="124"/>
      <c r="M90" s="54" t="e">
        <f t="shared" ca="1" si="4"/>
        <v>#N/A</v>
      </c>
      <c r="N90" s="74" t="e">
        <f ca="1">VLOOKUP($B90,Matrix!$H$13:$I$37,2,FALSE)&amp;"_"&amp;C90</f>
        <v>#N/A</v>
      </c>
      <c r="O90" s="129" t="e">
        <f t="shared" ca="1" si="3"/>
        <v>#N/A</v>
      </c>
    </row>
    <row r="91" spans="2:15">
      <c r="B91" s="26"/>
      <c r="C91" s="25"/>
      <c r="D91" s="123"/>
      <c r="E91" s="26"/>
      <c r="F91" s="124"/>
      <c r="G91" s="26"/>
      <c r="H91" s="124"/>
      <c r="I91" s="26"/>
      <c r="J91" s="124"/>
      <c r="K91" s="26"/>
      <c r="L91" s="124"/>
      <c r="M91" s="54" t="e">
        <f t="shared" ca="1" si="4"/>
        <v>#N/A</v>
      </c>
      <c r="N91" s="74" t="e">
        <f ca="1">VLOOKUP($B91,Matrix!$H$13:$I$37,2,FALSE)&amp;"_"&amp;C91</f>
        <v>#N/A</v>
      </c>
      <c r="O91" s="129" t="e">
        <f t="shared" ca="1" si="3"/>
        <v>#N/A</v>
      </c>
    </row>
    <row r="92" spans="2:15">
      <c r="B92" s="26"/>
      <c r="C92" s="25"/>
      <c r="D92" s="123"/>
      <c r="E92" s="26"/>
      <c r="F92" s="124"/>
      <c r="G92" s="26"/>
      <c r="H92" s="124"/>
      <c r="I92" s="26"/>
      <c r="J92" s="124"/>
      <c r="K92" s="26"/>
      <c r="L92" s="124"/>
      <c r="M92" s="54" t="e">
        <f t="shared" ca="1" si="4"/>
        <v>#N/A</v>
      </c>
      <c r="N92" s="74" t="e">
        <f ca="1">VLOOKUP($B92,Matrix!$H$13:$I$37,2,FALSE)&amp;"_"&amp;C92</f>
        <v>#N/A</v>
      </c>
      <c r="O92" s="129" t="e">
        <f t="shared" ca="1" si="3"/>
        <v>#N/A</v>
      </c>
    </row>
    <row r="93" spans="2:15">
      <c r="B93" s="26"/>
      <c r="C93" s="25"/>
      <c r="D93" s="123"/>
      <c r="E93" s="26"/>
      <c r="F93" s="124"/>
      <c r="G93" s="26"/>
      <c r="H93" s="124"/>
      <c r="I93" s="26"/>
      <c r="J93" s="124"/>
      <c r="K93" s="26"/>
      <c r="L93" s="124"/>
      <c r="M93" s="54" t="e">
        <f t="shared" ca="1" si="4"/>
        <v>#N/A</v>
      </c>
      <c r="N93" s="74" t="e">
        <f ca="1">VLOOKUP($B93,Matrix!$H$13:$I$37,2,FALSE)&amp;"_"&amp;C93</f>
        <v>#N/A</v>
      </c>
      <c r="O93" s="129" t="e">
        <f t="shared" ca="1" si="3"/>
        <v>#N/A</v>
      </c>
    </row>
    <row r="94" spans="2:15">
      <c r="B94" s="26"/>
      <c r="C94" s="25"/>
      <c r="D94" s="123"/>
      <c r="E94" s="26"/>
      <c r="F94" s="124"/>
      <c r="G94" s="26"/>
      <c r="H94" s="124"/>
      <c r="I94" s="26"/>
      <c r="J94" s="124"/>
      <c r="K94" s="26"/>
      <c r="L94" s="124"/>
      <c r="M94" s="54" t="e">
        <f t="shared" ca="1" si="4"/>
        <v>#N/A</v>
      </c>
      <c r="N94" s="74" t="e">
        <f ca="1">VLOOKUP($B94,Matrix!$H$13:$I$37,2,FALSE)&amp;"_"&amp;C94</f>
        <v>#N/A</v>
      </c>
      <c r="O94" s="129" t="e">
        <f t="shared" ca="1" si="3"/>
        <v>#N/A</v>
      </c>
    </row>
    <row r="95" spans="2:15">
      <c r="B95" s="26"/>
      <c r="C95" s="25"/>
      <c r="D95" s="123"/>
      <c r="E95" s="26"/>
      <c r="F95" s="124"/>
      <c r="G95" s="26"/>
      <c r="H95" s="124"/>
      <c r="I95" s="26"/>
      <c r="J95" s="124"/>
      <c r="K95" s="26"/>
      <c r="L95" s="124"/>
      <c r="M95" s="54" t="e">
        <f t="shared" ca="1" si="4"/>
        <v>#N/A</v>
      </c>
      <c r="N95" s="74" t="e">
        <f ca="1">VLOOKUP($B95,Matrix!$H$13:$I$37,2,FALSE)&amp;"_"&amp;C95</f>
        <v>#N/A</v>
      </c>
      <c r="O95" s="129" t="e">
        <f t="shared" ca="1" si="3"/>
        <v>#N/A</v>
      </c>
    </row>
    <row r="96" spans="2:15">
      <c r="B96" s="26"/>
      <c r="C96" s="25"/>
      <c r="D96" s="123"/>
      <c r="E96" s="26"/>
      <c r="F96" s="124"/>
      <c r="G96" s="26"/>
      <c r="H96" s="124"/>
      <c r="I96" s="26"/>
      <c r="J96" s="124"/>
      <c r="K96" s="26"/>
      <c r="L96" s="124"/>
      <c r="M96" s="54" t="e">
        <f t="shared" ca="1" si="4"/>
        <v>#N/A</v>
      </c>
      <c r="N96" s="74" t="e">
        <f ca="1">VLOOKUP($B96,Matrix!$H$13:$I$37,2,FALSE)&amp;"_"&amp;C96</f>
        <v>#N/A</v>
      </c>
      <c r="O96" s="129" t="e">
        <f t="shared" ca="1" si="3"/>
        <v>#N/A</v>
      </c>
    </row>
    <row r="97" spans="2:15">
      <c r="B97" s="26"/>
      <c r="C97" s="25"/>
      <c r="D97" s="123"/>
      <c r="E97" s="26"/>
      <c r="F97" s="124"/>
      <c r="G97" s="26"/>
      <c r="H97" s="124"/>
      <c r="I97" s="26"/>
      <c r="J97" s="124"/>
      <c r="K97" s="26"/>
      <c r="L97" s="124"/>
      <c r="M97" s="54" t="e">
        <f t="shared" ca="1" si="4"/>
        <v>#N/A</v>
      </c>
      <c r="N97" s="74" t="e">
        <f ca="1">VLOOKUP($B97,Matrix!$H$13:$I$37,2,FALSE)&amp;"_"&amp;C97</f>
        <v>#N/A</v>
      </c>
      <c r="O97" s="129" t="e">
        <f t="shared" ca="1" si="3"/>
        <v>#N/A</v>
      </c>
    </row>
    <row r="98" spans="2:15">
      <c r="B98" s="26"/>
      <c r="C98" s="25"/>
      <c r="D98" s="123"/>
      <c r="E98" s="26"/>
      <c r="F98" s="124"/>
      <c r="G98" s="26"/>
      <c r="H98" s="124"/>
      <c r="I98" s="26"/>
      <c r="J98" s="124"/>
      <c r="K98" s="26"/>
      <c r="L98" s="124"/>
      <c r="M98" s="54" t="e">
        <f t="shared" ca="1" si="4"/>
        <v>#N/A</v>
      </c>
      <c r="N98" s="74" t="e">
        <f ca="1">VLOOKUP($B98,Matrix!$H$13:$I$37,2,FALSE)&amp;"_"&amp;C98</f>
        <v>#N/A</v>
      </c>
      <c r="O98" s="129" t="e">
        <f t="shared" ca="1" si="3"/>
        <v>#N/A</v>
      </c>
    </row>
    <row r="99" spans="2:15">
      <c r="B99" s="26"/>
      <c r="C99" s="25"/>
      <c r="D99" s="123"/>
      <c r="E99" s="26"/>
      <c r="F99" s="124"/>
      <c r="G99" s="26"/>
      <c r="H99" s="124"/>
      <c r="I99" s="26"/>
      <c r="J99" s="124"/>
      <c r="K99" s="26"/>
      <c r="L99" s="124"/>
      <c r="M99" s="54" t="e">
        <f t="shared" ca="1" si="4"/>
        <v>#N/A</v>
      </c>
      <c r="N99" s="74" t="e">
        <f ca="1">VLOOKUP($B99,Matrix!$H$13:$I$37,2,FALSE)&amp;"_"&amp;C99</f>
        <v>#N/A</v>
      </c>
      <c r="O99" s="129" t="e">
        <f t="shared" ca="1" si="3"/>
        <v>#N/A</v>
      </c>
    </row>
    <row r="100" spans="2:15">
      <c r="B100" s="26"/>
      <c r="C100" s="25"/>
      <c r="D100" s="123"/>
      <c r="E100" s="26"/>
      <c r="F100" s="124"/>
      <c r="G100" s="26"/>
      <c r="H100" s="124"/>
      <c r="I100" s="26"/>
      <c r="J100" s="124"/>
      <c r="K100" s="26"/>
      <c r="L100" s="124"/>
      <c r="M100" s="54" t="e">
        <f t="shared" ca="1" si="4"/>
        <v>#N/A</v>
      </c>
      <c r="N100" s="74" t="e">
        <f ca="1">VLOOKUP($B100,Matrix!$H$13:$I$37,2,FALSE)&amp;"_"&amp;C100</f>
        <v>#N/A</v>
      </c>
      <c r="O100" s="129" t="e">
        <f t="shared" ref="O100:O103" ca="1" si="5">"#define "&amp;N100&amp;REPT(" ",48-M100)&amp;"("&amp;D100&amp;"U)"</f>
        <v>#N/A</v>
      </c>
    </row>
    <row r="101" spans="2:15">
      <c r="B101" s="26"/>
      <c r="C101" s="25"/>
      <c r="D101" s="123"/>
      <c r="E101" s="26"/>
      <c r="F101" s="124"/>
      <c r="G101" s="26"/>
      <c r="H101" s="124"/>
      <c r="I101" s="26"/>
      <c r="J101" s="124"/>
      <c r="K101" s="26"/>
      <c r="L101" s="124"/>
      <c r="M101" s="54" t="e">
        <f t="shared" ca="1" si="4"/>
        <v>#N/A</v>
      </c>
      <c r="N101" s="74" t="e">
        <f ca="1">VLOOKUP($B101,Matrix!$H$13:$I$37,2,FALSE)&amp;"_"&amp;C101</f>
        <v>#N/A</v>
      </c>
      <c r="O101" s="129" t="e">
        <f t="shared" ca="1" si="5"/>
        <v>#N/A</v>
      </c>
    </row>
    <row r="102" spans="2:15">
      <c r="B102" s="26"/>
      <c r="C102" s="25"/>
      <c r="D102" s="123"/>
      <c r="E102" s="26"/>
      <c r="F102" s="124"/>
      <c r="G102" s="26"/>
      <c r="H102" s="124"/>
      <c r="I102" s="26"/>
      <c r="J102" s="124"/>
      <c r="K102" s="26"/>
      <c r="L102" s="124"/>
      <c r="M102" s="54" t="e">
        <f t="shared" ca="1" si="4"/>
        <v>#N/A</v>
      </c>
      <c r="N102" s="74" t="e">
        <f ca="1">VLOOKUP($B102,Matrix!$H$13:$I$37,2,FALSE)&amp;"_"&amp;C102</f>
        <v>#N/A</v>
      </c>
      <c r="O102" s="129" t="e">
        <f t="shared" ca="1" si="5"/>
        <v>#N/A</v>
      </c>
    </row>
    <row r="103" spans="2:15" ht="15.75" thickBot="1">
      <c r="B103" s="60"/>
      <c r="C103" s="61"/>
      <c r="D103" s="125"/>
      <c r="E103" s="60"/>
      <c r="F103" s="126"/>
      <c r="G103" s="60"/>
      <c r="H103" s="126"/>
      <c r="I103" s="60"/>
      <c r="J103" s="126"/>
      <c r="K103" s="60"/>
      <c r="L103" s="126"/>
      <c r="M103" s="62" t="e">
        <f t="shared" ca="1" si="4"/>
        <v>#N/A</v>
      </c>
      <c r="N103" s="75" t="e">
        <f ca="1">VLOOKUP($B103,Matrix!$H$13:$I$37,2,FALSE)&amp;"_"&amp;C103</f>
        <v>#N/A</v>
      </c>
      <c r="O103" s="130"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131" t="s">
        <v>123</v>
      </c>
      <c r="C2" s="244"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46" t="s">
        <v>155</v>
      </c>
    </row>
    <row r="3" spans="1:49" ht="213" customHeight="1" thickBot="1">
      <c r="B3" s="195" t="str">
        <f>IF(OR(IF(COUNTIF(D6:AC69,"0")&lt;&gt;0,TRUE,FALSE),IF(COUNTIF(D6:AC69,"1")&lt;&gt;0,TRUE,FALSE)),"Search Table","Index Table")</f>
        <v>Index Table</v>
      </c>
      <c r="C3" s="245"/>
      <c r="D3" s="133" t="s">
        <v>61</v>
      </c>
      <c r="E3" s="133" t="s">
        <v>66</v>
      </c>
      <c r="F3" s="133" t="s">
        <v>49</v>
      </c>
      <c r="G3" s="133" t="s">
        <v>48</v>
      </c>
      <c r="H3" s="133" t="s">
        <v>121</v>
      </c>
      <c r="I3" s="133" t="s">
        <v>120</v>
      </c>
      <c r="J3" s="133" t="s">
        <v>125</v>
      </c>
      <c r="K3" s="133" t="s">
        <v>124</v>
      </c>
      <c r="L3" s="134" t="s">
        <v>66</v>
      </c>
      <c r="M3" s="134" t="s">
        <v>62</v>
      </c>
      <c r="N3" s="134" t="s">
        <v>62</v>
      </c>
      <c r="O3" s="134" t="s">
        <v>62</v>
      </c>
      <c r="P3" s="134" t="s">
        <v>62</v>
      </c>
      <c r="Q3" s="134" t="s">
        <v>62</v>
      </c>
      <c r="R3" s="134" t="s">
        <v>204</v>
      </c>
      <c r="S3" s="134" t="s">
        <v>62</v>
      </c>
      <c r="T3" s="134" t="s">
        <v>62</v>
      </c>
      <c r="U3" s="134" t="s">
        <v>62</v>
      </c>
      <c r="V3" s="134" t="s">
        <v>62</v>
      </c>
      <c r="W3" s="134" t="s">
        <v>62</v>
      </c>
      <c r="X3" s="134" t="s">
        <v>62</v>
      </c>
      <c r="Y3" s="134" t="s">
        <v>62</v>
      </c>
      <c r="Z3" s="134" t="s">
        <v>62</v>
      </c>
      <c r="AA3" s="134" t="s">
        <v>62</v>
      </c>
      <c r="AB3" s="134" t="s">
        <v>157</v>
      </c>
      <c r="AC3" s="134" t="s">
        <v>62</v>
      </c>
      <c r="AD3" s="134" t="s">
        <v>157</v>
      </c>
      <c r="AE3" s="134" t="s">
        <v>62</v>
      </c>
      <c r="AF3" s="134" t="s">
        <v>62</v>
      </c>
      <c r="AG3" s="269" t="s">
        <v>212</v>
      </c>
      <c r="AH3" s="270"/>
      <c r="AI3" s="197" t="s">
        <v>214</v>
      </c>
      <c r="AJ3" s="247"/>
      <c r="AR3" s="100" t="s">
        <v>96</v>
      </c>
    </row>
    <row r="4" spans="1:49" ht="15.75" thickBot="1">
      <c r="A4" s="248" t="s">
        <v>63</v>
      </c>
      <c r="B4" s="249"/>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82</v>
      </c>
      <c r="AS4" s="89"/>
      <c r="AT4" s="89"/>
      <c r="AU4" s="89"/>
      <c r="AV4" s="89"/>
      <c r="AW4" s="90"/>
    </row>
    <row r="5" spans="1:49" ht="15.75" thickBot="1">
      <c r="A5" s="250"/>
      <c r="B5" s="251"/>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u4_sp_ALERT_S_RTAN_CRIT[ALERT_S_RTAN_NUM_DST] = {</v>
      </c>
      <c r="AS5" s="91" t="str">
        <f ca="1">"static const U4  "&amp;$AW$9&amp;"["&amp;$AW$10&amp;"] = {"</f>
        <v>static const U4  u4_sp_ALERT_S_RTAN_MASK[ALERT_S_RTAN_NUM_DST] = {</v>
      </c>
      <c r="AT5" s="91" t="str">
        <f ca="1">"static const U1  "&amp;$AW$11&amp;"["&amp;$AW$10&amp;"] = {"</f>
        <v>static const U1  u1_sp_ALERT_S_RTAN_DST[ALERT_S_RTAN_NUM_DST] = {</v>
      </c>
      <c r="AU5" s="91" t="str">
        <f ca="1">"const ST_ALERT_MTRX "&amp;$AW$12&amp;" = {"</f>
        <v>const ST_ALERT_MTRX st_gp_ALERT_S_RTAN_MTRX[1] = {</v>
      </c>
      <c r="AV5" s="71" t="str">
        <f ca="1">"#define "&amp;AW10&amp;REPT(" ",41-LEN(AW10))&amp;"("&amp;AW13&amp;"U)"</f>
        <v>#define ALERT_S_RTAN_NUM_DST                     (8U)</v>
      </c>
      <c r="AW5" s="72"/>
    </row>
    <row r="6" spans="1:49">
      <c r="B6" s="138" t="str">
        <f ca="1">"Table "&amp;$AW$6</f>
        <v>Table S_RTAN</v>
      </c>
      <c r="C6" s="59">
        <f>ROW()-ROW($C$6)</f>
        <v>0</v>
      </c>
      <c r="D6" s="38" t="s">
        <v>213</v>
      </c>
      <c r="E6" s="38" t="s">
        <v>213</v>
      </c>
      <c r="F6" s="38" t="s">
        <v>213</v>
      </c>
      <c r="G6" s="38" t="s">
        <v>213</v>
      </c>
      <c r="H6" s="38" t="s">
        <v>213</v>
      </c>
      <c r="I6" s="38" t="s">
        <v>213</v>
      </c>
      <c r="J6" s="38" t="s">
        <v>213</v>
      </c>
      <c r="K6" s="38" t="s">
        <v>213</v>
      </c>
      <c r="L6" s="38" t="s">
        <v>213</v>
      </c>
      <c r="M6" s="38" t="s">
        <v>213</v>
      </c>
      <c r="N6" s="38" t="s">
        <v>213</v>
      </c>
      <c r="O6" s="38" t="s">
        <v>213</v>
      </c>
      <c r="P6" s="38" t="s">
        <v>213</v>
      </c>
      <c r="Q6" s="38" t="s">
        <v>213</v>
      </c>
      <c r="R6" s="38" t="s">
        <v>213</v>
      </c>
      <c r="S6" s="38" t="s">
        <v>213</v>
      </c>
      <c r="T6" s="38" t="s">
        <v>213</v>
      </c>
      <c r="U6" s="38" t="s">
        <v>213</v>
      </c>
      <c r="V6" s="38" t="s">
        <v>213</v>
      </c>
      <c r="W6" s="38" t="s">
        <v>213</v>
      </c>
      <c r="X6" s="38" t="s">
        <v>213</v>
      </c>
      <c r="Y6" s="38" t="s">
        <v>213</v>
      </c>
      <c r="Z6" s="38" t="s">
        <v>213</v>
      </c>
      <c r="AA6" s="38" t="s">
        <v>213</v>
      </c>
      <c r="AB6" s="38" t="s">
        <v>213</v>
      </c>
      <c r="AC6" s="38" t="s">
        <v>213</v>
      </c>
      <c r="AD6" s="38" t="s">
        <v>213</v>
      </c>
      <c r="AE6" s="38" t="s">
        <v>213</v>
      </c>
      <c r="AF6" s="68" t="s">
        <v>213</v>
      </c>
      <c r="AG6" s="263">
        <v>0</v>
      </c>
      <c r="AH6" s="68">
        <v>0</v>
      </c>
      <c r="AI6" s="68">
        <v>0</v>
      </c>
      <c r="AJ6" s="58" t="s">
        <v>32</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68</v>
      </c>
      <c r="AV6" s="55" t="s">
        <v>70</v>
      </c>
      <c r="AW6" s="73" t="str">
        <f ca="1">UPPER(RIGHT(CELL("filename",A1),LEN(CELL("filename",A1))-FIND("]",CELL("filename",A1))))</f>
        <v>S_RTAN</v>
      </c>
    </row>
    <row r="7" spans="1:49">
      <c r="B7" s="138"/>
      <c r="C7" s="54">
        <f t="shared" ref="C7:C69" si="2">ROW()-ROW($C$6)</f>
        <v>1</v>
      </c>
      <c r="D7" s="68" t="s">
        <v>213</v>
      </c>
      <c r="E7" s="68" t="s">
        <v>213</v>
      </c>
      <c r="F7" s="68" t="s">
        <v>213</v>
      </c>
      <c r="G7" s="68" t="s">
        <v>213</v>
      </c>
      <c r="H7" s="68" t="s">
        <v>213</v>
      </c>
      <c r="I7" s="68" t="s">
        <v>213</v>
      </c>
      <c r="J7" s="68" t="s">
        <v>213</v>
      </c>
      <c r="K7" s="68" t="s">
        <v>213</v>
      </c>
      <c r="L7" s="68" t="s">
        <v>213</v>
      </c>
      <c r="M7" s="68" t="s">
        <v>213</v>
      </c>
      <c r="N7" s="68" t="s">
        <v>213</v>
      </c>
      <c r="O7" s="68" t="s">
        <v>213</v>
      </c>
      <c r="P7" s="68" t="s">
        <v>213</v>
      </c>
      <c r="Q7" s="68" t="s">
        <v>213</v>
      </c>
      <c r="R7" s="68" t="s">
        <v>213</v>
      </c>
      <c r="S7" s="68" t="s">
        <v>213</v>
      </c>
      <c r="T7" s="68" t="s">
        <v>213</v>
      </c>
      <c r="U7" s="68" t="s">
        <v>213</v>
      </c>
      <c r="V7" s="68" t="s">
        <v>213</v>
      </c>
      <c r="W7" s="68" t="s">
        <v>213</v>
      </c>
      <c r="X7" s="68" t="s">
        <v>213</v>
      </c>
      <c r="Y7" s="68" t="s">
        <v>213</v>
      </c>
      <c r="Z7" s="68" t="s">
        <v>213</v>
      </c>
      <c r="AA7" s="68" t="s">
        <v>213</v>
      </c>
      <c r="AB7" s="68" t="s">
        <v>213</v>
      </c>
      <c r="AC7" s="68" t="s">
        <v>213</v>
      </c>
      <c r="AD7" s="38" t="s">
        <v>213</v>
      </c>
      <c r="AE7" s="38" t="s">
        <v>213</v>
      </c>
      <c r="AF7" s="68" t="s">
        <v>213</v>
      </c>
      <c r="AG7" s="263">
        <v>0</v>
      </c>
      <c r="AH7" s="68">
        <v>0</v>
      </c>
      <c r="AI7" s="68">
        <v>1</v>
      </c>
      <c r="AJ7" s="25" t="s">
        <v>78</v>
      </c>
      <c r="AL7" t="str">
        <f t="shared" ca="1" si="0"/>
        <v xml:space="preserve">    (U1)ALERT_REQ_S_RTAN_ACT</v>
      </c>
      <c r="AR7" s="69" t="str">
        <f t="shared" ref="AR7:AR70" si="3">IF(AQ72&lt;&gt;"",AQ72,IF(AQ71&lt;&gt;"","};",""))</f>
        <v xml:space="preserve">    (U4)0x00000001U,                                                           /* 01 ACT                                             */</v>
      </c>
      <c r="AS7" s="69" t="str">
        <f t="shared" ref="AS7:AS70" si="4">IF(AQ137&lt;&gt;"",AQ137,IF(AQ136&lt;&gt;"","};",""))</f>
        <v xml:space="preserve">    (U4)0x00000007U,                                                           /* 01 ACT                                             */</v>
      </c>
      <c r="AT7" s="69" t="str">
        <f t="shared" ca="1" si="1"/>
        <v xml:space="preserve">    (U1)ALERT_REQ_S_RTAN_ACT,                                                  /* 01 ACT                                             */</v>
      </c>
      <c r="AU7" s="69" t="str">
        <f ca="1">"        &amp;"&amp;$AW$14&amp;","&amp;REPT(" ",69-LEN($AW$14))&amp;"/* fp_u4_SRC_CHK                                      */"</f>
        <v xml:space="preserve">        &amp;u4_s_AlertS_rtanSrcchk,                                               /* fp_u4_SRC_CHK                                      */</v>
      </c>
      <c r="AV7" s="56" t="s">
        <v>71</v>
      </c>
      <c r="AW7" s="137">
        <f>IF(B3="Search Table",1,0)</f>
        <v>0</v>
      </c>
    </row>
    <row r="8" spans="1:49">
      <c r="B8" s="138"/>
      <c r="C8" s="54">
        <f t="shared" si="2"/>
        <v>2</v>
      </c>
      <c r="D8" s="68" t="s">
        <v>213</v>
      </c>
      <c r="E8" s="68" t="s">
        <v>213</v>
      </c>
      <c r="F8" s="68" t="s">
        <v>213</v>
      </c>
      <c r="G8" s="68" t="s">
        <v>213</v>
      </c>
      <c r="H8" s="68" t="s">
        <v>213</v>
      </c>
      <c r="I8" s="68" t="s">
        <v>213</v>
      </c>
      <c r="J8" s="68" t="s">
        <v>213</v>
      </c>
      <c r="K8" s="68" t="s">
        <v>213</v>
      </c>
      <c r="L8" s="68" t="s">
        <v>213</v>
      </c>
      <c r="M8" s="68" t="s">
        <v>213</v>
      </c>
      <c r="N8" s="68" t="s">
        <v>213</v>
      </c>
      <c r="O8" s="68" t="s">
        <v>213</v>
      </c>
      <c r="P8" s="68" t="s">
        <v>213</v>
      </c>
      <c r="Q8" s="68" t="s">
        <v>213</v>
      </c>
      <c r="R8" s="68" t="s">
        <v>213</v>
      </c>
      <c r="S8" s="68" t="s">
        <v>213</v>
      </c>
      <c r="T8" s="68" t="s">
        <v>213</v>
      </c>
      <c r="U8" s="68" t="s">
        <v>213</v>
      </c>
      <c r="V8" s="68" t="s">
        <v>213</v>
      </c>
      <c r="W8" s="68" t="s">
        <v>213</v>
      </c>
      <c r="X8" s="68" t="s">
        <v>213</v>
      </c>
      <c r="Y8" s="68" t="s">
        <v>213</v>
      </c>
      <c r="Z8" s="68" t="s">
        <v>213</v>
      </c>
      <c r="AA8" s="68" t="s">
        <v>213</v>
      </c>
      <c r="AB8" s="68" t="s">
        <v>213</v>
      </c>
      <c r="AC8" s="68" t="s">
        <v>213</v>
      </c>
      <c r="AD8" s="68" t="s">
        <v>213</v>
      </c>
      <c r="AE8" s="68" t="s">
        <v>213</v>
      </c>
      <c r="AF8" s="68" t="s">
        <v>213</v>
      </c>
      <c r="AG8" s="263">
        <v>0</v>
      </c>
      <c r="AH8" s="68">
        <v>1</v>
      </c>
      <c r="AI8" s="68">
        <v>0</v>
      </c>
      <c r="AJ8" s="25" t="s">
        <v>32</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72</v>
      </c>
      <c r="AW8" s="74" t="str">
        <f ca="1">"u4_sp_ALERT_"&amp;IF(AW6&lt;&gt;AW17,$AW$17&amp;"_"&amp;$AW$6,AW17)&amp;"_CRIT"</f>
        <v>u4_sp_ALERT_S_RTAN_CRIT</v>
      </c>
    </row>
    <row r="9" spans="1:49">
      <c r="B9" s="138"/>
      <c r="C9" s="54">
        <f t="shared" si="2"/>
        <v>3</v>
      </c>
      <c r="D9" s="68" t="s">
        <v>213</v>
      </c>
      <c r="E9" s="68" t="s">
        <v>213</v>
      </c>
      <c r="F9" s="68" t="s">
        <v>213</v>
      </c>
      <c r="G9" s="68" t="s">
        <v>213</v>
      </c>
      <c r="H9" s="68" t="s">
        <v>213</v>
      </c>
      <c r="I9" s="68" t="s">
        <v>213</v>
      </c>
      <c r="J9" s="68" t="s">
        <v>213</v>
      </c>
      <c r="K9" s="68" t="s">
        <v>213</v>
      </c>
      <c r="L9" s="68" t="s">
        <v>213</v>
      </c>
      <c r="M9" s="68" t="s">
        <v>213</v>
      </c>
      <c r="N9" s="68" t="s">
        <v>213</v>
      </c>
      <c r="O9" s="68" t="s">
        <v>213</v>
      </c>
      <c r="P9" s="68" t="s">
        <v>213</v>
      </c>
      <c r="Q9" s="68" t="s">
        <v>213</v>
      </c>
      <c r="R9" s="68" t="s">
        <v>213</v>
      </c>
      <c r="S9" s="68" t="s">
        <v>213</v>
      </c>
      <c r="T9" s="68" t="s">
        <v>213</v>
      </c>
      <c r="U9" s="68" t="s">
        <v>213</v>
      </c>
      <c r="V9" s="68" t="s">
        <v>213</v>
      </c>
      <c r="W9" s="68" t="s">
        <v>213</v>
      </c>
      <c r="X9" s="68" t="s">
        <v>213</v>
      </c>
      <c r="Y9" s="68" t="s">
        <v>213</v>
      </c>
      <c r="Z9" s="68" t="s">
        <v>213</v>
      </c>
      <c r="AA9" s="68" t="s">
        <v>213</v>
      </c>
      <c r="AB9" s="68" t="s">
        <v>213</v>
      </c>
      <c r="AC9" s="68" t="s">
        <v>213</v>
      </c>
      <c r="AD9" s="68" t="s">
        <v>213</v>
      </c>
      <c r="AE9" s="68" t="s">
        <v>213</v>
      </c>
      <c r="AF9" s="68" t="s">
        <v>213</v>
      </c>
      <c r="AG9" s="263">
        <v>0</v>
      </c>
      <c r="AH9" s="68">
        <v>1</v>
      </c>
      <c r="AI9" s="68">
        <v>1</v>
      </c>
      <c r="AJ9" s="25" t="s">
        <v>32</v>
      </c>
      <c r="AL9" t="str">
        <f t="shared" si="0"/>
        <v xml:space="preserve">    (U1)ALERT_REQ_UNKNOWN</v>
      </c>
      <c r="AR9" s="69" t="str">
        <f t="shared" si="3"/>
        <v xml:space="preserve">    (U4)0x00000003U,                                                           /* 03 UNKNOWN                                         */</v>
      </c>
      <c r="AS9" s="69" t="str">
        <f t="shared" si="4"/>
        <v xml:space="preserve">    (U4)0x00000007U,                                                           /* 03 UNKNOWN                                         */</v>
      </c>
      <c r="AT9" s="69" t="str">
        <f t="shared" si="1"/>
        <v xml:space="preserve">    (U1)ALERT_REQ_UNKNOWN,                                                     /* 03 UNKNOWN                                         */</v>
      </c>
      <c r="AU9" s="69"/>
      <c r="AV9" s="56" t="s">
        <v>73</v>
      </c>
      <c r="AW9" s="74" t="str">
        <f ca="1">"u4_sp_ALERT_"&amp;IF(AW6&lt;&gt;AW17,$AW$17&amp;"_"&amp;$AW$6,AW17)&amp;"_MASK"</f>
        <v>u4_sp_ALERT_S_RTAN_MASK</v>
      </c>
    </row>
    <row r="10" spans="1:49">
      <c r="B10" s="138"/>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67</v>
      </c>
      <c r="AG10" s="263">
        <v>1</v>
      </c>
      <c r="AH10" s="263">
        <v>0</v>
      </c>
      <c r="AI10" s="263">
        <v>0</v>
      </c>
      <c r="AJ10" s="271" t="s">
        <v>32</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6" t="s">
        <v>74</v>
      </c>
      <c r="AW10" s="74" t="str">
        <f ca="1">"ALERT_"&amp;IF(AW6&lt;&gt;AW17,$AW$17&amp;"_"&amp;$AW$6,AW17)&amp;"_NUM_DST"</f>
        <v>ALERT_S_RTAN_NUM_DST</v>
      </c>
    </row>
    <row r="11" spans="1:49">
      <c r="B11" s="138"/>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67</v>
      </c>
      <c r="AG11" s="263">
        <v>1</v>
      </c>
      <c r="AH11" s="263">
        <v>0</v>
      </c>
      <c r="AI11" s="263">
        <v>1</v>
      </c>
      <c r="AJ11" s="271" t="s">
        <v>32</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6" t="s">
        <v>75</v>
      </c>
      <c r="AW11" s="74" t="str">
        <f ca="1">"u1_sp_ALERT_"&amp;IF(AW6&lt;&gt;AW17,$AW$17&amp;"_"&amp;$AW$6,AW17)&amp;"_DST"</f>
        <v>u1_sp_ALERT_S_RTAN_DST</v>
      </c>
    </row>
    <row r="12" spans="1:49">
      <c r="B12" s="138"/>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38" t="s">
        <v>67</v>
      </c>
      <c r="AF12" s="68" t="s">
        <v>67</v>
      </c>
      <c r="AG12" s="263">
        <v>1</v>
      </c>
      <c r="AH12" s="263">
        <v>1</v>
      </c>
      <c r="AI12" s="263">
        <v>0</v>
      </c>
      <c r="AJ12" s="271" t="s">
        <v>32</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6" t="s">
        <v>88</v>
      </c>
      <c r="AW12" s="74" t="str">
        <f ca="1">Matrix!D8&amp;"["&amp;Matrix!D7&amp;"]"</f>
        <v>st_gp_ALERT_S_RTAN_MTRX[1]</v>
      </c>
    </row>
    <row r="13" spans="1:49">
      <c r="B13" s="138"/>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67</v>
      </c>
      <c r="AG13" s="263">
        <v>1</v>
      </c>
      <c r="AH13" s="263">
        <v>1</v>
      </c>
      <c r="AI13" s="263">
        <v>1</v>
      </c>
      <c r="AJ13" s="271" t="s">
        <v>32</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&amp;u1_sp_ALERT_S_RTAN_DST[0],                                            /* u1p_DST                                            */</v>
      </c>
      <c r="AV13" s="56" t="s">
        <v>76</v>
      </c>
      <c r="AW13" s="137">
        <f>COUNTA($AJ$6:$AJ$69)</f>
        <v>8</v>
      </c>
    </row>
    <row r="14" spans="1:49">
      <c r="B14" s="138"/>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67</v>
      </c>
      <c r="AG14" s="68" t="s">
        <v>67</v>
      </c>
      <c r="AH14" s="68" t="s">
        <v>67</v>
      </c>
      <c r="AI14" s="68" t="s">
        <v>67</v>
      </c>
      <c r="AJ14" s="25"/>
      <c r="AL14" t="str">
        <f t="shared" ca="1" si="0"/>
        <v xml:space="preserve">    (U1)ALERT_REQ_S_RTAN_</v>
      </c>
      <c r="AR14" s="69" t="str">
        <f t="shared" si="3"/>
        <v>};</v>
      </c>
      <c r="AS14" s="69" t="str">
        <f t="shared" si="4"/>
        <v>};</v>
      </c>
      <c r="AT14" s="69" t="str">
        <f t="shared" si="1"/>
        <v>};</v>
      </c>
      <c r="AU14" s="69" t="str">
        <f ca="1">"        (U2)"&amp;$AW$10&amp;","&amp;REPT(" ",66-LEN($AW$10))&amp;"/* u2_num_srch                                        */"</f>
        <v xml:space="preserve">        (U2)ALERT_S_RTAN_NUM_DST,                                              /* u2_num_srch                                        */</v>
      </c>
      <c r="AV14" s="56" t="s">
        <v>77</v>
      </c>
      <c r="AW14" s="74" t="str">
        <f ca="1">IF(AW6&lt;&gt;AW17,VLOOKUP(AW6,Matrix!$C$13:$G$37,4,FALSE),Matrix!F13)</f>
        <v>u4_s_AlertS_rtanSrcchk</v>
      </c>
    </row>
    <row r="15" spans="1:49">
      <c r="B15" s="138"/>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67</v>
      </c>
      <c r="AG15" s="68" t="s">
        <v>67</v>
      </c>
      <c r="AH15" s="68" t="s">
        <v>67</v>
      </c>
      <c r="AI15" s="68" t="s">
        <v>67</v>
      </c>
      <c r="AJ15" s="25"/>
      <c r="AL15" t="str">
        <f t="shared" ca="1" si="0"/>
        <v xml:space="preserve">    (U1)ALERT_REQ_S_RTAN_</v>
      </c>
      <c r="AR15" s="69" t="str">
        <f t="shared" si="3"/>
        <v/>
      </c>
      <c r="AS15" s="69" t="str">
        <f t="shared" si="4"/>
        <v/>
      </c>
      <c r="AT15" s="69" t="str">
        <f t="shared" si="1"/>
        <v/>
      </c>
      <c r="AU15" s="69" t="str">
        <f ca="1">"        (U1)"&amp;$AW$16&amp;REPT(" ",67-LEN($AW$16))&amp;"/* u1_vom_act                                         */"</f>
        <v xml:space="preserve">        (U1)ALERT_VOM_IGN_ON                                                   /* u1_vom_act                                         */</v>
      </c>
      <c r="AV15" s="56" t="s">
        <v>80</v>
      </c>
      <c r="AW15" s="74" t="str">
        <f ca="1">IF(AW6&lt;&gt;AW17,VLOOKUP(AW6,Matrix!$C$13:$G$37,5,FALSE),Matrix!G13)</f>
        <v>NULL</v>
      </c>
    </row>
    <row r="16" spans="1:49">
      <c r="B16" s="138"/>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67</v>
      </c>
      <c r="AG16" s="68" t="s">
        <v>67</v>
      </c>
      <c r="AH16" s="68" t="s">
        <v>67</v>
      </c>
      <c r="AI16" s="68" t="s">
        <v>67</v>
      </c>
      <c r="AJ16" s="25"/>
      <c r="AL16" t="str">
        <f t="shared" ca="1" si="0"/>
        <v xml:space="preserve">    (U1)ALERT_REQ_S_RTAN_</v>
      </c>
      <c r="AR16" s="69" t="str">
        <f t="shared" si="3"/>
        <v/>
      </c>
      <c r="AS16" s="69" t="str">
        <f t="shared" si="4"/>
        <v/>
      </c>
      <c r="AT16" s="69" t="str">
        <f t="shared" si="1"/>
        <v/>
      </c>
      <c r="AU16" s="69" t="s">
        <v>69</v>
      </c>
      <c r="AV16" s="56" t="s">
        <v>78</v>
      </c>
      <c r="AW16" s="74" t="str">
        <f ca="1">IF(AW6&lt;&gt;AW17,VLOOKUP(AW6,Matrix!$C$13:$G$37,2,FALSE),Matrix!D13)</f>
        <v>ALERT_VOM_IGN_ON</v>
      </c>
    </row>
    <row r="17" spans="2:49" ht="15.75" thickBot="1">
      <c r="B17" s="138"/>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67</v>
      </c>
      <c r="AG17" s="68" t="s">
        <v>67</v>
      </c>
      <c r="AH17" s="68" t="s">
        <v>67</v>
      </c>
      <c r="AI17" s="68" t="s">
        <v>67</v>
      </c>
      <c r="AJ17" s="25"/>
      <c r="AL17" t="str">
        <f t="shared" ca="1" si="0"/>
        <v xml:space="preserve">    (U1)ALERT_REQ_S_RTAN_</v>
      </c>
      <c r="AR17" s="69" t="str">
        <f t="shared" si="3"/>
        <v/>
      </c>
      <c r="AS17" s="69" t="str">
        <f t="shared" si="4"/>
        <v/>
      </c>
      <c r="AT17" s="69" t="str">
        <f t="shared" si="1"/>
        <v/>
      </c>
      <c r="AU17" s="70" t="s">
        <v>81</v>
      </c>
      <c r="AV17" s="57" t="s">
        <v>79</v>
      </c>
      <c r="AW17" s="75" t="str">
        <f ca="1">UPPER(Matrix!$D$6)</f>
        <v>S_RTAN</v>
      </c>
    </row>
    <row r="18" spans="2:49">
      <c r="B18" s="138"/>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67</v>
      </c>
      <c r="AG18" s="68" t="s">
        <v>67</v>
      </c>
      <c r="AH18" s="68" t="s">
        <v>67</v>
      </c>
      <c r="AI18" s="68" t="s">
        <v>67</v>
      </c>
      <c r="AJ18" s="25"/>
      <c r="AL18" t="str">
        <f t="shared" ca="1" si="0"/>
        <v xml:space="preserve">    (U1)ALERT_REQ_S_RTAN_</v>
      </c>
      <c r="AR18" s="69" t="str">
        <f t="shared" si="3"/>
        <v/>
      </c>
      <c r="AS18" s="69" t="str">
        <f t="shared" si="4"/>
        <v/>
      </c>
      <c r="AT18" s="69" t="str">
        <f t="shared" si="1"/>
        <v/>
      </c>
    </row>
    <row r="19" spans="2:49">
      <c r="B19" s="138"/>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67</v>
      </c>
      <c r="AG19" s="68" t="s">
        <v>67</v>
      </c>
      <c r="AH19" s="68" t="s">
        <v>67</v>
      </c>
      <c r="AI19" s="68" t="s">
        <v>67</v>
      </c>
      <c r="AJ19" s="25"/>
      <c r="AL19" t="str">
        <f t="shared" ca="1" si="0"/>
        <v xml:space="preserve">    (U1)ALERT_REQ_S_RTAN_</v>
      </c>
      <c r="AR19" s="69" t="str">
        <f t="shared" si="3"/>
        <v/>
      </c>
      <c r="AS19" s="69" t="str">
        <f t="shared" si="4"/>
        <v/>
      </c>
      <c r="AT19" s="69" t="str">
        <f t="shared" si="1"/>
        <v/>
      </c>
    </row>
    <row r="20" spans="2:49">
      <c r="B20" s="138"/>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67</v>
      </c>
      <c r="AG20" s="68" t="s">
        <v>67</v>
      </c>
      <c r="AH20" s="68" t="s">
        <v>67</v>
      </c>
      <c r="AI20" s="68" t="s">
        <v>67</v>
      </c>
      <c r="AJ20" s="25"/>
      <c r="AL20" t="str">
        <f t="shared" ca="1" si="0"/>
        <v xml:space="preserve">    (U1)ALERT_REQ_S_RTAN_</v>
      </c>
      <c r="AR20" s="69" t="str">
        <f t="shared" si="3"/>
        <v/>
      </c>
      <c r="AS20" s="69" t="str">
        <f t="shared" si="4"/>
        <v/>
      </c>
      <c r="AT20" s="69" t="str">
        <f t="shared" si="1"/>
        <v/>
      </c>
    </row>
    <row r="21" spans="2:49">
      <c r="B21" s="138"/>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67</v>
      </c>
      <c r="AG21" s="68" t="s">
        <v>67</v>
      </c>
      <c r="AH21" s="68" t="s">
        <v>67</v>
      </c>
      <c r="AI21" s="68" t="s">
        <v>67</v>
      </c>
      <c r="AJ21" s="25"/>
      <c r="AL21" t="str">
        <f t="shared" ca="1" si="0"/>
        <v xml:space="preserve">    (U1)ALERT_REQ_S_RTAN_</v>
      </c>
      <c r="AR21" s="69" t="str">
        <f t="shared" si="3"/>
        <v/>
      </c>
      <c r="AS21" s="69" t="str">
        <f t="shared" si="4"/>
        <v/>
      </c>
      <c r="AT21" s="69" t="str">
        <f t="shared" si="1"/>
        <v/>
      </c>
    </row>
    <row r="22" spans="2:49">
      <c r="B22" s="138"/>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5"/>
      <c r="AL22" t="str">
        <f t="shared" ca="1" si="0"/>
        <v xml:space="preserve">    (U1)ALERT_REQ_S_RTAN_</v>
      </c>
      <c r="AR22" s="69" t="str">
        <f t="shared" si="3"/>
        <v/>
      </c>
      <c r="AS22" s="69" t="str">
        <f t="shared" si="4"/>
        <v/>
      </c>
      <c r="AT22" s="69" t="str">
        <f t="shared" si="1"/>
        <v/>
      </c>
    </row>
    <row r="23" spans="2:49">
      <c r="B23" s="138"/>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5"/>
      <c r="AL23" t="str">
        <f t="shared" ca="1" si="0"/>
        <v xml:space="preserve">    (U1)ALERT_REQ_S_RTAN_</v>
      </c>
      <c r="AR23" s="69" t="str">
        <f t="shared" si="3"/>
        <v/>
      </c>
      <c r="AS23" s="69" t="str">
        <f t="shared" si="4"/>
        <v/>
      </c>
      <c r="AT23" s="69" t="str">
        <f t="shared" si="1"/>
        <v/>
      </c>
    </row>
    <row r="24" spans="2:49">
      <c r="B24" s="138"/>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5"/>
      <c r="AL24" t="str">
        <f t="shared" ca="1" si="0"/>
        <v xml:space="preserve">    (U1)ALERT_REQ_S_RTAN_</v>
      </c>
      <c r="AR24" s="69" t="str">
        <f t="shared" si="3"/>
        <v/>
      </c>
      <c r="AS24" s="69" t="str">
        <f t="shared" si="4"/>
        <v/>
      </c>
      <c r="AT24" s="69" t="str">
        <f t="shared" si="1"/>
        <v/>
      </c>
    </row>
    <row r="25" spans="2:49">
      <c r="B25" s="138"/>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5"/>
      <c r="AL25" t="str">
        <f t="shared" ca="1" si="0"/>
        <v xml:space="preserve">    (U1)ALERT_REQ_S_RTAN_</v>
      </c>
      <c r="AR25" s="69" t="str">
        <f t="shared" si="3"/>
        <v/>
      </c>
      <c r="AS25" s="69" t="str">
        <f t="shared" si="4"/>
        <v/>
      </c>
      <c r="AT25" s="69" t="str">
        <f t="shared" si="1"/>
        <v/>
      </c>
    </row>
    <row r="26" spans="2:49">
      <c r="B26" s="138"/>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5"/>
      <c r="AL26" t="str">
        <f t="shared" ca="1" si="0"/>
        <v xml:space="preserve">    (U1)ALERT_REQ_S_RTAN_</v>
      </c>
      <c r="AR26" s="69" t="str">
        <f t="shared" si="3"/>
        <v/>
      </c>
      <c r="AS26" s="69" t="str">
        <f t="shared" si="4"/>
        <v/>
      </c>
      <c r="AT26" s="69" t="str">
        <f t="shared" si="1"/>
        <v/>
      </c>
    </row>
    <row r="27" spans="2:49">
      <c r="B27" s="138"/>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5"/>
      <c r="AL27" t="str">
        <f t="shared" ca="1" si="0"/>
        <v xml:space="preserve">    (U1)ALERT_REQ_S_RTAN_</v>
      </c>
      <c r="AR27" s="69" t="str">
        <f t="shared" si="3"/>
        <v/>
      </c>
      <c r="AS27" s="69" t="str">
        <f t="shared" si="4"/>
        <v/>
      </c>
      <c r="AT27" s="69" t="str">
        <f t="shared" si="1"/>
        <v/>
      </c>
    </row>
    <row r="28" spans="2:49">
      <c r="B28" s="138"/>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5"/>
      <c r="AL28" t="str">
        <f t="shared" ca="1" si="0"/>
        <v xml:space="preserve">    (U1)ALERT_REQ_S_RTAN_</v>
      </c>
      <c r="AR28" s="69" t="str">
        <f t="shared" si="3"/>
        <v/>
      </c>
      <c r="AS28" s="69" t="str">
        <f t="shared" si="4"/>
        <v/>
      </c>
      <c r="AT28" s="69" t="str">
        <f t="shared" si="1"/>
        <v/>
      </c>
    </row>
    <row r="29" spans="2:49">
      <c r="B29" s="138"/>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5"/>
      <c r="AL29" t="str">
        <f t="shared" ca="1" si="0"/>
        <v xml:space="preserve">    (U1)ALERT_REQ_S_RTAN_</v>
      </c>
      <c r="AR29" s="69" t="str">
        <f t="shared" si="3"/>
        <v/>
      </c>
      <c r="AS29" s="69" t="str">
        <f t="shared" si="4"/>
        <v/>
      </c>
      <c r="AT29" s="69" t="str">
        <f t="shared" si="1"/>
        <v/>
      </c>
    </row>
    <row r="30" spans="2:49">
      <c r="B30" s="138"/>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5"/>
      <c r="AL30" t="str">
        <f t="shared" ca="1" si="0"/>
        <v xml:space="preserve">    (U1)ALERT_REQ_S_RTAN_</v>
      </c>
      <c r="AR30" s="69" t="str">
        <f t="shared" si="3"/>
        <v/>
      </c>
      <c r="AS30" s="69" t="str">
        <f t="shared" si="4"/>
        <v/>
      </c>
      <c r="AT30" s="69" t="str">
        <f t="shared" si="1"/>
        <v/>
      </c>
    </row>
    <row r="31" spans="2:49">
      <c r="B31" s="138"/>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5"/>
      <c r="AL31" t="str">
        <f t="shared" ca="1" si="0"/>
        <v xml:space="preserve">    (U1)ALERT_REQ_S_RTAN_</v>
      </c>
      <c r="AR31" s="69" t="str">
        <f t="shared" si="3"/>
        <v/>
      </c>
      <c r="AS31" s="69" t="str">
        <f t="shared" si="4"/>
        <v/>
      </c>
      <c r="AT31" s="69" t="str">
        <f t="shared" si="1"/>
        <v/>
      </c>
    </row>
    <row r="32" spans="2:49">
      <c r="B32" s="138"/>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5"/>
      <c r="AL32" t="str">
        <f t="shared" ca="1" si="0"/>
        <v xml:space="preserve">    (U1)ALERT_REQ_S_RTAN_</v>
      </c>
      <c r="AR32" s="69" t="str">
        <f t="shared" si="3"/>
        <v/>
      </c>
      <c r="AS32" s="69" t="str">
        <f t="shared" si="4"/>
        <v/>
      </c>
      <c r="AT32" s="69" t="str">
        <f t="shared" si="1"/>
        <v/>
      </c>
    </row>
    <row r="33" spans="2:46">
      <c r="B33" s="138"/>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5"/>
      <c r="AL33" t="str">
        <f t="shared" ca="1" si="0"/>
        <v xml:space="preserve">    (U1)ALERT_REQ_S_RTAN_</v>
      </c>
      <c r="AR33" s="69" t="str">
        <f t="shared" si="3"/>
        <v/>
      </c>
      <c r="AS33" s="69" t="str">
        <f t="shared" si="4"/>
        <v/>
      </c>
      <c r="AT33" s="69" t="str">
        <f t="shared" si="1"/>
        <v/>
      </c>
    </row>
    <row r="34" spans="2:46">
      <c r="B34" s="138"/>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5"/>
      <c r="AL34" t="str">
        <f t="shared" ca="1" si="0"/>
        <v xml:space="preserve">    (U1)ALERT_REQ_S_RTAN_</v>
      </c>
      <c r="AR34" s="69" t="str">
        <f t="shared" si="3"/>
        <v/>
      </c>
      <c r="AS34" s="69" t="str">
        <f t="shared" si="4"/>
        <v/>
      </c>
      <c r="AT34" s="69" t="str">
        <f t="shared" si="1"/>
        <v/>
      </c>
    </row>
    <row r="35" spans="2:46">
      <c r="B35" s="138"/>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5"/>
      <c r="AL35" t="str">
        <f t="shared" ca="1" si="0"/>
        <v xml:space="preserve">    (U1)ALERT_REQ_S_RTAN_</v>
      </c>
      <c r="AR35" s="69" t="str">
        <f t="shared" si="3"/>
        <v/>
      </c>
      <c r="AS35" s="69" t="str">
        <f t="shared" si="4"/>
        <v/>
      </c>
      <c r="AT35" s="69" t="str">
        <f t="shared" si="1"/>
        <v/>
      </c>
    </row>
    <row r="36" spans="2:46">
      <c r="B36" s="138"/>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5"/>
      <c r="AL36" t="str">
        <f t="shared" ca="1" si="0"/>
        <v xml:space="preserve">    (U1)ALERT_REQ_S_RTAN_</v>
      </c>
      <c r="AR36" s="69" t="str">
        <f t="shared" si="3"/>
        <v/>
      </c>
      <c r="AS36" s="69" t="str">
        <f t="shared" si="4"/>
        <v/>
      </c>
      <c r="AT36" s="69" t="str">
        <f t="shared" si="1"/>
        <v/>
      </c>
    </row>
    <row r="37" spans="2:46">
      <c r="B37" s="138"/>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5"/>
      <c r="AL37" t="str">
        <f t="shared" ca="1" si="0"/>
        <v xml:space="preserve">    (U1)ALERT_REQ_S_RTAN_</v>
      </c>
      <c r="AR37" s="69" t="str">
        <f t="shared" si="3"/>
        <v/>
      </c>
      <c r="AS37" s="69" t="str">
        <f t="shared" si="4"/>
        <v/>
      </c>
      <c r="AT37" s="69" t="str">
        <f t="shared" si="1"/>
        <v/>
      </c>
    </row>
    <row r="38" spans="2:46">
      <c r="B38" s="138"/>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(U1)ALERT_REQ_S_RTAN_</v>
      </c>
      <c r="AR38" s="69" t="str">
        <f t="shared" si="3"/>
        <v/>
      </c>
      <c r="AS38" s="69" t="str">
        <f t="shared" si="4"/>
        <v/>
      </c>
      <c r="AT38" s="69" t="str">
        <f t="shared" si="1"/>
        <v/>
      </c>
    </row>
    <row r="39" spans="2:46">
      <c r="B39" s="138"/>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(U1)ALERT_REQ_S_RTAN_</v>
      </c>
      <c r="AR39" s="69" t="str">
        <f t="shared" si="3"/>
        <v/>
      </c>
      <c r="AS39" s="69" t="str">
        <f t="shared" si="4"/>
        <v/>
      </c>
      <c r="AT39" s="69" t="str">
        <f t="shared" si="1"/>
        <v/>
      </c>
    </row>
    <row r="40" spans="2:46">
      <c r="B40" s="138"/>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(U1)ALERT_REQ_S_RTAN_</v>
      </c>
      <c r="AR40" s="69" t="str">
        <f t="shared" si="3"/>
        <v/>
      </c>
      <c r="AS40" s="69" t="str">
        <f t="shared" si="4"/>
        <v/>
      </c>
      <c r="AT40" s="69" t="str">
        <f t="shared" si="1"/>
        <v/>
      </c>
    </row>
    <row r="41" spans="2:46">
      <c r="B41" s="138"/>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(U1)ALERT_REQ_S_RTAN_</v>
      </c>
      <c r="AR41" s="69" t="str">
        <f t="shared" si="3"/>
        <v/>
      </c>
      <c r="AS41" s="69" t="str">
        <f t="shared" si="4"/>
        <v/>
      </c>
      <c r="AT41" s="69" t="str">
        <f t="shared" si="1"/>
        <v/>
      </c>
    </row>
    <row r="42" spans="2:46">
      <c r="B42" s="138"/>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(U1)ALERT_REQ_S_RTAN_</v>
      </c>
      <c r="AR42" s="69" t="str">
        <f t="shared" si="3"/>
        <v/>
      </c>
      <c r="AS42" s="69" t="str">
        <f t="shared" si="4"/>
        <v/>
      </c>
      <c r="AT42" s="69" t="str">
        <f t="shared" si="1"/>
        <v/>
      </c>
    </row>
    <row r="43" spans="2:46">
      <c r="B43" s="138"/>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(U1)ALERT_REQ_S_RTAN_</v>
      </c>
      <c r="AR43" s="69" t="str">
        <f t="shared" si="3"/>
        <v/>
      </c>
      <c r="AS43" s="69" t="str">
        <f t="shared" si="4"/>
        <v/>
      </c>
      <c r="AT43" s="69" t="str">
        <f t="shared" si="1"/>
        <v/>
      </c>
    </row>
    <row r="44" spans="2:46">
      <c r="B44" s="138"/>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(U1)ALERT_REQ_S_RTAN_</v>
      </c>
      <c r="AR44" s="69" t="str">
        <f t="shared" si="3"/>
        <v/>
      </c>
      <c r="AS44" s="69" t="str">
        <f t="shared" si="4"/>
        <v/>
      </c>
      <c r="AT44" s="69" t="str">
        <f t="shared" si="1"/>
        <v/>
      </c>
    </row>
    <row r="45" spans="2:46">
      <c r="B45" s="138"/>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(U1)ALERT_REQ_S_RTAN_</v>
      </c>
      <c r="AR45" s="69" t="str">
        <f t="shared" si="3"/>
        <v/>
      </c>
      <c r="AS45" s="69" t="str">
        <f t="shared" si="4"/>
        <v/>
      </c>
      <c r="AT45" s="69" t="str">
        <f t="shared" si="1"/>
        <v/>
      </c>
    </row>
    <row r="46" spans="2:46">
      <c r="B46" s="138"/>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(U1)ALERT_REQ_S_RTAN_</v>
      </c>
      <c r="AR46" s="69" t="str">
        <f t="shared" si="3"/>
        <v/>
      </c>
      <c r="AS46" s="69" t="str">
        <f t="shared" si="4"/>
        <v/>
      </c>
      <c r="AT46" s="69" t="str">
        <f t="shared" si="1"/>
        <v/>
      </c>
    </row>
    <row r="47" spans="2:46">
      <c r="B47" s="138"/>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(U1)ALERT_REQ_S_RTAN_</v>
      </c>
      <c r="AR47" s="69" t="str">
        <f t="shared" si="3"/>
        <v/>
      </c>
      <c r="AS47" s="69" t="str">
        <f t="shared" si="4"/>
        <v/>
      </c>
      <c r="AT47" s="69" t="str">
        <f t="shared" si="1"/>
        <v/>
      </c>
    </row>
    <row r="48" spans="2:46">
      <c r="B48" s="138"/>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(U1)ALERT_REQ_S_RTAN_</v>
      </c>
      <c r="AR48" s="69" t="str">
        <f t="shared" si="3"/>
        <v/>
      </c>
      <c r="AS48" s="69" t="str">
        <f t="shared" si="4"/>
        <v/>
      </c>
      <c r="AT48" s="69" t="str">
        <f t="shared" si="1"/>
        <v/>
      </c>
    </row>
    <row r="49" spans="2:46">
      <c r="B49" s="138"/>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(U1)ALERT_REQ_S_RTAN_</v>
      </c>
      <c r="AR49" s="69" t="str">
        <f t="shared" si="3"/>
        <v/>
      </c>
      <c r="AS49" s="69" t="str">
        <f t="shared" si="4"/>
        <v/>
      </c>
      <c r="AT49" s="69" t="str">
        <f t="shared" si="1"/>
        <v/>
      </c>
    </row>
    <row r="50" spans="2:46">
      <c r="B50" s="138"/>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(U1)ALERT_REQ_S_RTAN_</v>
      </c>
      <c r="AR50" s="69" t="str">
        <f t="shared" si="3"/>
        <v/>
      </c>
      <c r="AS50" s="69" t="str">
        <f t="shared" si="4"/>
        <v/>
      </c>
      <c r="AT50" s="69" t="str">
        <f t="shared" si="1"/>
        <v/>
      </c>
    </row>
    <row r="51" spans="2:46">
      <c r="B51" s="138"/>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(U1)ALERT_REQ_S_RTAN_</v>
      </c>
      <c r="AR51" s="69" t="str">
        <f t="shared" si="3"/>
        <v/>
      </c>
      <c r="AS51" s="69" t="str">
        <f t="shared" si="4"/>
        <v/>
      </c>
      <c r="AT51" s="69" t="str">
        <f t="shared" si="1"/>
        <v/>
      </c>
    </row>
    <row r="52" spans="2:46">
      <c r="B52" s="138"/>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(U1)ALERT_REQ_S_RTAN_</v>
      </c>
      <c r="AR52" s="69" t="str">
        <f t="shared" si="3"/>
        <v/>
      </c>
      <c r="AS52" s="69" t="str">
        <f t="shared" si="4"/>
        <v/>
      </c>
      <c r="AT52" s="69" t="str">
        <f t="shared" si="1"/>
        <v/>
      </c>
    </row>
    <row r="53" spans="2:46">
      <c r="B53" s="138"/>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(U1)ALERT_REQ_S_RTAN_</v>
      </c>
      <c r="AR53" s="69" t="str">
        <f t="shared" si="3"/>
        <v/>
      </c>
      <c r="AS53" s="69" t="str">
        <f t="shared" si="4"/>
        <v/>
      </c>
      <c r="AT53" s="69" t="str">
        <f t="shared" si="1"/>
        <v/>
      </c>
    </row>
    <row r="54" spans="2:46">
      <c r="B54" s="138"/>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(U1)ALERT_REQ_S_RTAN_</v>
      </c>
      <c r="AR54" s="69" t="str">
        <f t="shared" si="3"/>
        <v/>
      </c>
      <c r="AS54" s="69" t="str">
        <f t="shared" si="4"/>
        <v/>
      </c>
      <c r="AT54" s="69" t="str">
        <f t="shared" si="1"/>
        <v/>
      </c>
    </row>
    <row r="55" spans="2:46">
      <c r="B55" s="138"/>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(U1)ALERT_REQ_S_RTAN_</v>
      </c>
      <c r="AR55" s="69" t="str">
        <f t="shared" si="3"/>
        <v/>
      </c>
      <c r="AS55" s="69" t="str">
        <f t="shared" si="4"/>
        <v/>
      </c>
      <c r="AT55" s="69" t="str">
        <f t="shared" si="1"/>
        <v/>
      </c>
    </row>
    <row r="56" spans="2:46">
      <c r="B56" s="138"/>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(U1)ALERT_REQ_S_RTAN_</v>
      </c>
      <c r="AR56" s="69" t="str">
        <f t="shared" si="3"/>
        <v/>
      </c>
      <c r="AS56" s="69" t="str">
        <f t="shared" si="4"/>
        <v/>
      </c>
      <c r="AT56" s="69" t="str">
        <f t="shared" si="1"/>
        <v/>
      </c>
    </row>
    <row r="57" spans="2:46">
      <c r="B57" s="138"/>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(U1)ALERT_REQ_S_RTAN_</v>
      </c>
      <c r="AR57" s="69" t="str">
        <f t="shared" si="3"/>
        <v/>
      </c>
      <c r="AS57" s="69" t="str">
        <f t="shared" si="4"/>
        <v/>
      </c>
      <c r="AT57" s="69" t="str">
        <f t="shared" si="1"/>
        <v/>
      </c>
    </row>
    <row r="58" spans="2:46">
      <c r="B58" s="138"/>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(U1)ALERT_REQ_S_RTAN_</v>
      </c>
      <c r="AR58" s="69" t="str">
        <f t="shared" si="3"/>
        <v/>
      </c>
      <c r="AS58" s="69" t="str">
        <f t="shared" si="4"/>
        <v/>
      </c>
      <c r="AT58" s="69" t="str">
        <f t="shared" si="1"/>
        <v/>
      </c>
    </row>
    <row r="59" spans="2:46">
      <c r="B59" s="138"/>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(U1)ALERT_REQ_S_RTAN_</v>
      </c>
      <c r="AR59" s="69" t="str">
        <f t="shared" si="3"/>
        <v/>
      </c>
      <c r="AS59" s="69" t="str">
        <f t="shared" si="4"/>
        <v/>
      </c>
      <c r="AT59" s="69" t="str">
        <f t="shared" si="1"/>
        <v/>
      </c>
    </row>
    <row r="60" spans="2:46">
      <c r="B60" s="138"/>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(U1)ALERT_REQ_S_RTAN_</v>
      </c>
      <c r="AR60" s="69" t="str">
        <f t="shared" si="3"/>
        <v/>
      </c>
      <c r="AS60" s="69" t="str">
        <f t="shared" si="4"/>
        <v/>
      </c>
      <c r="AT60" s="69" t="str">
        <f t="shared" si="1"/>
        <v/>
      </c>
    </row>
    <row r="61" spans="2:46">
      <c r="B61" s="138"/>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(U1)ALERT_REQ_S_RTAN_</v>
      </c>
      <c r="AR61" s="69" t="str">
        <f t="shared" si="3"/>
        <v/>
      </c>
      <c r="AS61" s="69" t="str">
        <f t="shared" si="4"/>
        <v/>
      </c>
      <c r="AT61" s="69" t="str">
        <f t="shared" si="1"/>
        <v/>
      </c>
    </row>
    <row r="62" spans="2:46">
      <c r="B62" s="138"/>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(U1)ALERT_REQ_S_RTAN_</v>
      </c>
      <c r="AR62" s="69" t="str">
        <f t="shared" si="3"/>
        <v/>
      </c>
      <c r="AS62" s="69" t="str">
        <f t="shared" si="4"/>
        <v/>
      </c>
      <c r="AT62" s="69" t="str">
        <f t="shared" si="1"/>
        <v/>
      </c>
    </row>
    <row r="63" spans="2:46">
      <c r="B63" s="138"/>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(U1)ALERT_REQ_S_RTAN_</v>
      </c>
      <c r="AR63" s="69" t="str">
        <f t="shared" si="3"/>
        <v/>
      </c>
      <c r="AS63" s="69" t="str">
        <f t="shared" si="4"/>
        <v/>
      </c>
      <c r="AT63" s="69" t="str">
        <f t="shared" si="1"/>
        <v/>
      </c>
    </row>
    <row r="64" spans="2:46">
      <c r="B64" s="138"/>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(U1)ALERT_REQ_S_RTAN_</v>
      </c>
      <c r="AR64" s="69" t="str">
        <f t="shared" si="3"/>
        <v/>
      </c>
      <c r="AS64" s="69" t="str">
        <f t="shared" si="4"/>
        <v/>
      </c>
      <c r="AT64" s="69" t="str">
        <f t="shared" si="1"/>
        <v/>
      </c>
    </row>
    <row r="65" spans="1:46">
      <c r="B65" s="138"/>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(U1)ALERT_REQ_S_RTAN_</v>
      </c>
      <c r="AR65" s="69" t="str">
        <f t="shared" si="3"/>
        <v/>
      </c>
      <c r="AS65" s="69" t="str">
        <f t="shared" si="4"/>
        <v/>
      </c>
      <c r="AT65" s="69" t="str">
        <f t="shared" si="1"/>
        <v/>
      </c>
    </row>
    <row r="66" spans="1:46">
      <c r="B66" s="138"/>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(U1)ALERT_REQ_S_RTAN_</v>
      </c>
      <c r="AR66" s="69" t="str">
        <f t="shared" si="3"/>
        <v/>
      </c>
      <c r="AS66" s="69" t="str">
        <f t="shared" si="4"/>
        <v/>
      </c>
      <c r="AT66" s="69" t="str">
        <f t="shared" si="1"/>
        <v/>
      </c>
    </row>
    <row r="67" spans="1:46">
      <c r="B67" s="138"/>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(U1)ALERT_REQ_S_RTAN_</v>
      </c>
      <c r="AR67" s="69" t="str">
        <f t="shared" si="3"/>
        <v/>
      </c>
      <c r="AS67" s="69" t="str">
        <f t="shared" si="4"/>
        <v/>
      </c>
      <c r="AT67" s="69" t="str">
        <f t="shared" si="1"/>
        <v/>
      </c>
    </row>
    <row r="68" spans="1:46">
      <c r="B68" s="138"/>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(U1)ALERT_REQ_S_RTAN_</v>
      </c>
      <c r="AR68" s="69" t="str">
        <f t="shared" si="3"/>
        <v/>
      </c>
      <c r="AS68" s="69" t="str">
        <f t="shared" si="4"/>
        <v/>
      </c>
      <c r="AT68" s="69" t="str">
        <f t="shared" si="1"/>
        <v/>
      </c>
    </row>
    <row r="69" spans="1:46">
      <c r="B69" s="139"/>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(U1)ALERT_REQ_S_RTAN_</v>
      </c>
      <c r="AR69" s="69" t="str">
        <f t="shared" si="3"/>
        <v/>
      </c>
      <c r="AS69" s="69" t="str">
        <f t="shared" si="4"/>
        <v/>
      </c>
      <c r="AT69" s="69" t="str">
        <f t="shared" si="1"/>
        <v/>
      </c>
    </row>
    <row r="70" spans="1:46" ht="15.7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40" t="str">
        <f ca="1">IF(B6&lt;&gt;"",B6,"")</f>
        <v>Table S_RTAN</v>
      </c>
      <c r="C71" s="54">
        <f>IF(C6&lt;&gt;"",C6,"")</f>
        <v>0</v>
      </c>
      <c r="D71" s="132">
        <f t="shared" ref="D71:AI78" si="6">IF(D6=1,1,0)</f>
        <v>0</v>
      </c>
      <c r="E71" s="132">
        <f t="shared" si="6"/>
        <v>0</v>
      </c>
      <c r="F71" s="132">
        <f t="shared" si="6"/>
        <v>0</v>
      </c>
      <c r="G71" s="132">
        <f t="shared" si="6"/>
        <v>0</v>
      </c>
      <c r="H71" s="132">
        <f t="shared" si="6"/>
        <v>0</v>
      </c>
      <c r="I71" s="132">
        <f t="shared" si="6"/>
        <v>0</v>
      </c>
      <c r="J71" s="132">
        <f>IF(J6=1,1,0)</f>
        <v>0</v>
      </c>
      <c r="K71" s="132">
        <f>IF(K6=1,1,0)</f>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IF(AA6=1,1,0)</f>
        <v>0</v>
      </c>
      <c r="AB71" s="132">
        <f>IF(AB6=1,1,0)</f>
        <v>0</v>
      </c>
      <c r="AC71" s="132">
        <f t="shared" si="6"/>
        <v>0</v>
      </c>
      <c r="AD71" s="132">
        <f t="shared" si="6"/>
        <v>0</v>
      </c>
      <c r="AE71" s="132">
        <f t="shared" si="6"/>
        <v>0</v>
      </c>
      <c r="AF71" s="132">
        <f t="shared" si="6"/>
        <v>0</v>
      </c>
      <c r="AG71" s="132">
        <f t="shared" si="6"/>
        <v>0</v>
      </c>
      <c r="AH71" s="132">
        <f t="shared" si="6"/>
        <v>0</v>
      </c>
      <c r="AI71" s="132">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4">
        <f t="shared" ref="C72:C134" si="9">IF(C7&lt;&gt;"",C7,"")</f>
        <v>1</v>
      </c>
      <c r="D72" s="132">
        <f t="shared" si="6"/>
        <v>0</v>
      </c>
      <c r="E72" s="132">
        <f t="shared" si="6"/>
        <v>0</v>
      </c>
      <c r="F72" s="132">
        <f t="shared" si="6"/>
        <v>0</v>
      </c>
      <c r="G72" s="132">
        <f t="shared" si="6"/>
        <v>0</v>
      </c>
      <c r="H72" s="132">
        <f t="shared" si="6"/>
        <v>0</v>
      </c>
      <c r="I72" s="132">
        <f t="shared" si="6"/>
        <v>0</v>
      </c>
      <c r="J72" s="132">
        <f>IF(J7=1,1,0)</f>
        <v>0</v>
      </c>
      <c r="K72" s="132">
        <f>IF(K7=1,1,0)</f>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IF(AA7=1,1,0)</f>
        <v>0</v>
      </c>
      <c r="AB72" s="132">
        <f>IF(AB7=1,1,0)</f>
        <v>0</v>
      </c>
      <c r="AC72" s="132">
        <f t="shared" si="6"/>
        <v>0</v>
      </c>
      <c r="AD72" s="132">
        <f t="shared" si="6"/>
        <v>0</v>
      </c>
      <c r="AE72" s="132">
        <f t="shared" si="6"/>
        <v>0</v>
      </c>
      <c r="AF72" s="132">
        <f t="shared" si="6"/>
        <v>0</v>
      </c>
      <c r="AG72" s="132">
        <f t="shared" si="6"/>
        <v>0</v>
      </c>
      <c r="AH72" s="132">
        <f t="shared" si="6"/>
        <v>0</v>
      </c>
      <c r="AI72" s="132">
        <f t="shared" si="6"/>
        <v>1</v>
      </c>
      <c r="AJ72" s="54" t="str">
        <f t="shared" si="7"/>
        <v>ACT</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ACT                                             */</v>
      </c>
    </row>
    <row r="73" spans="1:46">
      <c r="B73" s="138"/>
      <c r="C73" s="54">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8"/>
      <c r="C74" s="54">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8"/>
      <c r="C75" s="54">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4" t="str">
        <f t="shared" si="7"/>
        <v>UNKNOWN</v>
      </c>
      <c r="AK75" s="67"/>
      <c r="AL75" s="67" t="str">
        <f t="shared" si="10"/>
        <v>04</v>
      </c>
      <c r="AM75" s="67" t="str">
        <f t="shared" si="11"/>
        <v>00</v>
      </c>
      <c r="AN75" s="67" t="str">
        <f t="shared" si="12"/>
        <v>00</v>
      </c>
      <c r="AO75" s="67" t="str">
        <f t="shared" si="13"/>
        <v>00</v>
      </c>
      <c r="AQ75" t="str">
        <f t="shared" si="8"/>
        <v xml:space="preserve">    (U4)0x00000004U,                                                           /* 04 UNKNOWN                                         */</v>
      </c>
    </row>
    <row r="76" spans="1:46">
      <c r="B76" s="138"/>
      <c r="C76" s="54">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4" t="str">
        <f t="shared" si="7"/>
        <v>UNKNOWN</v>
      </c>
      <c r="AK76" s="67"/>
      <c r="AL76" s="67" t="str">
        <f t="shared" si="10"/>
        <v>05</v>
      </c>
      <c r="AM76" s="67" t="str">
        <f t="shared" si="11"/>
        <v>00</v>
      </c>
      <c r="AN76" s="67" t="str">
        <f t="shared" si="12"/>
        <v>00</v>
      </c>
      <c r="AO76" s="67" t="str">
        <f t="shared" si="13"/>
        <v>00</v>
      </c>
      <c r="AQ76" t="str">
        <f t="shared" si="8"/>
        <v xml:space="preserve">    (U4)0x00000005U,                                                           /* 05 UNKNOWN                                         */</v>
      </c>
    </row>
    <row r="77" spans="1:46">
      <c r="B77" s="138"/>
      <c r="C77" s="54">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4" t="str">
        <f t="shared" si="7"/>
        <v>UNKNOWN</v>
      </c>
      <c r="AK77" s="67"/>
      <c r="AL77" s="67" t="str">
        <f t="shared" si="10"/>
        <v>06</v>
      </c>
      <c r="AM77" s="67" t="str">
        <f t="shared" si="11"/>
        <v>00</v>
      </c>
      <c r="AN77" s="67" t="str">
        <f t="shared" si="12"/>
        <v>00</v>
      </c>
      <c r="AO77" s="67" t="str">
        <f t="shared" si="13"/>
        <v>00</v>
      </c>
      <c r="AQ77" t="str">
        <f t="shared" si="8"/>
        <v xml:space="preserve">    (U4)0x00000006U,                                                           /* 06 UNKNOWN                                         */</v>
      </c>
    </row>
    <row r="78" spans="1:46">
      <c r="B78" s="138"/>
      <c r="C78" s="54">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4" t="str">
        <f t="shared" si="7"/>
        <v>UNKNOWN</v>
      </c>
      <c r="AK78" s="67"/>
      <c r="AL78" s="67" t="str">
        <f t="shared" si="10"/>
        <v>07</v>
      </c>
      <c r="AM78" s="67" t="str">
        <f t="shared" si="11"/>
        <v>00</v>
      </c>
      <c r="AN78" s="67" t="str">
        <f t="shared" si="12"/>
        <v>00</v>
      </c>
      <c r="AO78" s="67" t="str">
        <f t="shared" si="13"/>
        <v>00</v>
      </c>
      <c r="AQ78" t="str">
        <f t="shared" si="8"/>
        <v xml:space="preserve">    (U4)0x00000007U                                                            /* 07 UNKNOWN                                         */</v>
      </c>
    </row>
    <row r="79" spans="1:46">
      <c r="B79" s="138"/>
      <c r="C79" s="54">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0</v>
      </c>
      <c r="AG79" s="132">
        <f t="shared" si="15"/>
        <v>0</v>
      </c>
      <c r="AH79" s="132">
        <f t="shared" si="15"/>
        <v>0</v>
      </c>
      <c r="AI79" s="132">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8"/>
      <c r="C80" s="54">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0</v>
      </c>
      <c r="AG80" s="132">
        <f t="shared" si="15"/>
        <v>0</v>
      </c>
      <c r="AH80" s="132">
        <f t="shared" si="15"/>
        <v>0</v>
      </c>
      <c r="AI80" s="132">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8"/>
      <c r="C81" s="54">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0</v>
      </c>
      <c r="AG81" s="132">
        <f t="shared" si="15"/>
        <v>0</v>
      </c>
      <c r="AH81" s="132">
        <f t="shared" si="15"/>
        <v>0</v>
      </c>
      <c r="AI81" s="132">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8"/>
      <c r="C82" s="54">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0</v>
      </c>
      <c r="AG82" s="132">
        <f t="shared" si="15"/>
        <v>0</v>
      </c>
      <c r="AH82" s="132">
        <f t="shared" si="15"/>
        <v>0</v>
      </c>
      <c r="AI82" s="132">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8"/>
      <c r="C83" s="54">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0</v>
      </c>
      <c r="AG83" s="132">
        <f t="shared" si="15"/>
        <v>0</v>
      </c>
      <c r="AH83" s="132">
        <f t="shared" si="15"/>
        <v>0</v>
      </c>
      <c r="AI83" s="132">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8"/>
      <c r="C84" s="54">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0</v>
      </c>
      <c r="AG84" s="132">
        <f t="shared" si="15"/>
        <v>0</v>
      </c>
      <c r="AH84" s="132">
        <f t="shared" si="15"/>
        <v>0</v>
      </c>
      <c r="AI84" s="132">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8"/>
      <c r="C85" s="54">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0</v>
      </c>
      <c r="AG85" s="132">
        <f t="shared" si="15"/>
        <v>0</v>
      </c>
      <c r="AH85" s="132">
        <f t="shared" si="15"/>
        <v>0</v>
      </c>
      <c r="AI85" s="132">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8"/>
      <c r="C86" s="54">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0</v>
      </c>
      <c r="AG86" s="132">
        <f t="shared" si="15"/>
        <v>0</v>
      </c>
      <c r="AH86" s="132">
        <f t="shared" si="15"/>
        <v>0</v>
      </c>
      <c r="AI86" s="132">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8"/>
      <c r="C87" s="54">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8"/>
      <c r="C88" s="54">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8"/>
      <c r="C89" s="54">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8"/>
      <c r="C90" s="54">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8"/>
      <c r="C91" s="54">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8"/>
      <c r="C92" s="54">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8"/>
      <c r="C93" s="54">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8"/>
      <c r="C94" s="54">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8"/>
      <c r="C95" s="54">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8"/>
      <c r="C96" s="54">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8"/>
      <c r="C97" s="54">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8"/>
      <c r="C98" s="54">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8"/>
      <c r="C99" s="54">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8"/>
      <c r="C100" s="54">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8"/>
      <c r="C101" s="54">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8"/>
      <c r="C102" s="54">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8"/>
      <c r="C103" s="54">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8"/>
      <c r="C104" s="54">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8"/>
      <c r="C105" s="54">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8"/>
      <c r="C106" s="54">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8"/>
      <c r="C107" s="54">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8"/>
      <c r="C108" s="54">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8"/>
      <c r="C109" s="54">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8"/>
      <c r="C110" s="54">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8"/>
      <c r="C111" s="54">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8"/>
      <c r="C112" s="54">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8"/>
      <c r="C113" s="54">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8"/>
      <c r="C114" s="54">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8"/>
      <c r="C115" s="54">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8"/>
      <c r="C116" s="54">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8"/>
      <c r="C117" s="54">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8"/>
      <c r="C118" s="54">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8"/>
      <c r="C119" s="54">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8"/>
      <c r="C120" s="54">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8"/>
      <c r="C121" s="54">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8"/>
      <c r="C122" s="54">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8"/>
      <c r="C123" s="54">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8"/>
      <c r="C124" s="54">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8"/>
      <c r="C125" s="54">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8"/>
      <c r="C126" s="54">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8"/>
      <c r="C127" s="54">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8"/>
      <c r="C128" s="54">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8"/>
      <c r="C129" s="54">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8"/>
      <c r="C130" s="54">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8"/>
      <c r="C131" s="54">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8"/>
      <c r="C132" s="54">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8"/>
      <c r="C133" s="54">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9"/>
      <c r="C134" s="54">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0" t="str">
        <f ca="1">IF(B6&lt;&gt;"",B6,"")</f>
        <v>Table S_RTAN</v>
      </c>
      <c r="C136" s="54">
        <f>IF(C6&lt;&gt;"",C6,"")</f>
        <v>0</v>
      </c>
      <c r="D136" s="132">
        <f t="shared" ref="D136:AI143" si="29">IF(OR(D6=0,D6=1),1,0)</f>
        <v>0</v>
      </c>
      <c r="E136" s="132">
        <f t="shared" si="29"/>
        <v>0</v>
      </c>
      <c r="F136" s="132">
        <f t="shared" si="29"/>
        <v>0</v>
      </c>
      <c r="G136" s="132">
        <f t="shared" si="29"/>
        <v>0</v>
      </c>
      <c r="H136" s="132">
        <f t="shared" si="29"/>
        <v>0</v>
      </c>
      <c r="I136" s="132">
        <f t="shared" si="29"/>
        <v>0</v>
      </c>
      <c r="J136" s="132">
        <f>IF(OR(J6=0,J6=1),1,0)</f>
        <v>0</v>
      </c>
      <c r="K136" s="132">
        <f>IF(OR(K6=0,K6=1),1,0)</f>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IF(OR(AA6=0,AA6=1),1,0)</f>
        <v>0</v>
      </c>
      <c r="AB136" s="132">
        <f>IF(OR(AB6=0,AB6=1),1,0)</f>
        <v>0</v>
      </c>
      <c r="AC136" s="132">
        <f t="shared" si="29"/>
        <v>0</v>
      </c>
      <c r="AD136" s="132">
        <f t="shared" si="29"/>
        <v>0</v>
      </c>
      <c r="AE136" s="132">
        <f t="shared" si="29"/>
        <v>0</v>
      </c>
      <c r="AF136" s="132">
        <f t="shared" si="29"/>
        <v>0</v>
      </c>
      <c r="AG136" s="132">
        <f t="shared" si="29"/>
        <v>1</v>
      </c>
      <c r="AH136" s="132">
        <f t="shared" si="29"/>
        <v>1</v>
      </c>
      <c r="AI136" s="132">
        <f t="shared" si="29"/>
        <v>1</v>
      </c>
      <c r="AJ136" s="54" t="str">
        <f t="shared" ref="AJ136:AJ199" si="30">IF(AJ6&lt;&gt;"",AJ6,"")</f>
        <v>UNKNOWN</v>
      </c>
      <c r="AK136" s="67"/>
      <c r="AL136" s="67" t="str">
        <f>BIN2HEX(AB136&amp;AC136&amp;AD136&amp;AE136&amp;AF136&amp;AG136&amp;AH136&amp;AI136,2)</f>
        <v>07</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8"/>
      <c r="C137" s="54">
        <f t="shared" ref="C137:C199" si="32">IF(C7&lt;&gt;"",C7,"")</f>
        <v>1</v>
      </c>
      <c r="D137" s="132">
        <f t="shared" si="29"/>
        <v>0</v>
      </c>
      <c r="E137" s="132">
        <f t="shared" si="29"/>
        <v>0</v>
      </c>
      <c r="F137" s="132">
        <f t="shared" si="29"/>
        <v>0</v>
      </c>
      <c r="G137" s="132">
        <f t="shared" si="29"/>
        <v>0</v>
      </c>
      <c r="H137" s="132">
        <f t="shared" si="29"/>
        <v>0</v>
      </c>
      <c r="I137" s="132">
        <f t="shared" si="29"/>
        <v>0</v>
      </c>
      <c r="J137" s="132">
        <f>IF(OR(J7=0,J7=1),1,0)</f>
        <v>0</v>
      </c>
      <c r="K137" s="132">
        <f>IF(OR(K7=0,K7=1),1,0)</f>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IF(OR(AA7=0,AA7=1),1,0)</f>
        <v>0</v>
      </c>
      <c r="AB137" s="132">
        <f>IF(OR(AB7=0,AB7=1),1,0)</f>
        <v>0</v>
      </c>
      <c r="AC137" s="132">
        <f t="shared" si="29"/>
        <v>0</v>
      </c>
      <c r="AD137" s="132">
        <f t="shared" si="29"/>
        <v>0</v>
      </c>
      <c r="AE137" s="132">
        <f t="shared" si="29"/>
        <v>0</v>
      </c>
      <c r="AF137" s="132">
        <f t="shared" si="29"/>
        <v>0</v>
      </c>
      <c r="AG137" s="132">
        <f t="shared" si="29"/>
        <v>1</v>
      </c>
      <c r="AH137" s="132">
        <f t="shared" si="29"/>
        <v>1</v>
      </c>
      <c r="AI137" s="132">
        <f t="shared" si="29"/>
        <v>1</v>
      </c>
      <c r="AJ137" s="54" t="str">
        <f t="shared" si="30"/>
        <v>ACT</v>
      </c>
      <c r="AK137" s="67"/>
      <c r="AL137" s="67" t="str">
        <f t="shared" ref="AL137:AL199" si="33">BIN2HEX(AB137&amp;AC137&amp;AD137&amp;AE137&amp;AF137&amp;AG137&amp;AH137&amp;AI137,2)</f>
        <v>07</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(U4)0x00000007U,                                                           /* 01 ACT                                             */</v>
      </c>
    </row>
    <row r="138" spans="1:43">
      <c r="B138" s="138"/>
      <c r="C138" s="54">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0</v>
      </c>
      <c r="AG138" s="132">
        <f t="shared" si="29"/>
        <v>1</v>
      </c>
      <c r="AH138" s="132">
        <f t="shared" si="29"/>
        <v>1</v>
      </c>
      <c r="AI138" s="132">
        <f t="shared" si="29"/>
        <v>1</v>
      </c>
      <c r="AJ138" s="54" t="str">
        <f t="shared" si="30"/>
        <v>UNKNOWN</v>
      </c>
      <c r="AK138" s="67"/>
      <c r="AL138" s="67" t="str">
        <f t="shared" si="33"/>
        <v>07</v>
      </c>
      <c r="AM138" s="67" t="str">
        <f t="shared" si="34"/>
        <v>00</v>
      </c>
      <c r="AN138" s="67" t="str">
        <f t="shared" si="35"/>
        <v>00</v>
      </c>
      <c r="AO138" s="67" t="str">
        <f t="shared" si="36"/>
        <v>00</v>
      </c>
      <c r="AQ138" t="str">
        <f t="shared" si="31"/>
        <v xml:space="preserve">    (U4)0x00000007U,                                                           /* 02 UNKNOWN                                         */</v>
      </c>
    </row>
    <row r="139" spans="1:43">
      <c r="B139" s="138"/>
      <c r="C139" s="54">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0</v>
      </c>
      <c r="AG139" s="132">
        <f t="shared" si="29"/>
        <v>1</v>
      </c>
      <c r="AH139" s="132">
        <f t="shared" si="29"/>
        <v>1</v>
      </c>
      <c r="AI139" s="132">
        <f t="shared" si="29"/>
        <v>1</v>
      </c>
      <c r="AJ139" s="54" t="str">
        <f t="shared" si="30"/>
        <v>UNKNOWN</v>
      </c>
      <c r="AK139" s="67"/>
      <c r="AL139" s="67" t="str">
        <f t="shared" si="33"/>
        <v>07</v>
      </c>
      <c r="AM139" s="67" t="str">
        <f t="shared" si="34"/>
        <v>00</v>
      </c>
      <c r="AN139" s="67" t="str">
        <f t="shared" si="35"/>
        <v>00</v>
      </c>
      <c r="AO139" s="67" t="str">
        <f t="shared" si="36"/>
        <v>00</v>
      </c>
      <c r="AQ139" t="str">
        <f t="shared" si="31"/>
        <v xml:space="preserve">    (U4)0x00000007U,                                                           /* 03 UNKNOWN                                         */</v>
      </c>
    </row>
    <row r="140" spans="1:43">
      <c r="B140" s="138"/>
      <c r="C140" s="54">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0</v>
      </c>
      <c r="AG140" s="132">
        <f t="shared" si="29"/>
        <v>1</v>
      </c>
      <c r="AH140" s="132">
        <f t="shared" si="29"/>
        <v>1</v>
      </c>
      <c r="AI140" s="132">
        <f t="shared" si="29"/>
        <v>1</v>
      </c>
      <c r="AJ140" s="54" t="str">
        <f t="shared" si="30"/>
        <v>UNKNOWN</v>
      </c>
      <c r="AK140" s="67"/>
      <c r="AL140" s="67" t="str">
        <f t="shared" si="33"/>
        <v>07</v>
      </c>
      <c r="AM140" s="67" t="str">
        <f t="shared" si="34"/>
        <v>00</v>
      </c>
      <c r="AN140" s="67" t="str">
        <f t="shared" si="35"/>
        <v>00</v>
      </c>
      <c r="AO140" s="67" t="str">
        <f t="shared" si="36"/>
        <v>00</v>
      </c>
      <c r="AQ140" t="str">
        <f t="shared" si="31"/>
        <v xml:space="preserve">    (U4)0x00000007U,                                                           /* 04 UNKNOWN                                         */</v>
      </c>
    </row>
    <row r="141" spans="1:43">
      <c r="B141" s="138"/>
      <c r="C141" s="54">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0</v>
      </c>
      <c r="AG141" s="132">
        <f t="shared" si="29"/>
        <v>1</v>
      </c>
      <c r="AH141" s="132">
        <f t="shared" si="29"/>
        <v>1</v>
      </c>
      <c r="AI141" s="132">
        <f t="shared" si="29"/>
        <v>1</v>
      </c>
      <c r="AJ141" s="54" t="str">
        <f t="shared" si="30"/>
        <v>UNKNOWN</v>
      </c>
      <c r="AK141" s="67"/>
      <c r="AL141" s="67" t="str">
        <f t="shared" si="33"/>
        <v>07</v>
      </c>
      <c r="AM141" s="67" t="str">
        <f t="shared" si="34"/>
        <v>00</v>
      </c>
      <c r="AN141" s="67" t="str">
        <f t="shared" si="35"/>
        <v>00</v>
      </c>
      <c r="AO141" s="67" t="str">
        <f t="shared" si="36"/>
        <v>00</v>
      </c>
      <c r="AQ141" t="str">
        <f t="shared" si="31"/>
        <v xml:space="preserve">    (U4)0x00000007U,                                                           /* 05 UNKNOWN                                         */</v>
      </c>
    </row>
    <row r="142" spans="1:43">
      <c r="B142" s="138"/>
      <c r="C142" s="54">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0</v>
      </c>
      <c r="AG142" s="132">
        <f t="shared" si="29"/>
        <v>1</v>
      </c>
      <c r="AH142" s="132">
        <f t="shared" si="29"/>
        <v>1</v>
      </c>
      <c r="AI142" s="132">
        <f t="shared" si="29"/>
        <v>1</v>
      </c>
      <c r="AJ142" s="54" t="str">
        <f t="shared" si="30"/>
        <v>UNKNOWN</v>
      </c>
      <c r="AK142" s="67"/>
      <c r="AL142" s="67" t="str">
        <f t="shared" si="33"/>
        <v>07</v>
      </c>
      <c r="AM142" s="67" t="str">
        <f t="shared" si="34"/>
        <v>00</v>
      </c>
      <c r="AN142" s="67" t="str">
        <f t="shared" si="35"/>
        <v>00</v>
      </c>
      <c r="AO142" s="67" t="str">
        <f t="shared" si="36"/>
        <v>00</v>
      </c>
      <c r="AQ142" t="str">
        <f t="shared" si="31"/>
        <v xml:space="preserve">    (U4)0x00000007U,                                                           /* 06 UNKNOWN                                         */</v>
      </c>
    </row>
    <row r="143" spans="1:43">
      <c r="B143" s="138"/>
      <c r="C143" s="54">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0</v>
      </c>
      <c r="AG143" s="132">
        <f t="shared" si="29"/>
        <v>1</v>
      </c>
      <c r="AH143" s="132">
        <f t="shared" si="29"/>
        <v>1</v>
      </c>
      <c r="AI143" s="132">
        <f t="shared" ref="AI143" si="37">IF(OR(AI13=0,AI13=1),1,0)</f>
        <v>1</v>
      </c>
      <c r="AJ143" s="54" t="str">
        <f t="shared" si="30"/>
        <v>UNKNOWN</v>
      </c>
      <c r="AK143" s="67"/>
      <c r="AL143" s="67" t="str">
        <f t="shared" si="33"/>
        <v>07</v>
      </c>
      <c r="AM143" s="67" t="str">
        <f t="shared" si="34"/>
        <v>00</v>
      </c>
      <c r="AN143" s="67" t="str">
        <f t="shared" si="35"/>
        <v>00</v>
      </c>
      <c r="AO143" s="67" t="str">
        <f t="shared" si="36"/>
        <v>00</v>
      </c>
      <c r="AQ143" t="str">
        <f t="shared" si="31"/>
        <v xml:space="preserve">    (U4)0x00000007U                                                            /* 07 UNKNOWN                                         */</v>
      </c>
    </row>
    <row r="144" spans="1:43">
      <c r="B144" s="138"/>
      <c r="C144" s="54">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0</v>
      </c>
      <c r="AG144" s="132">
        <f t="shared" si="38"/>
        <v>0</v>
      </c>
      <c r="AH144" s="132">
        <f t="shared" si="38"/>
        <v>0</v>
      </c>
      <c r="AI144" s="132">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8"/>
      <c r="C145" s="54">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0</v>
      </c>
      <c r="AG145" s="132">
        <f t="shared" si="38"/>
        <v>0</v>
      </c>
      <c r="AH145" s="132">
        <f t="shared" si="38"/>
        <v>0</v>
      </c>
      <c r="AI145" s="132">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8"/>
      <c r="C146" s="54">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0</v>
      </c>
      <c r="AG146" s="132">
        <f t="shared" si="38"/>
        <v>0</v>
      </c>
      <c r="AH146" s="132">
        <f t="shared" si="38"/>
        <v>0</v>
      </c>
      <c r="AI146" s="132">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8"/>
      <c r="C147" s="54">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0</v>
      </c>
      <c r="AG147" s="132">
        <f t="shared" si="38"/>
        <v>0</v>
      </c>
      <c r="AH147" s="132">
        <f t="shared" si="38"/>
        <v>0</v>
      </c>
      <c r="AI147" s="132">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8"/>
      <c r="C148" s="54">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0</v>
      </c>
      <c r="AG148" s="132">
        <f t="shared" si="38"/>
        <v>0</v>
      </c>
      <c r="AH148" s="132">
        <f t="shared" si="38"/>
        <v>0</v>
      </c>
      <c r="AI148" s="132">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8"/>
      <c r="C149" s="54">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0</v>
      </c>
      <c r="AG149" s="132">
        <f t="shared" si="38"/>
        <v>0</v>
      </c>
      <c r="AH149" s="132">
        <f t="shared" si="38"/>
        <v>0</v>
      </c>
      <c r="AI149" s="132">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8"/>
      <c r="C150" s="54">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0</v>
      </c>
      <c r="AG150" s="132">
        <f t="shared" si="38"/>
        <v>0</v>
      </c>
      <c r="AH150" s="132">
        <f t="shared" si="38"/>
        <v>0</v>
      </c>
      <c r="AI150" s="132">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8"/>
      <c r="C151" s="54">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0</v>
      </c>
      <c r="AG151" s="132">
        <f t="shared" si="38"/>
        <v>0</v>
      </c>
      <c r="AH151" s="132">
        <f t="shared" si="38"/>
        <v>0</v>
      </c>
      <c r="AI151" s="132">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8"/>
      <c r="C152" s="54">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8"/>
      <c r="C153" s="54">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8"/>
      <c r="C154" s="54">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8"/>
      <c r="C155" s="54">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8"/>
      <c r="C156" s="54">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8"/>
      <c r="C157" s="54">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8"/>
      <c r="C158" s="54">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8"/>
      <c r="C159" s="54">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8"/>
      <c r="C160" s="54">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8"/>
      <c r="C161" s="54">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8"/>
      <c r="C162" s="54">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8"/>
      <c r="C163" s="54">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8"/>
      <c r="C164" s="54">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8"/>
      <c r="C165" s="54">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8"/>
      <c r="C166" s="54">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8"/>
      <c r="C167" s="54">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8"/>
      <c r="C168" s="54">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8"/>
      <c r="C169" s="54">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8"/>
      <c r="C170" s="54">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8"/>
      <c r="C171" s="54">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8"/>
      <c r="C172" s="54">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8"/>
      <c r="C173" s="54">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8"/>
      <c r="C174" s="54">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8"/>
      <c r="C175" s="54">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8"/>
      <c r="C176" s="54">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8"/>
      <c r="C177" s="54">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8"/>
      <c r="C178" s="54">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8"/>
      <c r="C179" s="54">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8"/>
      <c r="C180" s="54">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8"/>
      <c r="C181" s="54">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8"/>
      <c r="C182" s="54">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8"/>
      <c r="C183" s="54">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8"/>
      <c r="C184" s="54">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8"/>
      <c r="C185" s="54">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8"/>
      <c r="C186" s="54">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8"/>
      <c r="C187" s="54">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8"/>
      <c r="C188" s="54">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8"/>
      <c r="C189" s="54">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8"/>
      <c r="C190" s="54">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8"/>
      <c r="C191" s="54">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8"/>
      <c r="C192" s="54">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8"/>
      <c r="C193" s="54">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8"/>
      <c r="C194" s="54">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8"/>
      <c r="C195" s="54">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8"/>
      <c r="C196" s="54">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8"/>
      <c r="C197" s="54">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8"/>
      <c r="C198" s="54">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9"/>
      <c r="C199" s="54">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B3 L3:AF3 D6:AJ69" name="Table作成編集範囲"/>
    <protectedRange sqref="AG3:AI3" name="Table作成編集範囲_3"/>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7:Q30"/>
  <sheetViews>
    <sheetView zoomScale="85" zoomScaleNormal="85" workbookViewId="0"/>
  </sheetViews>
  <sheetFormatPr defaultRowHeight="15"/>
  <cols>
    <col min="2" max="2" width="35.85546875" customWidth="1"/>
    <col min="3" max="10" width="3.42578125" customWidth="1"/>
    <col min="11" max="11" width="24" customWidth="1"/>
    <col min="12" max="12" width="26.5703125" customWidth="1"/>
    <col min="13" max="13" width="20.85546875" customWidth="1"/>
    <col min="14" max="16" width="10.85546875" customWidth="1"/>
    <col min="17" max="17" width="13.28515625" customWidth="1"/>
  </cols>
  <sheetData>
    <row r="7" spans="2:17" ht="16.5" thickBot="1">
      <c r="B7" s="27" t="s">
        <v>215</v>
      </c>
    </row>
    <row r="8" spans="2:17" ht="16.5" thickBot="1">
      <c r="B8" s="104" t="s">
        <v>123</v>
      </c>
      <c r="C8" s="252" t="s">
        <v>216</v>
      </c>
      <c r="D8" s="253"/>
      <c r="E8" s="253"/>
      <c r="F8" s="253"/>
      <c r="G8" s="253"/>
      <c r="H8" s="253"/>
      <c r="I8" s="253"/>
      <c r="J8" s="254"/>
      <c r="K8" s="177"/>
      <c r="L8" s="177"/>
      <c r="M8" s="180"/>
      <c r="N8" s="178"/>
      <c r="O8" s="178"/>
      <c r="P8" s="178"/>
      <c r="Q8" s="179"/>
    </row>
    <row r="9" spans="2:17">
      <c r="B9" s="76"/>
      <c r="C9" s="35" t="s">
        <v>159</v>
      </c>
      <c r="D9" s="35"/>
      <c r="E9" s="35"/>
      <c r="F9" s="35"/>
      <c r="G9" s="35"/>
      <c r="H9" s="35"/>
      <c r="I9" s="35"/>
      <c r="J9" s="35"/>
      <c r="K9" s="35"/>
      <c r="L9" s="36"/>
      <c r="M9" s="31" t="s">
        <v>51</v>
      </c>
      <c r="N9" s="51" t="s">
        <v>20</v>
      </c>
      <c r="O9" s="52"/>
      <c r="P9" s="52"/>
      <c r="Q9" s="53"/>
    </row>
    <row r="10" spans="2:17">
      <c r="B10" s="77" t="s">
        <v>21</v>
      </c>
      <c r="C10" s="255" t="s">
        <v>175</v>
      </c>
      <c r="D10" s="256"/>
      <c r="E10" s="256"/>
      <c r="F10" s="256"/>
      <c r="G10" s="256"/>
      <c r="H10" s="256"/>
      <c r="I10" s="256"/>
      <c r="J10" s="257"/>
      <c r="K10" s="29" t="s">
        <v>22</v>
      </c>
      <c r="L10" s="81"/>
      <c r="M10" s="198" t="s">
        <v>217</v>
      </c>
      <c r="N10" s="84" t="s">
        <v>126</v>
      </c>
      <c r="O10" s="30" t="s">
        <v>127</v>
      </c>
      <c r="P10" s="84" t="s">
        <v>25</v>
      </c>
      <c r="Q10" s="145" t="s">
        <v>26</v>
      </c>
    </row>
    <row r="11" spans="2:17">
      <c r="B11" s="77" t="s">
        <v>33</v>
      </c>
      <c r="C11" s="171" t="s">
        <v>129</v>
      </c>
      <c r="D11" s="171" t="s">
        <v>129</v>
      </c>
      <c r="E11" s="171" t="s">
        <v>129</v>
      </c>
      <c r="F11" s="171" t="s">
        <v>129</v>
      </c>
      <c r="G11" s="171" t="s">
        <v>129</v>
      </c>
      <c r="H11" s="171" t="s">
        <v>129</v>
      </c>
      <c r="I11" s="171" t="s">
        <v>129</v>
      </c>
      <c r="J11" s="171" t="s">
        <v>129</v>
      </c>
      <c r="K11" s="143" t="s">
        <v>100</v>
      </c>
      <c r="L11" s="144" t="s">
        <v>100</v>
      </c>
      <c r="M11" s="32" t="s">
        <v>218</v>
      </c>
      <c r="N11" s="85"/>
      <c r="O11" s="47"/>
      <c r="P11" s="85"/>
      <c r="Q11" s="145"/>
    </row>
    <row r="12" spans="2:17" ht="30">
      <c r="B12" s="78" t="s">
        <v>27</v>
      </c>
      <c r="C12" s="258" t="s">
        <v>35</v>
      </c>
      <c r="D12" s="256"/>
      <c r="E12" s="256"/>
      <c r="F12" s="256"/>
      <c r="G12" s="256"/>
      <c r="H12" s="256"/>
      <c r="I12" s="256"/>
      <c r="J12" s="257"/>
      <c r="K12" s="1" t="s">
        <v>219</v>
      </c>
      <c r="L12" s="29" t="s">
        <v>219</v>
      </c>
      <c r="M12" s="33"/>
      <c r="N12" s="85"/>
      <c r="O12" s="47"/>
      <c r="P12" s="85"/>
      <c r="Q12" s="145"/>
    </row>
    <row r="13" spans="2:17" ht="151.5">
      <c r="B13" s="77" t="s">
        <v>28</v>
      </c>
      <c r="C13" s="172" t="s">
        <v>160</v>
      </c>
      <c r="D13" s="172" t="s">
        <v>62</v>
      </c>
      <c r="E13" s="172" t="s">
        <v>161</v>
      </c>
      <c r="F13" s="172" t="s">
        <v>162</v>
      </c>
      <c r="G13" s="172" t="s">
        <v>163</v>
      </c>
      <c r="H13" s="172" t="s">
        <v>164</v>
      </c>
      <c r="I13" s="172" t="s">
        <v>165</v>
      </c>
      <c r="J13" s="172" t="s">
        <v>166</v>
      </c>
      <c r="K13" s="1" t="s">
        <v>212</v>
      </c>
      <c r="L13" s="29" t="s">
        <v>214</v>
      </c>
      <c r="M13" s="32" t="s">
        <v>29</v>
      </c>
      <c r="N13" s="85"/>
      <c r="O13" s="47"/>
      <c r="P13" s="85"/>
      <c r="Q13" s="145"/>
    </row>
    <row r="14" spans="2:17" ht="75.75" thickBot="1">
      <c r="B14" s="79" t="s">
        <v>30</v>
      </c>
      <c r="C14" s="173" t="s">
        <v>168</v>
      </c>
      <c r="D14" s="173" t="s">
        <v>129</v>
      </c>
      <c r="E14" s="173" t="s">
        <v>168</v>
      </c>
      <c r="F14" s="173" t="s">
        <v>168</v>
      </c>
      <c r="G14" s="173" t="s">
        <v>168</v>
      </c>
      <c r="H14" s="173" t="s">
        <v>168</v>
      </c>
      <c r="I14" s="173" t="s">
        <v>168</v>
      </c>
      <c r="J14" s="173" t="s">
        <v>168</v>
      </c>
      <c r="K14" s="259" t="s">
        <v>241</v>
      </c>
      <c r="L14" s="28" t="s">
        <v>220</v>
      </c>
      <c r="M14" s="34" t="s">
        <v>221</v>
      </c>
      <c r="N14" s="83"/>
      <c r="O14" s="199" t="s">
        <v>256</v>
      </c>
      <c r="P14" s="83"/>
      <c r="Q14" s="146"/>
    </row>
    <row r="15" spans="2:17" ht="15.75" thickTop="1">
      <c r="B15" s="80" t="s">
        <v>222</v>
      </c>
      <c r="C15" s="174" t="s">
        <v>167</v>
      </c>
      <c r="D15" s="174" t="s">
        <v>167</v>
      </c>
      <c r="E15" s="174" t="s">
        <v>167</v>
      </c>
      <c r="F15" s="174" t="s">
        <v>167</v>
      </c>
      <c r="G15" s="174" t="s">
        <v>167</v>
      </c>
      <c r="H15" s="174" t="s">
        <v>167</v>
      </c>
      <c r="I15" s="174" t="s">
        <v>167</v>
      </c>
      <c r="J15" s="174" t="s">
        <v>167</v>
      </c>
      <c r="K15" s="38" t="s">
        <v>250</v>
      </c>
      <c r="L15" s="39" t="s">
        <v>223</v>
      </c>
      <c r="M15" s="40" t="s">
        <v>108</v>
      </c>
      <c r="N15" s="48"/>
      <c r="O15" s="41" t="s">
        <v>31</v>
      </c>
      <c r="P15" s="48"/>
      <c r="Q15" s="147"/>
    </row>
    <row r="16" spans="2:17">
      <c r="B16" s="22" t="s">
        <v>224</v>
      </c>
      <c r="C16" s="175" t="s">
        <v>167</v>
      </c>
      <c r="D16" s="175" t="s">
        <v>167</v>
      </c>
      <c r="E16" s="175" t="s">
        <v>167</v>
      </c>
      <c r="F16" s="175" t="s">
        <v>167</v>
      </c>
      <c r="G16" s="175" t="s">
        <v>167</v>
      </c>
      <c r="H16" s="175" t="s">
        <v>167</v>
      </c>
      <c r="I16" s="175" t="s">
        <v>167</v>
      </c>
      <c r="J16" s="175" t="s">
        <v>167</v>
      </c>
      <c r="K16" s="68" t="s">
        <v>250</v>
      </c>
      <c r="L16" s="37" t="s">
        <v>225</v>
      </c>
      <c r="M16" s="42" t="s">
        <v>226</v>
      </c>
      <c r="N16" s="49"/>
      <c r="O16" s="267" t="s">
        <v>257</v>
      </c>
      <c r="P16" s="49"/>
      <c r="Q16" s="148"/>
    </row>
    <row r="17" spans="2:17">
      <c r="B17" s="80" t="s">
        <v>242</v>
      </c>
      <c r="C17" s="174" t="s">
        <v>167</v>
      </c>
      <c r="D17" s="174" t="s">
        <v>167</v>
      </c>
      <c r="E17" s="174" t="s">
        <v>167</v>
      </c>
      <c r="F17" s="174" t="s">
        <v>167</v>
      </c>
      <c r="G17" s="174" t="s">
        <v>167</v>
      </c>
      <c r="H17" s="174" t="s">
        <v>167</v>
      </c>
      <c r="I17" s="174" t="s">
        <v>167</v>
      </c>
      <c r="J17" s="174" t="s">
        <v>167</v>
      </c>
      <c r="K17" s="38" t="s">
        <v>251</v>
      </c>
      <c r="L17" s="39" t="s">
        <v>223</v>
      </c>
      <c r="M17" s="40" t="s">
        <v>108</v>
      </c>
      <c r="N17" s="48"/>
      <c r="O17" s="41" t="s">
        <v>31</v>
      </c>
      <c r="P17" s="48"/>
      <c r="Q17" s="147"/>
    </row>
    <row r="18" spans="2:17">
      <c r="B18" s="22" t="s">
        <v>243</v>
      </c>
      <c r="C18" s="175" t="s">
        <v>167</v>
      </c>
      <c r="D18" s="175" t="s">
        <v>167</v>
      </c>
      <c r="E18" s="175" t="s">
        <v>167</v>
      </c>
      <c r="F18" s="175" t="s">
        <v>167</v>
      </c>
      <c r="G18" s="175" t="s">
        <v>167</v>
      </c>
      <c r="H18" s="175" t="s">
        <v>167</v>
      </c>
      <c r="I18" s="175" t="s">
        <v>167</v>
      </c>
      <c r="J18" s="175" t="s">
        <v>167</v>
      </c>
      <c r="K18" s="68" t="s">
        <v>251</v>
      </c>
      <c r="L18" s="37" t="s">
        <v>225</v>
      </c>
      <c r="M18" s="40" t="s">
        <v>108</v>
      </c>
      <c r="N18" s="49"/>
      <c r="O18" s="41" t="s">
        <v>31</v>
      </c>
      <c r="P18" s="49"/>
      <c r="Q18" s="148"/>
    </row>
    <row r="19" spans="2:17">
      <c r="B19" s="260" t="s">
        <v>244</v>
      </c>
      <c r="C19" s="262" t="s">
        <v>167</v>
      </c>
      <c r="D19" s="262" t="s">
        <v>167</v>
      </c>
      <c r="E19" s="262" t="s">
        <v>167</v>
      </c>
      <c r="F19" s="262" t="s">
        <v>167</v>
      </c>
      <c r="G19" s="262" t="s">
        <v>167</v>
      </c>
      <c r="H19" s="262" t="s">
        <v>167</v>
      </c>
      <c r="I19" s="262" t="s">
        <v>167</v>
      </c>
      <c r="J19" s="262" t="s">
        <v>167</v>
      </c>
      <c r="K19" s="263" t="s">
        <v>252</v>
      </c>
      <c r="L19" s="264" t="s">
        <v>248</v>
      </c>
      <c r="M19" s="265" t="s">
        <v>108</v>
      </c>
      <c r="N19" s="266"/>
      <c r="O19" s="267" t="s">
        <v>129</v>
      </c>
      <c r="P19" s="266"/>
      <c r="Q19" s="268"/>
    </row>
    <row r="20" spans="2:17">
      <c r="B20" s="261" t="s">
        <v>245</v>
      </c>
      <c r="C20" s="262" t="s">
        <v>167</v>
      </c>
      <c r="D20" s="262" t="s">
        <v>167</v>
      </c>
      <c r="E20" s="262" t="s">
        <v>167</v>
      </c>
      <c r="F20" s="262" t="s">
        <v>167</v>
      </c>
      <c r="G20" s="262" t="s">
        <v>167</v>
      </c>
      <c r="H20" s="262" t="s">
        <v>167</v>
      </c>
      <c r="I20" s="262" t="s">
        <v>167</v>
      </c>
      <c r="J20" s="262" t="s">
        <v>167</v>
      </c>
      <c r="K20" s="263" t="s">
        <v>252</v>
      </c>
      <c r="L20" s="264" t="s">
        <v>249</v>
      </c>
      <c r="M20" s="265" t="s">
        <v>108</v>
      </c>
      <c r="N20" s="266"/>
      <c r="O20" s="267" t="s">
        <v>129</v>
      </c>
      <c r="P20" s="266"/>
      <c r="Q20" s="268"/>
    </row>
    <row r="21" spans="2:17">
      <c r="B21" s="260" t="s">
        <v>246</v>
      </c>
      <c r="C21" s="262" t="s">
        <v>167</v>
      </c>
      <c r="D21" s="262" t="s">
        <v>167</v>
      </c>
      <c r="E21" s="262" t="s">
        <v>167</v>
      </c>
      <c r="F21" s="262" t="s">
        <v>167</v>
      </c>
      <c r="G21" s="262" t="s">
        <v>167</v>
      </c>
      <c r="H21" s="262" t="s">
        <v>167</v>
      </c>
      <c r="I21" s="262" t="s">
        <v>167</v>
      </c>
      <c r="J21" s="262" t="s">
        <v>167</v>
      </c>
      <c r="K21" s="263" t="s">
        <v>253</v>
      </c>
      <c r="L21" s="264" t="s">
        <v>248</v>
      </c>
      <c r="M21" s="265" t="s">
        <v>108</v>
      </c>
      <c r="N21" s="266"/>
      <c r="O21" s="267" t="s">
        <v>129</v>
      </c>
      <c r="P21" s="266"/>
      <c r="Q21" s="268"/>
    </row>
    <row r="22" spans="2:17">
      <c r="B22" s="261" t="s">
        <v>247</v>
      </c>
      <c r="C22" s="262" t="s">
        <v>167</v>
      </c>
      <c r="D22" s="262" t="s">
        <v>167</v>
      </c>
      <c r="E22" s="262" t="s">
        <v>167</v>
      </c>
      <c r="F22" s="262" t="s">
        <v>167</v>
      </c>
      <c r="G22" s="262" t="s">
        <v>167</v>
      </c>
      <c r="H22" s="262" t="s">
        <v>167</v>
      </c>
      <c r="I22" s="262" t="s">
        <v>167</v>
      </c>
      <c r="J22" s="262" t="s">
        <v>167</v>
      </c>
      <c r="K22" s="263" t="s">
        <v>253</v>
      </c>
      <c r="L22" s="264" t="s">
        <v>249</v>
      </c>
      <c r="M22" s="265" t="s">
        <v>108</v>
      </c>
      <c r="N22" s="266"/>
      <c r="O22" s="267" t="s">
        <v>129</v>
      </c>
      <c r="P22" s="266"/>
      <c r="Q22" s="268"/>
    </row>
    <row r="23" spans="2:17" ht="15.75" thickBot="1">
      <c r="B23" s="23" t="s">
        <v>101</v>
      </c>
      <c r="C23" s="176" t="s">
        <v>167</v>
      </c>
      <c r="D23" s="176" t="s">
        <v>167</v>
      </c>
      <c r="E23" s="176" t="s">
        <v>167</v>
      </c>
      <c r="F23" s="176" t="s">
        <v>167</v>
      </c>
      <c r="G23" s="176" t="s">
        <v>167</v>
      </c>
      <c r="H23" s="176" t="s">
        <v>167</v>
      </c>
      <c r="I23" s="176" t="s">
        <v>167</v>
      </c>
      <c r="J23" s="176" t="s">
        <v>167</v>
      </c>
      <c r="K23" s="43" t="s">
        <v>227</v>
      </c>
      <c r="L23" s="44" t="s">
        <v>227</v>
      </c>
      <c r="M23" s="45" t="s">
        <v>32</v>
      </c>
      <c r="N23" s="50"/>
      <c r="O23" s="46" t="s">
        <v>31</v>
      </c>
      <c r="P23" s="50"/>
      <c r="Q23" s="149"/>
    </row>
    <row r="26" spans="2:17">
      <c r="L26" s="170"/>
    </row>
    <row r="29" spans="2:17" ht="15.75">
      <c r="B29" s="27"/>
    </row>
    <row r="30" spans="2:17" ht="15.75">
      <c r="B30" s="200"/>
      <c r="C30" s="201"/>
      <c r="D30" s="201"/>
      <c r="E30" s="201"/>
      <c r="F30" s="201"/>
      <c r="G30" s="201"/>
      <c r="H30" s="201"/>
      <c r="I30" s="201"/>
      <c r="J30" s="201"/>
    </row>
  </sheetData>
  <mergeCells count="3">
    <mergeCell ref="C8:J8"/>
    <mergeCell ref="C10:J10"/>
    <mergeCell ref="C12:J12"/>
  </mergeCells>
  <phoneticPr fontId="2"/>
  <dataValidations disablePrompts="1" count="1">
    <dataValidation type="list" allowBlank="1" showInputMessage="1" showErrorMessage="1" sqref="C8 C30"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35AA-0D5E-4DFA-B692-AD28CFA64AA2}">
  <dimension ref="B2:D27"/>
  <sheetViews>
    <sheetView zoomScale="130" zoomScaleNormal="130" workbookViewId="0"/>
  </sheetViews>
  <sheetFormatPr defaultRowHeight="15"/>
  <cols>
    <col min="2" max="2" width="4.85546875" bestFit="1" customWidth="1"/>
    <col min="3" max="3" width="12.28515625" customWidth="1"/>
    <col min="4" max="4" width="86" customWidth="1"/>
  </cols>
  <sheetData>
    <row r="2" spans="2:4" ht="15.75" thickBot="1">
      <c r="B2" s="92" t="s">
        <v>85</v>
      </c>
      <c r="C2" s="93">
        <f>MAX(B4:B28)</f>
        <v>20</v>
      </c>
      <c r="D2" s="93"/>
    </row>
    <row r="3" spans="2:4" ht="15.75" thickBot="1">
      <c r="B3" s="86" t="s">
        <v>85</v>
      </c>
      <c r="C3" s="94" t="s">
        <v>89</v>
      </c>
      <c r="D3" s="87" t="s">
        <v>86</v>
      </c>
    </row>
    <row r="4" spans="2:4" ht="15.75" thickTop="1">
      <c r="B4" s="12">
        <v>0</v>
      </c>
      <c r="C4" s="95" t="s">
        <v>90</v>
      </c>
      <c r="D4" s="14" t="s">
        <v>19</v>
      </c>
    </row>
    <row r="5" spans="2:4" ht="45">
      <c r="B5" s="2">
        <v>1</v>
      </c>
      <c r="C5" s="96" t="s">
        <v>90</v>
      </c>
      <c r="D5" s="98" t="s">
        <v>91</v>
      </c>
    </row>
    <row r="6" spans="2:4" ht="30">
      <c r="B6" s="2">
        <v>2</v>
      </c>
      <c r="C6" s="96" t="s">
        <v>93</v>
      </c>
      <c r="D6" s="98" t="s">
        <v>94</v>
      </c>
    </row>
    <row r="7" spans="2:4" ht="60">
      <c r="B7" s="2">
        <v>3</v>
      </c>
      <c r="C7" s="96" t="s">
        <v>90</v>
      </c>
      <c r="D7" s="98" t="s">
        <v>97</v>
      </c>
    </row>
    <row r="8" spans="2:4" ht="90">
      <c r="B8" s="2">
        <v>4</v>
      </c>
      <c r="C8" s="96" t="s">
        <v>105</v>
      </c>
      <c r="D8" s="98" t="s">
        <v>111</v>
      </c>
    </row>
    <row r="9" spans="2:4" ht="41.25" customHeight="1">
      <c r="B9" s="2">
        <v>5</v>
      </c>
      <c r="C9" s="96" t="s">
        <v>106</v>
      </c>
      <c r="D9" s="98" t="s">
        <v>107</v>
      </c>
    </row>
    <row r="10" spans="2:4" ht="30">
      <c r="B10" s="2">
        <v>6</v>
      </c>
      <c r="C10" s="96" t="s">
        <v>90</v>
      </c>
      <c r="D10" s="98" t="s">
        <v>110</v>
      </c>
    </row>
    <row r="11" spans="2:4" ht="30">
      <c r="B11" s="2">
        <v>7</v>
      </c>
      <c r="C11" s="96" t="s">
        <v>105</v>
      </c>
      <c r="D11" s="98" t="s">
        <v>109</v>
      </c>
    </row>
    <row r="12" spans="2:4" ht="30">
      <c r="B12" s="2">
        <v>8</v>
      </c>
      <c r="C12" s="96" t="s">
        <v>90</v>
      </c>
      <c r="D12" s="98" t="s">
        <v>112</v>
      </c>
    </row>
    <row r="13" spans="2:4" ht="30">
      <c r="B13" s="2">
        <v>9</v>
      </c>
      <c r="C13" s="96" t="s">
        <v>90</v>
      </c>
      <c r="D13" s="98" t="s">
        <v>113</v>
      </c>
    </row>
    <row r="14" spans="2:4" ht="30">
      <c r="B14" s="2">
        <v>10</v>
      </c>
      <c r="C14" s="96" t="s">
        <v>114</v>
      </c>
      <c r="D14" s="98" t="s">
        <v>115</v>
      </c>
    </row>
    <row r="15" spans="2:4" ht="165">
      <c r="B15" s="2">
        <v>11</v>
      </c>
      <c r="C15" s="96" t="s">
        <v>90</v>
      </c>
      <c r="D15" s="98" t="s">
        <v>130</v>
      </c>
    </row>
    <row r="16" spans="2:4" ht="191.25" customHeight="1">
      <c r="B16" s="2">
        <v>12</v>
      </c>
      <c r="C16" s="96" t="s">
        <v>156</v>
      </c>
      <c r="D16" s="98" t="s">
        <v>173</v>
      </c>
    </row>
    <row r="17" spans="2:4" ht="30">
      <c r="B17" s="2">
        <v>13</v>
      </c>
      <c r="C17" s="96" t="s">
        <v>93</v>
      </c>
      <c r="D17" s="98" t="s">
        <v>176</v>
      </c>
    </row>
    <row r="18" spans="2:4" ht="120">
      <c r="B18" s="2">
        <v>14</v>
      </c>
      <c r="C18" s="96" t="s">
        <v>93</v>
      </c>
      <c r="D18" s="98" t="s">
        <v>178</v>
      </c>
    </row>
    <row r="19" spans="2:4" ht="45">
      <c r="B19" s="2">
        <v>15</v>
      </c>
      <c r="C19" s="96" t="s">
        <v>106</v>
      </c>
      <c r="D19" s="98" t="s">
        <v>181</v>
      </c>
    </row>
    <row r="20" spans="2:4" ht="64.5" customHeight="1">
      <c r="B20" s="2">
        <v>16</v>
      </c>
      <c r="C20" s="96" t="s">
        <v>106</v>
      </c>
      <c r="D20" s="98" t="s">
        <v>185</v>
      </c>
    </row>
    <row r="21" spans="2:4" ht="66.75" customHeight="1">
      <c r="B21" s="2">
        <v>17</v>
      </c>
      <c r="C21" s="96" t="s">
        <v>105</v>
      </c>
      <c r="D21" s="98" t="s">
        <v>200</v>
      </c>
    </row>
    <row r="22" spans="2:4" ht="45">
      <c r="B22" s="2">
        <v>18</v>
      </c>
      <c r="C22" s="96" t="s">
        <v>202</v>
      </c>
      <c r="D22" s="98" t="s">
        <v>203</v>
      </c>
    </row>
    <row r="23" spans="2:4" ht="30">
      <c r="B23" s="2">
        <v>19</v>
      </c>
      <c r="C23" s="96" t="s">
        <v>202</v>
      </c>
      <c r="D23" s="98" t="s">
        <v>205</v>
      </c>
    </row>
    <row r="24" spans="2:4" ht="105">
      <c r="B24" s="2">
        <v>20</v>
      </c>
      <c r="C24" s="96" t="s">
        <v>238</v>
      </c>
      <c r="D24" s="98" t="s">
        <v>239</v>
      </c>
    </row>
    <row r="25" spans="2:4">
      <c r="B25" s="2"/>
      <c r="C25" s="96"/>
      <c r="D25" s="82"/>
    </row>
    <row r="26" spans="2:4">
      <c r="B26" s="2"/>
      <c r="C26" s="96"/>
      <c r="D26" s="82"/>
    </row>
    <row r="27" spans="2:4" ht="15.75" thickBot="1">
      <c r="B27" s="3"/>
      <c r="C27" s="9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S_RTAN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Monteposo (DTPH)</cp:lastModifiedBy>
  <dcterms:created xsi:type="dcterms:W3CDTF">2019-02-05T04:25:17Z</dcterms:created>
  <dcterms:modified xsi:type="dcterms:W3CDTF">2023-11-10T05:35:18Z</dcterms:modified>
</cp:coreProperties>
</file>