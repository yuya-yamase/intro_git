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ECB8BE4C-DA3C-4984-BC71-A67636C93194}" xr6:coauthVersionLast="47" xr6:coauthVersionMax="47" xr10:uidLastSave="{00000000-0000-0000-0000-000000000000}"/>
  <bookViews>
    <workbookView xWindow="-7575" yWindow="-16320" windowWidth="29040" windowHeight="15720" xr2:uid="{00000000-000D-0000-FFFF-FFFF00000000}"/>
  </bookViews>
  <sheets>
    <sheet name="表紙（承認欄）" sheetId="21" r:id="rId1"/>
    <sheet name="表紙" sheetId="1" r:id="rId2"/>
    <sheet name="はじめに" sheetId="10" r:id="rId3"/>
    <sheet name="Matrix" sheetId="4" r:id="rId4"/>
    <sheet name="Config_IF" sheetId="11" r:id="rId5"/>
    <sheet name="CH_Design" sheetId="5" r:id="rId6"/>
    <sheet name="H_TOWWAR" sheetId="17" r:id="rId7"/>
    <sheet name="Reference" sheetId="20"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Reference!$B$15:$R$49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1" l="1"/>
  <c r="B13" i="1"/>
  <c r="B12" i="1"/>
  <c r="B11" i="1"/>
  <c r="B10" i="1"/>
  <c r="B9" i="1"/>
  <c r="C2" i="7"/>
  <c r="B3" i="17"/>
  <c r="AJ76" i="17" l="1"/>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O198" i="17" s="1"/>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O195" i="17" s="1"/>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AM187" i="17" s="1"/>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O180" i="17" s="1"/>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O172" i="17" s="1"/>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AN162" i="17" s="1"/>
  <c r="L162" i="17"/>
  <c r="K162" i="17"/>
  <c r="J162" i="17"/>
  <c r="I162" i="17"/>
  <c r="H162" i="17"/>
  <c r="G162" i="17"/>
  <c r="F162" i="17"/>
  <c r="E162" i="17"/>
  <c r="AO162" i="17" s="1"/>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AO144" i="17" s="1"/>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AN138" i="17" s="1"/>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AM92" i="17" s="1"/>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AN90" i="17" s="1"/>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AT68" i="17"/>
  <c r="C68" i="17"/>
  <c r="AT67" i="17"/>
  <c r="C67" i="17"/>
  <c r="C66" i="17"/>
  <c r="C65" i="17"/>
  <c r="C64" i="17"/>
  <c r="C63" i="17"/>
  <c r="AT63" i="17" s="1"/>
  <c r="AT62" i="17"/>
  <c r="C62" i="17"/>
  <c r="AT61" i="17"/>
  <c r="C61" i="17"/>
  <c r="C60" i="17"/>
  <c r="C59" i="17"/>
  <c r="AT58" i="17"/>
  <c r="C58" i="17"/>
  <c r="AT57" i="17"/>
  <c r="C57" i="17"/>
  <c r="C56" i="17"/>
  <c r="C55" i="17"/>
  <c r="C54" i="17"/>
  <c r="AT53" i="17"/>
  <c r="C53" i="17"/>
  <c r="C52" i="17"/>
  <c r="C117" i="17" s="1"/>
  <c r="C51" i="17"/>
  <c r="AT50" i="17"/>
  <c r="C50" i="17"/>
  <c r="AT49" i="17"/>
  <c r="C49" i="17"/>
  <c r="C48" i="17"/>
  <c r="C47" i="17"/>
  <c r="AT46" i="17"/>
  <c r="C46" i="17"/>
  <c r="AT45" i="17"/>
  <c r="C45" i="17"/>
  <c r="C44" i="17"/>
  <c r="C174" i="17" s="1"/>
  <c r="C43" i="17"/>
  <c r="C42" i="17"/>
  <c r="AT41" i="17"/>
  <c r="C41" i="17"/>
  <c r="C40" i="17"/>
  <c r="C39" i="17"/>
  <c r="C38" i="17"/>
  <c r="C37" i="17"/>
  <c r="AT36" i="17"/>
  <c r="C36" i="17"/>
  <c r="C101" i="17" s="1"/>
  <c r="AT35" i="17"/>
  <c r="C35" i="17"/>
  <c r="C165" i="17" s="1"/>
  <c r="C34" i="17"/>
  <c r="C33" i="17"/>
  <c r="C163" i="17" s="1"/>
  <c r="C32" i="17"/>
  <c r="C31" i="17"/>
  <c r="AT30" i="17"/>
  <c r="C30" i="17"/>
  <c r="C95" i="17" s="1"/>
  <c r="AT29" i="17"/>
  <c r="C29" i="17"/>
  <c r="C159" i="17" s="1"/>
  <c r="C28" i="17"/>
  <c r="C27" i="17"/>
  <c r="C157" i="17" s="1"/>
  <c r="C26" i="17"/>
  <c r="C25" i="17"/>
  <c r="AT24" i="17"/>
  <c r="C24" i="17"/>
  <c r="C89" i="17" s="1"/>
  <c r="AT23" i="17"/>
  <c r="C23" i="17"/>
  <c r="C153" i="17" s="1"/>
  <c r="C22" i="17"/>
  <c r="C21" i="17"/>
  <c r="C151" i="17" s="1"/>
  <c r="C20" i="17"/>
  <c r="C19" i="17"/>
  <c r="AT18" i="17"/>
  <c r="C18" i="17"/>
  <c r="C83" i="17" s="1"/>
  <c r="AT17" i="17"/>
  <c r="C17" i="17"/>
  <c r="C147" i="17" s="1"/>
  <c r="C16" i="17"/>
  <c r="C15" i="17"/>
  <c r="C14" i="17"/>
  <c r="AW13" i="17"/>
  <c r="C13" i="17"/>
  <c r="C143" i="17" s="1"/>
  <c r="C12" i="17"/>
  <c r="C77" i="17" s="1"/>
  <c r="C11" i="17"/>
  <c r="C141" i="17" s="1"/>
  <c r="C10" i="17"/>
  <c r="C9" i="17"/>
  <c r="C139" i="17" s="1"/>
  <c r="C8" i="17"/>
  <c r="C73" i="17" s="1"/>
  <c r="AW7" i="17"/>
  <c r="C7" i="17"/>
  <c r="AW6" i="17"/>
  <c r="C6" i="17"/>
  <c r="AO174" i="17" l="1"/>
  <c r="AN190" i="17"/>
  <c r="AL191" i="17"/>
  <c r="AN193" i="17"/>
  <c r="AN74" i="17"/>
  <c r="AO77" i="17"/>
  <c r="AM80" i="17"/>
  <c r="AN100" i="17"/>
  <c r="AO125" i="17"/>
  <c r="AN156" i="17"/>
  <c r="AL169" i="17"/>
  <c r="AN171" i="17"/>
  <c r="AN179" i="17"/>
  <c r="AO186" i="17"/>
  <c r="AN186" i="17"/>
  <c r="AM186" i="17"/>
  <c r="AN79" i="17"/>
  <c r="AM86" i="17"/>
  <c r="AM87" i="17"/>
  <c r="AO95" i="17"/>
  <c r="AN103" i="17"/>
  <c r="AL108" i="17"/>
  <c r="AL124" i="17"/>
  <c r="AO127" i="17"/>
  <c r="AO136" i="17"/>
  <c r="AO150" i="17"/>
  <c r="AM165" i="17"/>
  <c r="AN170" i="17"/>
  <c r="AL171" i="17"/>
  <c r="AN180" i="17"/>
  <c r="AO192" i="17"/>
  <c r="AM150" i="17"/>
  <c r="AN154" i="17"/>
  <c r="AM88" i="17"/>
  <c r="AM96" i="17"/>
  <c r="AO104" i="17"/>
  <c r="AO119" i="17"/>
  <c r="AM120" i="17"/>
  <c r="AN144" i="17"/>
  <c r="AO159" i="17"/>
  <c r="AN174" i="17"/>
  <c r="AL187" i="17"/>
  <c r="AN189" i="17"/>
  <c r="AN197" i="17"/>
  <c r="AN92" i="17"/>
  <c r="AM105" i="17"/>
  <c r="AO113" i="17"/>
  <c r="AO138" i="17"/>
  <c r="AO156" i="17"/>
  <c r="AN172" i="17"/>
  <c r="AL173" i="17"/>
  <c r="AN175" i="17"/>
  <c r="AO190" i="17"/>
  <c r="AN143" i="17"/>
  <c r="AN150" i="17"/>
  <c r="AN157" i="17"/>
  <c r="AN82" i="17"/>
  <c r="AN88" i="17"/>
  <c r="AO90" i="17"/>
  <c r="AN113" i="17"/>
  <c r="AM114" i="17"/>
  <c r="AO122" i="17"/>
  <c r="AN130" i="17"/>
  <c r="AN136" i="17"/>
  <c r="AN139" i="17"/>
  <c r="C154" i="17"/>
  <c r="AN161" i="17"/>
  <c r="AO168" i="17"/>
  <c r="AN168" i="17"/>
  <c r="AM183" i="17"/>
  <c r="AN198" i="17"/>
  <c r="AO86" i="17"/>
  <c r="AM98" i="17"/>
  <c r="AO115" i="17"/>
  <c r="AN72" i="17"/>
  <c r="AM115" i="17"/>
  <c r="AO123" i="17"/>
  <c r="AO131" i="17"/>
  <c r="AO140" i="17"/>
  <c r="AM169" i="17"/>
  <c r="AO177" i="17"/>
  <c r="AN192" i="17"/>
  <c r="AM78" i="17"/>
  <c r="AM74" i="17"/>
  <c r="AL155" i="17"/>
  <c r="AN85" i="17"/>
  <c r="C100" i="17"/>
  <c r="AM102" i="17"/>
  <c r="AN112" i="17"/>
  <c r="AM116" i="17"/>
  <c r="AM129" i="17"/>
  <c r="AM133" i="17"/>
  <c r="AM138" i="17"/>
  <c r="AO141" i="17"/>
  <c r="AM147" i="17"/>
  <c r="AN153" i="17"/>
  <c r="AM156" i="17"/>
  <c r="AM174" i="17"/>
  <c r="AM192" i="17"/>
  <c r="AN94" i="17"/>
  <c r="AN158" i="17"/>
  <c r="AN176" i="17"/>
  <c r="AN194" i="17"/>
  <c r="AO80" i="17"/>
  <c r="C94" i="17"/>
  <c r="AN116" i="17"/>
  <c r="AM141" i="17"/>
  <c r="AN147" i="17"/>
  <c r="AN148" i="17"/>
  <c r="AO153" i="17"/>
  <c r="AM168" i="17"/>
  <c r="AN98" i="17"/>
  <c r="AN97" i="17"/>
  <c r="AN84" i="17"/>
  <c r="AO98" i="17"/>
  <c r="AM109" i="17"/>
  <c r="AM113" i="17"/>
  <c r="AO117" i="17"/>
  <c r="AN121" i="17"/>
  <c r="AO126" i="17"/>
  <c r="AM159" i="17"/>
  <c r="AN165" i="17"/>
  <c r="AN166" i="17"/>
  <c r="AO171" i="17"/>
  <c r="AM177" i="17"/>
  <c r="AN183" i="17"/>
  <c r="AN184" i="17"/>
  <c r="AO189" i="17"/>
  <c r="AM195" i="17"/>
  <c r="AO71" i="17"/>
  <c r="AM81" i="17"/>
  <c r="AO89" i="17"/>
  <c r="AN102" i="17"/>
  <c r="AM104" i="17"/>
  <c r="AN107" i="17"/>
  <c r="AM118" i="17"/>
  <c r="AN125" i="17"/>
  <c r="AN151" i="17"/>
  <c r="AN152" i="17"/>
  <c r="AO184" i="17"/>
  <c r="AO107" i="17"/>
  <c r="AO111" i="17"/>
  <c r="AL125" i="17"/>
  <c r="AM144" i="17"/>
  <c r="AN155" i="17"/>
  <c r="AN169" i="17"/>
  <c r="AN173" i="17"/>
  <c r="AM181" i="17"/>
  <c r="AN187" i="17"/>
  <c r="AN188" i="17"/>
  <c r="AL189" i="17"/>
  <c r="AN191" i="17"/>
  <c r="AM199" i="17"/>
  <c r="AM72" i="17"/>
  <c r="AM90" i="17"/>
  <c r="AM99" i="17"/>
  <c r="AN78" i="17"/>
  <c r="C88" i="17"/>
  <c r="AO102" i="17"/>
  <c r="AM108" i="17"/>
  <c r="AO116" i="17"/>
  <c r="AN141" i="17"/>
  <c r="AN142" i="17"/>
  <c r="AO147" i="17"/>
  <c r="AM153" i="17"/>
  <c r="AM162" i="17"/>
  <c r="AM180" i="17"/>
  <c r="AM198" i="17"/>
  <c r="AN76" i="17"/>
  <c r="AO84" i="17"/>
  <c r="AO74" i="17"/>
  <c r="AO92" i="17"/>
  <c r="AN96" i="17"/>
  <c r="AM126" i="17"/>
  <c r="AO129" i="17"/>
  <c r="AM130" i="17"/>
  <c r="AN159" i="17"/>
  <c r="AN160" i="17"/>
  <c r="AO165" i="17"/>
  <c r="AM171" i="17"/>
  <c r="AN177" i="17"/>
  <c r="AN178" i="17"/>
  <c r="AO183" i="17"/>
  <c r="AM189" i="17"/>
  <c r="AN195" i="17"/>
  <c r="AN196" i="17"/>
  <c r="AO106" i="17"/>
  <c r="AO110" i="17"/>
  <c r="AN118" i="17"/>
  <c r="AN119" i="17"/>
  <c r="AM121" i="17"/>
  <c r="AN145" i="17"/>
  <c r="AN146" i="17"/>
  <c r="AN149" i="17"/>
  <c r="AO178" i="17"/>
  <c r="AO196" i="17"/>
  <c r="AN80" i="17"/>
  <c r="AN140" i="17"/>
  <c r="AO78" i="17"/>
  <c r="AO83" i="17"/>
  <c r="AM75" i="17"/>
  <c r="C82" i="17"/>
  <c r="AM84" i="17"/>
  <c r="AN86" i="17"/>
  <c r="AM93" i="17"/>
  <c r="AO96" i="17"/>
  <c r="AO101" i="17"/>
  <c r="AN109" i="17"/>
  <c r="AM111" i="17"/>
  <c r="AN115" i="17"/>
  <c r="AM125" i="17"/>
  <c r="AO146" i="17"/>
  <c r="AN163" i="17"/>
  <c r="AN164" i="17"/>
  <c r="AN167" i="17"/>
  <c r="AM175" i="17"/>
  <c r="AN181" i="17"/>
  <c r="AN182" i="17"/>
  <c r="AN185" i="17"/>
  <c r="AM193" i="17"/>
  <c r="AN199" i="17"/>
  <c r="AL77" i="17"/>
  <c r="AL84" i="17"/>
  <c r="AL95" i="17"/>
  <c r="AL127" i="17"/>
  <c r="AL131" i="17"/>
  <c r="AQ131" i="17" s="1"/>
  <c r="AL139" i="17"/>
  <c r="AL71" i="17"/>
  <c r="AL89" i="17"/>
  <c r="AL96" i="17"/>
  <c r="AL120" i="17"/>
  <c r="AL122" i="17"/>
  <c r="AL151" i="17"/>
  <c r="AL153" i="17"/>
  <c r="AQ153" i="17" s="1"/>
  <c r="AL126" i="17"/>
  <c r="AL132" i="17"/>
  <c r="AL137" i="17"/>
  <c r="AL141" i="17"/>
  <c r="AL102" i="17"/>
  <c r="AL105" i="17"/>
  <c r="AL114" i="17"/>
  <c r="AL140" i="17"/>
  <c r="AL157" i="17"/>
  <c r="AL159" i="17"/>
  <c r="AL161" i="17"/>
  <c r="AL175" i="17"/>
  <c r="AL177" i="17"/>
  <c r="AL179" i="17"/>
  <c r="AL193" i="17"/>
  <c r="AL195" i="17"/>
  <c r="AL197" i="17"/>
  <c r="AL104" i="17"/>
  <c r="AL128" i="17"/>
  <c r="AL130" i="17"/>
  <c r="AL134" i="17"/>
  <c r="AL143" i="17"/>
  <c r="AL72" i="17"/>
  <c r="AL74" i="17"/>
  <c r="AL83" i="17"/>
  <c r="AL90" i="17"/>
  <c r="AL106" i="17"/>
  <c r="AL110" i="17"/>
  <c r="AL111" i="17"/>
  <c r="AL116" i="17"/>
  <c r="AL145" i="17"/>
  <c r="AL147" i="17"/>
  <c r="AL149" i="17"/>
  <c r="AL78" i="17"/>
  <c r="AL101" i="17"/>
  <c r="AL117" i="17"/>
  <c r="AL118" i="17"/>
  <c r="AL119" i="17"/>
  <c r="AL163" i="17"/>
  <c r="AL165" i="17"/>
  <c r="AQ165" i="17" s="1"/>
  <c r="AL167" i="17"/>
  <c r="AL181" i="17"/>
  <c r="AQ181" i="17" s="1"/>
  <c r="AL183" i="17"/>
  <c r="AL185" i="17"/>
  <c r="AL199" i="17"/>
  <c r="AT47" i="17"/>
  <c r="C195" i="17"/>
  <c r="C130" i="17"/>
  <c r="AN73" i="17"/>
  <c r="AM82" i="17"/>
  <c r="AN91" i="17"/>
  <c r="AM100" i="17"/>
  <c r="AQ101" i="17"/>
  <c r="C177" i="17"/>
  <c r="C112" i="17"/>
  <c r="AO154" i="17"/>
  <c r="C150" i="17"/>
  <c r="C85" i="17"/>
  <c r="C152" i="17"/>
  <c r="C87" i="17"/>
  <c r="C155" i="17"/>
  <c r="C90" i="17"/>
  <c r="AQ90" i="17" s="1"/>
  <c r="AT25" i="17"/>
  <c r="C162" i="17"/>
  <c r="C97" i="17"/>
  <c r="C164" i="17"/>
  <c r="C99" i="17"/>
  <c r="C167" i="17"/>
  <c r="C102" i="17"/>
  <c r="AT37" i="17"/>
  <c r="C178" i="17"/>
  <c r="C113" i="17"/>
  <c r="C181" i="17"/>
  <c r="C116" i="17"/>
  <c r="AT51" i="17"/>
  <c r="C189" i="17"/>
  <c r="C124" i="17"/>
  <c r="AO72" i="17"/>
  <c r="C136" i="17"/>
  <c r="C71" i="17"/>
  <c r="C170" i="17"/>
  <c r="C105" i="17"/>
  <c r="C144" i="17"/>
  <c r="C79" i="17"/>
  <c r="AT28" i="17"/>
  <c r="C172" i="17"/>
  <c r="C107" i="17"/>
  <c r="AM71" i="17"/>
  <c r="AM76" i="17"/>
  <c r="AM94" i="17"/>
  <c r="AQ95" i="17"/>
  <c r="C149" i="17"/>
  <c r="C84" i="17"/>
  <c r="AQ84" i="17" s="1"/>
  <c r="AT19" i="17"/>
  <c r="C156" i="17"/>
  <c r="C91" i="17"/>
  <c r="C158" i="17"/>
  <c r="C93" i="17"/>
  <c r="C161" i="17"/>
  <c r="C96" i="17"/>
  <c r="AQ96" i="17" s="1"/>
  <c r="AT31" i="17"/>
  <c r="C168" i="17"/>
  <c r="C103" i="17"/>
  <c r="AT40" i="17"/>
  <c r="B6" i="17"/>
  <c r="C137" i="17"/>
  <c r="C72" i="17"/>
  <c r="C145" i="17"/>
  <c r="C80" i="17"/>
  <c r="C119" i="17"/>
  <c r="C184" i="17"/>
  <c r="C76" i="17"/>
  <c r="AQ102" i="17"/>
  <c r="AQ113" i="17"/>
  <c r="C146" i="17"/>
  <c r="C81" i="17"/>
  <c r="C176" i="17"/>
  <c r="C111" i="17"/>
  <c r="AT54" i="17"/>
  <c r="C123" i="17"/>
  <c r="C188" i="17"/>
  <c r="C191" i="17"/>
  <c r="C126" i="17"/>
  <c r="C197" i="17"/>
  <c r="C132" i="17"/>
  <c r="AQ132" i="17" s="1"/>
  <c r="AN71" i="17"/>
  <c r="AO76" i="17"/>
  <c r="AO82" i="17"/>
  <c r="AO88" i="17"/>
  <c r="AO94" i="17"/>
  <c r="AO100" i="17"/>
  <c r="AQ100" i="17" s="1"/>
  <c r="AO105" i="17"/>
  <c r="AM137" i="17"/>
  <c r="C138" i="17"/>
  <c r="C148" i="17"/>
  <c r="AQ149" i="17"/>
  <c r="C166" i="17"/>
  <c r="AT42" i="17"/>
  <c r="C179" i="17"/>
  <c r="C114" i="17"/>
  <c r="C140" i="17"/>
  <c r="C75" i="17"/>
  <c r="C171" i="17"/>
  <c r="C106" i="17"/>
  <c r="C175" i="17"/>
  <c r="C110" i="17"/>
  <c r="C183" i="17"/>
  <c r="C118" i="17"/>
  <c r="C187" i="17"/>
  <c r="C122" i="17"/>
  <c r="C129" i="17"/>
  <c r="C194" i="17"/>
  <c r="AM73" i="17"/>
  <c r="C74" i="17"/>
  <c r="AO75" i="17"/>
  <c r="AL75" i="17"/>
  <c r="AL76" i="17"/>
  <c r="AN77" i="17"/>
  <c r="AM79" i="17"/>
  <c r="AO81" i="17"/>
  <c r="AL81" i="17"/>
  <c r="AL82" i="17"/>
  <c r="AN83" i="17"/>
  <c r="AM85" i="17"/>
  <c r="C86" i="17"/>
  <c r="AO87" i="17"/>
  <c r="AL87" i="17"/>
  <c r="AL88" i="17"/>
  <c r="AN89" i="17"/>
  <c r="AQ89" i="17" s="1"/>
  <c r="AM91" i="17"/>
  <c r="C92" i="17"/>
  <c r="AO93" i="17"/>
  <c r="AL93" i="17"/>
  <c r="AL94" i="17"/>
  <c r="AN95" i="17"/>
  <c r="AM97" i="17"/>
  <c r="C98" i="17"/>
  <c r="AO99" i="17"/>
  <c r="AL99" i="17"/>
  <c r="AL100" i="17"/>
  <c r="AN101" i="17"/>
  <c r="AM103" i="17"/>
  <c r="AN106" i="17"/>
  <c r="AQ106" i="17" s="1"/>
  <c r="AM107" i="17"/>
  <c r="AO109" i="17"/>
  <c r="AL109" i="17"/>
  <c r="AN111" i="17"/>
  <c r="AM112" i="17"/>
  <c r="AL113" i="17"/>
  <c r="AN128" i="17"/>
  <c r="AO148" i="17"/>
  <c r="AQ148" i="17" s="1"/>
  <c r="AO166" i="17"/>
  <c r="C125" i="17"/>
  <c r="AQ125" i="17" s="1"/>
  <c r="C190" i="17"/>
  <c r="AO108" i="17"/>
  <c r="C142" i="17"/>
  <c r="C160" i="17"/>
  <c r="C182" i="17"/>
  <c r="C169" i="17"/>
  <c r="C104" i="17"/>
  <c r="C173" i="17"/>
  <c r="C108" i="17"/>
  <c r="AT48" i="17"/>
  <c r="C185" i="17"/>
  <c r="C120" i="17"/>
  <c r="AT60" i="17"/>
  <c r="C193" i="17"/>
  <c r="C128" i="17"/>
  <c r="C199" i="17"/>
  <c r="C134" i="17"/>
  <c r="AT69" i="17"/>
  <c r="AO73" i="17"/>
  <c r="AL73" i="17"/>
  <c r="AN75" i="17"/>
  <c r="AM77" i="17"/>
  <c r="C78" i="17"/>
  <c r="AO79" i="17"/>
  <c r="AL79" i="17"/>
  <c r="AL80" i="17"/>
  <c r="AN81" i="17"/>
  <c r="AM83" i="17"/>
  <c r="AO85" i="17"/>
  <c r="AL85" i="17"/>
  <c r="AL86" i="17"/>
  <c r="AQ86" i="17" s="1"/>
  <c r="AN87" i="17"/>
  <c r="AM89" i="17"/>
  <c r="AO91" i="17"/>
  <c r="AL91" i="17"/>
  <c r="AL92" i="17"/>
  <c r="AQ92" i="17" s="1"/>
  <c r="AN93" i="17"/>
  <c r="AM95" i="17"/>
  <c r="AO97" i="17"/>
  <c r="AQ97" i="17" s="1"/>
  <c r="AL97" i="17"/>
  <c r="AL98" i="17"/>
  <c r="AQ98" i="17" s="1"/>
  <c r="AN99" i="17"/>
  <c r="AM101" i="17"/>
  <c r="AO103" i="17"/>
  <c r="AQ103" i="17" s="1"/>
  <c r="AL103" i="17"/>
  <c r="AN105" i="17"/>
  <c r="AM106" i="17"/>
  <c r="AL107" i="17"/>
  <c r="AM110" i="17"/>
  <c r="AO112" i="17"/>
  <c r="AL112" i="17"/>
  <c r="AQ112" i="17" s="1"/>
  <c r="AQ119" i="17"/>
  <c r="AO142" i="17"/>
  <c r="AO160" i="17"/>
  <c r="AO182" i="17"/>
  <c r="AL182" i="17"/>
  <c r="C115" i="17"/>
  <c r="C180" i="17"/>
  <c r="C121" i="17"/>
  <c r="C186" i="17"/>
  <c r="C127" i="17"/>
  <c r="C192" i="17"/>
  <c r="C133" i="17"/>
  <c r="C198" i="17"/>
  <c r="AL115" i="17"/>
  <c r="AQ115" i="17" s="1"/>
  <c r="AM119" i="17"/>
  <c r="AO121" i="17"/>
  <c r="AL121" i="17"/>
  <c r="AN122" i="17"/>
  <c r="AM123" i="17"/>
  <c r="AM128" i="17"/>
  <c r="AL129" i="17"/>
  <c r="AQ129" i="17" s="1"/>
  <c r="AM132" i="17"/>
  <c r="AO133" i="17"/>
  <c r="AL133" i="17"/>
  <c r="AN134" i="17"/>
  <c r="AN104" i="17"/>
  <c r="AN110" i="17"/>
  <c r="AQ110" i="17" s="1"/>
  <c r="AO114" i="17"/>
  <c r="AQ114" i="17" s="1"/>
  <c r="AO120" i="17"/>
  <c r="AO137" i="17"/>
  <c r="AQ163" i="17"/>
  <c r="AO176" i="17"/>
  <c r="AL176" i="17"/>
  <c r="AO194" i="17"/>
  <c r="AQ194" i="17" s="1"/>
  <c r="AL194" i="17"/>
  <c r="C131" i="17"/>
  <c r="C196" i="17"/>
  <c r="C109" i="17"/>
  <c r="AM117" i="17"/>
  <c r="AM122" i="17"/>
  <c r="AL123" i="17"/>
  <c r="AM127" i="17"/>
  <c r="AO128" i="17"/>
  <c r="AQ128" i="17" s="1"/>
  <c r="AM131" i="17"/>
  <c r="AO132" i="17"/>
  <c r="AM134" i="17"/>
  <c r="AO143" i="17"/>
  <c r="AO149" i="17"/>
  <c r="AO155" i="17"/>
  <c r="AO161" i="17"/>
  <c r="AQ161" i="17" s="1"/>
  <c r="AO167" i="17"/>
  <c r="AQ167" i="17" s="1"/>
  <c r="AQ173" i="17"/>
  <c r="AN108" i="17"/>
  <c r="AN114" i="17"/>
  <c r="AN124" i="17"/>
  <c r="AQ124" i="17"/>
  <c r="AN127" i="17"/>
  <c r="AQ127" i="17" s="1"/>
  <c r="AN131" i="17"/>
  <c r="AN137" i="17"/>
  <c r="AM139" i="17"/>
  <c r="AM145" i="17"/>
  <c r="AL146" i="17"/>
  <c r="AM151" i="17"/>
  <c r="AO152" i="17"/>
  <c r="AL152" i="17"/>
  <c r="AM157" i="17"/>
  <c r="AO158" i="17"/>
  <c r="AL158" i="17"/>
  <c r="AM163" i="17"/>
  <c r="AO164" i="17"/>
  <c r="AL164" i="17"/>
  <c r="AO170" i="17"/>
  <c r="AL170" i="17"/>
  <c r="AO188" i="17"/>
  <c r="AL188" i="17"/>
  <c r="AO139" i="17"/>
  <c r="AM143" i="17"/>
  <c r="AO145" i="17"/>
  <c r="AQ147" i="17"/>
  <c r="AM149" i="17"/>
  <c r="AO151" i="17"/>
  <c r="AM155" i="17"/>
  <c r="AQ155" i="17" s="1"/>
  <c r="AO157" i="17"/>
  <c r="AQ157" i="17" s="1"/>
  <c r="AQ159" i="17"/>
  <c r="AM161" i="17"/>
  <c r="AO163" i="17"/>
  <c r="AM167" i="17"/>
  <c r="AO169" i="17"/>
  <c r="AQ171" i="17"/>
  <c r="AM173" i="17"/>
  <c r="AO175" i="17"/>
  <c r="AQ177" i="17"/>
  <c r="AM179" i="17"/>
  <c r="AO181" i="17"/>
  <c r="AQ183" i="17"/>
  <c r="AM185" i="17"/>
  <c r="AO187" i="17"/>
  <c r="AQ189" i="17"/>
  <c r="AM191" i="17"/>
  <c r="AQ191" i="17" s="1"/>
  <c r="AO193" i="17"/>
  <c r="AQ195" i="17"/>
  <c r="AM197" i="17"/>
  <c r="AO199" i="17"/>
  <c r="AN117" i="17"/>
  <c r="AO118" i="17"/>
  <c r="AQ118" i="17" s="1"/>
  <c r="AN120" i="17"/>
  <c r="AQ120" i="17"/>
  <c r="AN123" i="17"/>
  <c r="AQ123" i="17" s="1"/>
  <c r="AO124" i="17"/>
  <c r="AN126" i="17"/>
  <c r="AQ126" i="17"/>
  <c r="AN129" i="17"/>
  <c r="AO130" i="17"/>
  <c r="AN132" i="17"/>
  <c r="AM136" i="17"/>
  <c r="AL138" i="17"/>
  <c r="AM142" i="17"/>
  <c r="AL144" i="17"/>
  <c r="AQ144" i="17" s="1"/>
  <c r="AM148" i="17"/>
  <c r="AL150" i="17"/>
  <c r="AQ150" i="17" s="1"/>
  <c r="AM154" i="17"/>
  <c r="AL156" i="17"/>
  <c r="AM160" i="17"/>
  <c r="AL162" i="17"/>
  <c r="AQ162" i="17" s="1"/>
  <c r="AM166" i="17"/>
  <c r="AL168" i="17"/>
  <c r="AQ168" i="17" s="1"/>
  <c r="AM172" i="17"/>
  <c r="AQ172" i="17" s="1"/>
  <c r="AL174" i="17"/>
  <c r="AQ174" i="17" s="1"/>
  <c r="AM178" i="17"/>
  <c r="AL180" i="17"/>
  <c r="AM184" i="17"/>
  <c r="AQ184" i="17" s="1"/>
  <c r="AS54" i="17" s="1"/>
  <c r="AL186" i="17"/>
  <c r="AQ186" i="17" s="1"/>
  <c r="AM190" i="17"/>
  <c r="AL192" i="17"/>
  <c r="AM196" i="17"/>
  <c r="AL198" i="17"/>
  <c r="AQ198" i="17" s="1"/>
  <c r="AQ169" i="17"/>
  <c r="AO173" i="17"/>
  <c r="AO179" i="17"/>
  <c r="AQ179" i="17" s="1"/>
  <c r="AO185" i="17"/>
  <c r="AQ185" i="17" s="1"/>
  <c r="AS55" i="17" s="1"/>
  <c r="AQ187" i="17"/>
  <c r="AS57" i="17" s="1"/>
  <c r="AO191" i="17"/>
  <c r="AQ193" i="17"/>
  <c r="AO197" i="17"/>
  <c r="AQ199" i="17"/>
  <c r="AQ130" i="17"/>
  <c r="AR65" i="17" s="1"/>
  <c r="AN133" i="17"/>
  <c r="AO134" i="17"/>
  <c r="AQ134" i="17" s="1"/>
  <c r="AL136" i="17"/>
  <c r="AM140" i="17"/>
  <c r="AL142" i="17"/>
  <c r="AM146" i="17"/>
  <c r="AL148" i="17"/>
  <c r="AM152" i="17"/>
  <c r="AQ152" i="17" s="1"/>
  <c r="AL154" i="17"/>
  <c r="AQ156" i="17"/>
  <c r="AM158" i="17"/>
  <c r="AL160" i="17"/>
  <c r="AM164" i="17"/>
  <c r="AQ164" i="17" s="1"/>
  <c r="AL166" i="17"/>
  <c r="AM170" i="17"/>
  <c r="AL172" i="17"/>
  <c r="AM176" i="17"/>
  <c r="AL178" i="17"/>
  <c r="AQ178" i="17" s="1"/>
  <c r="AS48" i="17" s="1"/>
  <c r="AM182" i="17"/>
  <c r="AQ182" i="17" s="1"/>
  <c r="AS52" i="17" s="1"/>
  <c r="AL184" i="17"/>
  <c r="AM188" i="17"/>
  <c r="AL190" i="17"/>
  <c r="AQ190" i="17" s="1"/>
  <c r="AQ192" i="17"/>
  <c r="AM194" i="17"/>
  <c r="AL196" i="17"/>
  <c r="AR38" i="17" l="1"/>
  <c r="AR36" i="17"/>
  <c r="AS42" i="17"/>
  <c r="AQ80" i="17"/>
  <c r="AQ138" i="17"/>
  <c r="AS32" i="17"/>
  <c r="AQ145" i="17"/>
  <c r="AS15" i="17" s="1"/>
  <c r="AQ141" i="17"/>
  <c r="AR55" i="17"/>
  <c r="AR32" i="17"/>
  <c r="AR67" i="17"/>
  <c r="AS64" i="17"/>
  <c r="AS19" i="17"/>
  <c r="AR59" i="17"/>
  <c r="AR64" i="17"/>
  <c r="AS39" i="17"/>
  <c r="AQ74" i="17"/>
  <c r="AR9" i="17" s="1"/>
  <c r="AQ73" i="17"/>
  <c r="AS34" i="17"/>
  <c r="AR61" i="17"/>
  <c r="AS61" i="17"/>
  <c r="AR49" i="17"/>
  <c r="AQ137" i="17"/>
  <c r="AS43" i="17"/>
  <c r="AR33" i="17"/>
  <c r="AQ78" i="17"/>
  <c r="AQ77" i="17"/>
  <c r="AQ140" i="17"/>
  <c r="AQ142" i="17"/>
  <c r="AS12" i="17" s="1"/>
  <c r="AS44" i="17"/>
  <c r="AR63" i="17"/>
  <c r="AS33" i="17"/>
  <c r="AR50" i="17"/>
  <c r="AR60" i="17"/>
  <c r="AR31" i="17"/>
  <c r="AS35" i="17"/>
  <c r="AR66" i="17"/>
  <c r="AS8" i="17"/>
  <c r="AS62" i="17"/>
  <c r="AS49" i="17"/>
  <c r="AS60" i="17"/>
  <c r="AS26" i="17"/>
  <c r="AS56" i="17"/>
  <c r="AS38" i="17"/>
  <c r="AS20" i="17"/>
  <c r="AR54" i="17"/>
  <c r="AR48" i="17"/>
  <c r="AR62" i="17"/>
  <c r="AS23" i="17"/>
  <c r="AS63" i="17"/>
  <c r="AS65" i="17"/>
  <c r="AS53" i="17"/>
  <c r="AS27" i="17"/>
  <c r="AS18" i="17"/>
  <c r="AR37" i="17"/>
  <c r="AR25" i="17"/>
  <c r="AQ104" i="17"/>
  <c r="AR39" i="17" s="1"/>
  <c r="AQ85" i="17"/>
  <c r="AR20" i="17" s="1"/>
  <c r="AQ196" i="17"/>
  <c r="AS66" i="17" s="1"/>
  <c r="AQ160" i="17"/>
  <c r="AS30" i="17" s="1"/>
  <c r="AQ180" i="17"/>
  <c r="AS50" i="17" s="1"/>
  <c r="AQ91" i="17"/>
  <c r="AR26" i="17" s="1"/>
  <c r="AQ116" i="17"/>
  <c r="AR51" i="17" s="1"/>
  <c r="AQ166" i="17"/>
  <c r="AS36" i="17" s="1"/>
  <c r="AQ176" i="17"/>
  <c r="AQ158" i="17"/>
  <c r="AS28" i="17" s="1"/>
  <c r="AQ188" i="17"/>
  <c r="AS58" i="17" s="1"/>
  <c r="AQ170" i="17"/>
  <c r="AS40" i="17" s="1"/>
  <c r="AQ117" i="17"/>
  <c r="AR52" i="17" s="1"/>
  <c r="AQ143" i="17"/>
  <c r="AQ111" i="17"/>
  <c r="AR46" i="17" s="1"/>
  <c r="AQ83" i="17"/>
  <c r="AR19" i="17" s="1"/>
  <c r="AQ175" i="17"/>
  <c r="AS45" i="17" s="1"/>
  <c r="AQ79" i="17"/>
  <c r="AQ107" i="17"/>
  <c r="AR42" i="17" s="1"/>
  <c r="AQ146" i="17"/>
  <c r="AS16" i="17" s="1"/>
  <c r="AQ197" i="17"/>
  <c r="AS67" i="17" s="1"/>
  <c r="AQ154" i="17"/>
  <c r="AS24" i="17" s="1"/>
  <c r="AQ136" i="17"/>
  <c r="AS6" i="17" s="1"/>
  <c r="AQ151" i="17"/>
  <c r="AS21" i="17" s="1"/>
  <c r="AQ139" i="17"/>
  <c r="AS9" i="17" s="1"/>
  <c r="AQ122" i="17"/>
  <c r="AR58" i="17" s="1"/>
  <c r="AQ105" i="17"/>
  <c r="AQ71" i="17"/>
  <c r="AR6" i="17" s="1"/>
  <c r="AR70" i="17"/>
  <c r="AS69" i="17"/>
  <c r="AS70" i="17"/>
  <c r="AQ133" i="17"/>
  <c r="AR68" i="17" s="1"/>
  <c r="AQ109" i="17"/>
  <c r="AR45" i="17" s="1"/>
  <c r="AQ94" i="17"/>
  <c r="AQ72" i="17"/>
  <c r="AR7" i="17" s="1"/>
  <c r="B136" i="17"/>
  <c r="B71" i="17"/>
  <c r="AQ108" i="17"/>
  <c r="AR43" i="17" s="1"/>
  <c r="AQ75" i="17"/>
  <c r="AR10" i="17" s="1"/>
  <c r="AQ88" i="17"/>
  <c r="AR24" i="17" s="1"/>
  <c r="AQ121" i="17"/>
  <c r="AR56" i="17" s="1"/>
  <c r="AQ99" i="17"/>
  <c r="AR34" i="17" s="1"/>
  <c r="AQ93" i="17"/>
  <c r="AR28" i="17" s="1"/>
  <c r="AQ87" i="17"/>
  <c r="AR22" i="17" s="1"/>
  <c r="AQ81" i="17"/>
  <c r="AQ82" i="17"/>
  <c r="AQ76" i="17"/>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6" i="17" l="1"/>
  <c r="AS11" i="17"/>
  <c r="AS37" i="17"/>
  <c r="AS31" i="17"/>
  <c r="AS51" i="17"/>
  <c r="AS46" i="17"/>
  <c r="AR17" i="17"/>
  <c r="AR13" i="17"/>
  <c r="AS25" i="17"/>
  <c r="AS29" i="17"/>
  <c r="AR40" i="17"/>
  <c r="AR21" i="17"/>
  <c r="AR11" i="17"/>
  <c r="AS13" i="17"/>
  <c r="AR14" i="17"/>
  <c r="AR53" i="17"/>
  <c r="AR15" i="17"/>
  <c r="AR29" i="17"/>
  <c r="AS14" i="17"/>
  <c r="AS17" i="17"/>
  <c r="AR41" i="17"/>
  <c r="AR69" i="17"/>
  <c r="AS41" i="17"/>
  <c r="AS47" i="17"/>
  <c r="AR23" i="17"/>
  <c r="AR44" i="17"/>
  <c r="AR18" i="17"/>
  <c r="AR35" i="17"/>
  <c r="AS7" i="17"/>
  <c r="AS68" i="17"/>
  <c r="AR27" i="17"/>
  <c r="AR30" i="17"/>
  <c r="AR8" i="17"/>
  <c r="AR57" i="17"/>
  <c r="AR47" i="17"/>
  <c r="AR12" i="17"/>
  <c r="AS10" i="17"/>
  <c r="AS59" i="17"/>
  <c r="AS22" i="17"/>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7" s="1"/>
  <c r="AL62" i="17" l="1"/>
  <c r="AL52" i="17"/>
  <c r="AT52" i="17" s="1"/>
  <c r="AL47" i="17"/>
  <c r="AL45" i="17"/>
  <c r="AL42" i="17"/>
  <c r="AL24" i="17"/>
  <c r="AL14" i="17"/>
  <c r="AT14" i="17" s="1"/>
  <c r="AL48" i="17"/>
  <c r="AL69" i="17"/>
  <c r="AL67" i="17"/>
  <c r="AL64" i="17"/>
  <c r="AT64" i="17" s="1"/>
  <c r="AL59" i="17"/>
  <c r="AT59" i="17" s="1"/>
  <c r="AL57" i="17"/>
  <c r="AL54" i="17"/>
  <c r="AL39" i="17"/>
  <c r="AT39" i="17" s="1"/>
  <c r="AL34" i="17"/>
  <c r="AT34" i="17" s="1"/>
  <c r="AL31" i="17"/>
  <c r="AL29" i="17"/>
  <c r="AL26" i="17"/>
  <c r="AT26" i="17" s="1"/>
  <c r="AL21" i="17"/>
  <c r="AT21" i="17" s="1"/>
  <c r="AL6" i="17"/>
  <c r="AT6" i="17" s="1"/>
  <c r="AL63" i="17"/>
  <c r="AL61" i="17"/>
  <c r="AL33" i="17"/>
  <c r="AT33" i="17" s="1"/>
  <c r="AL23" i="17"/>
  <c r="AL15" i="17"/>
  <c r="AT15" i="17" s="1"/>
  <c r="AL51" i="17"/>
  <c r="AL49" i="17"/>
  <c r="AL44" i="17"/>
  <c r="AT44" i="17" s="1"/>
  <c r="AL36" i="17"/>
  <c r="AL18" i="17"/>
  <c r="AL16" i="17"/>
  <c r="AT16" i="17" s="1"/>
  <c r="AL56" i="17"/>
  <c r="AT56" i="17" s="1"/>
  <c r="AL41" i="17"/>
  <c r="AL28" i="17"/>
  <c r="AL20" i="17"/>
  <c r="AT20" i="17" s="1"/>
  <c r="AL53" i="17"/>
  <c r="AL30" i="17"/>
  <c r="AL7" i="17"/>
  <c r="AT7" i="17" s="1"/>
  <c r="AL66" i="17"/>
  <c r="AT66" i="17" s="1"/>
  <c r="AL58" i="17"/>
  <c r="AL43" i="17"/>
  <c r="AT43" i="17" s="1"/>
  <c r="AL65" i="17"/>
  <c r="AT65" i="17" s="1"/>
  <c r="AL60" i="17"/>
  <c r="AL55" i="17"/>
  <c r="AT55" i="17" s="1"/>
  <c r="AL50" i="17"/>
  <c r="AL40" i="17"/>
  <c r="AL37" i="17"/>
  <c r="AL35" i="17"/>
  <c r="AL32" i="17"/>
  <c r="AT32" i="17" s="1"/>
  <c r="AL27" i="17"/>
  <c r="AT27" i="17" s="1"/>
  <c r="AL22" i="17"/>
  <c r="AT22" i="17" s="1"/>
  <c r="AL19" i="17"/>
  <c r="AL17" i="17"/>
  <c r="AL46" i="17"/>
  <c r="AL38" i="17"/>
  <c r="AT38" i="17" s="1"/>
  <c r="AL25" i="17"/>
  <c r="AL68" i="17"/>
  <c r="AL11" i="17"/>
  <c r="AT11" i="17" s="1"/>
  <c r="AL8" i="17"/>
  <c r="AT8" i="17" s="1"/>
  <c r="AL12" i="17"/>
  <c r="AT12" i="17" s="1"/>
  <c r="AL9" i="17"/>
  <c r="AT9" i="17" s="1"/>
  <c r="AL13" i="17"/>
  <c r="AT13" i="17" s="1"/>
  <c r="AL10" i="17"/>
  <c r="AT10" i="17" s="1"/>
  <c r="AW11" i="17"/>
  <c r="AU13" i="17" s="1"/>
  <c r="AW8" i="17"/>
  <c r="AU11" i="17" s="1"/>
  <c r="AW10" i="17"/>
  <c r="AU14" i="17" s="1"/>
  <c r="AW16" i="17"/>
  <c r="AU15" i="17" s="1"/>
  <c r="AW9" i="17"/>
  <c r="AU10" i="17"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7" s="1"/>
  <c r="AU5" i="17" s="1"/>
  <c r="AV5" i="17" l="1"/>
  <c r="AR5" i="17"/>
  <c r="AT5" i="17"/>
  <c r="AS5" i="17"/>
  <c r="L14" i="4"/>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7" s="1"/>
  <c r="AU7" i="17" s="1"/>
  <c r="AW15" i="17" l="1"/>
  <c r="AU8" i="17"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2"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 authorId="1" shapeId="0" xr:uid="{00000000-0006-0000-0600-000002000000}">
      <text>
        <r>
          <rPr>
            <b/>
            <sz val="9"/>
            <color indexed="81"/>
            <rFont val="MS P ゴシック"/>
            <family val="3"/>
            <charset val="128"/>
          </rPr>
          <t xml:space="preserve">リモート送信条件成立：IG ON 且つ PTS ONが15[s]以上
</t>
        </r>
      </text>
    </comment>
    <comment ref="E15" authorId="1" shapeId="0" xr:uid="{00000000-0006-0000-0600-000003000000}">
      <text>
        <r>
          <rPr>
            <b/>
            <sz val="9"/>
            <color indexed="81"/>
            <rFont val="MS P ゴシック"/>
            <family val="3"/>
            <charset val="128"/>
          </rPr>
          <t xml:space="preserve">IG ON 且つ ST OFF
</t>
        </r>
      </text>
    </comment>
    <comment ref="F15" authorId="1" shapeId="0" xr:uid="{00000000-0006-0000-0600-000004000000}">
      <text>
        <r>
          <rPr>
            <b/>
            <sz val="9"/>
            <color indexed="81"/>
            <rFont val="MS P ゴシック"/>
            <family val="3"/>
            <charset val="128"/>
          </rPr>
          <t>IG ON</t>
        </r>
      </text>
    </comment>
    <comment ref="G15" authorId="1" shapeId="0" xr:uid="{00000000-0006-0000-0600-000005000000}">
      <text>
        <r>
          <rPr>
            <b/>
            <sz val="9"/>
            <color indexed="81"/>
            <rFont val="MS P ゴシック"/>
            <family val="3"/>
            <charset val="128"/>
          </rPr>
          <t xml:space="preserve">IG OFF 且つ IG OFF後25[m]未満
</t>
        </r>
      </text>
    </comment>
    <comment ref="H15" authorId="1" shapeId="0" xr:uid="{00000000-0006-0000-0600-000006000000}">
      <text>
        <r>
          <rPr>
            <b/>
            <sz val="9"/>
            <color indexed="81"/>
            <rFont val="MS P ゴシック"/>
            <family val="3"/>
            <charset val="128"/>
          </rPr>
          <t xml:space="preserve">IG OFF
</t>
        </r>
      </text>
    </comment>
    <comment ref="I15" authorId="1" shapeId="0" xr:uid="{00000000-0006-0000-0600-000007000000}">
      <text>
        <r>
          <rPr>
            <b/>
            <sz val="9"/>
            <color indexed="81"/>
            <rFont val="MS P ゴシック"/>
            <family val="3"/>
            <charset val="128"/>
          </rPr>
          <t xml:space="preserve">IG ON 又は IG OFF後25[m]未満
</t>
        </r>
      </text>
    </comment>
    <comment ref="J15"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<sst xmlns="http://schemas.openxmlformats.org/spreadsheetml/2006/main" count="3020" uniqueCount="366">
  <si>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</si>
  <si>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</si>
  <si>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</si>
  <si>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</si>
  <si>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</si>
  <si>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</si>
  <si>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</si>
  <si>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</si>
  <si>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</si>
  <si>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</si>
  <si>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</si>
  <si>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</si>
  <si>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</si>
  <si>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</si>
  <si>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</si>
  <si>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</si>
  <si>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</si>
  <si>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</si>
  <si>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</si>
  <si>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</si>
  <si>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</si>
  <si>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</si>
  <si>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</si>
  <si>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</si>
  <si>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</si>
  <si>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</si>
  <si>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</si>
  <si>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</si>
  <si>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</si>
  <si>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</si>
  <si>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</si>
  <si>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</si>
  <si>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</si>
  <si>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</si>
  <si>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</si>
  <si>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</si>
  <si>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</si>
  <si>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</si>
  <si>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</si>
  <si>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</si>
  <si>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</si>
  <si>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</si>
  <si>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</si>
  <si>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</si>
  <si>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</si>
  <si>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</si>
  <si>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</si>
  <si>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</si>
  <si>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</si>
  <si>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</si>
  <si>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</si>
  <si>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</si>
  <si>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</si>
  <si>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</si>
  <si>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</si>
  <si>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</si>
  <si>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</si>
  <si>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</si>
  <si>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</si>
  <si>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</si>
  <si>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</si>
  <si>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</si>
  <si>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</si>
  <si>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</si>
  <si>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</si>
  <si>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</si>
  <si>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</si>
  <si>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</si>
  <si>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</si>
  <si>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</si>
  <si>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</si>
  <si>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</si>
  <si>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</si>
  <si>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</si>
  <si>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</si>
  <si>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</si>
  <si>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</si>
  <si>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</si>
  <si>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</si>
  <si>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</si>
  <si>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</si>
  <si>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</si>
  <si>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</si>
  <si>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</si>
  <si>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</si>
  <si>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</si>
  <si>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</si>
  <si>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</si>
  <si>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</si>
  <si>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</si>
  <si>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</si>
  <si>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</si>
  <si>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</si>
  <si>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</si>
  <si>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</si>
  <si>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</si>
  <si>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</si>
  <si>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</si>
  <si>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</si>
  <si>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</si>
  <si>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</si>
  <si>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</si>
  <si>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</si>
  <si>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</si>
  <si>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</si>
  <si>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</si>
  <si>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</si>
  <si>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</si>
  <si>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</si>
  <si>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</si>
  <si>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</si>
  <si>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</si>
  <si>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</si>
  <si>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</si>
  <si>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</si>
  <si>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</si>
  <si>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</si>
  <si>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</si>
  <si>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</si>
  <si>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</si>
  <si>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</si>
  <si>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</si>
  <si>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</si>
  <si>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</si>
  <si>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</si>
  <si>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</si>
  <si>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</si>
  <si>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</si>
  <si>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</si>
  <si>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</si>
  <si>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</si>
  <si>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</si>
  <si>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</si>
  <si>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</si>
  <si>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</si>
  <si>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</si>
  <si>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</si>
  <si>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</si>
  <si>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</si>
  <si>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</si>
  <si>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</si>
  <si>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</si>
  <si>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</si>
  <si>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</si>
  <si>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</si>
  <si>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</si>
  <si>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</si>
  <si>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</si>
  <si>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</si>
  <si>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</si>
  <si>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</si>
  <si>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</si>
  <si>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</si>
  <si>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</si>
  <si>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</si>
  <si>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</si>
  <si>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</si>
  <si>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</si>
  <si>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</si>
  <si>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</si>
  <si>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</si>
  <si>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</si>
  <si>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</si>
  <si>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</si>
  <si>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</si>
  <si>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</si>
  <si>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</si>
  <si>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</si>
  <si>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</si>
  <si>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</si>
  <si>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</si>
  <si>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</si>
  <si>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</si>
  <si>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</si>
  <si>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</si>
  <si>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</si>
  <si>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</si>
  <si>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</si>
  <si>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</si>
  <si>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</si>
  <si>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</si>
  <si>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</si>
  <si>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</si>
  <si>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</si>
  <si>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</si>
  <si>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</si>
  <si>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</si>
  <si>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</si>
  <si>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</si>
  <si>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</si>
  <si>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</si>
  <si>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</si>
  <si>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</si>
  <si>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t>
    <phoneticPr fontId="2"/>
  </si>
  <si>
    <t>00b</t>
  </si>
  <si>
    <t>IG-ON</t>
  </si>
  <si>
    <t>BC</t>
    <phoneticPr fontId="2"/>
  </si>
  <si>
    <t>○</t>
  </si>
  <si>
    <t>MLFNC_HV2</t>
  </si>
  <si>
    <t>EHV1S94_STS</t>
    <phoneticPr fontId="2"/>
  </si>
  <si>
    <t>PTSYS</t>
    <phoneticPr fontId="2"/>
  </si>
  <si>
    <t>MLFNC_HV</t>
  </si>
  <si>
    <t>MLFNC_EV</t>
  </si>
  <si>
    <t>MLFNC_FCV</t>
  </si>
  <si>
    <t>Vehicle Operation Mode</t>
    <phoneticPr fontId="2"/>
  </si>
  <si>
    <t>PD</t>
    <phoneticPr fontId="2"/>
  </si>
  <si>
    <t>-</t>
    <phoneticPr fontId="2"/>
  </si>
  <si>
    <t>-</t>
    <phoneticPr fontId="2"/>
  </si>
  <si>
    <t>EHV1S94</t>
  </si>
  <si>
    <t>IGN_ON</t>
    <phoneticPr fontId="2"/>
  </si>
  <si>
    <t>EHV1S94_STS</t>
  </si>
  <si>
    <t>-</t>
    <phoneticPr fontId="2"/>
  </si>
  <si>
    <t>0b/
1b</t>
    <phoneticPr fontId="2"/>
  </si>
  <si>
    <t>0b/
1b</t>
    <phoneticPr fontId="2"/>
  </si>
  <si>
    <t>正常(00b)/
駆動用インバータが一相短絡(01b)/
未定義(上記以外)</t>
    <phoneticPr fontId="2"/>
  </si>
  <si>
    <t>断続/
-</t>
    <phoneticPr fontId="2"/>
  </si>
  <si>
    <t>01b</t>
  </si>
  <si>
    <t>断続</t>
    <phoneticPr fontId="2"/>
  </si>
  <si>
    <t>**b</t>
  </si>
  <si>
    <t>Table Type</t>
    <phoneticPr fontId="2"/>
  </si>
  <si>
    <t>Matrix Search</t>
  </si>
  <si>
    <t>入力</t>
    <phoneticPr fontId="2"/>
  </si>
  <si>
    <t>REQ</t>
    <phoneticPr fontId="2"/>
  </si>
  <si>
    <t>TT</t>
    <phoneticPr fontId="2"/>
  </si>
  <si>
    <t>ALERT_VOM_IGN_ON</t>
    <phoneticPr fontId="2"/>
  </si>
  <si>
    <t>RWT_EN
機能有無：-</t>
    <phoneticPr fontId="2"/>
  </si>
  <si>
    <t>VOM</t>
    <phoneticPr fontId="2"/>
  </si>
  <si>
    <t>RWT_EN</t>
    <phoneticPr fontId="2"/>
  </si>
  <si>
    <t>VCS_ON</t>
    <phoneticPr fontId="2"/>
  </si>
  <si>
    <t>IGN_OFF_WT</t>
    <phoneticPr fontId="2"/>
  </si>
  <si>
    <t>IGN_OFF</t>
    <phoneticPr fontId="2"/>
  </si>
  <si>
    <t>BAT_WT</t>
    <phoneticPr fontId="2"/>
  </si>
  <si>
    <t>BAT_AO</t>
    <phoneticPr fontId="2"/>
  </si>
  <si>
    <t>PTSYS</t>
    <phoneticPr fontId="2"/>
  </si>
  <si>
    <t>PULW</t>
    <phoneticPr fontId="2"/>
  </si>
  <si>
    <t>要求あり/
-</t>
    <phoneticPr fontId="2"/>
  </si>
  <si>
    <t>UNKNOWN</t>
    <phoneticPr fontId="2"/>
  </si>
  <si>
    <t>-</t>
    <phoneticPr fontId="2"/>
  </si>
  <si>
    <t>01b</t>
    <phoneticPr fontId="2"/>
  </si>
  <si>
    <t>要求あり</t>
    <rPh sb="0" eb="2">
      <t>ヨウキュウ</t>
    </rPh>
    <phoneticPr fontId="2"/>
  </si>
  <si>
    <t>10b~11b</t>
    <phoneticPr fontId="2"/>
  </si>
  <si>
    <t>10b~11b</t>
    <phoneticPr fontId="2"/>
  </si>
  <si>
    <t>10b~11b</t>
  </si>
  <si>
    <t>MLFNC_EV</t>
    <phoneticPr fontId="2"/>
  </si>
  <si>
    <t>MLFNC_FCV</t>
    <phoneticPr fontId="2"/>
  </si>
  <si>
    <t>**b</t>
    <phoneticPr fontId="2"/>
  </si>
  <si>
    <t>MLFNC_HV2</t>
    <phoneticPr fontId="2"/>
  </si>
  <si>
    <t>H_TOWWAR-CSTD-0-MEF01-REQ02</t>
    <phoneticPr fontId="2"/>
  </si>
  <si>
    <t>H_TOWWAR-CSTD-0-MEF01-REQ02</t>
    <phoneticPr fontId="2"/>
  </si>
  <si>
    <t>-</t>
    <phoneticPr fontId="2"/>
  </si>
  <si>
    <t>-</t>
    <phoneticPr fontId="2"/>
  </si>
  <si>
    <t>-</t>
    <phoneticPr fontId="2"/>
  </si>
  <si>
    <t>-</t>
    <phoneticPr fontId="2"/>
  </si>
  <si>
    <t>-</t>
    <phoneticPr fontId="2"/>
  </si>
  <si>
    <t>-</t>
    <phoneticPr fontId="2"/>
  </si>
  <si>
    <t>-</t>
    <phoneticPr fontId="2"/>
  </si>
  <si>
    <t>H_TOWWAR-CSTD-0-MEF01-REQ03</t>
    <phoneticPr fontId="2"/>
  </si>
  <si>
    <t>MET1S36</t>
    <phoneticPr fontId="2"/>
  </si>
  <si>
    <t>他ドメイン</t>
    <rPh sb="0" eb="1">
      <t>タ</t>
    </rPh>
    <phoneticPr fontId="2"/>
  </si>
  <si>
    <t>-</t>
    <phoneticPr fontId="2"/>
  </si>
  <si>
    <t>-</t>
    <phoneticPr fontId="2"/>
  </si>
  <si>
    <t>IG-ON + HV + 通常 + 駆動用インバータが一相短絡</t>
    <phoneticPr fontId="2"/>
  </si>
  <si>
    <t>IG-ON + HV + 通常 + 正常</t>
    <phoneticPr fontId="2"/>
  </si>
  <si>
    <t>IG-ON + HV + 通常 + 未定義</t>
    <phoneticPr fontId="2"/>
  </si>
  <si>
    <t>IG-ON + PHV + 通常 + 正常</t>
    <phoneticPr fontId="2"/>
  </si>
  <si>
    <t>IG-ON + PHV + 通常 + 駆動用インバータが一相短絡</t>
    <phoneticPr fontId="2"/>
  </si>
  <si>
    <t>IG-ON + PHV + 通常 + 未定義</t>
    <phoneticPr fontId="2"/>
  </si>
  <si>
    <t>IG-ON + EV + 通常 + 正常</t>
    <phoneticPr fontId="2"/>
  </si>
  <si>
    <t>IG-ON + EV + 通常 + 駆動用インバータが一相短絡</t>
    <phoneticPr fontId="2"/>
  </si>
  <si>
    <t>IG-ON + EV + 通常 + 未定義</t>
    <phoneticPr fontId="2"/>
  </si>
  <si>
    <t>IG-ON + FCV + 通常 + 正常</t>
    <phoneticPr fontId="2"/>
  </si>
  <si>
    <t>IG-ON + FCV + 通常 + 駆動用インバータが一相短絡</t>
    <phoneticPr fontId="2"/>
  </si>
  <si>
    <t>IG-ON + FCV + 通常 + 未定義</t>
    <phoneticPr fontId="2"/>
  </si>
  <si>
    <t>IG-ON + 未定義 + 通常 + 正常</t>
    <phoneticPr fontId="2"/>
  </si>
  <si>
    <t>IG-ON + 未定義 + 通常 + 駆動用インバータが一相短絡</t>
    <phoneticPr fontId="2"/>
  </si>
  <si>
    <t>IG-ON + 未定義 + 通常 + 未定義</t>
    <phoneticPr fontId="2"/>
  </si>
  <si>
    <t>IG-ON + * + 未受信 + *</t>
    <phoneticPr fontId="2"/>
  </si>
  <si>
    <t>IG-OFF + * + * + *</t>
    <phoneticPr fontId="2"/>
  </si>
  <si>
    <t>10b</t>
    <phoneticPr fontId="2"/>
  </si>
  <si>
    <t>11b</t>
    <phoneticPr fontId="2"/>
  </si>
  <si>
    <t>IG-ON + * + 通信途絶 + *</t>
    <rPh sb="12" eb="16">
      <t>ツウシントゼツ</t>
    </rPh>
    <phoneticPr fontId="2"/>
  </si>
  <si>
    <t>IG-ON + * + 未受信通信途絶 + *</t>
    <rPh sb="15" eb="17">
      <t>ツウシン</t>
    </rPh>
    <rPh sb="17" eb="19">
      <t>トゼツ</t>
    </rPh>
    <phoneticPr fontId="2"/>
  </si>
  <si>
    <t>H_TOWWAR-CSTD-0-MEF01-REQ02/
H_TOWWAR-CSTD-0-MEF01-REQ03/
H_TOWWAR-CSTD-0-MEF01-REQ05/
-</t>
    <phoneticPr fontId="2"/>
  </si>
  <si>
    <t>H_TOWWAR-CSTD-0-MEF01-REQ05</t>
    <phoneticPr fontId="2"/>
  </si>
  <si>
    <t>-</t>
    <phoneticPr fontId="2"/>
  </si>
  <si>
    <t>UNKNOWN/
MLFNC_HV/
MLFNC_EV/
MLFNC_FCV/
MLFNC_HV2/
MLFNC</t>
    <phoneticPr fontId="2"/>
  </si>
  <si>
    <t>MLFNC</t>
    <phoneticPr fontId="2"/>
  </si>
  <si>
    <t>ALERT_CH_H_TOWWAR</t>
  </si>
  <si>
    <t>ALERT_CH_H_TOWWAR</t>
    <phoneticPr fontId="2"/>
  </si>
  <si>
    <t>H_TOWWAR-CSTD-0-MEF01-REQ02</t>
  </si>
  <si>
    <t>H_TOWWAR-CSTD-0-MEF01-REQ03</t>
  </si>
  <si>
    <t>H_TOWWAR-CSTD-0-MEF01-REQ05</t>
    <phoneticPr fontId="2"/>
  </si>
  <si>
    <t>IG-ON + CONV + 通常 + 正常</t>
    <phoneticPr fontId="2"/>
  </si>
  <si>
    <t>00b</t>
    <phoneticPr fontId="2"/>
  </si>
  <si>
    <t>IG-ON + CONV + 通常 + 駆動用インバータが一相短絡</t>
    <phoneticPr fontId="2"/>
  </si>
  <si>
    <t>IG-ON + CONV + 通常 + 未定義</t>
    <phoneticPr fontId="2"/>
  </si>
  <si>
    <t>IG-ON + S&amp;S + 通常 + 正常</t>
    <phoneticPr fontId="2"/>
  </si>
  <si>
    <t>IG-ON + S&amp;S + 通常 + 駆動用インバータが一相短絡</t>
    <phoneticPr fontId="2"/>
  </si>
  <si>
    <t>IG-ON + S&amp;S + 通常 + 未定義</t>
    <phoneticPr fontId="2"/>
  </si>
  <si>
    <t>IG-ON + 未定義 + 通常 + 正常</t>
    <rPh sb="8" eb="11">
      <t>ミテイギ</t>
    </rPh>
    <phoneticPr fontId="2"/>
  </si>
  <si>
    <t>IG-ON + 1モータHV + 通常 + 正常</t>
    <phoneticPr fontId="2"/>
  </si>
  <si>
    <t>IG-ON + 1モータHV + 通常 + 駆動用インバータが一相短絡</t>
    <phoneticPr fontId="2"/>
  </si>
  <si>
    <t>IG-ON + 1モータHV + 通常 + 未定義</t>
    <phoneticPr fontId="2"/>
  </si>
  <si>
    <t>MLFNC</t>
  </si>
  <si>
    <t>IG-ON + 未受信 + 通常 + 正常</t>
    <rPh sb="8" eb="9">
      <t>ミ</t>
    </rPh>
    <rPh sb="9" eb="11">
      <t>ジュシン</t>
    </rPh>
    <phoneticPr fontId="2"/>
  </si>
  <si>
    <t>IG-ON + 未受信 + 通常 + 駆動用インバータが一相短絡</t>
    <phoneticPr fontId="2"/>
  </si>
  <si>
    <t>IG-ON + 未受信 + 通常 + 未定義</t>
    <phoneticPr fontId="2"/>
  </si>
  <si>
    <t>通常(00b)/
未受信(01b)/
通信途絶(10b)/
未受信通信途絶(11b)</t>
    <rPh sb="19" eb="21">
      <t>ツウシン</t>
    </rPh>
    <rPh sb="21" eb="23">
      <t>トゼツ</t>
    </rPh>
    <rPh sb="33" eb="37">
      <t>ツウシントゼツ</t>
    </rPh>
    <phoneticPr fontId="2"/>
  </si>
  <si>
    <t>00000b</t>
    <phoneticPr fontId="2"/>
  </si>
  <si>
    <t>未定義(00000b)/
CONV(00001b)/
S&amp;S(00010b)/
HV(00011b)/
PHV(00100b)/
EV(00101b)/
1モータHV(00110b)/
FCV(00111b)/
未受信(11111b)
未定義(上記以外)</t>
    <rPh sb="0" eb="2">
      <t>ミテイ</t>
    </rPh>
    <rPh sb="2" eb="3">
      <t>ギ</t>
    </rPh>
    <rPh sb="106" eb="107">
      <t>ミ</t>
    </rPh>
    <rPh sb="107" eb="109">
      <t>ジュシン</t>
    </rPh>
    <phoneticPr fontId="2"/>
  </si>
  <si>
    <t>00001b</t>
    <phoneticPr fontId="2"/>
  </si>
  <si>
    <t>00010b</t>
    <phoneticPr fontId="2"/>
  </si>
  <si>
    <t>00011b</t>
    <phoneticPr fontId="2"/>
  </si>
  <si>
    <t>00100b</t>
    <phoneticPr fontId="2"/>
  </si>
  <si>
    <t>00101b</t>
    <phoneticPr fontId="2"/>
  </si>
  <si>
    <t>00110b</t>
    <phoneticPr fontId="2"/>
  </si>
  <si>
    <t>00111b</t>
    <phoneticPr fontId="2"/>
  </si>
  <si>
    <t>01000b~11110b</t>
    <phoneticPr fontId="2"/>
  </si>
  <si>
    <t>11111b</t>
    <phoneticPr fontId="2"/>
  </si>
  <si>
    <t>*****b</t>
  </si>
  <si>
    <t>*****b</t>
    <phoneticPr fontId="2"/>
  </si>
  <si>
    <t>H_TOWWAR-CSTD-0-BZR01-REQ02</t>
  </si>
  <si>
    <t>H_TOWWAR-CSTD-0-BZR01-REQ02</t>
    <phoneticPr fontId="2"/>
  </si>
  <si>
    <t>長島</t>
    <rPh sb="0" eb="2">
      <t>ナガシマ</t>
    </rPh>
    <phoneticPr fontId="2"/>
  </si>
  <si>
    <t>新規作成(流用元：alert_H_TOWWAR-CSTD-0-02-A-C0.xlsx)
840B CV対応
[Matrix]シート
・対象仕様書変更
・ロケーション変更
[Reference]シート
・各キャプチャ画像を変更</t>
    <phoneticPr fontId="2"/>
  </si>
  <si>
    <t>TOWW_SIG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</si>
  <si>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</si>
  <si>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</si>
  <si>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</si>
  <si>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ハイブリッドシステム（牽引抑制警告)　PD/BC判定</t>
    <rPh sb="24" eb="26">
      <t>ハンテイ</t>
    </rPh>
    <phoneticPr fontId="2"/>
  </si>
  <si>
    <t>1.1.0</t>
  </si>
  <si>
    <t>050D CV対応
[Matrix]シート
・ロケーション変更
[Reference]シート
・キャプチャ張り替え(M_REMWAR)</t>
    <rPh sb="53" eb="54">
      <t>ハ</t>
    </rPh>
    <rPh sb="55" eb="56">
      <t>カ</t>
    </rPh>
    <phoneticPr fontId="2"/>
  </si>
  <si>
    <t>5.5.0</t>
  </si>
  <si>
    <t>高橋</t>
    <rPh sb="0" eb="2">
      <t>タカハシ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</si>
  <si>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</si>
  <si>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</si>
  <si>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</si>
  <si>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</si>
  <si>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</si>
  <si>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</si>
  <si>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要求あり</t>
    <phoneticPr fontId="2"/>
  </si>
  <si>
    <t>大野</t>
    <rPh sb="0" eb="2">
      <t>オオノ</t>
    </rPh>
    <phoneticPr fontId="2"/>
  </si>
  <si>
    <t>1.2.0</t>
    <phoneticPr fontId="2"/>
  </si>
  <si>
    <t>050D 量確対応（MET050D-7677）
[Matrix]
・ロケーション変更
[CH_Design]
・RW　- → PULW に変更。
[Reference]シート
・RW 真理値表の振る舞いを変更。
・RW 送信条件にコメント記載（MET032D-5541）
・個別モジュール対応コメント記載</t>
    <rPh sb="5" eb="7">
      <t>リョウカク</t>
    </rPh>
    <rPh sb="7" eb="9">
      <t>タイオウ</t>
    </rPh>
    <rPh sb="40" eb="42">
      <t>ヘンコウ</t>
    </rPh>
    <rPh sb="69" eb="71">
      <t>ヘンコウ</t>
    </rPh>
    <rPh sb="104" eb="108">
      <t>シンリチヒョウ</t>
    </rPh>
    <rPh sb="109" eb="110">
      <t>フ</t>
    </rPh>
    <rPh sb="111" eb="112">
      <t>マ</t>
    </rPh>
    <rPh sb="114" eb="116">
      <t>ヘンコウ</t>
    </rPh>
    <rPh sb="122" eb="126">
      <t>ソウシンジョウケン</t>
    </rPh>
    <rPh sb="131" eb="133">
      <t>キサイ</t>
    </rPh>
    <rPh sb="137" eb="139">
      <t>コベツ</t>
    </rPh>
    <rPh sb="144" eb="146">
      <t>タイオウ</t>
    </rPh>
    <rPh sb="150" eb="152">
      <t>キサイ</t>
    </rPh>
    <phoneticPr fontId="2"/>
  </si>
  <si>
    <t>承認欄 [DT]</t>
    <phoneticPr fontId="2"/>
  </si>
  <si>
    <t>承認者</t>
    <phoneticPr fontId="2"/>
  </si>
  <si>
    <t>1.2.1</t>
    <phoneticPr fontId="2"/>
  </si>
  <si>
    <t>DTPH Kiko</t>
    <phoneticPr fontId="2"/>
  </si>
  <si>
    <t>品質総点検(R4)：Alert設計書の修正対応
ファイル名の変更(流用元：alert_H_TOWWAR-CSTD-0-02-B-C0.xlsx)
[Matrix]シート
・対象仕様書の変更
・ロケーションの変更</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</si>
  <si>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</si>
  <si>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</si>
  <si>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</si>
  <si>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</si>
  <si>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</si>
  <si>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</si>
  <si>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</si>
  <si>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</si>
  <si>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</si>
  <si>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</si>
  <si>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</si>
  <si>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</si>
  <si>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</si>
  <si>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</si>
  <si>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</si>
  <si>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MET-H_TOWWAR-CSTD-0-02-C-C0.xlsm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</si>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</sst>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rgb="FFFFB9F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38" fontId="20" fillId="0" borderId="0" applyFont="0" applyFill="0" applyBorder="0" applyAlignment="0" applyProtection="0">
      <alignment vertical="center"/>
    </xf>
    <xf numFmtId="0" fontId="20" fillId="0" borderId="0">
      <alignment vertical="center"/>
    </xf>
    <xf numFmtId="0" fontId="20" fillId="0" borderId="0">
      <alignment vertical="center"/>
    </xf>
  </cellStyleXfs>
  <cellXfs count="31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6"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9" xfId="0" applyFill="1" applyBorder="1" applyAlignment="1">
      <alignment horizontal="center" vertical="center"/>
    </xf>
    <xf numFmtId="0" fontId="0" fillId="0" borderId="0" xfId="0" applyFill="1">
      <alignment vertical="center"/>
    </xf>
    <xf numFmtId="0" fontId="0" fillId="0" borderId="12" xfId="0" applyBorder="1" applyAlignment="1">
      <alignment vertical="center"/>
    </xf>
    <xf numFmtId="0" fontId="0" fillId="24" borderId="2" xfId="0" applyFill="1" applyBorder="1">
      <alignment vertical="center"/>
    </xf>
    <xf numFmtId="0" fontId="0" fillId="0" borderId="27" xfId="0" quotePrefix="1" applyFill="1" applyBorder="1">
      <alignment vertical="center"/>
    </xf>
    <xf numFmtId="0" fontId="0" fillId="25" borderId="2" xfId="0" applyFill="1" applyBorder="1">
      <alignment vertical="center"/>
    </xf>
    <xf numFmtId="0" fontId="0" fillId="0" borderId="27" xfId="0" applyFill="1" applyBorder="1">
      <alignment vertical="center"/>
    </xf>
    <xf numFmtId="0" fontId="0" fillId="18" borderId="30" xfId="0" applyFill="1" applyBorder="1" applyAlignment="1">
      <alignment vertical="center" textRotation="90"/>
    </xf>
    <xf numFmtId="0" fontId="0" fillId="0" borderId="76" xfId="0" applyFill="1" applyBorder="1" applyAlignment="1">
      <alignment vertical="center" wrapText="1"/>
    </xf>
    <xf numFmtId="0" fontId="0" fillId="24" borderId="16" xfId="0" quotePrefix="1" applyFill="1" applyBorder="1" applyAlignment="1">
      <alignment vertical="center" wrapText="1"/>
    </xf>
    <xf numFmtId="0" fontId="0" fillId="0" borderId="28" xfId="0" applyFill="1" applyBorder="1" applyAlignment="1">
      <alignment horizontal="center" vertical="center"/>
    </xf>
    <xf numFmtId="0" fontId="0" fillId="0" borderId="27" xfId="0" applyFill="1" applyBorder="1" applyAlignment="1">
      <alignment horizontal="center" vertical="center"/>
    </xf>
    <xf numFmtId="0" fontId="0" fillId="0" borderId="2" xfId="0" applyBorder="1" applyAlignment="1">
      <alignment horizontal="center" vertical="center" wrapText="1"/>
    </xf>
    <xf numFmtId="0" fontId="0" fillId="0" borderId="29" xfId="0" applyFill="1" applyBorder="1" applyAlignment="1">
      <alignment horizontal="center" vertical="center"/>
    </xf>
    <xf numFmtId="0" fontId="0" fillId="23" borderId="9" xfId="0" applyFill="1" applyBorder="1">
      <alignment vertical="center"/>
    </xf>
    <xf numFmtId="0" fontId="0" fillId="0" borderId="7" xfId="0" applyFill="1" applyBorder="1" applyAlignment="1">
      <alignment vertical="center" wrapText="1"/>
    </xf>
    <xf numFmtId="0" fontId="0" fillId="0" borderId="27" xfId="0" applyFill="1" applyBorder="1" applyAlignment="1">
      <alignment vertical="center" wrapText="1"/>
    </xf>
    <xf numFmtId="0" fontId="0" fillId="0" borderId="17" xfId="0" applyFill="1" applyBorder="1" applyAlignment="1">
      <alignment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62" xfId="0" applyBorder="1" applyAlignment="1">
      <alignment horizontal="center" vertical="center"/>
    </xf>
    <xf numFmtId="14" fontId="0" fillId="0" borderId="7" xfId="0" applyNumberFormat="1" applyBorder="1">
      <alignment vertical="center"/>
    </xf>
    <xf numFmtId="0" fontId="0" fillId="0" borderId="2" xfId="0"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15" fillId="0" borderId="76" xfId="3" applyFont="1" applyFill="1" applyBorder="1" applyAlignment="1">
      <alignment vertical="center" wrapText="1"/>
    </xf>
    <xf numFmtId="0" fontId="0" fillId="0" borderId="28" xfId="0" applyFill="1" applyBorder="1" applyAlignment="1">
      <alignment horizontal="center" vertical="center" wrapText="1"/>
    </xf>
    <xf numFmtId="0" fontId="16" fillId="7" borderId="61" xfId="0" applyFont="1" applyFill="1" applyBorder="1" applyAlignment="1">
      <alignment vertical="center"/>
    </xf>
    <xf numFmtId="0" fontId="16" fillId="0" borderId="0" xfId="0" applyFont="1">
      <alignment vertical="center"/>
    </xf>
    <xf numFmtId="0" fontId="0" fillId="0" borderId="0" xfId="0" applyAlignment="1">
      <alignment vertical="center" wrapText="1"/>
    </xf>
    <xf numFmtId="0" fontId="18" fillId="0" borderId="15" xfId="0" applyFont="1" applyFill="1" applyBorder="1" applyAlignment="1">
      <alignment horizontal="center" vertical="center"/>
    </xf>
    <xf numFmtId="0" fontId="18" fillId="0" borderId="15" xfId="0" applyFont="1" applyFill="1" applyBorder="1" applyAlignment="1">
      <alignment horizontal="center" vertical="center" wrapText="1"/>
    </xf>
    <xf numFmtId="0" fontId="0" fillId="0" borderId="2" xfId="0" applyBorder="1" applyAlignment="1">
      <alignment horizontal="center" vertical="center"/>
    </xf>
    <xf numFmtId="0" fontId="19" fillId="0" borderId="15" xfId="0" applyFont="1" applyFill="1" applyBorder="1" applyAlignment="1">
      <alignment horizontal="center" vertical="center"/>
    </xf>
    <xf numFmtId="0" fontId="19" fillId="0" borderId="10" xfId="0" applyFont="1" applyFill="1" applyBorder="1" applyAlignment="1">
      <alignment horizontal="center" vertical="center"/>
    </xf>
    <xf numFmtId="0" fontId="0" fillId="10" borderId="7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77" xfId="0" applyBorder="1">
      <alignment vertical="center"/>
    </xf>
    <xf numFmtId="0" fontId="0" fillId="0" borderId="78" xfId="0" applyBorder="1" applyAlignment="1">
      <alignment vertical="center" wrapText="1"/>
    </xf>
    <xf numFmtId="0" fontId="0" fillId="0" borderId="78" xfId="0" applyBorder="1">
      <alignment vertical="center"/>
    </xf>
    <xf numFmtId="14" fontId="0" fillId="0" borderId="78"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5"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9" xfId="4" applyFont="1" applyBorder="1">
      <alignment vertical="center"/>
    </xf>
    <xf numFmtId="0" fontId="21" fillId="0" borderId="80" xfId="4" applyFont="1" applyBorder="1">
      <alignment vertical="center"/>
    </xf>
    <xf numFmtId="0" fontId="21" fillId="0" borderId="80" xfId="4" applyFont="1" applyBorder="1" applyAlignment="1">
      <alignment horizontal="center" vertical="center"/>
    </xf>
    <xf numFmtId="0" fontId="21" fillId="0" borderId="79"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5" xfId="4" applyFont="1" applyBorder="1">
      <alignment vertical="center"/>
    </xf>
    <xf numFmtId="0" fontId="21" fillId="0" borderId="27"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38" fontId="0" fillId="26" borderId="27" xfId="2" applyFont="1" applyFill="1" applyBorder="1" applyAlignment="1" applyProtection="1">
      <alignment horizontal="center" vertical="center" textRotation="90"/>
    </xf>
    <xf numFmtId="38" fontId="0" fillId="26" borderId="12" xfId="2" applyFont="1" applyFill="1" applyBorder="1" applyAlignment="1" applyProtection="1">
      <alignment horizontal="center" vertical="center" textRotation="90"/>
    </xf>
    <xf numFmtId="38" fontId="0" fillId="26" borderId="30" xfId="2" applyFont="1"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5">
    <cellStyle name="ハイパーリンク" xfId="1" builtinId="8"/>
    <cellStyle name="桁区切り" xfId="2" builtinId="6"/>
    <cellStyle name="標準" xfId="0" builtinId="0"/>
    <cellStyle name="標準 3 3 4 3" xfId="4" xr:uid="{8556100B-D10A-4776-A41B-B55873447B00}"/>
    <cellStyle name="標準 30 2" xfId="3" xr:uid="{00000000-0005-0000-0000-000003000000}"/>
  </cellStyles>
  <dxfs count="25">
    <dxf>
      <fill>
        <patternFill>
          <bgColor theme="0" tint="-0.499984740745262"/>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B9F0"/>
      <color rgb="FFFFB8F0"/>
      <color rgb="FFCCCCFF"/>
      <color rgb="FFCC99FF"/>
      <color rgb="FFFBBDBD"/>
      <color rgb="FF0000FF"/>
      <color rgb="FFFFCC99"/>
      <color rgb="FFCCFDB1"/>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hyperlink" Target="https://aip01.dndev.net/jira/browse/MET032D-5541" TargetMode="External"/><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C180904-0394-4432-BA9F-BF4CCF7DA6A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5D20B39-8F82-480F-AA78-1F9E5E8F1AB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DA39FAF1-2777-43C3-92D7-21286F7DDBF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4E1DB3A-087E-44DF-B971-70049ECFF87D}"/>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E08D29F1-65AF-A8F9-9FC9-6B5788A706C5}"/>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-1</xdr:colOff>
      <xdr:row>101</xdr:row>
      <xdr:rowOff>40822</xdr:rowOff>
    </xdr:from>
    <xdr:to>
      <xdr:col>41</xdr:col>
      <xdr:colOff>519190</xdr:colOff>
      <xdr:row>128</xdr:row>
      <xdr:rowOff>55191</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stretch>
          <a:fillRect/>
        </a:stretch>
      </xdr:blipFill>
      <xdr:spPr>
        <a:xfrm>
          <a:off x="29214535" y="20805322"/>
          <a:ext cx="15704762" cy="4790476"/>
        </a:xfrm>
        <a:prstGeom prst="rect">
          <a:avLst/>
        </a:prstGeom>
      </xdr:spPr>
    </xdr:pic>
    <xdr:clientData/>
  </xdr:twoCellAnchor>
  <xdr:twoCellAnchor>
    <xdr:from>
      <xdr:col>10</xdr:col>
      <xdr:colOff>78059</xdr:colOff>
      <xdr:row>4</xdr:row>
      <xdr:rowOff>92107</xdr:rowOff>
    </xdr:from>
    <xdr:to>
      <xdr:col>12</xdr:col>
      <xdr:colOff>286870</xdr:colOff>
      <xdr:row>7</xdr:row>
      <xdr:rowOff>80682</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6541612" y="773425"/>
          <a:ext cx="4224999" cy="499563"/>
        </a:xfrm>
        <a:prstGeom prst="borderCallout1">
          <a:avLst>
            <a:gd name="adj1" fmla="val 38295"/>
            <a:gd name="adj2" fmla="val -1002"/>
            <a:gd name="adj3" fmla="val 114590"/>
            <a:gd name="adj4" fmla="val -208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2987907</xdr:colOff>
      <xdr:row>50</xdr:row>
      <xdr:rowOff>69615</xdr:rowOff>
    </xdr:from>
    <xdr:to>
      <xdr:col>8</xdr:col>
      <xdr:colOff>161364</xdr:colOff>
      <xdr:row>55</xdr:row>
      <xdr:rowOff>71717</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3597507" y="11463756"/>
          <a:ext cx="2561245" cy="853749"/>
        </a:xfrm>
        <a:prstGeom prst="borderCallout1">
          <a:avLst>
            <a:gd name="adj1" fmla="val -2660"/>
            <a:gd name="adj2" fmla="val 51732"/>
            <a:gd name="adj3" fmla="val -26228"/>
            <a:gd name="adj4" fmla="val 62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1665639</xdr:colOff>
      <xdr:row>49</xdr:row>
      <xdr:rowOff>164480</xdr:rowOff>
    </xdr:from>
    <xdr:to>
      <xdr:col>13</xdr:col>
      <xdr:colOff>1147483</xdr:colOff>
      <xdr:row>54</xdr:row>
      <xdr:rowOff>62753</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10782425" y="6423766"/>
          <a:ext cx="4448451" cy="782737"/>
        </a:xfrm>
        <a:prstGeom prst="borderCallout1">
          <a:avLst>
            <a:gd name="adj1" fmla="val 4575"/>
            <a:gd name="adj2" fmla="val 6965"/>
            <a:gd name="adj3" fmla="val -27222"/>
            <a:gd name="adj4" fmla="val -3372"/>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通信途絶時は表示無し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815149</xdr:colOff>
      <xdr:row>2</xdr:row>
      <xdr:rowOff>90928</xdr:rowOff>
    </xdr:from>
    <xdr:to>
      <xdr:col>14</xdr:col>
      <xdr:colOff>717177</xdr:colOff>
      <xdr:row>7</xdr:row>
      <xdr:rowOff>107577</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1294890" y="431587"/>
          <a:ext cx="4357487" cy="868296"/>
        </a:xfrm>
        <a:prstGeom prst="borderCallout1">
          <a:avLst>
            <a:gd name="adj1" fmla="val 38295"/>
            <a:gd name="adj2" fmla="val -1002"/>
            <a:gd name="adj3" fmla="val 380204"/>
            <a:gd name="adj4" fmla="val -4350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を取得し、入力とする。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(VDF_PTS_RX_1F_NRX)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が来た場合は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と同様に振る舞う。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1078164</xdr:colOff>
      <xdr:row>55</xdr:row>
      <xdr:rowOff>19208</xdr:rowOff>
    </xdr:from>
    <xdr:to>
      <xdr:col>12</xdr:col>
      <xdr:colOff>1290917</xdr:colOff>
      <xdr:row>61</xdr:row>
      <xdr:rowOff>35858</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7541717" y="12264996"/>
          <a:ext cx="4228941" cy="1038627"/>
        </a:xfrm>
        <a:prstGeom prst="borderCallout1">
          <a:avLst>
            <a:gd name="adj1" fmla="val 38295"/>
            <a:gd name="adj2" fmla="val -1002"/>
            <a:gd name="adj3" fmla="val -258815"/>
            <a:gd name="adj4" fmla="val -22345"/>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の受信値が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0x20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以上のケースでは、受信値を未定義</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(0x0F)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にセットする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3</xdr:row>
      <xdr:rowOff>170329</xdr:rowOff>
    </xdr:from>
    <xdr:to>
      <xdr:col>44</xdr:col>
      <xdr:colOff>386259</xdr:colOff>
      <xdr:row>14</xdr:row>
      <xdr:rowOff>1218912</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248659" y="681317"/>
          <a:ext cx="16200000" cy="3881430"/>
        </a:xfrm>
        <a:prstGeom prst="rect">
          <a:avLst/>
        </a:prstGeom>
      </xdr:spPr>
    </xdr:pic>
    <xdr:clientData/>
  </xdr:twoCellAnchor>
  <xdr:twoCellAnchor editAs="oneCell">
    <xdr:from>
      <xdr:col>23</xdr:col>
      <xdr:colOff>6565</xdr:colOff>
      <xdr:row>17</xdr:row>
      <xdr:rowOff>15530</xdr:rowOff>
    </xdr:from>
    <xdr:to>
      <xdr:col>44</xdr:col>
      <xdr:colOff>392824</xdr:colOff>
      <xdr:row>55</xdr:row>
      <xdr:rowOff>101614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255224" y="5779836"/>
          <a:ext cx="16200000" cy="6567566"/>
        </a:xfrm>
        <a:prstGeom prst="rect">
          <a:avLst/>
        </a:prstGeom>
      </xdr:spPr>
    </xdr:pic>
    <xdr:clientData/>
  </xdr:twoCellAnchor>
  <xdr:twoCellAnchor>
    <xdr:from>
      <xdr:col>31</xdr:col>
      <xdr:colOff>62754</xdr:colOff>
      <xdr:row>9</xdr:row>
      <xdr:rowOff>74130</xdr:rowOff>
    </xdr:from>
    <xdr:to>
      <xdr:col>32</xdr:col>
      <xdr:colOff>409833</xdr:colOff>
      <xdr:row>13</xdr:row>
      <xdr:rowOff>649940</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35977607" y="1631748"/>
          <a:ext cx="1187520" cy="1606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580693</xdr:colOff>
      <xdr:row>6</xdr:row>
      <xdr:rowOff>169896</xdr:rowOff>
    </xdr:from>
    <xdr:to>
      <xdr:col>34</xdr:col>
      <xdr:colOff>407452</xdr:colOff>
      <xdr:row>8</xdr:row>
      <xdr:rowOff>120644</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33606669" y="1191872"/>
          <a:ext cx="1332830" cy="309337"/>
        </a:xfrm>
        <a:prstGeom prst="borderCallout1">
          <a:avLst>
            <a:gd name="adj1" fmla="val 42429"/>
            <a:gd name="adj2" fmla="val -3670"/>
            <a:gd name="adj3" fmla="val 150838"/>
            <a:gd name="adj4" fmla="val -23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498927</xdr:colOff>
      <xdr:row>9</xdr:row>
      <xdr:rowOff>82986</xdr:rowOff>
    </xdr:from>
    <xdr:to>
      <xdr:col>36</xdr:col>
      <xdr:colOff>560517</xdr:colOff>
      <xdr:row>13</xdr:row>
      <xdr:rowOff>649940</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38935103" y="1640604"/>
          <a:ext cx="1742473" cy="15978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496812</xdr:colOff>
      <xdr:row>14</xdr:row>
      <xdr:rowOff>350651</xdr:rowOff>
    </xdr:from>
    <xdr:to>
      <xdr:col>36</xdr:col>
      <xdr:colOff>537882</xdr:colOff>
      <xdr:row>14</xdr:row>
      <xdr:rowOff>1185357</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35028859" y="3694486"/>
          <a:ext cx="1547141" cy="834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546927</xdr:colOff>
      <xdr:row>6</xdr:row>
      <xdr:rowOff>125505</xdr:rowOff>
    </xdr:from>
    <xdr:to>
      <xdr:col>37</xdr:col>
      <xdr:colOff>164242</xdr:colOff>
      <xdr:row>8</xdr:row>
      <xdr:rowOff>67397</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5832009" y="1147481"/>
          <a:ext cx="1123386" cy="300481"/>
        </a:xfrm>
        <a:prstGeom prst="borderCallout1">
          <a:avLst>
            <a:gd name="adj1" fmla="val 42429"/>
            <a:gd name="adj2" fmla="val -3670"/>
            <a:gd name="adj3" fmla="val 150882"/>
            <a:gd name="adj4" fmla="val -28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442930</xdr:colOff>
      <xdr:row>14</xdr:row>
      <xdr:rowOff>1408900</xdr:rowOff>
    </xdr:from>
    <xdr:to>
      <xdr:col>38</xdr:col>
      <xdr:colOff>152400</xdr:colOff>
      <xdr:row>14</xdr:row>
      <xdr:rowOff>1999130</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35728012" y="4752735"/>
          <a:ext cx="1968576" cy="590230"/>
        </a:xfrm>
        <a:prstGeom prst="borderCallout1">
          <a:avLst>
            <a:gd name="adj1" fmla="val 42429"/>
            <a:gd name="adj2" fmla="val -3670"/>
            <a:gd name="adj3" fmla="val -34491"/>
            <a:gd name="adj4" fmla="val -16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416130</xdr:colOff>
      <xdr:row>14</xdr:row>
      <xdr:rowOff>359617</xdr:rowOff>
    </xdr:from>
    <xdr:to>
      <xdr:col>34</xdr:col>
      <xdr:colOff>493059</xdr:colOff>
      <xdr:row>14</xdr:row>
      <xdr:rowOff>1194323</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33442106" y="3703452"/>
          <a:ext cx="1583000" cy="834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537883</xdr:colOff>
      <xdr:row>14</xdr:row>
      <xdr:rowOff>959224</xdr:rowOff>
    </xdr:from>
    <xdr:to>
      <xdr:col>38</xdr:col>
      <xdr:colOff>457200</xdr:colOff>
      <xdr:row>14</xdr:row>
      <xdr:rowOff>1193296</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36576001" y="4303059"/>
          <a:ext cx="1425387" cy="234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744071</xdr:colOff>
      <xdr:row>4</xdr:row>
      <xdr:rowOff>26893</xdr:rowOff>
    </xdr:from>
    <xdr:to>
      <xdr:col>24</xdr:col>
      <xdr:colOff>707571</xdr:colOff>
      <xdr:row>6</xdr:row>
      <xdr:rowOff>134471</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29114964" y="734464"/>
          <a:ext cx="1650786" cy="4613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385483</xdr:colOff>
      <xdr:row>14</xdr:row>
      <xdr:rowOff>1371600</xdr:rowOff>
    </xdr:from>
    <xdr:to>
      <xdr:col>34</xdr:col>
      <xdr:colOff>94953</xdr:colOff>
      <xdr:row>14</xdr:row>
      <xdr:rowOff>1961830</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32658424" y="4715435"/>
          <a:ext cx="1968576" cy="590230"/>
        </a:xfrm>
        <a:prstGeom prst="borderCallout1">
          <a:avLst>
            <a:gd name="adj1" fmla="val -3136"/>
            <a:gd name="adj2" fmla="val 58263"/>
            <a:gd name="adj3" fmla="val -28416"/>
            <a:gd name="adj4" fmla="val 733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555812</xdr:colOff>
      <xdr:row>14</xdr:row>
      <xdr:rowOff>1416423</xdr:rowOff>
    </xdr:from>
    <xdr:to>
      <xdr:col>41</xdr:col>
      <xdr:colOff>265282</xdr:colOff>
      <xdr:row>14</xdr:row>
      <xdr:rowOff>2006653</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38100000" y="4760258"/>
          <a:ext cx="1968576" cy="590230"/>
        </a:xfrm>
        <a:prstGeom prst="borderCallout1">
          <a:avLst>
            <a:gd name="adj1" fmla="val 42429"/>
            <a:gd name="adj2" fmla="val -3670"/>
            <a:gd name="adj3" fmla="val -34491"/>
            <a:gd name="adj4" fmla="val -16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xdr:from>
      <xdr:col>25</xdr:col>
      <xdr:colOff>206188</xdr:colOff>
      <xdr:row>3</xdr:row>
      <xdr:rowOff>8965</xdr:rowOff>
    </xdr:from>
    <xdr:to>
      <xdr:col>27</xdr:col>
      <xdr:colOff>668693</xdr:colOff>
      <xdr:row>6</xdr:row>
      <xdr:rowOff>88207</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31108009" y="539644"/>
          <a:ext cx="2149791" cy="609920"/>
        </a:xfrm>
        <a:prstGeom prst="borderCallout1">
          <a:avLst>
            <a:gd name="adj1" fmla="val 59137"/>
            <a:gd name="adj2" fmla="val -1393"/>
            <a:gd name="adj3" fmla="val 67177"/>
            <a:gd name="adj4" fmla="val -17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170329</xdr:colOff>
      <xdr:row>22</xdr:row>
      <xdr:rowOff>33599</xdr:rowOff>
    </xdr:from>
    <xdr:to>
      <xdr:col>31</xdr:col>
      <xdr:colOff>366449</xdr:colOff>
      <xdr:row>43</xdr:row>
      <xdr:rowOff>35859</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1690235" y="6649552"/>
          <a:ext cx="949155" cy="3579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242878</xdr:colOff>
      <xdr:row>19</xdr:row>
      <xdr:rowOff>1</xdr:rowOff>
    </xdr:from>
    <xdr:to>
      <xdr:col>33</xdr:col>
      <xdr:colOff>215153</xdr:colOff>
      <xdr:row>21</xdr:row>
      <xdr:rowOff>57324</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32515819" y="6104966"/>
          <a:ext cx="1478346" cy="397982"/>
        </a:xfrm>
        <a:prstGeom prst="borderCallout1">
          <a:avLst>
            <a:gd name="adj1" fmla="val 42429"/>
            <a:gd name="adj2" fmla="val -3670"/>
            <a:gd name="adj3" fmla="val 135637"/>
            <a:gd name="adj4" fmla="val -22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33</xdr:col>
      <xdr:colOff>317541</xdr:colOff>
      <xdr:row>22</xdr:row>
      <xdr:rowOff>33598</xdr:rowOff>
    </xdr:from>
    <xdr:to>
      <xdr:col>34</xdr:col>
      <xdr:colOff>412377</xdr:colOff>
      <xdr:row>43</xdr:row>
      <xdr:rowOff>44823</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34096553" y="6649551"/>
          <a:ext cx="847871" cy="35881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585541</xdr:colOff>
      <xdr:row>14</xdr:row>
      <xdr:rowOff>1721224</xdr:rowOff>
    </xdr:from>
    <xdr:to>
      <xdr:col>47</xdr:col>
      <xdr:colOff>357415</xdr:colOff>
      <xdr:row>14</xdr:row>
      <xdr:rowOff>2054216</xdr:rowOff>
    </xdr:to>
    <xdr:sp macro="" textlink="">
      <xdr:nvSpPr>
        <xdr:cNvPr id="94" name="線吹き出し 1 (枠付き) 93">
          <a:extLst>
            <a:ext uri="{FF2B5EF4-FFF2-40B4-BE49-F238E27FC236}">
              <a16:creationId xmlns:a16="http://schemas.microsoft.com/office/drawing/2014/main" id="{00000000-0008-0000-0600-00005E000000}"/>
            </a:ext>
          </a:extLst>
        </xdr:cNvPr>
        <xdr:cNvSpPr/>
      </xdr:nvSpPr>
      <xdr:spPr>
        <a:xfrm>
          <a:off x="42647941" y="5065059"/>
          <a:ext cx="2030980" cy="332992"/>
        </a:xfrm>
        <a:prstGeom prst="borderCallout1">
          <a:avLst>
            <a:gd name="adj1" fmla="val 85097"/>
            <a:gd name="adj2" fmla="val -1254"/>
            <a:gd name="adj3" fmla="val 484395"/>
            <a:gd name="adj4" fmla="val -3914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412584</xdr:colOff>
      <xdr:row>22</xdr:row>
      <xdr:rowOff>25741</xdr:rowOff>
    </xdr:from>
    <xdr:to>
      <xdr:col>40</xdr:col>
      <xdr:colOff>89647</xdr:colOff>
      <xdr:row>43</xdr:row>
      <xdr:rowOff>35858</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43050966" y="6693241"/>
          <a:ext cx="517505" cy="3539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98119</xdr:colOff>
      <xdr:row>19</xdr:row>
      <xdr:rowOff>17927</xdr:rowOff>
    </xdr:from>
    <xdr:to>
      <xdr:col>42</xdr:col>
      <xdr:colOff>313764</xdr:colOff>
      <xdr:row>21</xdr:row>
      <xdr:rowOff>53788</xdr:rowOff>
    </xdr:to>
    <xdr:sp macro="" textlink="">
      <xdr:nvSpPr>
        <xdr:cNvPr id="96" name="線吹き出し 1 (枠付き) 95">
          <a:extLst>
            <a:ext uri="{FF2B5EF4-FFF2-40B4-BE49-F238E27FC236}">
              <a16:creationId xmlns:a16="http://schemas.microsoft.com/office/drawing/2014/main" id="{00000000-0008-0000-0600-000060000000}"/>
            </a:ext>
          </a:extLst>
        </xdr:cNvPr>
        <xdr:cNvSpPr/>
      </xdr:nvSpPr>
      <xdr:spPr>
        <a:xfrm>
          <a:off x="39148378" y="6122892"/>
          <a:ext cx="1721715" cy="376520"/>
        </a:xfrm>
        <a:prstGeom prst="borderCallout1">
          <a:avLst>
            <a:gd name="adj1" fmla="val 42429"/>
            <a:gd name="adj2" fmla="val -3670"/>
            <a:gd name="adj3" fmla="val 138894"/>
            <a:gd name="adj4" fmla="val -164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149539</xdr:colOff>
      <xdr:row>49</xdr:row>
      <xdr:rowOff>7413</xdr:rowOff>
    </xdr:from>
    <xdr:to>
      <xdr:col>31</xdr:col>
      <xdr:colOff>367554</xdr:colOff>
      <xdr:row>50</xdr:row>
      <xdr:rowOff>62753</xdr:rowOff>
    </xdr:to>
    <xdr:sp macro="" textlink="">
      <xdr:nvSpPr>
        <xdr:cNvPr id="97" name="正方形/長方形 96">
          <a:extLst>
            <a:ext uri="{FF2B5EF4-FFF2-40B4-BE49-F238E27FC236}">
              <a16:creationId xmlns:a16="http://schemas.microsoft.com/office/drawing/2014/main" id="{00000000-0008-0000-0600-000061000000}"/>
            </a:ext>
          </a:extLst>
        </xdr:cNvPr>
        <xdr:cNvSpPr/>
      </xdr:nvSpPr>
      <xdr:spPr>
        <a:xfrm>
          <a:off x="31669445" y="11231225"/>
          <a:ext cx="971050" cy="225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8965</xdr:colOff>
      <xdr:row>50</xdr:row>
      <xdr:rowOff>56046</xdr:rowOff>
    </xdr:from>
    <xdr:to>
      <xdr:col>35</xdr:col>
      <xdr:colOff>795616</xdr:colOff>
      <xdr:row>55</xdr:row>
      <xdr:rowOff>71718</xdr:rowOff>
    </xdr:to>
    <xdr:sp macro="" textlink="">
      <xdr:nvSpPr>
        <xdr:cNvPr id="99" name="正方形/長方形 98">
          <a:extLst>
            <a:ext uri="{FF2B5EF4-FFF2-40B4-BE49-F238E27FC236}">
              <a16:creationId xmlns:a16="http://schemas.microsoft.com/office/drawing/2014/main" id="{00000000-0008-0000-0600-000063000000}"/>
            </a:ext>
          </a:extLst>
        </xdr:cNvPr>
        <xdr:cNvSpPr/>
      </xdr:nvSpPr>
      <xdr:spPr>
        <a:xfrm>
          <a:off x="29200289" y="11441222"/>
          <a:ext cx="10871945" cy="856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465318</xdr:colOff>
      <xdr:row>15</xdr:row>
      <xdr:rowOff>17094</xdr:rowOff>
    </xdr:from>
    <xdr:to>
      <xdr:col>56</xdr:col>
      <xdr:colOff>206188</xdr:colOff>
      <xdr:row>30</xdr:row>
      <xdr:rowOff>71718</xdr:rowOff>
    </xdr:to>
    <xdr:cxnSp macro="">
      <xdr:nvCxnSpPr>
        <xdr:cNvPr id="100" name="直線コネクタ 99">
          <a:extLst>
            <a:ext uri="{FF2B5EF4-FFF2-40B4-BE49-F238E27FC236}">
              <a16:creationId xmlns:a16="http://schemas.microsoft.com/office/drawing/2014/main" id="{00000000-0008-0000-0600-000064000000}"/>
            </a:ext>
          </a:extLst>
        </xdr:cNvPr>
        <xdr:cNvCxnSpPr>
          <a:endCxn id="110" idx="1"/>
        </xdr:cNvCxnSpPr>
      </xdr:nvCxnSpPr>
      <xdr:spPr>
        <a:xfrm>
          <a:off x="44033789" y="5431776"/>
          <a:ext cx="7271223" cy="261853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367553</xdr:colOff>
      <xdr:row>49</xdr:row>
      <xdr:rowOff>8966</xdr:rowOff>
    </xdr:from>
    <xdr:to>
      <xdr:col>33</xdr:col>
      <xdr:colOff>304799</xdr:colOff>
      <xdr:row>50</xdr:row>
      <xdr:rowOff>53789</xdr:rowOff>
    </xdr:to>
    <xdr:sp macro="" textlink="">
      <xdr:nvSpPr>
        <xdr:cNvPr id="101" name="正方形/長方形 100">
          <a:extLst>
            <a:ext uri="{FF2B5EF4-FFF2-40B4-BE49-F238E27FC236}">
              <a16:creationId xmlns:a16="http://schemas.microsoft.com/office/drawing/2014/main" id="{00000000-0008-0000-0600-000065000000}"/>
            </a:ext>
          </a:extLst>
        </xdr:cNvPr>
        <xdr:cNvSpPr/>
      </xdr:nvSpPr>
      <xdr:spPr>
        <a:xfrm>
          <a:off x="32640494" y="11232778"/>
          <a:ext cx="1443317" cy="2151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313763</xdr:colOff>
      <xdr:row>49</xdr:row>
      <xdr:rowOff>8964</xdr:rowOff>
    </xdr:from>
    <xdr:to>
      <xdr:col>34</xdr:col>
      <xdr:colOff>394447</xdr:colOff>
      <xdr:row>50</xdr:row>
      <xdr:rowOff>44824</xdr:rowOff>
    </xdr:to>
    <xdr:sp macro="" textlink="">
      <xdr:nvSpPr>
        <xdr:cNvPr id="102" name="正方形/長方形 101">
          <a:extLst>
            <a:ext uri="{FF2B5EF4-FFF2-40B4-BE49-F238E27FC236}">
              <a16:creationId xmlns:a16="http://schemas.microsoft.com/office/drawing/2014/main" id="{00000000-0008-0000-0600-000066000000}"/>
            </a:ext>
          </a:extLst>
        </xdr:cNvPr>
        <xdr:cNvSpPr/>
      </xdr:nvSpPr>
      <xdr:spPr>
        <a:xfrm>
          <a:off x="34092775" y="11232776"/>
          <a:ext cx="833719" cy="2061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255566</xdr:colOff>
      <xdr:row>43</xdr:row>
      <xdr:rowOff>98260</xdr:rowOff>
    </xdr:from>
    <xdr:to>
      <xdr:col>34</xdr:col>
      <xdr:colOff>161364</xdr:colOff>
      <xdr:row>45</xdr:row>
      <xdr:rowOff>121920</xdr:rowOff>
    </xdr:to>
    <xdr:sp macro="" textlink="">
      <xdr:nvSpPr>
        <xdr:cNvPr id="103" name="線吹き出し 1 (枠付き) 102">
          <a:extLst>
            <a:ext uri="{FF2B5EF4-FFF2-40B4-BE49-F238E27FC236}">
              <a16:creationId xmlns:a16="http://schemas.microsoft.com/office/drawing/2014/main" id="{00000000-0008-0000-0600-000067000000}"/>
            </a:ext>
          </a:extLst>
        </xdr:cNvPr>
        <xdr:cNvSpPr/>
      </xdr:nvSpPr>
      <xdr:spPr>
        <a:xfrm>
          <a:off x="33281542" y="10291131"/>
          <a:ext cx="1411869" cy="364318"/>
        </a:xfrm>
        <a:prstGeom prst="borderCallout1">
          <a:avLst>
            <a:gd name="adj1" fmla="val 42429"/>
            <a:gd name="adj2" fmla="val -3670"/>
            <a:gd name="adj3" fmla="val 251428"/>
            <a:gd name="adj4" fmla="val -369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502921</xdr:colOff>
      <xdr:row>44</xdr:row>
      <xdr:rowOff>99060</xdr:rowOff>
    </xdr:from>
    <xdr:to>
      <xdr:col>29</xdr:col>
      <xdr:colOff>365761</xdr:colOff>
      <xdr:row>46</xdr:row>
      <xdr:rowOff>106680</xdr:rowOff>
    </xdr:to>
    <xdr:sp macro="" textlink="">
      <xdr:nvSpPr>
        <xdr:cNvPr id="104" name="線吹き出し 1 (枠付き) 103">
          <a:extLst>
            <a:ext uri="{FF2B5EF4-FFF2-40B4-BE49-F238E27FC236}">
              <a16:creationId xmlns:a16="http://schemas.microsoft.com/office/drawing/2014/main" id="{00000000-0008-0000-0600-000068000000}"/>
            </a:ext>
          </a:extLst>
        </xdr:cNvPr>
        <xdr:cNvSpPr/>
      </xdr:nvSpPr>
      <xdr:spPr>
        <a:xfrm>
          <a:off x="29740861" y="10370820"/>
          <a:ext cx="1371600" cy="342900"/>
        </a:xfrm>
        <a:prstGeom prst="borderCallout1">
          <a:avLst>
            <a:gd name="adj1" fmla="val 61309"/>
            <a:gd name="adj2" fmla="val 98819"/>
            <a:gd name="adj3" fmla="val 258251"/>
            <a:gd name="adj4" fmla="val 1383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238909</xdr:colOff>
      <xdr:row>47</xdr:row>
      <xdr:rowOff>14343</xdr:rowOff>
    </xdr:from>
    <xdr:to>
      <xdr:col>38</xdr:col>
      <xdr:colOff>556260</xdr:colOff>
      <xdr:row>49</xdr:row>
      <xdr:rowOff>7620</xdr:rowOff>
    </xdr:to>
    <xdr:sp macro="" textlink="">
      <xdr:nvSpPr>
        <xdr:cNvPr id="105" name="線吹き出し 1 (枠付き) 104">
          <a:extLst>
            <a:ext uri="{FF2B5EF4-FFF2-40B4-BE49-F238E27FC236}">
              <a16:creationId xmlns:a16="http://schemas.microsoft.com/office/drawing/2014/main" id="{00000000-0008-0000-0600-000069000000}"/>
            </a:ext>
          </a:extLst>
        </xdr:cNvPr>
        <xdr:cNvSpPr/>
      </xdr:nvSpPr>
      <xdr:spPr>
        <a:xfrm>
          <a:off x="36266269" y="10789023"/>
          <a:ext cx="1826111" cy="336177"/>
        </a:xfrm>
        <a:prstGeom prst="borderCallout1">
          <a:avLst>
            <a:gd name="adj1" fmla="val 42429"/>
            <a:gd name="adj2" fmla="val -3670"/>
            <a:gd name="adj3" fmla="val 135509"/>
            <a:gd name="adj4" fmla="val -74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editAs="oneCell">
    <xdr:from>
      <xdr:col>45</xdr:col>
      <xdr:colOff>720438</xdr:colOff>
      <xdr:row>22</xdr:row>
      <xdr:rowOff>0</xdr:rowOff>
    </xdr:from>
    <xdr:to>
      <xdr:col>67</xdr:col>
      <xdr:colOff>170292</xdr:colOff>
      <xdr:row>38</xdr:row>
      <xdr:rowOff>139071</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420147" y="6580909"/>
          <a:ext cx="15909054" cy="2799144"/>
        </a:xfrm>
        <a:prstGeom prst="rect">
          <a:avLst/>
        </a:prstGeom>
      </xdr:spPr>
    </xdr:pic>
    <xdr:clientData/>
  </xdr:twoCellAnchor>
  <xdr:twoCellAnchor>
    <xdr:from>
      <xdr:col>40</xdr:col>
      <xdr:colOff>108868</xdr:colOff>
      <xdr:row>47</xdr:row>
      <xdr:rowOff>45709</xdr:rowOff>
    </xdr:from>
    <xdr:to>
      <xdr:col>50</xdr:col>
      <xdr:colOff>251012</xdr:colOff>
      <xdr:row>61</xdr:row>
      <xdr:rowOff>152400</xdr:rowOff>
    </xdr:to>
    <xdr:sp macro="" textlink="">
      <xdr:nvSpPr>
        <xdr:cNvPr id="107" name="線吹き出し 1 (枠付き) 106">
          <a:extLst>
            <a:ext uri="{FF2B5EF4-FFF2-40B4-BE49-F238E27FC236}">
              <a16:creationId xmlns:a16="http://schemas.microsoft.com/office/drawing/2014/main" id="{00000000-0008-0000-0600-00006B000000}"/>
            </a:ext>
          </a:extLst>
        </xdr:cNvPr>
        <xdr:cNvSpPr/>
      </xdr:nvSpPr>
      <xdr:spPr>
        <a:xfrm>
          <a:off x="39159127" y="10919897"/>
          <a:ext cx="7672497" cy="2500268"/>
        </a:xfrm>
        <a:prstGeom prst="borderCallout1">
          <a:avLst>
            <a:gd name="adj1" fmla="val 49780"/>
            <a:gd name="adj2" fmla="val -83"/>
            <a:gd name="adj3" fmla="val 39630"/>
            <a:gd name="adj4" fmla="val -40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の連続受信判定ならびに不揮発メモリへの保持は他ドメインにて実施する。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そのため、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Vom::Alert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では、本モジュールの動作時の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ENG1F03_STS/ENG1G13_STS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の通信状態に関係なく、他ドメインにて判定された</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結果の信号値を取得し、入力信号として使用する。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Vardef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ドメインが提供する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u1_g_VdfPtsys()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シグナル値を取得し、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入力信号とする。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の信号フレームである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ENG1F03_STS/ENG1G13_STS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の通信状態は</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取得せず、入力信号としても含めない設計とする。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8965</xdr:colOff>
      <xdr:row>17</xdr:row>
      <xdr:rowOff>8963</xdr:rowOff>
    </xdr:from>
    <xdr:to>
      <xdr:col>25</xdr:col>
      <xdr:colOff>224118</xdr:colOff>
      <xdr:row>19</xdr:row>
      <xdr:rowOff>116540</xdr:rowOff>
    </xdr:to>
    <xdr:sp macro="" textlink="">
      <xdr:nvSpPr>
        <xdr:cNvPr id="108" name="正方形/長方形 107">
          <a:extLst>
            <a:ext uri="{FF2B5EF4-FFF2-40B4-BE49-F238E27FC236}">
              <a16:creationId xmlns:a16="http://schemas.microsoft.com/office/drawing/2014/main" id="{00000000-0008-0000-0600-00006C000000}"/>
            </a:ext>
          </a:extLst>
        </xdr:cNvPr>
        <xdr:cNvSpPr/>
      </xdr:nvSpPr>
      <xdr:spPr>
        <a:xfrm>
          <a:off x="26257624" y="5773269"/>
          <a:ext cx="1721223" cy="4482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726141</xdr:colOff>
      <xdr:row>16</xdr:row>
      <xdr:rowOff>44823</xdr:rowOff>
    </xdr:from>
    <xdr:to>
      <xdr:col>28</xdr:col>
      <xdr:colOff>435611</xdr:colOff>
      <xdr:row>19</xdr:row>
      <xdr:rowOff>124064</xdr:rowOff>
    </xdr:to>
    <xdr:sp macro="" textlink="">
      <xdr:nvSpPr>
        <xdr:cNvPr id="109" name="線吹き出し 1 (枠付き) 108">
          <a:extLst>
            <a:ext uri="{FF2B5EF4-FFF2-40B4-BE49-F238E27FC236}">
              <a16:creationId xmlns:a16="http://schemas.microsoft.com/office/drawing/2014/main" id="{00000000-0008-0000-0600-00006D000000}"/>
            </a:ext>
          </a:extLst>
        </xdr:cNvPr>
        <xdr:cNvSpPr/>
      </xdr:nvSpPr>
      <xdr:spPr>
        <a:xfrm>
          <a:off x="28480870" y="5638799"/>
          <a:ext cx="1968576" cy="590230"/>
        </a:xfrm>
        <a:prstGeom prst="borderCallout1">
          <a:avLst>
            <a:gd name="adj1" fmla="val 59137"/>
            <a:gd name="adj2" fmla="val -1393"/>
            <a:gd name="adj3" fmla="val 62715"/>
            <a:gd name="adj4" fmla="val -240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206188</xdr:colOff>
      <xdr:row>22</xdr:row>
      <xdr:rowOff>26894</xdr:rowOff>
    </xdr:from>
    <xdr:to>
      <xdr:col>61</xdr:col>
      <xdr:colOff>582706</xdr:colOff>
      <xdr:row>38</xdr:row>
      <xdr:rowOff>116541</xdr:rowOff>
    </xdr:to>
    <xdr:sp macro="" textlink="">
      <xdr:nvSpPr>
        <xdr:cNvPr id="110" name="正方形/長方形 109">
          <a:extLst>
            <a:ext uri="{FF2B5EF4-FFF2-40B4-BE49-F238E27FC236}">
              <a16:creationId xmlns:a16="http://schemas.microsoft.com/office/drawing/2014/main" id="{00000000-0008-0000-0600-00006E000000}"/>
            </a:ext>
          </a:extLst>
        </xdr:cNvPr>
        <xdr:cNvSpPr/>
      </xdr:nvSpPr>
      <xdr:spPr>
        <a:xfrm>
          <a:off x="51305012" y="6642847"/>
          <a:ext cx="4141694" cy="2814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179941</xdr:colOff>
      <xdr:row>30</xdr:row>
      <xdr:rowOff>71718</xdr:rowOff>
    </xdr:from>
    <xdr:to>
      <xdr:col>56</xdr:col>
      <xdr:colOff>206188</xdr:colOff>
      <xdr:row>47</xdr:row>
      <xdr:rowOff>45709</xdr:rowOff>
    </xdr:to>
    <xdr:cxnSp macro="">
      <xdr:nvCxnSpPr>
        <xdr:cNvPr id="111" name="直線コネクタ 110">
          <a:extLst>
            <a:ext uri="{FF2B5EF4-FFF2-40B4-BE49-F238E27FC236}">
              <a16:creationId xmlns:a16="http://schemas.microsoft.com/office/drawing/2014/main" id="{00000000-0008-0000-0600-00006F000000}"/>
            </a:ext>
          </a:extLst>
        </xdr:cNvPr>
        <xdr:cNvCxnSpPr>
          <a:stCxn id="107" idx="3"/>
          <a:endCxn id="110" idx="1"/>
        </xdr:cNvCxnSpPr>
      </xdr:nvCxnSpPr>
      <xdr:spPr>
        <a:xfrm flipV="1">
          <a:off x="42995376" y="8050306"/>
          <a:ext cx="8309636" cy="286959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65</xdr:row>
      <xdr:rowOff>0</xdr:rowOff>
    </xdr:from>
    <xdr:to>
      <xdr:col>36</xdr:col>
      <xdr:colOff>210958</xdr:colOff>
      <xdr:row>98</xdr:row>
      <xdr:rowOff>37481</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212800" y="13563600"/>
          <a:ext cx="9975444" cy="5425910"/>
        </a:xfrm>
        <a:prstGeom prst="rect">
          <a:avLst/>
        </a:prstGeom>
      </xdr:spPr>
    </xdr:pic>
    <xdr:clientData/>
  </xdr:twoCellAnchor>
  <xdr:twoCellAnchor>
    <xdr:from>
      <xdr:col>22</xdr:col>
      <xdr:colOff>740229</xdr:colOff>
      <xdr:row>81</xdr:row>
      <xdr:rowOff>108859</xdr:rowOff>
    </xdr:from>
    <xdr:to>
      <xdr:col>36</xdr:col>
      <xdr:colOff>239485</xdr:colOff>
      <xdr:row>83</xdr:row>
      <xdr:rowOff>54429</xdr:rowOff>
    </xdr:to>
    <xdr:sp macro="" textlink="">
      <xdr:nvSpPr>
        <xdr:cNvPr id="112" name="正方形/長方形 111">
          <a:extLst>
            <a:ext uri="{FF2B5EF4-FFF2-40B4-BE49-F238E27FC236}">
              <a16:creationId xmlns:a16="http://schemas.microsoft.com/office/drawing/2014/main" id="{00000000-0008-0000-0600-000070000000}"/>
            </a:ext>
          </a:extLst>
        </xdr:cNvPr>
        <xdr:cNvSpPr/>
      </xdr:nvSpPr>
      <xdr:spPr>
        <a:xfrm>
          <a:off x="26201915" y="16285030"/>
          <a:ext cx="10014856" cy="272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666751</xdr:colOff>
      <xdr:row>122</xdr:row>
      <xdr:rowOff>10884</xdr:rowOff>
    </xdr:from>
    <xdr:to>
      <xdr:col>29</xdr:col>
      <xdr:colOff>830036</xdr:colOff>
      <xdr:row>128</xdr:row>
      <xdr:rowOff>27214</xdr:rowOff>
    </xdr:to>
    <xdr:sp macro="" textlink="">
      <xdr:nvSpPr>
        <xdr:cNvPr id="113" name="正方形/長方形 112">
          <a:extLst>
            <a:ext uri="{FF2B5EF4-FFF2-40B4-BE49-F238E27FC236}">
              <a16:creationId xmlns:a16="http://schemas.microsoft.com/office/drawing/2014/main" id="{00000000-0008-0000-0600-000071000000}"/>
            </a:ext>
          </a:extLst>
        </xdr:cNvPr>
        <xdr:cNvSpPr/>
      </xdr:nvSpPr>
      <xdr:spPr>
        <a:xfrm>
          <a:off x="34099501" y="24490134"/>
          <a:ext cx="1006928" cy="10776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688521</xdr:colOff>
      <xdr:row>122</xdr:row>
      <xdr:rowOff>10885</xdr:rowOff>
    </xdr:from>
    <xdr:to>
      <xdr:col>37</xdr:col>
      <xdr:colOff>108856</xdr:colOff>
      <xdr:row>128</xdr:row>
      <xdr:rowOff>40822</xdr:rowOff>
    </xdr:to>
    <xdr:sp macro="" textlink="">
      <xdr:nvSpPr>
        <xdr:cNvPr id="114" name="正方形/長方形 113">
          <a:extLst>
            <a:ext uri="{FF2B5EF4-FFF2-40B4-BE49-F238E27FC236}">
              <a16:creationId xmlns:a16="http://schemas.microsoft.com/office/drawing/2014/main" id="{00000000-0008-0000-0600-000072000000}"/>
            </a:ext>
          </a:extLst>
        </xdr:cNvPr>
        <xdr:cNvSpPr/>
      </xdr:nvSpPr>
      <xdr:spPr>
        <a:xfrm>
          <a:off x="38339485" y="24490135"/>
          <a:ext cx="2794907" cy="1091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598714</xdr:colOff>
      <xdr:row>129</xdr:row>
      <xdr:rowOff>122465</xdr:rowOff>
    </xdr:from>
    <xdr:to>
      <xdr:col>41</xdr:col>
      <xdr:colOff>8568</xdr:colOff>
      <xdr:row>133</xdr:row>
      <xdr:rowOff>8662</xdr:rowOff>
    </xdr:to>
    <xdr:sp macro="" textlink="">
      <xdr:nvSpPr>
        <xdr:cNvPr id="115" name="線吹き出し 1 (枠付き) 114">
          <a:extLst>
            <a:ext uri="{FF2B5EF4-FFF2-40B4-BE49-F238E27FC236}">
              <a16:creationId xmlns:a16="http://schemas.microsoft.com/office/drawing/2014/main" id="{00000000-0008-0000-0600-000073000000}"/>
            </a:ext>
          </a:extLst>
        </xdr:cNvPr>
        <xdr:cNvSpPr/>
      </xdr:nvSpPr>
      <xdr:spPr>
        <a:xfrm>
          <a:off x="39936964" y="25839965"/>
          <a:ext cx="4471711" cy="593768"/>
        </a:xfrm>
        <a:prstGeom prst="borderCallout1">
          <a:avLst>
            <a:gd name="adj1" fmla="val 44823"/>
            <a:gd name="adj2" fmla="val -3207"/>
            <a:gd name="adj3" fmla="val -54761"/>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TOWW,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489857</xdr:colOff>
      <xdr:row>48</xdr:row>
      <xdr:rowOff>155120</xdr:rowOff>
    </xdr:from>
    <xdr:to>
      <xdr:col>29</xdr:col>
      <xdr:colOff>326572</xdr:colOff>
      <xdr:row>122</xdr:row>
      <xdr:rowOff>10884</xdr:rowOff>
    </xdr:to>
    <xdr:cxnSp macro="">
      <xdr:nvCxnSpPr>
        <xdr:cNvPr id="116" name="直線コネクタ 115">
          <a:extLst>
            <a:ext uri="{FF2B5EF4-FFF2-40B4-BE49-F238E27FC236}">
              <a16:creationId xmlns:a16="http://schemas.microsoft.com/office/drawing/2014/main" id="{00000000-0008-0000-0600-000074000000}"/>
            </a:ext>
          </a:extLst>
        </xdr:cNvPr>
        <xdr:cNvCxnSpPr>
          <a:stCxn id="117" idx="2"/>
          <a:endCxn id="113" idx="0"/>
        </xdr:cNvCxnSpPr>
      </xdr:nvCxnSpPr>
      <xdr:spPr>
        <a:xfrm>
          <a:off x="24506464" y="11544299"/>
          <a:ext cx="10096501" cy="12945835"/>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xdr:row>
      <xdr:rowOff>0</xdr:rowOff>
    </xdr:from>
    <xdr:to>
      <xdr:col>18</xdr:col>
      <xdr:colOff>0</xdr:colOff>
      <xdr:row>48</xdr:row>
      <xdr:rowOff>155120</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24016607" y="1796143"/>
          <a:ext cx="979714" cy="97481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489857</xdr:colOff>
      <xdr:row>48</xdr:row>
      <xdr:rowOff>155120</xdr:rowOff>
    </xdr:from>
    <xdr:to>
      <xdr:col>23</xdr:col>
      <xdr:colOff>0</xdr:colOff>
      <xdr:row>81</xdr:row>
      <xdr:rowOff>108857</xdr:rowOff>
    </xdr:to>
    <xdr:cxnSp macro="">
      <xdr:nvCxnSpPr>
        <xdr:cNvPr id="118" name="直線コネクタ 117">
          <a:extLst>
            <a:ext uri="{FF2B5EF4-FFF2-40B4-BE49-F238E27FC236}">
              <a16:creationId xmlns:a16="http://schemas.microsoft.com/office/drawing/2014/main" id="{00000000-0008-0000-0600-000076000000}"/>
            </a:ext>
          </a:extLst>
        </xdr:cNvPr>
        <xdr:cNvCxnSpPr>
          <a:stCxn id="117" idx="2"/>
        </xdr:cNvCxnSpPr>
      </xdr:nvCxnSpPr>
      <xdr:spPr>
        <a:xfrm>
          <a:off x="24506464" y="11544299"/>
          <a:ext cx="4708072" cy="579120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137</xdr:row>
      <xdr:rowOff>0</xdr:rowOff>
    </xdr:from>
    <xdr:to>
      <xdr:col>26</xdr:col>
      <xdr:colOff>238613</xdr:colOff>
      <xdr:row>139</xdr:row>
      <xdr:rowOff>92564</xdr:rowOff>
    </xdr:to>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6212800" y="25320171"/>
          <a:ext cx="2491956" cy="419136"/>
        </a:xfrm>
        <a:prstGeom prst="rect">
          <a:avLst/>
        </a:prstGeom>
      </xdr:spPr>
    </xdr:pic>
    <xdr:clientData/>
  </xdr:twoCellAnchor>
  <xdr:twoCellAnchor editAs="oneCell">
    <xdr:from>
      <xdr:col>23</xdr:col>
      <xdr:colOff>8485</xdr:colOff>
      <xdr:row>139</xdr:row>
      <xdr:rowOff>62914</xdr:rowOff>
    </xdr:from>
    <xdr:to>
      <xdr:col>25</xdr:col>
      <xdr:colOff>396180</xdr:colOff>
      <xdr:row>141</xdr:row>
      <xdr:rowOff>163100</xdr:rowOff>
    </xdr:to>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221285" y="25709657"/>
          <a:ext cx="1889924" cy="426757"/>
        </a:xfrm>
        <a:prstGeom prst="rect">
          <a:avLst/>
        </a:prstGeom>
      </xdr:spPr>
    </xdr:pic>
    <xdr:clientData/>
  </xdr:twoCellAnchor>
  <xdr:twoCellAnchor editAs="oneCell">
    <xdr:from>
      <xdr:col>23</xdr:col>
      <xdr:colOff>6085</xdr:colOff>
      <xdr:row>142</xdr:row>
      <xdr:rowOff>16969</xdr:rowOff>
    </xdr:from>
    <xdr:to>
      <xdr:col>24</xdr:col>
      <xdr:colOff>436173</xdr:colOff>
      <xdr:row>144</xdr:row>
      <xdr:rowOff>79052</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218885" y="26153569"/>
          <a:ext cx="1181202" cy="388654"/>
        </a:xfrm>
        <a:prstGeom prst="rect">
          <a:avLst/>
        </a:prstGeom>
      </xdr:spPr>
    </xdr:pic>
    <xdr:clientData/>
  </xdr:twoCellAnchor>
  <xdr:twoCellAnchor editAs="oneCell">
    <xdr:from>
      <xdr:col>23</xdr:col>
      <xdr:colOff>0</xdr:colOff>
      <xdr:row>146</xdr:row>
      <xdr:rowOff>0</xdr:rowOff>
    </xdr:from>
    <xdr:to>
      <xdr:col>24</xdr:col>
      <xdr:colOff>315778</xdr:colOff>
      <xdr:row>149</xdr:row>
      <xdr:rowOff>142658</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212800" y="26789743"/>
          <a:ext cx="1066892" cy="632515"/>
        </a:xfrm>
        <a:prstGeom prst="rect">
          <a:avLst/>
        </a:prstGeom>
      </xdr:spPr>
    </xdr:pic>
    <xdr:clientData/>
  </xdr:twoCellAnchor>
  <xdr:twoCellAnchor editAs="oneCell">
    <xdr:from>
      <xdr:col>23</xdr:col>
      <xdr:colOff>0</xdr:colOff>
      <xdr:row>151</xdr:row>
      <xdr:rowOff>0</xdr:rowOff>
    </xdr:from>
    <xdr:to>
      <xdr:col>25</xdr:col>
      <xdr:colOff>509625</xdr:colOff>
      <xdr:row>153</xdr:row>
      <xdr:rowOff>69702</xdr:rowOff>
    </xdr:to>
    <xdr:pic>
      <xdr:nvPicPr>
        <xdr:cNvPr id="29" name="図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6212800" y="27606171"/>
          <a:ext cx="2011854" cy="396274"/>
        </a:xfrm>
        <a:prstGeom prst="rect">
          <a:avLst/>
        </a:prstGeom>
      </xdr:spPr>
    </xdr:pic>
    <xdr:clientData/>
  </xdr:twoCellAnchor>
  <xdr:twoCellAnchor>
    <xdr:from>
      <xdr:col>22</xdr:col>
      <xdr:colOff>729342</xdr:colOff>
      <xdr:row>137</xdr:row>
      <xdr:rowOff>10886</xdr:rowOff>
    </xdr:from>
    <xdr:to>
      <xdr:col>26</xdr:col>
      <xdr:colOff>272143</xdr:colOff>
      <xdr:row>144</xdr:row>
      <xdr:rowOff>65315</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26191028" y="25331057"/>
          <a:ext cx="2547258" cy="1197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146</xdr:row>
      <xdr:rowOff>10886</xdr:rowOff>
    </xdr:from>
    <xdr:to>
      <xdr:col>24</xdr:col>
      <xdr:colOff>326572</xdr:colOff>
      <xdr:row>149</xdr:row>
      <xdr:rowOff>141514</xdr:rowOff>
    </xdr:to>
    <xdr:sp macro="" textlink="">
      <xdr:nvSpPr>
        <xdr:cNvPr id="120" name="正方形/長方形 119">
          <a:extLst>
            <a:ext uri="{FF2B5EF4-FFF2-40B4-BE49-F238E27FC236}">
              <a16:creationId xmlns:a16="http://schemas.microsoft.com/office/drawing/2014/main" id="{00000000-0008-0000-0600-000078000000}"/>
            </a:ext>
          </a:extLst>
        </xdr:cNvPr>
        <xdr:cNvSpPr/>
      </xdr:nvSpPr>
      <xdr:spPr>
        <a:xfrm>
          <a:off x="26212800" y="26800629"/>
          <a:ext cx="1077686" cy="620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740228</xdr:colOff>
      <xdr:row>150</xdr:row>
      <xdr:rowOff>141514</xdr:rowOff>
    </xdr:from>
    <xdr:to>
      <xdr:col>25</xdr:col>
      <xdr:colOff>555171</xdr:colOff>
      <xdr:row>153</xdr:row>
      <xdr:rowOff>87086</xdr:rowOff>
    </xdr:to>
    <xdr:sp macro="" textlink="">
      <xdr:nvSpPr>
        <xdr:cNvPr id="121" name="正方形/長方形 120">
          <a:extLst>
            <a:ext uri="{FF2B5EF4-FFF2-40B4-BE49-F238E27FC236}">
              <a16:creationId xmlns:a16="http://schemas.microsoft.com/office/drawing/2014/main" id="{00000000-0008-0000-0600-000079000000}"/>
            </a:ext>
          </a:extLst>
        </xdr:cNvPr>
        <xdr:cNvSpPr/>
      </xdr:nvSpPr>
      <xdr:spPr>
        <a:xfrm>
          <a:off x="26201914" y="27584400"/>
          <a:ext cx="2068286" cy="435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566057</xdr:colOff>
      <xdr:row>139</xdr:row>
      <xdr:rowOff>10886</xdr:rowOff>
    </xdr:from>
    <xdr:to>
      <xdr:col>28</xdr:col>
      <xdr:colOff>206829</xdr:colOff>
      <xdr:row>142</xdr:row>
      <xdr:rowOff>73977</xdr:rowOff>
    </xdr:to>
    <xdr:sp macro="" textlink="">
      <xdr:nvSpPr>
        <xdr:cNvPr id="122" name="線吹き出し 1 (枠付き) 121">
          <a:extLst>
            <a:ext uri="{FF2B5EF4-FFF2-40B4-BE49-F238E27FC236}">
              <a16:creationId xmlns:a16="http://schemas.microsoft.com/office/drawing/2014/main" id="{00000000-0008-0000-0600-00007A000000}"/>
            </a:ext>
          </a:extLst>
        </xdr:cNvPr>
        <xdr:cNvSpPr/>
      </xdr:nvSpPr>
      <xdr:spPr>
        <a:xfrm>
          <a:off x="29032200" y="25657629"/>
          <a:ext cx="1143000" cy="552948"/>
        </a:xfrm>
        <a:prstGeom prst="borderCallout1">
          <a:avLst>
            <a:gd name="adj1" fmla="val 44823"/>
            <a:gd name="adj2" fmla="val -3207"/>
            <a:gd name="adj3" fmla="val 45641"/>
            <a:gd name="adj4" fmla="val -24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718458</xdr:colOff>
      <xdr:row>146</xdr:row>
      <xdr:rowOff>97971</xdr:rowOff>
    </xdr:from>
    <xdr:to>
      <xdr:col>26</xdr:col>
      <xdr:colOff>674915</xdr:colOff>
      <xdr:row>149</xdr:row>
      <xdr:rowOff>161062</xdr:rowOff>
    </xdr:to>
    <xdr:sp macro="" textlink="">
      <xdr:nvSpPr>
        <xdr:cNvPr id="123" name="線吹き出し 1 (枠付き) 122">
          <a:extLst>
            <a:ext uri="{FF2B5EF4-FFF2-40B4-BE49-F238E27FC236}">
              <a16:creationId xmlns:a16="http://schemas.microsoft.com/office/drawing/2014/main" id="{00000000-0008-0000-0600-00007B000000}"/>
            </a:ext>
          </a:extLst>
        </xdr:cNvPr>
        <xdr:cNvSpPr/>
      </xdr:nvSpPr>
      <xdr:spPr>
        <a:xfrm>
          <a:off x="27682372" y="26887714"/>
          <a:ext cx="1458686" cy="552948"/>
        </a:xfrm>
        <a:prstGeom prst="borderCallout1">
          <a:avLst>
            <a:gd name="adj1" fmla="val 44823"/>
            <a:gd name="adj2" fmla="val -3207"/>
            <a:gd name="adj3" fmla="val 37766"/>
            <a:gd name="adj4" fmla="val -24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304800</xdr:colOff>
      <xdr:row>150</xdr:row>
      <xdr:rowOff>152399</xdr:rowOff>
    </xdr:from>
    <xdr:to>
      <xdr:col>28</xdr:col>
      <xdr:colOff>65315</xdr:colOff>
      <xdr:row>154</xdr:row>
      <xdr:rowOff>52204</xdr:rowOff>
    </xdr:to>
    <xdr:sp macro="" textlink="">
      <xdr:nvSpPr>
        <xdr:cNvPr id="124" name="線吹き出し 1 (枠付き) 123">
          <a:extLst>
            <a:ext uri="{FF2B5EF4-FFF2-40B4-BE49-F238E27FC236}">
              <a16:creationId xmlns:a16="http://schemas.microsoft.com/office/drawing/2014/main" id="{00000000-0008-0000-0600-00007C000000}"/>
            </a:ext>
          </a:extLst>
        </xdr:cNvPr>
        <xdr:cNvSpPr/>
      </xdr:nvSpPr>
      <xdr:spPr>
        <a:xfrm>
          <a:off x="28770943" y="27595285"/>
          <a:ext cx="1262743" cy="552948"/>
        </a:xfrm>
        <a:prstGeom prst="borderCallout1">
          <a:avLst>
            <a:gd name="adj1" fmla="val 44823"/>
            <a:gd name="adj2" fmla="val -3207"/>
            <a:gd name="adj3" fmla="val 37766"/>
            <a:gd name="adj4" fmla="val -41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1</xdr:row>
      <xdr:rowOff>0</xdr:rowOff>
    </xdr:from>
    <xdr:to>
      <xdr:col>20</xdr:col>
      <xdr:colOff>470342</xdr:colOff>
      <xdr:row>4</xdr:row>
      <xdr:rowOff>101072</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24016607" y="176893"/>
          <a:ext cx="3137342" cy="63175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rPr>
            <a:t> 量確としての変更点は赤字で記載</a:t>
          </a:r>
        </a:p>
      </xdr:txBody>
    </xdr:sp>
    <xdr:clientData/>
  </xdr:twoCellAnchor>
  <xdr:twoCellAnchor>
    <xdr:from>
      <xdr:col>22</xdr:col>
      <xdr:colOff>748392</xdr:colOff>
      <xdr:row>99</xdr:row>
      <xdr:rowOff>13607</xdr:rowOff>
    </xdr:from>
    <xdr:to>
      <xdr:col>28</xdr:col>
      <xdr:colOff>476249</xdr:colOff>
      <xdr:row>101</xdr:row>
      <xdr:rowOff>122464</xdr:rowOff>
    </xdr:to>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29119285" y="20424321"/>
          <a:ext cx="47897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Meiryo UI" panose="020B0604030504040204" pitchFamily="50" charset="-128"/>
              <a:ea typeface="Meiryo UI" panose="020B0604030504040204" pitchFamily="50" charset="-128"/>
            </a:rPr>
            <a:t>■MET-M_REMWAR-CSTD-1-07-A-C0.xlsx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244929</xdr:colOff>
      <xdr:row>134</xdr:row>
      <xdr:rowOff>95250</xdr:rowOff>
    </xdr:from>
    <xdr:to>
      <xdr:col>38</xdr:col>
      <xdr:colOff>394607</xdr:colOff>
      <xdr:row>143</xdr:row>
      <xdr:rowOff>54428</xdr:rowOff>
    </xdr:to>
    <xdr:sp macro="" textlink="">
      <xdr:nvSpPr>
        <xdr:cNvPr id="63" name="線吹き出し 1 (枠付き) 114">
          <a:extLst>
            <a:ext uri="{FF2B5EF4-FFF2-40B4-BE49-F238E27FC236}">
              <a16:creationId xmlns:a16="http://schemas.microsoft.com/office/drawing/2014/main" id="{CE01CB33-3948-4F86-803A-B6D2F08A1D3F}"/>
            </a:ext>
          </a:extLst>
        </xdr:cNvPr>
        <xdr:cNvSpPr/>
      </xdr:nvSpPr>
      <xdr:spPr>
        <a:xfrm>
          <a:off x="37895893" y="26697214"/>
          <a:ext cx="4367893" cy="1551214"/>
        </a:xfrm>
        <a:prstGeom prst="borderCallout1">
          <a:avLst>
            <a:gd name="adj1" fmla="val 1983"/>
            <a:gd name="adj2" fmla="val 76346"/>
            <a:gd name="adj3" fmla="val -21468"/>
            <a:gd name="adj4" fmla="val 603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1" i="0">
              <a:solidFill>
                <a:srgbClr val="FF0000"/>
              </a:solidFill>
              <a:effectLst/>
              <a:latin typeface="Meiryo UI" panose="020B0604030504040204" pitchFamily="50" charset="-128"/>
              <a:ea typeface="Meiryo UI" panose="020B0604030504040204" pitchFamily="50" charset="-128"/>
              <a:cs typeface="+mn-cs"/>
            </a:rPr>
            <a:t>PTSYS</a:t>
          </a:r>
          <a:r>
            <a:rPr lang="ja-JP" altLang="en-US" sz="1200" b="1" i="0">
              <a:solidFill>
                <a:srgbClr val="FF0000"/>
              </a:solidFill>
              <a:effectLst/>
              <a:latin typeface="Meiryo UI" panose="020B0604030504040204" pitchFamily="50" charset="-128"/>
              <a:ea typeface="Meiryo UI" panose="020B0604030504040204" pitchFamily="50" charset="-128"/>
              <a:cs typeface="+mn-cs"/>
            </a:rPr>
            <a:t>は条件に含めず、</a:t>
          </a:r>
          <a:r>
            <a:rPr lang="en-US" altLang="ja-JP" sz="1200" b="1" i="0">
              <a:solidFill>
                <a:srgbClr val="FF0000"/>
              </a:solidFill>
              <a:effectLst/>
              <a:latin typeface="Meiryo UI" panose="020B0604030504040204" pitchFamily="50" charset="-128"/>
              <a:ea typeface="Meiryo UI" panose="020B0604030504040204" pitchFamily="50" charset="-128"/>
              <a:cs typeface="+mn-cs"/>
            </a:rPr>
            <a:t>TOWW=01b</a:t>
          </a:r>
          <a:r>
            <a:rPr lang="ja-JP" altLang="en-US" sz="1200" b="1" i="0">
              <a:solidFill>
                <a:srgbClr val="FF0000"/>
              </a:solidFill>
              <a:effectLst/>
              <a:latin typeface="Meiryo UI" panose="020B0604030504040204" pitchFamily="50" charset="-128"/>
              <a:ea typeface="Meiryo UI" panose="020B0604030504040204" pitchFamily="50" charset="-128"/>
              <a:cs typeface="+mn-cs"/>
            </a:rPr>
            <a:t>が成立した場合は</a:t>
          </a:r>
          <a:r>
            <a:rPr lang="en-US" altLang="ja-JP" sz="1200" b="1" i="0">
              <a:solidFill>
                <a:srgbClr val="FF0000"/>
              </a:solidFill>
              <a:effectLst/>
              <a:latin typeface="Meiryo UI" panose="020B0604030504040204" pitchFamily="50" charset="-128"/>
              <a:ea typeface="Meiryo UI" panose="020B0604030504040204" pitchFamily="50" charset="-128"/>
              <a:cs typeface="+mn-cs"/>
            </a:rPr>
            <a:t>PULW=1b</a:t>
          </a:r>
          <a:r>
            <a:rPr lang="ja-JP" altLang="en-US" sz="1200" b="1" i="0">
              <a:solidFill>
                <a:srgbClr val="FF0000"/>
              </a:solidFill>
              <a:effectLst/>
              <a:latin typeface="Meiryo UI" panose="020B0604030504040204" pitchFamily="50" charset="-128"/>
              <a:ea typeface="Meiryo UI" panose="020B0604030504040204" pitchFamily="50" charset="-128"/>
              <a:cs typeface="+mn-cs"/>
            </a:rPr>
            <a:t>を送信する</a:t>
          </a:r>
          <a:endParaRPr kumimoji="1" lang="en-US" altLang="ja-JP" sz="14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353787</xdr:colOff>
      <xdr:row>138</xdr:row>
      <xdr:rowOff>122464</xdr:rowOff>
    </xdr:from>
    <xdr:to>
      <xdr:col>35</xdr:col>
      <xdr:colOff>802821</xdr:colOff>
      <xdr:row>141</xdr:row>
      <xdr:rowOff>163286</xdr:rowOff>
    </xdr:to>
    <xdr:sp macro="" textlink="">
      <xdr:nvSpPr>
        <xdr:cNvPr id="2" name="テキスト ボックス 1">
          <a:hlinkClick xmlns:r="http://schemas.openxmlformats.org/officeDocument/2006/relationships" r:id="rId11"/>
          <a:extLst>
            <a:ext uri="{FF2B5EF4-FFF2-40B4-BE49-F238E27FC236}">
              <a16:creationId xmlns:a16="http://schemas.microsoft.com/office/drawing/2014/main" id="{52B940CB-9FAE-8CF8-D93B-96A9F81398AE}"/>
            </a:ext>
          </a:extLst>
        </xdr:cNvPr>
        <xdr:cNvSpPr txBox="1"/>
      </xdr:nvSpPr>
      <xdr:spPr>
        <a:xfrm>
          <a:off x="38004751" y="27432000"/>
          <a:ext cx="2136320" cy="5715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400" b="1">
              <a:solidFill>
                <a:srgbClr val="FF0000"/>
              </a:solidFill>
              <a:latin typeface="Meiryo UI" panose="020B0604030504040204" pitchFamily="50" charset="-128"/>
              <a:ea typeface="Meiryo UI" panose="020B0604030504040204" pitchFamily="50" charset="-128"/>
            </a:rPr>
            <a:t>MET032D-5541</a:t>
          </a:r>
          <a:endParaRPr kumimoji="1" lang="ja-JP" altLang="en-US"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17</xdr:col>
      <xdr:colOff>489857</xdr:colOff>
      <xdr:row>48</xdr:row>
      <xdr:rowOff>155120</xdr:rowOff>
    </xdr:from>
    <xdr:to>
      <xdr:col>33</xdr:col>
      <xdr:colOff>353787</xdr:colOff>
      <xdr:row>140</xdr:row>
      <xdr:rowOff>54429</xdr:rowOff>
    </xdr:to>
    <xdr:cxnSp macro="">
      <xdr:nvCxnSpPr>
        <xdr:cNvPr id="65" name="直線コネクタ 64">
          <a:extLst>
            <a:ext uri="{FF2B5EF4-FFF2-40B4-BE49-F238E27FC236}">
              <a16:creationId xmlns:a16="http://schemas.microsoft.com/office/drawing/2014/main" id="{DDAFF892-B57F-45D4-B6CC-B24B82AB5FA7}"/>
            </a:ext>
          </a:extLst>
        </xdr:cNvPr>
        <xdr:cNvCxnSpPr>
          <a:stCxn id="117" idx="2"/>
          <a:endCxn id="2" idx="1"/>
        </xdr:cNvCxnSpPr>
      </xdr:nvCxnSpPr>
      <xdr:spPr>
        <a:xfrm>
          <a:off x="24506464" y="11544299"/>
          <a:ext cx="13498287" cy="1617345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16</xdr:row>
      <xdr:rowOff>0</xdr:rowOff>
    </xdr:from>
    <xdr:to>
      <xdr:col>18</xdr:col>
      <xdr:colOff>0</xdr:colOff>
      <xdr:row>17</xdr:row>
      <xdr:rowOff>0</xdr:rowOff>
    </xdr:to>
    <xdr:sp macro="" textlink="">
      <xdr:nvSpPr>
        <xdr:cNvPr id="72" name="正方形/長方形 71">
          <a:extLst>
            <a:ext uri="{FF2B5EF4-FFF2-40B4-BE49-F238E27FC236}">
              <a16:creationId xmlns:a16="http://schemas.microsoft.com/office/drawing/2014/main" id="{A44B4CCA-F724-4FC8-81D6-F71ABDF0289B}"/>
            </a:ext>
          </a:extLst>
        </xdr:cNvPr>
        <xdr:cNvSpPr/>
      </xdr:nvSpPr>
      <xdr:spPr>
        <a:xfrm>
          <a:off x="24016607" y="5728607"/>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19</xdr:row>
      <xdr:rowOff>0</xdr:rowOff>
    </xdr:from>
    <xdr:to>
      <xdr:col>18</xdr:col>
      <xdr:colOff>0</xdr:colOff>
      <xdr:row>20</xdr:row>
      <xdr:rowOff>0</xdr:rowOff>
    </xdr:to>
    <xdr:sp macro="" textlink="">
      <xdr:nvSpPr>
        <xdr:cNvPr id="73" name="正方形/長方形 72">
          <a:extLst>
            <a:ext uri="{FF2B5EF4-FFF2-40B4-BE49-F238E27FC236}">
              <a16:creationId xmlns:a16="http://schemas.microsoft.com/office/drawing/2014/main" id="{517E1F14-3666-4498-81D7-CC635D7CC525}"/>
            </a:ext>
          </a:extLst>
        </xdr:cNvPr>
        <xdr:cNvSpPr/>
      </xdr:nvSpPr>
      <xdr:spPr>
        <a:xfrm>
          <a:off x="24016607" y="6259286"/>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22</xdr:row>
      <xdr:rowOff>0</xdr:rowOff>
    </xdr:from>
    <xdr:to>
      <xdr:col>18</xdr:col>
      <xdr:colOff>0</xdr:colOff>
      <xdr:row>23</xdr:row>
      <xdr:rowOff>0</xdr:rowOff>
    </xdr:to>
    <xdr:sp macro="" textlink="">
      <xdr:nvSpPr>
        <xdr:cNvPr id="74" name="正方形/長方形 73">
          <a:extLst>
            <a:ext uri="{FF2B5EF4-FFF2-40B4-BE49-F238E27FC236}">
              <a16:creationId xmlns:a16="http://schemas.microsoft.com/office/drawing/2014/main" id="{061F9B08-2A66-45ED-AD75-6775A5A21EA9}"/>
            </a:ext>
          </a:extLst>
        </xdr:cNvPr>
        <xdr:cNvSpPr/>
      </xdr:nvSpPr>
      <xdr:spPr>
        <a:xfrm>
          <a:off x="24016607" y="6789964"/>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31</xdr:row>
      <xdr:rowOff>0</xdr:rowOff>
    </xdr:from>
    <xdr:to>
      <xdr:col>18</xdr:col>
      <xdr:colOff>0</xdr:colOff>
      <xdr:row>32</xdr:row>
      <xdr:rowOff>0</xdr:rowOff>
    </xdr:to>
    <xdr:sp macro="" textlink="">
      <xdr:nvSpPr>
        <xdr:cNvPr id="75" name="正方形/長方形 74">
          <a:extLst>
            <a:ext uri="{FF2B5EF4-FFF2-40B4-BE49-F238E27FC236}">
              <a16:creationId xmlns:a16="http://schemas.microsoft.com/office/drawing/2014/main" id="{9B2B1433-5AB4-46E8-8F23-0FA21036F77E}"/>
            </a:ext>
          </a:extLst>
        </xdr:cNvPr>
        <xdr:cNvSpPr/>
      </xdr:nvSpPr>
      <xdr:spPr>
        <a:xfrm>
          <a:off x="24016607" y="8382000"/>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34</xdr:row>
      <xdr:rowOff>0</xdr:rowOff>
    </xdr:from>
    <xdr:to>
      <xdr:col>18</xdr:col>
      <xdr:colOff>0</xdr:colOff>
      <xdr:row>35</xdr:row>
      <xdr:rowOff>1</xdr:rowOff>
    </xdr:to>
    <xdr:sp macro="" textlink="">
      <xdr:nvSpPr>
        <xdr:cNvPr id="76" name="正方形/長方形 75">
          <a:extLst>
            <a:ext uri="{FF2B5EF4-FFF2-40B4-BE49-F238E27FC236}">
              <a16:creationId xmlns:a16="http://schemas.microsoft.com/office/drawing/2014/main" id="{C1FCA38C-924B-4396-BE04-4C0EEF547C80}"/>
            </a:ext>
          </a:extLst>
        </xdr:cNvPr>
        <xdr:cNvSpPr/>
      </xdr:nvSpPr>
      <xdr:spPr>
        <a:xfrm>
          <a:off x="24016607" y="8912679"/>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37</xdr:row>
      <xdr:rowOff>0</xdr:rowOff>
    </xdr:from>
    <xdr:to>
      <xdr:col>18</xdr:col>
      <xdr:colOff>0</xdr:colOff>
      <xdr:row>38</xdr:row>
      <xdr:rowOff>0</xdr:rowOff>
    </xdr:to>
    <xdr:sp macro="" textlink="">
      <xdr:nvSpPr>
        <xdr:cNvPr id="81" name="正方形/長方形 80">
          <a:extLst>
            <a:ext uri="{FF2B5EF4-FFF2-40B4-BE49-F238E27FC236}">
              <a16:creationId xmlns:a16="http://schemas.microsoft.com/office/drawing/2014/main" id="{42D55C87-5A6A-46BE-BC46-43EEB8587940}"/>
            </a:ext>
          </a:extLst>
        </xdr:cNvPr>
        <xdr:cNvSpPr/>
      </xdr:nvSpPr>
      <xdr:spPr>
        <a:xfrm>
          <a:off x="24016607" y="9443357"/>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40</xdr:row>
      <xdr:rowOff>0</xdr:rowOff>
    </xdr:from>
    <xdr:to>
      <xdr:col>18</xdr:col>
      <xdr:colOff>0</xdr:colOff>
      <xdr:row>41</xdr:row>
      <xdr:rowOff>0</xdr:rowOff>
    </xdr:to>
    <xdr:sp macro="" textlink="">
      <xdr:nvSpPr>
        <xdr:cNvPr id="84" name="正方形/長方形 83">
          <a:extLst>
            <a:ext uri="{FF2B5EF4-FFF2-40B4-BE49-F238E27FC236}">
              <a16:creationId xmlns:a16="http://schemas.microsoft.com/office/drawing/2014/main" id="{4DA1C3C5-F64E-43A2-8E81-CB1C9B95F6A6}"/>
            </a:ext>
          </a:extLst>
        </xdr:cNvPr>
        <xdr:cNvSpPr/>
      </xdr:nvSpPr>
      <xdr:spPr>
        <a:xfrm>
          <a:off x="24016607" y="9974036"/>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462643</xdr:colOff>
      <xdr:row>42</xdr:row>
      <xdr:rowOff>108858</xdr:rowOff>
    </xdr:from>
    <xdr:to>
      <xdr:col>20</xdr:col>
      <xdr:colOff>503464</xdr:colOff>
      <xdr:row>45</xdr:row>
      <xdr:rowOff>54429</xdr:rowOff>
    </xdr:to>
    <xdr:sp macro="" textlink="">
      <xdr:nvSpPr>
        <xdr:cNvPr id="86" name="線吹き出し 1 (枠付き) 76">
          <a:extLst>
            <a:ext uri="{FF2B5EF4-FFF2-40B4-BE49-F238E27FC236}">
              <a16:creationId xmlns:a16="http://schemas.microsoft.com/office/drawing/2014/main" id="{C5559340-B332-4033-9A31-1B2B6C6CDF8A}"/>
            </a:ext>
          </a:extLst>
        </xdr:cNvPr>
        <xdr:cNvSpPr/>
      </xdr:nvSpPr>
      <xdr:spPr>
        <a:xfrm>
          <a:off x="25458964" y="10436679"/>
          <a:ext cx="1728107" cy="476250"/>
        </a:xfrm>
        <a:prstGeom prst="borderCallout1">
          <a:avLst>
            <a:gd name="adj1" fmla="val 27432"/>
            <a:gd name="adj2" fmla="val -1697"/>
            <a:gd name="adj3" fmla="val -61508"/>
            <a:gd name="adj4" fmla="val -30143"/>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要求あり 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27215</xdr:colOff>
      <xdr:row>37</xdr:row>
      <xdr:rowOff>81643</xdr:rowOff>
    </xdr:from>
    <xdr:to>
      <xdr:col>18</xdr:col>
      <xdr:colOff>408215</xdr:colOff>
      <xdr:row>43</xdr:row>
      <xdr:rowOff>54429</xdr:rowOff>
    </xdr:to>
    <xdr:cxnSp macro="">
      <xdr:nvCxnSpPr>
        <xdr:cNvPr id="87" name="直線コネクタ 86">
          <a:extLst>
            <a:ext uri="{FF2B5EF4-FFF2-40B4-BE49-F238E27FC236}">
              <a16:creationId xmlns:a16="http://schemas.microsoft.com/office/drawing/2014/main" id="{2364BC67-3F04-404C-A9F0-133F232C37F6}"/>
            </a:ext>
          </a:extLst>
        </xdr:cNvPr>
        <xdr:cNvCxnSpPr/>
      </xdr:nvCxnSpPr>
      <xdr:spPr>
        <a:xfrm>
          <a:off x="25023536" y="9525000"/>
          <a:ext cx="381000" cy="103414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34</xdr:row>
      <xdr:rowOff>88447</xdr:rowOff>
    </xdr:from>
    <xdr:to>
      <xdr:col>18</xdr:col>
      <xdr:colOff>462643</xdr:colOff>
      <xdr:row>43</xdr:row>
      <xdr:rowOff>170090</xdr:rowOff>
    </xdr:to>
    <xdr:cxnSp macro="">
      <xdr:nvCxnSpPr>
        <xdr:cNvPr id="88" name="直線コネクタ 87">
          <a:extLst>
            <a:ext uri="{FF2B5EF4-FFF2-40B4-BE49-F238E27FC236}">
              <a16:creationId xmlns:a16="http://schemas.microsoft.com/office/drawing/2014/main" id="{E0498EB8-0BB3-4F59-BA03-5BC6F54E1F78}"/>
            </a:ext>
          </a:extLst>
        </xdr:cNvPr>
        <xdr:cNvCxnSpPr>
          <a:stCxn id="76" idx="3"/>
          <a:endCxn id="86" idx="2"/>
        </xdr:cNvCxnSpPr>
      </xdr:nvCxnSpPr>
      <xdr:spPr>
        <a:xfrm>
          <a:off x="24996321" y="9001126"/>
          <a:ext cx="462643" cy="1673678"/>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31</xdr:row>
      <xdr:rowOff>88447</xdr:rowOff>
    </xdr:from>
    <xdr:to>
      <xdr:col>18</xdr:col>
      <xdr:colOff>462643</xdr:colOff>
      <xdr:row>43</xdr:row>
      <xdr:rowOff>170090</xdr:rowOff>
    </xdr:to>
    <xdr:cxnSp macro="">
      <xdr:nvCxnSpPr>
        <xdr:cNvPr id="89" name="直線コネクタ 88">
          <a:extLst>
            <a:ext uri="{FF2B5EF4-FFF2-40B4-BE49-F238E27FC236}">
              <a16:creationId xmlns:a16="http://schemas.microsoft.com/office/drawing/2014/main" id="{29DC5457-B2F0-4C4A-8525-E16BBC3DAEC9}"/>
            </a:ext>
          </a:extLst>
        </xdr:cNvPr>
        <xdr:cNvCxnSpPr>
          <a:stCxn id="75" idx="3"/>
          <a:endCxn id="86" idx="2"/>
        </xdr:cNvCxnSpPr>
      </xdr:nvCxnSpPr>
      <xdr:spPr>
        <a:xfrm>
          <a:off x="24996321" y="8470447"/>
          <a:ext cx="462643" cy="220435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22</xdr:row>
      <xdr:rowOff>88447</xdr:rowOff>
    </xdr:from>
    <xdr:to>
      <xdr:col>18</xdr:col>
      <xdr:colOff>462643</xdr:colOff>
      <xdr:row>43</xdr:row>
      <xdr:rowOff>170090</xdr:rowOff>
    </xdr:to>
    <xdr:cxnSp macro="">
      <xdr:nvCxnSpPr>
        <xdr:cNvPr id="91" name="直線コネクタ 90">
          <a:extLst>
            <a:ext uri="{FF2B5EF4-FFF2-40B4-BE49-F238E27FC236}">
              <a16:creationId xmlns:a16="http://schemas.microsoft.com/office/drawing/2014/main" id="{0D232BD7-B952-4DD1-A93E-2A343D4287C0}"/>
            </a:ext>
          </a:extLst>
        </xdr:cNvPr>
        <xdr:cNvCxnSpPr>
          <a:stCxn id="74" idx="3"/>
          <a:endCxn id="86" idx="2"/>
        </xdr:cNvCxnSpPr>
      </xdr:nvCxnSpPr>
      <xdr:spPr>
        <a:xfrm>
          <a:off x="24996321" y="6878411"/>
          <a:ext cx="462643" cy="379639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19</xdr:row>
      <xdr:rowOff>88447</xdr:rowOff>
    </xdr:from>
    <xdr:to>
      <xdr:col>18</xdr:col>
      <xdr:colOff>462643</xdr:colOff>
      <xdr:row>43</xdr:row>
      <xdr:rowOff>170090</xdr:rowOff>
    </xdr:to>
    <xdr:cxnSp macro="">
      <xdr:nvCxnSpPr>
        <xdr:cNvPr id="98" name="直線コネクタ 97">
          <a:extLst>
            <a:ext uri="{FF2B5EF4-FFF2-40B4-BE49-F238E27FC236}">
              <a16:creationId xmlns:a16="http://schemas.microsoft.com/office/drawing/2014/main" id="{ACF482C5-5738-44FA-8E32-9E645FA73E7E}"/>
            </a:ext>
          </a:extLst>
        </xdr:cNvPr>
        <xdr:cNvCxnSpPr>
          <a:stCxn id="73" idx="3"/>
          <a:endCxn id="86" idx="2"/>
        </xdr:cNvCxnSpPr>
      </xdr:nvCxnSpPr>
      <xdr:spPr>
        <a:xfrm>
          <a:off x="24996321" y="6347733"/>
          <a:ext cx="462643" cy="432707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88447</xdr:rowOff>
    </xdr:from>
    <xdr:to>
      <xdr:col>18</xdr:col>
      <xdr:colOff>462643</xdr:colOff>
      <xdr:row>43</xdr:row>
      <xdr:rowOff>170090</xdr:rowOff>
    </xdr:to>
    <xdr:cxnSp macro="">
      <xdr:nvCxnSpPr>
        <xdr:cNvPr id="106" name="直線コネクタ 105">
          <a:extLst>
            <a:ext uri="{FF2B5EF4-FFF2-40B4-BE49-F238E27FC236}">
              <a16:creationId xmlns:a16="http://schemas.microsoft.com/office/drawing/2014/main" id="{0D2BFA50-329A-4E93-AA41-2D56C84F29C7}"/>
            </a:ext>
          </a:extLst>
        </xdr:cNvPr>
        <xdr:cNvCxnSpPr>
          <a:stCxn id="72" idx="3"/>
          <a:endCxn id="86" idx="2"/>
        </xdr:cNvCxnSpPr>
      </xdr:nvCxnSpPr>
      <xdr:spPr>
        <a:xfrm>
          <a:off x="24996321" y="5817054"/>
          <a:ext cx="462643" cy="485775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503464</xdr:colOff>
      <xdr:row>43</xdr:row>
      <xdr:rowOff>170090</xdr:rowOff>
    </xdr:from>
    <xdr:to>
      <xdr:col>33</xdr:col>
      <xdr:colOff>353787</xdr:colOff>
      <xdr:row>140</xdr:row>
      <xdr:rowOff>54429</xdr:rowOff>
    </xdr:to>
    <xdr:cxnSp macro="">
      <xdr:nvCxnSpPr>
        <xdr:cNvPr id="125" name="直線コネクタ 124">
          <a:extLst>
            <a:ext uri="{FF2B5EF4-FFF2-40B4-BE49-F238E27FC236}">
              <a16:creationId xmlns:a16="http://schemas.microsoft.com/office/drawing/2014/main" id="{FFD9BA3E-136C-413C-9294-EF8540DF8A86}"/>
            </a:ext>
          </a:extLst>
        </xdr:cNvPr>
        <xdr:cNvCxnSpPr>
          <a:stCxn id="86" idx="0"/>
          <a:endCxn id="2" idx="1"/>
        </xdr:cNvCxnSpPr>
      </xdr:nvCxnSpPr>
      <xdr:spPr>
        <a:xfrm>
          <a:off x="27187071" y="10674804"/>
          <a:ext cx="10817680" cy="17042946"/>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598714</xdr:colOff>
      <xdr:row>135</xdr:row>
      <xdr:rowOff>68035</xdr:rowOff>
    </xdr:from>
    <xdr:to>
      <xdr:col>42</xdr:col>
      <xdr:colOff>816428</xdr:colOff>
      <xdr:row>143</xdr:row>
      <xdr:rowOff>81642</xdr:rowOff>
    </xdr:to>
    <xdr:sp macro="" textlink="">
      <xdr:nvSpPr>
        <xdr:cNvPr id="126" name="線吹き出し 1 (枠付き) 59">
          <a:extLst>
            <a:ext uri="{FF2B5EF4-FFF2-40B4-BE49-F238E27FC236}">
              <a16:creationId xmlns:a16="http://schemas.microsoft.com/office/drawing/2014/main" id="{E741C5F4-29E2-42B4-B134-4F50818AA1AF}"/>
            </a:ext>
          </a:extLst>
        </xdr:cNvPr>
        <xdr:cNvSpPr/>
      </xdr:nvSpPr>
      <xdr:spPr>
        <a:xfrm>
          <a:off x="42467893" y="26846892"/>
          <a:ext cx="3592285" cy="1428750"/>
        </a:xfrm>
        <a:prstGeom prst="borderCallout1">
          <a:avLst>
            <a:gd name="adj1" fmla="val 46242"/>
            <a:gd name="adj2" fmla="val -276"/>
            <a:gd name="adj3" fmla="val 29860"/>
            <a:gd name="adj4" fmla="val -161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車のため、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の条件は含めず、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TOWW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のみで判定する。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個別モジュールとして実装</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4EC3D-CA97-4DFB-B4D5-58E43B4A8D5D}">
  <sheetPr>
    <tabColor theme="5"/>
  </sheetPr>
  <dimension ref="C1:AM57"/>
  <sheetViews>
    <sheetView showGridLines="0" tabSelected="1" view="pageBreakPreview" zoomScale="85" zoomScaleNormal="100" zoomScaleSheetLayoutView="85" workbookViewId="0">
      <selection activeCell="AA14" sqref="AA14"/>
    </sheetView>
  </sheetViews>
  <sheetFormatPr defaultColWidth="8.125" defaultRowHeight="15.75"/>
  <cols>
    <col min="1" max="52" width="2.125" style="232" customWidth="1"/>
    <col min="53" max="16384" width="8.125" style="23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3"/>
    </row>
    <row r="11" spans="6:20" ht="13.15" customHeight="1"/>
    <row r="12" spans="6:20" ht="13.15" customHeight="1"/>
    <row r="13" spans="6:20" ht="13.15" customHeight="1">
      <c r="T13" s="234" t="str">
        <f ca="1">MID(CELL("filename",A1),FIND("[",CELL("filename",A1))+1,FIND("]",CELL("filename",A1))-FIND("[",CELL("filename",A1))-1)</f>
        <v>alert_H_TOWWAR-CSTD-0-02-C-C0.xlsx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5"/>
      <c r="V32" s="235"/>
    </row>
    <row r="33" spans="3:39" ht="13.15" customHeight="1">
      <c r="M33" s="236"/>
      <c r="N33" s="236"/>
      <c r="O33" s="236"/>
      <c r="P33" s="236"/>
      <c r="Q33" s="236"/>
      <c r="AF33" s="236"/>
      <c r="AG33" s="236"/>
      <c r="AH33" s="236"/>
      <c r="AI33" s="236"/>
      <c r="AJ33" s="236"/>
    </row>
    <row r="34" spans="3:39" ht="13.15" customHeight="1">
      <c r="Y34" s="235" t="s">
        <v>349</v>
      </c>
    </row>
    <row r="35" spans="3:39" ht="13.15" customHeight="1">
      <c r="Y35" s="248" t="s">
        <v>350</v>
      </c>
      <c r="Z35" s="249"/>
      <c r="AA35" s="249"/>
      <c r="AB35" s="249"/>
      <c r="AC35" s="250"/>
      <c r="AD35" s="248" t="s">
        <v>351</v>
      </c>
      <c r="AE35" s="249"/>
      <c r="AF35" s="249"/>
      <c r="AG35" s="249"/>
      <c r="AH35" s="250"/>
      <c r="AI35" s="248" t="s">
        <v>352</v>
      </c>
      <c r="AJ35" s="249"/>
      <c r="AK35" s="249"/>
      <c r="AL35" s="249"/>
      <c r="AM35" s="250"/>
    </row>
    <row r="36" spans="3:39" ht="13.15" customHeight="1">
      <c r="D36" s="236"/>
      <c r="E36" s="237"/>
      <c r="F36" s="236"/>
      <c r="G36" s="236"/>
      <c r="I36" s="236"/>
      <c r="J36" s="237"/>
      <c r="K36" s="236"/>
      <c r="L36" s="236"/>
      <c r="M36" s="236"/>
      <c r="N36" s="236"/>
      <c r="O36" s="237"/>
      <c r="P36" s="236"/>
      <c r="Q36" s="236"/>
      <c r="W36" s="236"/>
      <c r="X36" s="237"/>
      <c r="Y36" s="238"/>
      <c r="Z36" s="239"/>
      <c r="AA36" s="239"/>
      <c r="AB36" s="239"/>
      <c r="AC36" s="240"/>
      <c r="AD36" s="238"/>
      <c r="AE36" s="239"/>
      <c r="AF36" s="239"/>
      <c r="AG36" s="239"/>
      <c r="AH36" s="240"/>
      <c r="AI36" s="238"/>
      <c r="AJ36" s="239"/>
      <c r="AK36" s="239"/>
      <c r="AL36" s="239"/>
      <c r="AM36" s="240"/>
    </row>
    <row r="37" spans="3:39" ht="13.15" customHeight="1">
      <c r="Y37" s="241"/>
      <c r="AC37" s="242"/>
      <c r="AD37" s="241"/>
      <c r="AH37" s="242"/>
      <c r="AI37" s="241"/>
      <c r="AM37" s="242"/>
    </row>
    <row r="38" spans="3:39" ht="13.15" customHeight="1">
      <c r="Y38" s="241"/>
      <c r="Z38" s="236"/>
      <c r="AA38" s="237" t="s">
        <v>353</v>
      </c>
      <c r="AB38" s="236"/>
      <c r="AC38" s="243"/>
      <c r="AD38" s="241"/>
      <c r="AE38" s="236"/>
      <c r="AF38" s="237" t="s">
        <v>354</v>
      </c>
      <c r="AG38" s="236"/>
      <c r="AH38" s="243"/>
      <c r="AI38" s="244"/>
      <c r="AJ38" s="236"/>
      <c r="AK38" s="237" t="s">
        <v>355</v>
      </c>
      <c r="AL38" s="236"/>
      <c r="AM38" s="243"/>
    </row>
    <row r="39" spans="3:39" ht="13.15" customHeight="1">
      <c r="Y39" s="241"/>
      <c r="AC39" s="242"/>
      <c r="AD39" s="241"/>
      <c r="AH39" s="242"/>
      <c r="AI39" s="241"/>
      <c r="AM39" s="242"/>
    </row>
    <row r="40" spans="3:39" ht="13.15" customHeight="1">
      <c r="C40" s="235"/>
      <c r="V40" s="235"/>
      <c r="Y40" s="245"/>
      <c r="Z40" s="246"/>
      <c r="AA40" s="246"/>
      <c r="AB40" s="246"/>
      <c r="AC40" s="247"/>
      <c r="AD40" s="245"/>
      <c r="AE40" s="246"/>
      <c r="AF40" s="246"/>
      <c r="AG40" s="246"/>
      <c r="AH40" s="247"/>
      <c r="AI40" s="245"/>
      <c r="AJ40" s="246"/>
      <c r="AK40" s="246"/>
      <c r="AL40" s="246"/>
      <c r="AM40" s="247"/>
    </row>
    <row r="41" spans="3:39" ht="13.15" customHeight="1"/>
    <row r="42" spans="3:39" ht="13.15" customHeight="1">
      <c r="Y42" s="235" t="s">
        <v>356</v>
      </c>
    </row>
    <row r="43" spans="3:39" ht="13.15" customHeight="1">
      <c r="Y43" s="248" t="s">
        <v>350</v>
      </c>
      <c r="Z43" s="249"/>
      <c r="AA43" s="249"/>
      <c r="AB43" s="249"/>
      <c r="AC43" s="250"/>
      <c r="AD43" s="248" t="s">
        <v>351</v>
      </c>
      <c r="AE43" s="249"/>
      <c r="AF43" s="249"/>
      <c r="AG43" s="249"/>
      <c r="AH43" s="250"/>
      <c r="AI43" s="248" t="s">
        <v>352</v>
      </c>
      <c r="AJ43" s="249"/>
      <c r="AK43" s="249"/>
      <c r="AL43" s="249"/>
      <c r="AM43" s="250"/>
    </row>
    <row r="44" spans="3:39" ht="13.15" customHeight="1">
      <c r="D44" s="236"/>
      <c r="E44" s="237"/>
      <c r="F44" s="236"/>
      <c r="G44" s="236"/>
      <c r="H44" s="236"/>
      <c r="I44" s="236"/>
      <c r="J44" s="237"/>
      <c r="K44" s="236"/>
      <c r="L44" s="236"/>
      <c r="M44" s="236"/>
      <c r="N44" s="236"/>
      <c r="O44" s="237"/>
      <c r="P44" s="236"/>
      <c r="Q44" s="236"/>
      <c r="W44" s="236"/>
      <c r="X44" s="237"/>
      <c r="Y44" s="238"/>
      <c r="Z44" s="239"/>
      <c r="AA44" s="239"/>
      <c r="AB44" s="239"/>
      <c r="AC44" s="240"/>
      <c r="AD44" s="239"/>
      <c r="AE44" s="239"/>
      <c r="AF44" s="239"/>
      <c r="AG44" s="239"/>
      <c r="AH44" s="240"/>
      <c r="AI44" s="238"/>
      <c r="AJ44" s="239"/>
      <c r="AK44" s="239"/>
      <c r="AL44" s="239"/>
      <c r="AM44" s="240"/>
    </row>
    <row r="45" spans="3:39" ht="13.15" customHeight="1">
      <c r="Y45" s="241"/>
      <c r="AC45" s="242"/>
      <c r="AH45" s="242"/>
      <c r="AI45" s="241"/>
      <c r="AM45" s="242"/>
    </row>
    <row r="46" spans="3:39" ht="13.15" customHeight="1">
      <c r="Y46" s="241"/>
      <c r="Z46" s="236"/>
      <c r="AA46" s="237" t="s">
        <v>357</v>
      </c>
      <c r="AB46" s="236"/>
      <c r="AC46" s="243"/>
      <c r="AD46" s="236"/>
      <c r="AE46" s="236"/>
      <c r="AF46" s="237" t="s">
        <v>358</v>
      </c>
      <c r="AG46" s="236"/>
      <c r="AH46" s="243"/>
      <c r="AI46" s="244"/>
      <c r="AJ46" s="236"/>
      <c r="AK46" s="237" t="s">
        <v>359</v>
      </c>
      <c r="AL46" s="236"/>
      <c r="AM46" s="243"/>
    </row>
    <row r="47" spans="3:39" ht="13.15" customHeight="1">
      <c r="Y47" s="241"/>
      <c r="AC47" s="242"/>
      <c r="AH47" s="242"/>
      <c r="AI47" s="241"/>
      <c r="AM47" s="242"/>
    </row>
    <row r="48" spans="3:39" ht="13.15" customHeight="1">
      <c r="C48" s="235"/>
      <c r="V48" s="235"/>
      <c r="Y48" s="245"/>
      <c r="Z48" s="246"/>
      <c r="AA48" s="246"/>
      <c r="AB48" s="246"/>
      <c r="AC48" s="247"/>
      <c r="AD48" s="246"/>
      <c r="AE48" s="246"/>
      <c r="AF48" s="246"/>
      <c r="AG48" s="246"/>
      <c r="AH48" s="247"/>
      <c r="AI48" s="245"/>
      <c r="AJ48" s="246"/>
      <c r="AK48" s="246"/>
      <c r="AL48" s="246"/>
      <c r="AM48" s="247"/>
    </row>
    <row r="49" spans="4:39" ht="13.15" customHeight="1"/>
    <row r="50" spans="4:39" ht="13.15" customHeight="1">
      <c r="Y50" s="235" t="s">
        <v>360</v>
      </c>
    </row>
    <row r="51" spans="4:39" ht="13.15" customHeight="1">
      <c r="Y51" s="248" t="s">
        <v>350</v>
      </c>
      <c r="Z51" s="249"/>
      <c r="AA51" s="249"/>
      <c r="AB51" s="249"/>
      <c r="AC51" s="250"/>
      <c r="AD51" s="248" t="s">
        <v>351</v>
      </c>
      <c r="AE51" s="249"/>
      <c r="AF51" s="249"/>
      <c r="AG51" s="249"/>
      <c r="AH51" s="250"/>
      <c r="AI51" s="248" t="s">
        <v>352</v>
      </c>
      <c r="AJ51" s="249"/>
      <c r="AK51" s="249"/>
      <c r="AL51" s="249"/>
      <c r="AM51" s="250"/>
    </row>
    <row r="52" spans="4:39" ht="13.15" customHeight="1">
      <c r="D52" s="236"/>
      <c r="E52" s="237"/>
      <c r="F52" s="236"/>
      <c r="G52" s="236"/>
      <c r="H52" s="236"/>
      <c r="I52" s="236"/>
      <c r="J52" s="237"/>
      <c r="K52" s="236"/>
      <c r="L52" s="236"/>
      <c r="M52" s="236"/>
      <c r="N52" s="236"/>
      <c r="O52" s="237"/>
      <c r="P52" s="236"/>
      <c r="Q52" s="236"/>
      <c r="W52" s="236"/>
      <c r="X52" s="237"/>
      <c r="Y52" s="238"/>
      <c r="Z52" s="239"/>
      <c r="AA52" s="239"/>
      <c r="AB52" s="239"/>
      <c r="AC52" s="240"/>
      <c r="AD52" s="239"/>
      <c r="AE52" s="239"/>
      <c r="AF52" s="239"/>
      <c r="AG52" s="239"/>
      <c r="AH52" s="240"/>
      <c r="AI52" s="238"/>
      <c r="AJ52" s="239"/>
      <c r="AK52" s="239"/>
      <c r="AL52" s="239"/>
      <c r="AM52" s="240"/>
    </row>
    <row r="53" spans="4:39" ht="13.15" customHeight="1">
      <c r="Y53" s="241"/>
      <c r="AC53" s="242"/>
      <c r="AH53" s="242"/>
      <c r="AI53" s="241"/>
      <c r="AM53" s="242"/>
    </row>
    <row r="54" spans="4:39" ht="13.15" customHeight="1">
      <c r="Y54" s="241"/>
      <c r="Z54" s="236"/>
      <c r="AA54" s="237" t="s">
        <v>361</v>
      </c>
      <c r="AB54" s="236"/>
      <c r="AC54" s="243"/>
      <c r="AD54" s="236"/>
      <c r="AE54" s="236"/>
      <c r="AF54" s="237" t="s">
        <v>362</v>
      </c>
      <c r="AG54" s="236"/>
      <c r="AH54" s="243"/>
      <c r="AI54" s="244"/>
      <c r="AJ54" s="236"/>
      <c r="AK54" s="237" t="s">
        <v>355</v>
      </c>
      <c r="AL54" s="236"/>
      <c r="AM54" s="243"/>
    </row>
    <row r="55" spans="4:39" ht="13.15" customHeight="1">
      <c r="Y55" s="241"/>
      <c r="AC55" s="242"/>
      <c r="AH55" s="242"/>
      <c r="AI55" s="241"/>
      <c r="AM55" s="242"/>
    </row>
    <row r="56" spans="4:39" ht="13.15" customHeight="1">
      <c r="Y56" s="245"/>
      <c r="Z56" s="246"/>
      <c r="AA56" s="246"/>
      <c r="AB56" s="246"/>
      <c r="AC56" s="247"/>
      <c r="AD56" s="246"/>
      <c r="AE56" s="246"/>
      <c r="AF56" s="246"/>
      <c r="AG56" s="246"/>
      <c r="AH56" s="247"/>
      <c r="AI56" s="245"/>
      <c r="AJ56" s="246"/>
      <c r="AK56" s="246"/>
      <c r="AL56" s="246"/>
      <c r="AM56" s="247"/>
    </row>
    <row r="57" spans="4:39" ht="13.15" customHeight="1">
      <c r="AK57" s="232" t="s">
        <v>363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A9" sqref="AA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alert_H_TOWWAR-CSTD-0-02-C-C0</v>
      </c>
      <c r="E3" s="6"/>
      <c r="F3" s="6"/>
      <c r="H3" s="8" t="s">
        <v>164</v>
      </c>
      <c r="I3" s="252" t="s">
        <v>188</v>
      </c>
      <c r="J3" s="253"/>
      <c r="K3" s="253"/>
      <c r="L3" s="253"/>
      <c r="M3" s="253"/>
      <c r="N3" s="253"/>
      <c r="O3" s="253"/>
      <c r="P3" s="253"/>
      <c r="Q3" s="253"/>
      <c r="R3" s="253"/>
    </row>
    <row r="4" spans="2:24" ht="25.5" customHeight="1">
      <c r="C4" s="6"/>
      <c r="D4" s="6"/>
      <c r="E4" s="21" t="str">
        <f>DGET(B8:C14,"Ver.",H4:H5)</f>
        <v>1.2.1</v>
      </c>
      <c r="F4" s="6"/>
      <c r="H4" s="9" t="s">
        <v>16</v>
      </c>
    </row>
    <row r="5" spans="2:24" ht="25.5" customHeight="1">
      <c r="C5" s="6"/>
      <c r="D5" s="6"/>
      <c r="E5" s="6"/>
      <c r="F5" s="6"/>
      <c r="H5" s="11">
        <f>MAX(B9:B14)</f>
        <v>4</v>
      </c>
    </row>
    <row r="6" spans="2:24" ht="14.25" thickBot="1"/>
    <row r="7" spans="2:24">
      <c r="C7" s="256" t="s">
        <v>0</v>
      </c>
      <c r="D7" s="257"/>
      <c r="E7" s="258" t="s">
        <v>2</v>
      </c>
      <c r="F7" s="258"/>
      <c r="G7" s="259" t="s">
        <v>5</v>
      </c>
      <c r="H7" s="259"/>
      <c r="I7" s="259"/>
      <c r="J7" s="259"/>
      <c r="K7" s="259"/>
      <c r="L7" s="259"/>
      <c r="M7" s="260" t="s">
        <v>12</v>
      </c>
      <c r="N7" s="260"/>
      <c r="O7" s="260"/>
      <c r="P7" s="260"/>
      <c r="Q7" s="260"/>
      <c r="R7" s="261"/>
      <c r="S7" s="254" t="s">
        <v>344</v>
      </c>
      <c r="T7" s="254"/>
      <c r="U7" s="254"/>
      <c r="V7" s="254"/>
      <c r="W7" s="254"/>
      <c r="X7" s="255"/>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23" t="s">
        <v>11</v>
      </c>
      <c r="S8" s="15" t="s">
        <v>345</v>
      </c>
      <c r="T8" s="15" t="s">
        <v>7</v>
      </c>
      <c r="U8" s="15" t="s">
        <v>8</v>
      </c>
      <c r="V8" s="15" t="s">
        <v>9</v>
      </c>
      <c r="W8" s="15" t="s">
        <v>10</v>
      </c>
      <c r="X8" s="224" t="s">
        <v>11</v>
      </c>
    </row>
    <row r="9" spans="2:24" ht="108.75" thickTop="1">
      <c r="B9" s="9">
        <f>IF(C9=0,0,ROW()-ROW($B$8))</f>
        <v>1</v>
      </c>
      <c r="C9" s="228" t="s">
        <v>15</v>
      </c>
      <c r="D9" s="229" t="s">
        <v>324</v>
      </c>
      <c r="E9" s="230" t="s">
        <v>31</v>
      </c>
      <c r="F9" s="230" t="s">
        <v>187</v>
      </c>
      <c r="G9" s="230" t="s">
        <v>31</v>
      </c>
      <c r="H9" s="230" t="s">
        <v>31</v>
      </c>
      <c r="I9" s="230" t="s">
        <v>31</v>
      </c>
      <c r="J9" s="230" t="s">
        <v>31</v>
      </c>
      <c r="K9" s="230" t="s">
        <v>31</v>
      </c>
      <c r="L9" s="230" t="s">
        <v>31</v>
      </c>
      <c r="M9" s="230"/>
      <c r="N9" s="231"/>
      <c r="O9" s="230"/>
      <c r="P9" s="231"/>
      <c r="Q9" s="230" t="s">
        <v>323</v>
      </c>
      <c r="R9" s="231">
        <v>44280</v>
      </c>
      <c r="S9" s="227" t="s">
        <v>31</v>
      </c>
      <c r="T9" s="225" t="s">
        <v>31</v>
      </c>
      <c r="U9" s="1" t="s">
        <v>31</v>
      </c>
      <c r="V9" s="225" t="s">
        <v>31</v>
      </c>
      <c r="W9" s="1" t="s">
        <v>31</v>
      </c>
      <c r="X9" s="209" t="s">
        <v>31</v>
      </c>
    </row>
    <row r="10" spans="2:24" ht="67.5">
      <c r="B10" s="9">
        <f t="shared" ref="B10:B13" si="0">IF(C10=0,0,ROW()-ROW($B$8))</f>
        <v>2</v>
      </c>
      <c r="C10" s="2" t="s">
        <v>330</v>
      </c>
      <c r="D10" s="207" t="s">
        <v>331</v>
      </c>
      <c r="E10" s="1" t="s">
        <v>31</v>
      </c>
      <c r="F10" s="1" t="s">
        <v>332</v>
      </c>
      <c r="G10" s="1" t="s">
        <v>31</v>
      </c>
      <c r="H10" s="1" t="s">
        <v>31</v>
      </c>
      <c r="I10" s="1" t="s">
        <v>31</v>
      </c>
      <c r="J10" s="1" t="s">
        <v>31</v>
      </c>
      <c r="K10" s="1" t="s">
        <v>31</v>
      </c>
      <c r="L10" s="1" t="s">
        <v>31</v>
      </c>
      <c r="M10" s="1"/>
      <c r="N10" s="1"/>
      <c r="O10" s="1"/>
      <c r="P10" s="1"/>
      <c r="Q10" s="1" t="s">
        <v>333</v>
      </c>
      <c r="R10" s="225">
        <v>44376</v>
      </c>
      <c r="S10" s="227" t="s">
        <v>31</v>
      </c>
      <c r="T10" s="225" t="s">
        <v>31</v>
      </c>
      <c r="U10" s="1" t="s">
        <v>31</v>
      </c>
      <c r="V10" s="225" t="s">
        <v>31</v>
      </c>
      <c r="W10" s="1" t="s">
        <v>31</v>
      </c>
      <c r="X10" s="209" t="s">
        <v>31</v>
      </c>
    </row>
    <row r="11" spans="2:24" ht="121.5">
      <c r="B11" s="9">
        <f t="shared" si="0"/>
        <v>3</v>
      </c>
      <c r="C11" s="2" t="s">
        <v>342</v>
      </c>
      <c r="D11" s="207" t="s">
        <v>343</v>
      </c>
      <c r="E11" s="1" t="s">
        <v>31</v>
      </c>
      <c r="F11" s="1" t="s">
        <v>332</v>
      </c>
      <c r="G11" s="1" t="s">
        <v>31</v>
      </c>
      <c r="H11" s="1" t="s">
        <v>31</v>
      </c>
      <c r="I11" s="1" t="s">
        <v>31</v>
      </c>
      <c r="J11" s="1" t="s">
        <v>31</v>
      </c>
      <c r="K11" s="1" t="s">
        <v>31</v>
      </c>
      <c r="L11" s="1" t="s">
        <v>31</v>
      </c>
      <c r="M11" s="1"/>
      <c r="N11" s="1"/>
      <c r="O11" s="1"/>
      <c r="P11" s="1"/>
      <c r="Q11" s="1" t="s">
        <v>341</v>
      </c>
      <c r="R11" s="225">
        <v>44694</v>
      </c>
      <c r="S11" s="227" t="s">
        <v>31</v>
      </c>
      <c r="T11" s="225" t="s">
        <v>31</v>
      </c>
      <c r="U11" s="1" t="s">
        <v>31</v>
      </c>
      <c r="V11" s="225" t="s">
        <v>31</v>
      </c>
      <c r="W11" s="1" t="s">
        <v>31</v>
      </c>
      <c r="X11" s="209" t="s">
        <v>31</v>
      </c>
    </row>
    <row r="12" spans="2:24" ht="67.5">
      <c r="B12" s="9">
        <f t="shared" si="0"/>
        <v>4</v>
      </c>
      <c r="C12" s="2" t="s">
        <v>346</v>
      </c>
      <c r="D12" s="207" t="s">
        <v>348</v>
      </c>
      <c r="E12" s="1" t="s">
        <v>31</v>
      </c>
      <c r="F12" s="1" t="s">
        <v>31</v>
      </c>
      <c r="G12" s="1" t="s">
        <v>31</v>
      </c>
      <c r="H12" s="1" t="s">
        <v>31</v>
      </c>
      <c r="I12" s="1" t="s">
        <v>31</v>
      </c>
      <c r="J12" s="1" t="s">
        <v>31</v>
      </c>
      <c r="K12" s="1" t="s">
        <v>31</v>
      </c>
      <c r="L12" s="1" t="s">
        <v>31</v>
      </c>
      <c r="M12" s="1"/>
      <c r="N12" s="1"/>
      <c r="O12" s="1"/>
      <c r="P12" s="1"/>
      <c r="Q12" s="1"/>
      <c r="R12" s="1"/>
      <c r="S12" s="1"/>
      <c r="T12" s="1"/>
      <c r="U12" s="1"/>
      <c r="V12" s="225"/>
      <c r="W12" s="1" t="s">
        <v>347</v>
      </c>
      <c r="X12" s="209">
        <v>45811</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2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5" t="s">
        <v>124</v>
      </c>
    </row>
    <row r="3" spans="2:5">
      <c r="C3" t="s">
        <v>134</v>
      </c>
    </row>
    <row r="6" spans="2:5" ht="14.25" thickBot="1">
      <c r="B6" s="135" t="s">
        <v>125</v>
      </c>
      <c r="C6" s="135"/>
    </row>
    <row r="7" spans="2:5" ht="14.25" thickBot="1">
      <c r="C7" s="67" t="s">
        <v>127</v>
      </c>
      <c r="D7" s="75"/>
      <c r="E7" s="68" t="s">
        <v>135</v>
      </c>
    </row>
    <row r="8" spans="2:5" ht="20.25" customHeight="1" thickTop="1">
      <c r="C8" s="139">
        <v>0</v>
      </c>
      <c r="D8" s="76" t="s">
        <v>136</v>
      </c>
      <c r="E8" s="138" t="s">
        <v>336</v>
      </c>
    </row>
    <row r="9" spans="2:5">
      <c r="C9" s="145"/>
      <c r="D9" s="217"/>
      <c r="E9" s="146"/>
    </row>
    <row r="10" spans="2:5" ht="14.25" thickBot="1">
      <c r="C10" s="143"/>
      <c r="D10" s="78"/>
      <c r="E10" s="5"/>
    </row>
    <row r="11" spans="2:5">
      <c r="C11" s="141"/>
    </row>
    <row r="12" spans="2:5" ht="14.25" thickBot="1">
      <c r="B12" s="136" t="s">
        <v>126</v>
      </c>
      <c r="C12" s="74"/>
      <c r="D12" s="74"/>
    </row>
    <row r="13" spans="2:5" ht="14.25" thickBot="1">
      <c r="B13" s="137"/>
      <c r="C13" s="142" t="s">
        <v>127</v>
      </c>
      <c r="D13" s="75" t="s">
        <v>128</v>
      </c>
      <c r="E13" s="68" t="s">
        <v>129</v>
      </c>
    </row>
    <row r="14" spans="2:5" ht="14.25" thickTop="1">
      <c r="C14" s="139">
        <v>0</v>
      </c>
      <c r="D14" s="76" t="s">
        <v>141</v>
      </c>
      <c r="E14" s="144" t="s">
        <v>142</v>
      </c>
    </row>
    <row r="15" spans="2:5">
      <c r="C15" s="140">
        <v>1</v>
      </c>
      <c r="D15" s="77" t="s">
        <v>23</v>
      </c>
      <c r="E15" s="66" t="s">
        <v>130</v>
      </c>
    </row>
    <row r="16" spans="2:5">
      <c r="C16" s="140">
        <v>2</v>
      </c>
      <c r="D16" s="77" t="s">
        <v>24</v>
      </c>
      <c r="E16" s="66" t="s">
        <v>131</v>
      </c>
    </row>
    <row r="17" spans="2:5">
      <c r="C17" s="140">
        <v>3</v>
      </c>
      <c r="D17" s="77" t="s">
        <v>25</v>
      </c>
      <c r="E17" s="66" t="s">
        <v>132</v>
      </c>
    </row>
    <row r="18" spans="2:5">
      <c r="C18" s="140">
        <v>4</v>
      </c>
      <c r="D18" s="77" t="s">
        <v>26</v>
      </c>
      <c r="E18" s="66" t="s">
        <v>133</v>
      </c>
    </row>
    <row r="19" spans="2:5">
      <c r="C19" s="140">
        <v>5</v>
      </c>
      <c r="D19" s="77" t="s">
        <v>143</v>
      </c>
      <c r="E19" s="66" t="s">
        <v>145</v>
      </c>
    </row>
    <row r="20" spans="2:5">
      <c r="C20" s="140">
        <v>6</v>
      </c>
      <c r="D20" s="77" t="s">
        <v>149</v>
      </c>
      <c r="E20" s="66" t="s">
        <v>159</v>
      </c>
    </row>
    <row r="21" spans="2:5" ht="14.25" thickBot="1">
      <c r="C21" s="143"/>
      <c r="D21" s="78"/>
      <c r="E21" s="5"/>
    </row>
    <row r="24" spans="2:5" ht="14.25" thickBot="1">
      <c r="B24" s="135" t="s">
        <v>137</v>
      </c>
    </row>
    <row r="25" spans="2:5" ht="14.25" thickBot="1">
      <c r="C25" s="142" t="s">
        <v>127</v>
      </c>
      <c r="D25" s="75" t="s">
        <v>128</v>
      </c>
      <c r="E25" s="68" t="s">
        <v>129</v>
      </c>
    </row>
    <row r="26" spans="2:5" ht="30.75" customHeight="1" thickTop="1">
      <c r="C26" s="139">
        <v>0</v>
      </c>
      <c r="D26" s="76" t="s">
        <v>138</v>
      </c>
      <c r="E26" s="144" t="s">
        <v>146</v>
      </c>
    </row>
    <row r="27" spans="2:5" ht="120" customHeight="1">
      <c r="C27" s="140">
        <v>1</v>
      </c>
      <c r="D27" s="77" t="s">
        <v>161</v>
      </c>
      <c r="E27" s="79" t="s">
        <v>163</v>
      </c>
    </row>
    <row r="28" spans="2:5" ht="81" customHeight="1">
      <c r="C28" s="140">
        <v>2</v>
      </c>
      <c r="D28" s="77" t="s">
        <v>158</v>
      </c>
      <c r="E28" s="79" t="s">
        <v>168</v>
      </c>
    </row>
    <row r="29" spans="2:5" ht="45" customHeight="1">
      <c r="C29" s="140">
        <v>3</v>
      </c>
      <c r="D29" s="77" t="s">
        <v>144</v>
      </c>
      <c r="E29" s="79" t="s">
        <v>147</v>
      </c>
    </row>
    <row r="30" spans="2:5" ht="16.5" customHeight="1">
      <c r="C30" s="140">
        <v>4</v>
      </c>
      <c r="D30" s="77" t="s">
        <v>139</v>
      </c>
      <c r="E30" s="66" t="s">
        <v>152</v>
      </c>
    </row>
    <row r="31" spans="2:5" ht="16.5" customHeight="1">
      <c r="C31" s="140">
        <v>5</v>
      </c>
      <c r="D31" s="77" t="s">
        <v>140</v>
      </c>
      <c r="E31" s="66" t="s">
        <v>148</v>
      </c>
    </row>
    <row r="32" spans="2:5">
      <c r="C32" s="140"/>
      <c r="D32" s="77"/>
      <c r="E32" s="66"/>
    </row>
    <row r="33" spans="2:5">
      <c r="C33" s="140"/>
      <c r="D33" s="77"/>
      <c r="E33" s="66"/>
    </row>
    <row r="34" spans="2:5" ht="14.25" thickBot="1">
      <c r="C34" s="143"/>
      <c r="D34" s="78"/>
      <c r="E34" s="5"/>
    </row>
    <row r="37" spans="2:5" ht="14.25" thickBot="1">
      <c r="B37" s="135" t="s">
        <v>155</v>
      </c>
    </row>
    <row r="38" spans="2:5">
      <c r="C38" s="262"/>
      <c r="D38" s="263"/>
      <c r="E38" s="101" t="s">
        <v>114</v>
      </c>
    </row>
    <row r="39" spans="2:5" ht="14.25" thickBot="1">
      <c r="C39" s="264"/>
      <c r="D39" s="265"/>
      <c r="E39" s="5" t="s">
        <v>115</v>
      </c>
    </row>
  </sheetData>
  <mergeCells count="2">
    <mergeCell ref="C38:D38"/>
    <mergeCell ref="C39:D39"/>
  </mergeCells>
  <phoneticPr fontId="2"/>
  <hyperlinks>
    <hyperlink ref="E8" r:id="rId1" xr:uid="{727443F4-8BC0-40F7-8022-6D1233282696}"/>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1" t="s">
        <v>19</v>
      </c>
      <c r="C2" s="292"/>
      <c r="D2" s="279" t="s">
        <v>364</v>
      </c>
      <c r="E2" s="280"/>
      <c r="F2" s="280"/>
      <c r="G2" s="280"/>
      <c r="H2" s="281"/>
    </row>
    <row r="3" spans="2:14">
      <c r="B3" s="266" t="s">
        <v>112</v>
      </c>
      <c r="C3" s="267"/>
      <c r="D3" s="282" t="s">
        <v>365</v>
      </c>
      <c r="E3" s="283"/>
      <c r="F3" s="283"/>
      <c r="G3" s="283"/>
      <c r="H3" s="284"/>
    </row>
    <row r="4" spans="2:14" ht="14.25" thickBot="1">
      <c r="B4" s="277" t="s">
        <v>18</v>
      </c>
      <c r="C4" s="278"/>
      <c r="D4" s="285" t="str">
        <f ca="1">表紙!D3&amp;".c"</f>
        <v>alert_H_TOWWAR-CSTD-0-02-C-C0.c</v>
      </c>
      <c r="E4" s="286"/>
      <c r="F4" s="286"/>
      <c r="G4" s="286"/>
      <c r="H4" s="28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1" t="s">
        <v>36</v>
      </c>
      <c r="C6" s="292"/>
      <c r="D6" s="288" t="str">
        <f ca="1">MID(D4, LEN("alert_") + 1, FIND("-",D4,1) - LEN("alert_") - 1)</f>
        <v>H_TOWWAR</v>
      </c>
      <c r="E6" s="289"/>
      <c r="F6" s="289"/>
      <c r="G6" s="289"/>
      <c r="H6" s="290"/>
    </row>
    <row r="7" spans="2:14">
      <c r="B7" s="266" t="s">
        <v>37</v>
      </c>
      <c r="C7" s="267"/>
      <c r="D7" s="268">
        <f>COUNTA($D$13:$D$37)</f>
        <v>1</v>
      </c>
      <c r="E7" s="269"/>
      <c r="F7" s="269"/>
      <c r="G7" s="269"/>
      <c r="H7" s="270"/>
    </row>
    <row r="8" spans="2:14">
      <c r="B8" s="266" t="s">
        <v>91</v>
      </c>
      <c r="C8" s="267"/>
      <c r="D8" s="268" t="str">
        <f ca="1">"st_gp_ALERT_"&amp;UPPER(D6)&amp;"_MTRX"</f>
        <v>st_gp_ALERT_H_TOWWAR_MTRX</v>
      </c>
      <c r="E8" s="269"/>
      <c r="F8" s="269"/>
      <c r="G8" s="269"/>
      <c r="H8" s="270"/>
    </row>
    <row r="9" spans="2:14">
      <c r="B9" s="266" t="s">
        <v>38</v>
      </c>
      <c r="C9" s="267"/>
      <c r="D9" s="271" t="s">
        <v>192</v>
      </c>
      <c r="E9" s="272"/>
      <c r="F9" s="272"/>
      <c r="G9" s="272"/>
      <c r="H9" s="273"/>
    </row>
    <row r="10" spans="2:14" ht="14.25" thickBot="1">
      <c r="B10" s="277" t="s">
        <v>44</v>
      </c>
      <c r="C10" s="278"/>
      <c r="D10" s="274"/>
      <c r="E10" s="275"/>
      <c r="F10" s="275"/>
      <c r="G10" s="275"/>
      <c r="H10" s="276"/>
    </row>
    <row r="11" spans="2:14" ht="14.25" thickBot="1"/>
    <row r="12" spans="2:14" ht="14.25" thickBot="1">
      <c r="B12" s="126" t="s">
        <v>34</v>
      </c>
      <c r="C12" s="93" t="s">
        <v>43</v>
      </c>
      <c r="D12" s="94" t="s">
        <v>35</v>
      </c>
      <c r="E12" s="94" t="s">
        <v>39</v>
      </c>
      <c r="F12" s="94" t="s">
        <v>40</v>
      </c>
      <c r="G12" s="94" t="s">
        <v>41</v>
      </c>
      <c r="H12" s="95" t="s">
        <v>42</v>
      </c>
      <c r="I12" s="131" t="s">
        <v>51</v>
      </c>
      <c r="K12" s="37" t="s">
        <v>45</v>
      </c>
      <c r="L12" s="37" t="s">
        <v>38</v>
      </c>
      <c r="M12" t="s">
        <v>84</v>
      </c>
    </row>
    <row r="13" spans="2:14" ht="14.25" thickTop="1">
      <c r="B13" s="96">
        <v>1</v>
      </c>
      <c r="C13" s="179" t="s">
        <v>284</v>
      </c>
      <c r="D13" s="180" t="s">
        <v>48</v>
      </c>
      <c r="E13" s="180" t="s">
        <v>197</v>
      </c>
      <c r="F13" s="43" t="str">
        <f t="shared" ref="F13:F37" ca="1" si="0">IF($D13&lt;&gt;"","u4_s_Alert"&amp;UPPER(LEFT($D$6,1))&amp;LOWER(MID($D$6,2,100))&amp;IF($D$7=1,"",N13)&amp;"Srcchk","")</f>
        <v>u4_s_AlertH_towwarSrcchk</v>
      </c>
      <c r="G13" s="43" t="str">
        <f t="shared" ref="G13:G37" ca="1" si="1">IF($D13&lt;&gt;"",IF($E13="○","vd_s_Alert"&amp;UPPER(LEFT($D$6,1))&amp;LOWER(MID($D$6,2,100))&amp;IF($D$7=1,"",N13)&amp;"RwTx","NULL"),"")</f>
        <v>vd_s_AlertH_towwarRwTx</v>
      </c>
      <c r="H13" s="100" t="str">
        <f ca="1">IF($D13&lt;&gt;"","ALERT_CH_"&amp;UPPER($D$6)&amp;IF($D$7=1,"","_"&amp;UPPER($C13)),"")</f>
        <v>ALERT_CH_H_TOWWAR</v>
      </c>
      <c r="I13" s="132" t="str">
        <f ca="1">IF($D13&lt;&gt;"","ALERT_REQ_"&amp;UPPER($D$6)&amp;IF($D$7=1,"","_"&amp;UPPER($C13)),"")</f>
        <v>ALERT_REQ_H_TOWWAR</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6">
        <v>2</v>
      </c>
      <c r="C14" s="181"/>
      <c r="D14" s="182"/>
      <c r="E14" s="182"/>
      <c r="F14" s="38" t="str">
        <f t="shared" si="0"/>
        <v/>
      </c>
      <c r="G14" s="38" t="str">
        <f t="shared" si="1"/>
        <v/>
      </c>
      <c r="H14" s="59" t="str">
        <f t="shared" ref="H14:H37" si="4">IF($D14&lt;&gt;"","ALERT_CH_"&amp;UPPER($D$6)&amp;IF($D$7=1,"","_"&amp;UPPER($C14)),"")</f>
        <v/>
      </c>
      <c r="I14" s="133" t="str">
        <f t="shared" ref="I14:I37" si="5">IF($D14&lt;&gt;"","ALERT_REQ_"&amp;UPPER($D$6)&amp;IF($D$7=1,"","_"&amp;UPPER($C14)),"")</f>
        <v/>
      </c>
      <c r="K14" t="s">
        <v>47</v>
      </c>
      <c r="L14" t="str">
        <f ca="1">"vd_g_Alert"&amp;UPPER(LEFT(D6,1))&amp;LOWER(MID(D6,2,100))&amp;"Init"</f>
        <v>vd_g_AlertH_towwarInit</v>
      </c>
      <c r="M14" t="e">
        <f t="shared" si="2"/>
        <v>#VALUE!</v>
      </c>
      <c r="N14" t="str">
        <f t="shared" si="3"/>
        <v/>
      </c>
    </row>
    <row r="15" spans="2:14">
      <c r="B15" s="86">
        <v>3</v>
      </c>
      <c r="C15" s="129"/>
      <c r="D15" s="130"/>
      <c r="E15" s="130"/>
      <c r="F15" s="38" t="str">
        <f t="shared" si="0"/>
        <v/>
      </c>
      <c r="G15" s="38" t="str">
        <f t="shared" si="1"/>
        <v/>
      </c>
      <c r="H15" s="59" t="str">
        <f t="shared" si="4"/>
        <v/>
      </c>
      <c r="I15" s="133" t="str">
        <f t="shared" si="5"/>
        <v/>
      </c>
      <c r="K15" t="s">
        <v>116</v>
      </c>
      <c r="M15" t="e">
        <f t="shared" si="2"/>
        <v>#VALUE!</v>
      </c>
      <c r="N15" t="str">
        <f t="shared" si="3"/>
        <v/>
      </c>
    </row>
    <row r="16" spans="2:14">
      <c r="B16" s="86">
        <v>4</v>
      </c>
      <c r="C16" s="129"/>
      <c r="D16" s="130"/>
      <c r="E16" s="130"/>
      <c r="F16" s="38" t="str">
        <f t="shared" si="0"/>
        <v/>
      </c>
      <c r="G16" s="38" t="str">
        <f t="shared" si="1"/>
        <v/>
      </c>
      <c r="H16" s="59" t="str">
        <f t="shared" si="4"/>
        <v/>
      </c>
      <c r="I16" s="133" t="str">
        <f t="shared" si="5"/>
        <v/>
      </c>
      <c r="K16" t="s">
        <v>117</v>
      </c>
      <c r="M16" t="e">
        <f t="shared" si="2"/>
        <v>#VALUE!</v>
      </c>
      <c r="N16" t="str">
        <f t="shared" si="3"/>
        <v/>
      </c>
    </row>
    <row r="17" spans="2:14">
      <c r="B17" s="86">
        <v>5</v>
      </c>
      <c r="C17" s="129"/>
      <c r="D17" s="130"/>
      <c r="E17" s="130"/>
      <c r="F17" s="38" t="str">
        <f t="shared" si="0"/>
        <v/>
      </c>
      <c r="G17" s="38" t="str">
        <f t="shared" si="1"/>
        <v/>
      </c>
      <c r="H17" s="59" t="str">
        <f t="shared" si="4"/>
        <v/>
      </c>
      <c r="I17" s="133" t="str">
        <f t="shared" si="5"/>
        <v/>
      </c>
      <c r="K17" t="s">
        <v>48</v>
      </c>
      <c r="M17" t="e">
        <f t="shared" si="2"/>
        <v>#VALUE!</v>
      </c>
      <c r="N17" t="str">
        <f t="shared" si="3"/>
        <v/>
      </c>
    </row>
    <row r="18" spans="2:14">
      <c r="B18" s="86">
        <v>6</v>
      </c>
      <c r="C18" s="129"/>
      <c r="D18" s="130"/>
      <c r="E18" s="130"/>
      <c r="F18" s="38" t="str">
        <f t="shared" si="0"/>
        <v/>
      </c>
      <c r="G18" s="38" t="str">
        <f t="shared" si="1"/>
        <v/>
      </c>
      <c r="H18" s="59" t="str">
        <f t="shared" si="4"/>
        <v/>
      </c>
      <c r="I18" s="133" t="str">
        <f t="shared" si="5"/>
        <v/>
      </c>
      <c r="K18" t="s">
        <v>49</v>
      </c>
      <c r="M18" t="e">
        <f t="shared" si="2"/>
        <v>#VALUE!</v>
      </c>
      <c r="N18" t="str">
        <f t="shared" si="3"/>
        <v/>
      </c>
    </row>
    <row r="19" spans="2:14">
      <c r="B19" s="86">
        <v>7</v>
      </c>
      <c r="C19" s="129"/>
      <c r="D19" s="130"/>
      <c r="E19" s="130"/>
      <c r="F19" s="38" t="str">
        <f t="shared" si="0"/>
        <v/>
      </c>
      <c r="G19" s="38" t="str">
        <f t="shared" si="1"/>
        <v/>
      </c>
      <c r="H19" s="59" t="str">
        <f t="shared" si="4"/>
        <v/>
      </c>
      <c r="I19" s="133" t="str">
        <f t="shared" si="5"/>
        <v/>
      </c>
      <c r="K19" t="s">
        <v>49</v>
      </c>
      <c r="M19" t="e">
        <f t="shared" si="2"/>
        <v>#VALUE!</v>
      </c>
      <c r="N19" t="str">
        <f t="shared" si="3"/>
        <v/>
      </c>
    </row>
    <row r="20" spans="2:14">
      <c r="B20" s="86">
        <v>8</v>
      </c>
      <c r="C20" s="129"/>
      <c r="D20" s="130"/>
      <c r="E20" s="130"/>
      <c r="F20" s="38" t="str">
        <f t="shared" si="0"/>
        <v/>
      </c>
      <c r="G20" s="38" t="str">
        <f t="shared" si="1"/>
        <v/>
      </c>
      <c r="H20" s="59" t="str">
        <f t="shared" si="4"/>
        <v/>
      </c>
      <c r="I20" s="133" t="str">
        <f t="shared" si="5"/>
        <v/>
      </c>
      <c r="K20" t="s">
        <v>49</v>
      </c>
      <c r="M20" t="e">
        <f t="shared" si="2"/>
        <v>#VALUE!</v>
      </c>
      <c r="N20" t="str">
        <f t="shared" si="3"/>
        <v/>
      </c>
    </row>
    <row r="21" spans="2:14">
      <c r="B21" s="86">
        <v>9</v>
      </c>
      <c r="C21" s="129"/>
      <c r="D21" s="130"/>
      <c r="E21" s="130"/>
      <c r="F21" s="38" t="str">
        <f t="shared" si="0"/>
        <v/>
      </c>
      <c r="G21" s="38" t="str">
        <f t="shared" si="1"/>
        <v/>
      </c>
      <c r="H21" s="59" t="str">
        <f t="shared" si="4"/>
        <v/>
      </c>
      <c r="I21" s="133" t="str">
        <f t="shared" si="5"/>
        <v/>
      </c>
      <c r="K21" t="s">
        <v>49</v>
      </c>
      <c r="M21" t="e">
        <f t="shared" si="2"/>
        <v>#VALUE!</v>
      </c>
      <c r="N21" t="str">
        <f t="shared" si="3"/>
        <v/>
      </c>
    </row>
    <row r="22" spans="2:14">
      <c r="B22" s="86">
        <v>10</v>
      </c>
      <c r="C22" s="129"/>
      <c r="D22" s="130"/>
      <c r="E22" s="130"/>
      <c r="F22" s="38" t="str">
        <f t="shared" si="0"/>
        <v/>
      </c>
      <c r="G22" s="38" t="str">
        <f t="shared" si="1"/>
        <v/>
      </c>
      <c r="H22" s="59" t="str">
        <f t="shared" si="4"/>
        <v/>
      </c>
      <c r="I22" s="133" t="str">
        <f t="shared" si="5"/>
        <v/>
      </c>
      <c r="K22" t="s">
        <v>49</v>
      </c>
      <c r="M22" t="e">
        <f t="shared" si="2"/>
        <v>#VALUE!</v>
      </c>
      <c r="N22" t="str">
        <f t="shared" si="3"/>
        <v/>
      </c>
    </row>
    <row r="23" spans="2:14">
      <c r="B23" s="86">
        <v>11</v>
      </c>
      <c r="C23" s="129"/>
      <c r="D23" s="130"/>
      <c r="E23" s="130"/>
      <c r="F23" s="38" t="str">
        <f t="shared" si="0"/>
        <v/>
      </c>
      <c r="G23" s="38" t="str">
        <f t="shared" si="1"/>
        <v/>
      </c>
      <c r="H23" s="59" t="str">
        <f t="shared" si="4"/>
        <v/>
      </c>
      <c r="I23" s="133" t="str">
        <f t="shared" si="5"/>
        <v/>
      </c>
      <c r="K23" t="s">
        <v>49</v>
      </c>
      <c r="M23" t="e">
        <f t="shared" si="2"/>
        <v>#VALUE!</v>
      </c>
      <c r="N23" t="str">
        <f t="shared" si="3"/>
        <v/>
      </c>
    </row>
    <row r="24" spans="2:14">
      <c r="B24" s="86">
        <v>12</v>
      </c>
      <c r="C24" s="129"/>
      <c r="D24" s="130"/>
      <c r="E24" s="130"/>
      <c r="F24" s="38" t="str">
        <f t="shared" si="0"/>
        <v/>
      </c>
      <c r="G24" s="38" t="str">
        <f t="shared" si="1"/>
        <v/>
      </c>
      <c r="H24" s="59" t="str">
        <f t="shared" si="4"/>
        <v/>
      </c>
      <c r="I24" s="133" t="str">
        <f t="shared" si="5"/>
        <v/>
      </c>
      <c r="K24" t="s">
        <v>49</v>
      </c>
      <c r="M24" t="e">
        <f t="shared" si="2"/>
        <v>#VALUE!</v>
      </c>
      <c r="N24" t="str">
        <f t="shared" si="3"/>
        <v/>
      </c>
    </row>
    <row r="25" spans="2:14">
      <c r="B25" s="86">
        <v>13</v>
      </c>
      <c r="C25" s="129"/>
      <c r="D25" s="130"/>
      <c r="E25" s="130"/>
      <c r="F25" s="38" t="str">
        <f t="shared" si="0"/>
        <v/>
      </c>
      <c r="G25" s="38" t="str">
        <f t="shared" si="1"/>
        <v/>
      </c>
      <c r="H25" s="59" t="str">
        <f t="shared" si="4"/>
        <v/>
      </c>
      <c r="I25" s="133" t="str">
        <f t="shared" si="5"/>
        <v/>
      </c>
      <c r="K25" t="s">
        <v>49</v>
      </c>
      <c r="M25" t="e">
        <f t="shared" si="2"/>
        <v>#VALUE!</v>
      </c>
      <c r="N25" t="str">
        <f t="shared" si="3"/>
        <v/>
      </c>
    </row>
    <row r="26" spans="2:14">
      <c r="B26" s="86">
        <v>14</v>
      </c>
      <c r="C26" s="129"/>
      <c r="D26" s="130"/>
      <c r="E26" s="130"/>
      <c r="F26" s="38" t="str">
        <f t="shared" si="0"/>
        <v/>
      </c>
      <c r="G26" s="38" t="str">
        <f t="shared" si="1"/>
        <v/>
      </c>
      <c r="H26" s="59" t="str">
        <f t="shared" si="4"/>
        <v/>
      </c>
      <c r="I26" s="133" t="str">
        <f t="shared" si="5"/>
        <v/>
      </c>
      <c r="K26" t="s">
        <v>49</v>
      </c>
      <c r="M26" t="e">
        <f t="shared" si="2"/>
        <v>#VALUE!</v>
      </c>
      <c r="N26" t="str">
        <f t="shared" si="3"/>
        <v/>
      </c>
    </row>
    <row r="27" spans="2:14">
      <c r="B27" s="86">
        <v>15</v>
      </c>
      <c r="C27" s="129"/>
      <c r="D27" s="130"/>
      <c r="E27" s="130"/>
      <c r="F27" s="38" t="str">
        <f t="shared" si="0"/>
        <v/>
      </c>
      <c r="G27" s="38" t="str">
        <f t="shared" si="1"/>
        <v/>
      </c>
      <c r="H27" s="59" t="str">
        <f t="shared" si="4"/>
        <v/>
      </c>
      <c r="I27" s="133" t="str">
        <f t="shared" si="5"/>
        <v/>
      </c>
      <c r="K27" t="s">
        <v>49</v>
      </c>
      <c r="M27" t="e">
        <f t="shared" si="2"/>
        <v>#VALUE!</v>
      </c>
      <c r="N27" t="str">
        <f t="shared" si="3"/>
        <v/>
      </c>
    </row>
    <row r="28" spans="2:14">
      <c r="B28" s="86">
        <v>16</v>
      </c>
      <c r="C28" s="129"/>
      <c r="D28" s="130"/>
      <c r="E28" s="130"/>
      <c r="F28" s="38" t="str">
        <f t="shared" si="0"/>
        <v/>
      </c>
      <c r="G28" s="38" t="str">
        <f t="shared" si="1"/>
        <v/>
      </c>
      <c r="H28" s="59" t="str">
        <f t="shared" si="4"/>
        <v/>
      </c>
      <c r="I28" s="133" t="str">
        <f t="shared" si="5"/>
        <v/>
      </c>
      <c r="K28" t="s">
        <v>49</v>
      </c>
      <c r="M28" t="e">
        <f t="shared" si="2"/>
        <v>#VALUE!</v>
      </c>
      <c r="N28" t="str">
        <f t="shared" si="3"/>
        <v/>
      </c>
    </row>
    <row r="29" spans="2:14">
      <c r="B29" s="86">
        <v>17</v>
      </c>
      <c r="C29" s="129"/>
      <c r="D29" s="130"/>
      <c r="E29" s="130"/>
      <c r="F29" s="38" t="str">
        <f t="shared" si="0"/>
        <v/>
      </c>
      <c r="G29" s="38" t="str">
        <f t="shared" si="1"/>
        <v/>
      </c>
      <c r="H29" s="59" t="str">
        <f t="shared" si="4"/>
        <v/>
      </c>
      <c r="I29" s="133" t="str">
        <f t="shared" si="5"/>
        <v/>
      </c>
      <c r="K29" t="s">
        <v>49</v>
      </c>
      <c r="M29" t="e">
        <f t="shared" si="2"/>
        <v>#VALUE!</v>
      </c>
      <c r="N29" t="str">
        <f t="shared" si="3"/>
        <v/>
      </c>
    </row>
    <row r="30" spans="2:14">
      <c r="B30" s="86">
        <v>18</v>
      </c>
      <c r="C30" s="129"/>
      <c r="D30" s="130"/>
      <c r="E30" s="130"/>
      <c r="F30" s="38" t="str">
        <f t="shared" si="0"/>
        <v/>
      </c>
      <c r="G30" s="38" t="str">
        <f t="shared" si="1"/>
        <v/>
      </c>
      <c r="H30" s="59" t="str">
        <f t="shared" si="4"/>
        <v/>
      </c>
      <c r="I30" s="133" t="str">
        <f t="shared" si="5"/>
        <v/>
      </c>
      <c r="K30" t="s">
        <v>49</v>
      </c>
      <c r="M30" t="e">
        <f t="shared" si="2"/>
        <v>#VALUE!</v>
      </c>
      <c r="N30" t="str">
        <f t="shared" si="3"/>
        <v/>
      </c>
    </row>
    <row r="31" spans="2:14">
      <c r="B31" s="86">
        <v>19</v>
      </c>
      <c r="C31" s="129"/>
      <c r="D31" s="130"/>
      <c r="E31" s="130"/>
      <c r="F31" s="38" t="str">
        <f t="shared" si="0"/>
        <v/>
      </c>
      <c r="G31" s="38" t="str">
        <f t="shared" si="1"/>
        <v/>
      </c>
      <c r="H31" s="59" t="str">
        <f t="shared" si="4"/>
        <v/>
      </c>
      <c r="I31" s="133" t="str">
        <f t="shared" si="5"/>
        <v/>
      </c>
      <c r="K31" t="s">
        <v>49</v>
      </c>
      <c r="M31" t="e">
        <f t="shared" si="2"/>
        <v>#VALUE!</v>
      </c>
      <c r="N31" t="str">
        <f t="shared" si="3"/>
        <v/>
      </c>
    </row>
    <row r="32" spans="2:14">
      <c r="B32" s="86">
        <v>20</v>
      </c>
      <c r="C32" s="129"/>
      <c r="D32" s="130"/>
      <c r="E32" s="130"/>
      <c r="F32" s="38" t="str">
        <f t="shared" si="0"/>
        <v/>
      </c>
      <c r="G32" s="38" t="str">
        <f t="shared" si="1"/>
        <v/>
      </c>
      <c r="H32" s="59" t="str">
        <f t="shared" si="4"/>
        <v/>
      </c>
      <c r="I32" s="133" t="str">
        <f t="shared" si="5"/>
        <v/>
      </c>
      <c r="K32" t="s">
        <v>49</v>
      </c>
      <c r="M32" t="e">
        <f t="shared" si="2"/>
        <v>#VALUE!</v>
      </c>
      <c r="N32" t="str">
        <f t="shared" si="3"/>
        <v/>
      </c>
    </row>
    <row r="33" spans="2:14">
      <c r="B33" s="86">
        <v>21</v>
      </c>
      <c r="C33" s="129"/>
      <c r="D33" s="130"/>
      <c r="E33" s="130"/>
      <c r="F33" s="38" t="str">
        <f t="shared" si="0"/>
        <v/>
      </c>
      <c r="G33" s="38" t="str">
        <f t="shared" si="1"/>
        <v/>
      </c>
      <c r="H33" s="59" t="str">
        <f t="shared" si="4"/>
        <v/>
      </c>
      <c r="I33" s="133" t="str">
        <f t="shared" si="5"/>
        <v/>
      </c>
      <c r="K33" t="s">
        <v>49</v>
      </c>
      <c r="M33" t="e">
        <f t="shared" si="2"/>
        <v>#VALUE!</v>
      </c>
      <c r="N33" t="str">
        <f t="shared" si="3"/>
        <v/>
      </c>
    </row>
    <row r="34" spans="2:14">
      <c r="B34" s="86">
        <v>22</v>
      </c>
      <c r="C34" s="129"/>
      <c r="D34" s="130"/>
      <c r="E34" s="130"/>
      <c r="F34" s="38" t="str">
        <f t="shared" si="0"/>
        <v/>
      </c>
      <c r="G34" s="38" t="str">
        <f t="shared" si="1"/>
        <v/>
      </c>
      <c r="H34" s="59" t="str">
        <f t="shared" si="4"/>
        <v/>
      </c>
      <c r="I34" s="133" t="str">
        <f t="shared" si="5"/>
        <v/>
      </c>
      <c r="K34" t="s">
        <v>49</v>
      </c>
      <c r="M34" t="e">
        <f t="shared" si="2"/>
        <v>#VALUE!</v>
      </c>
      <c r="N34" t="str">
        <f t="shared" si="3"/>
        <v/>
      </c>
    </row>
    <row r="35" spans="2:14">
      <c r="B35" s="86">
        <v>23</v>
      </c>
      <c r="C35" s="129"/>
      <c r="D35" s="130"/>
      <c r="E35" s="130"/>
      <c r="F35" s="38" t="str">
        <f t="shared" si="0"/>
        <v/>
      </c>
      <c r="G35" s="38" t="str">
        <f t="shared" si="1"/>
        <v/>
      </c>
      <c r="H35" s="59" t="str">
        <f t="shared" si="4"/>
        <v/>
      </c>
      <c r="I35" s="133" t="str">
        <f t="shared" si="5"/>
        <v/>
      </c>
      <c r="K35" t="s">
        <v>49</v>
      </c>
      <c r="M35" t="e">
        <f t="shared" si="2"/>
        <v>#VALUE!</v>
      </c>
      <c r="N35" t="str">
        <f t="shared" si="3"/>
        <v/>
      </c>
    </row>
    <row r="36" spans="2:14">
      <c r="B36" s="86">
        <v>24</v>
      </c>
      <c r="C36" s="129"/>
      <c r="D36" s="130"/>
      <c r="E36" s="130"/>
      <c r="F36" s="38" t="str">
        <f t="shared" si="0"/>
        <v/>
      </c>
      <c r="G36" s="38" t="str">
        <f t="shared" si="1"/>
        <v/>
      </c>
      <c r="H36" s="59" t="str">
        <f t="shared" si="4"/>
        <v/>
      </c>
      <c r="I36" s="133" t="str">
        <f t="shared" si="5"/>
        <v/>
      </c>
      <c r="K36" t="s">
        <v>49</v>
      </c>
      <c r="M36" t="e">
        <f t="shared" si="2"/>
        <v>#VALUE!</v>
      </c>
      <c r="N36" t="str">
        <f t="shared" si="3"/>
        <v/>
      </c>
    </row>
    <row r="37" spans="2:14" ht="14.25" thickBot="1">
      <c r="B37" s="87">
        <v>25</v>
      </c>
      <c r="C37" s="127"/>
      <c r="D37" s="128"/>
      <c r="E37" s="128"/>
      <c r="F37" s="46" t="str">
        <f t="shared" si="0"/>
        <v/>
      </c>
      <c r="G37" s="46" t="str">
        <f t="shared" si="1"/>
        <v/>
      </c>
      <c r="H37" s="60" t="str">
        <f t="shared" si="4"/>
        <v/>
      </c>
      <c r="I37" s="13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4" priority="1">
      <formula>14&lt;LEN($D$6)+LEN($C13)</formula>
    </cfRule>
  </conditionalFormatting>
  <conditionalFormatting sqref="D5">
    <cfRule type="containsText" dxfId="23" priority="4" operator="containsText" text="NG">
      <formula>NOT(ISERROR(SEARCH("NG",D5)))</formula>
    </cfRule>
  </conditionalFormatting>
  <conditionalFormatting sqref="D6">
    <cfRule type="expression" dxfId="22" priority="6">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180</v>
      </c>
      <c r="O2" t="s">
        <v>182</v>
      </c>
    </row>
    <row r="3" spans="2:18" ht="14.25" thickBot="1">
      <c r="B3" s="126" t="s">
        <v>34</v>
      </c>
      <c r="C3" s="94" t="s">
        <v>170</v>
      </c>
      <c r="D3" s="94" t="s">
        <v>176</v>
      </c>
      <c r="E3" s="95" t="s">
        <v>177</v>
      </c>
      <c r="F3" s="167" t="s">
        <v>172</v>
      </c>
      <c r="G3" s="164" t="s">
        <v>185</v>
      </c>
      <c r="H3" s="37"/>
      <c r="I3" s="37"/>
      <c r="J3" s="37"/>
      <c r="K3" s="37"/>
      <c r="L3" s="37"/>
      <c r="M3" s="37"/>
      <c r="O3" s="126" t="s">
        <v>34</v>
      </c>
      <c r="P3" s="163" t="s">
        <v>166</v>
      </c>
      <c r="Q3" s="163" t="s">
        <v>179</v>
      </c>
      <c r="R3" s="164" t="s">
        <v>172</v>
      </c>
    </row>
    <row r="4" spans="2:18" ht="14.25" hidden="1" thickTop="1">
      <c r="B4" s="155">
        <v>0</v>
      </c>
      <c r="C4" s="156" t="s">
        <v>156</v>
      </c>
      <c r="D4" s="156"/>
      <c r="E4" s="157"/>
      <c r="F4" s="168"/>
      <c r="G4" s="169"/>
      <c r="H4" s="37"/>
      <c r="I4" s="37"/>
      <c r="J4" s="37"/>
      <c r="K4" s="37"/>
      <c r="L4" s="37"/>
      <c r="M4" s="37"/>
      <c r="O4" s="165">
        <v>0</v>
      </c>
      <c r="P4" s="162" t="s">
        <v>156</v>
      </c>
      <c r="Q4" s="162" t="s">
        <v>156</v>
      </c>
      <c r="R4" s="125"/>
    </row>
    <row r="5" spans="2:18" ht="14.25" thickTop="1">
      <c r="B5" s="158">
        <v>1</v>
      </c>
      <c r="C5" s="130"/>
      <c r="D5" s="22"/>
      <c r="E5" s="59" t="str">
        <f>IF($C5&lt;&gt;"","ALERT_" &amp; D5 &amp; "_ID_"&amp;UPPER(Matrix!$D$6) &amp; "_" &amp; $C5,"")</f>
        <v/>
      </c>
      <c r="F5" s="103"/>
      <c r="G5" s="59" t="str">
        <f>IF(E5&lt;&gt;"",LEN(E5),"")</f>
        <v/>
      </c>
      <c r="O5" s="158">
        <v>1</v>
      </c>
      <c r="P5" s="130"/>
      <c r="Q5" s="130"/>
      <c r="R5" s="104"/>
    </row>
    <row r="6" spans="2:18">
      <c r="B6" s="158">
        <v>2</v>
      </c>
      <c r="C6" s="130"/>
      <c r="D6" s="22"/>
      <c r="E6" s="59" t="str">
        <f>IF($C6&lt;&gt;"","ALERT_" &amp; D6 &amp; "_ID_"&amp;UPPER(Matrix!$D$6) &amp; "_" &amp; $C6,"")</f>
        <v/>
      </c>
      <c r="F6" s="103"/>
      <c r="G6" s="59" t="str">
        <f t="shared" ref="G6:G29" si="0">IF(E6&lt;&gt;"",LEN(E6),"")</f>
        <v/>
      </c>
      <c r="O6" s="158">
        <v>2</v>
      </c>
      <c r="P6" s="130"/>
      <c r="Q6" s="130"/>
      <c r="R6" s="104"/>
    </row>
    <row r="7" spans="2:18">
      <c r="B7" s="158">
        <v>3</v>
      </c>
      <c r="C7" s="130"/>
      <c r="D7" s="22"/>
      <c r="E7" s="59" t="str">
        <f>IF($C7&lt;&gt;"","ALERT_" &amp; D7 &amp; "_ID_"&amp;UPPER(Matrix!$D$6) &amp; "_" &amp; $C7,"")</f>
        <v/>
      </c>
      <c r="F7" s="103"/>
      <c r="G7" s="59" t="str">
        <f t="shared" si="0"/>
        <v/>
      </c>
      <c r="O7" s="158">
        <v>3</v>
      </c>
      <c r="P7" s="130"/>
      <c r="Q7" s="130"/>
      <c r="R7" s="104"/>
    </row>
    <row r="8" spans="2:18">
      <c r="B8" s="158">
        <v>4</v>
      </c>
      <c r="C8" s="130"/>
      <c r="D8" s="22"/>
      <c r="E8" s="59" t="str">
        <f>IF($C8&lt;&gt;"","ALERT_" &amp; D8 &amp; "_ID_"&amp;UPPER(Matrix!$D$6) &amp; "_" &amp; $C8,"")</f>
        <v/>
      </c>
      <c r="F8" s="103"/>
      <c r="G8" s="59" t="str">
        <f t="shared" si="0"/>
        <v/>
      </c>
      <c r="O8" s="158">
        <v>4</v>
      </c>
      <c r="P8" s="130"/>
      <c r="Q8" s="130"/>
      <c r="R8" s="104"/>
    </row>
    <row r="9" spans="2:18">
      <c r="B9" s="158">
        <v>5</v>
      </c>
      <c r="C9" s="130"/>
      <c r="D9" s="22"/>
      <c r="E9" s="59" t="str">
        <f>IF($C9&lt;&gt;"","ALERT_" &amp; D9 &amp; "_ID_"&amp;UPPER(Matrix!$D$6) &amp; "_" &amp; $C9,"")</f>
        <v/>
      </c>
      <c r="F9" s="103"/>
      <c r="G9" s="59" t="str">
        <f t="shared" si="0"/>
        <v/>
      </c>
      <c r="O9" s="158">
        <v>5</v>
      </c>
      <c r="P9" s="130"/>
      <c r="Q9" s="130"/>
      <c r="R9" s="104"/>
    </row>
    <row r="10" spans="2:18">
      <c r="B10" s="158">
        <v>6</v>
      </c>
      <c r="C10" s="130"/>
      <c r="D10" s="22"/>
      <c r="E10" s="59" t="str">
        <f>IF($C10&lt;&gt;"","ALERT_" &amp; D10 &amp; "_ID_"&amp;UPPER(Matrix!$D$6) &amp; "_" &amp; $C10,"")</f>
        <v/>
      </c>
      <c r="F10" s="103"/>
      <c r="G10" s="59" t="str">
        <f t="shared" si="0"/>
        <v/>
      </c>
      <c r="O10" s="158">
        <v>6</v>
      </c>
      <c r="P10" s="130"/>
      <c r="Q10" s="130"/>
      <c r="R10" s="104"/>
    </row>
    <row r="11" spans="2:18">
      <c r="B11" s="158">
        <v>7</v>
      </c>
      <c r="C11" s="130"/>
      <c r="D11" s="22"/>
      <c r="E11" s="59" t="str">
        <f>IF($C11&lt;&gt;"","ALERT_" &amp; D11 &amp; "_ID_"&amp;UPPER(Matrix!$D$6) &amp; "_" &amp; $C11,"")</f>
        <v/>
      </c>
      <c r="F11" s="103"/>
      <c r="G11" s="59" t="str">
        <f t="shared" si="0"/>
        <v/>
      </c>
      <c r="O11" s="158">
        <v>7</v>
      </c>
      <c r="P11" s="130"/>
      <c r="Q11" s="130"/>
      <c r="R11" s="104"/>
    </row>
    <row r="12" spans="2:18">
      <c r="B12" s="158">
        <v>8</v>
      </c>
      <c r="C12" s="130"/>
      <c r="D12" s="22"/>
      <c r="E12" s="59" t="str">
        <f>IF($C12&lt;&gt;"","ALERT_" &amp; D12 &amp; "_ID_"&amp;UPPER(Matrix!$D$6) &amp; "_" &amp; $C12,"")</f>
        <v/>
      </c>
      <c r="F12" s="103"/>
      <c r="G12" s="59" t="str">
        <f t="shared" si="0"/>
        <v/>
      </c>
      <c r="O12" s="158">
        <v>8</v>
      </c>
      <c r="P12" s="130"/>
      <c r="Q12" s="130"/>
      <c r="R12" s="104"/>
    </row>
    <row r="13" spans="2:18">
      <c r="B13" s="158">
        <v>9</v>
      </c>
      <c r="C13" s="130"/>
      <c r="D13" s="22"/>
      <c r="E13" s="59" t="str">
        <f>IF($C13&lt;&gt;"","ALERT_" &amp; D13 &amp; "_ID_"&amp;UPPER(Matrix!$D$6) &amp; "_" &amp; $C13,"")</f>
        <v/>
      </c>
      <c r="F13" s="103"/>
      <c r="G13" s="59" t="str">
        <f t="shared" si="0"/>
        <v/>
      </c>
      <c r="O13" s="158">
        <v>9</v>
      </c>
      <c r="P13" s="130"/>
      <c r="Q13" s="130"/>
      <c r="R13" s="104"/>
    </row>
    <row r="14" spans="2:18">
      <c r="B14" s="158">
        <v>10</v>
      </c>
      <c r="C14" s="130"/>
      <c r="D14" s="22"/>
      <c r="E14" s="59" t="str">
        <f>IF($C14&lt;&gt;"","ALERT_" &amp; D14 &amp; "_ID_"&amp;UPPER(Matrix!$D$6) &amp; "_" &amp; $C14,"")</f>
        <v/>
      </c>
      <c r="F14" s="103"/>
      <c r="G14" s="59" t="str">
        <f t="shared" si="0"/>
        <v/>
      </c>
      <c r="O14" s="158">
        <v>10</v>
      </c>
      <c r="P14" s="130"/>
      <c r="Q14" s="130"/>
      <c r="R14" s="104"/>
    </row>
    <row r="15" spans="2:18">
      <c r="B15" s="158">
        <v>11</v>
      </c>
      <c r="C15" s="130"/>
      <c r="D15" s="22"/>
      <c r="E15" s="59" t="str">
        <f>IF($C15&lt;&gt;"","ALERT_" &amp; D15 &amp; "_ID_"&amp;UPPER(Matrix!$D$6) &amp; "_" &amp; $C15,"")</f>
        <v/>
      </c>
      <c r="F15" s="103"/>
      <c r="G15" s="59" t="str">
        <f t="shared" si="0"/>
        <v/>
      </c>
      <c r="O15" s="158">
        <v>11</v>
      </c>
      <c r="P15" s="130"/>
      <c r="Q15" s="130"/>
      <c r="R15" s="104"/>
    </row>
    <row r="16" spans="2:18">
      <c r="B16" s="158">
        <v>12</v>
      </c>
      <c r="C16" s="130"/>
      <c r="D16" s="22"/>
      <c r="E16" s="59" t="str">
        <f>IF($C16&lt;&gt;"","ALERT_" &amp; D16 &amp; "_ID_"&amp;UPPER(Matrix!$D$6) &amp; "_" &amp; $C16,"")</f>
        <v/>
      </c>
      <c r="F16" s="103"/>
      <c r="G16" s="59" t="str">
        <f t="shared" si="0"/>
        <v/>
      </c>
      <c r="O16" s="158">
        <v>12</v>
      </c>
      <c r="P16" s="130"/>
      <c r="Q16" s="130"/>
      <c r="R16" s="104"/>
    </row>
    <row r="17" spans="2:18">
      <c r="B17" s="158">
        <v>13</v>
      </c>
      <c r="C17" s="130"/>
      <c r="D17" s="22"/>
      <c r="E17" s="59" t="str">
        <f>IF($C17&lt;&gt;"","ALERT_" &amp; D17 &amp; "_ID_"&amp;UPPER(Matrix!$D$6) &amp; "_" &amp; $C17,"")</f>
        <v/>
      </c>
      <c r="F17" s="103"/>
      <c r="G17" s="59" t="str">
        <f t="shared" si="0"/>
        <v/>
      </c>
      <c r="O17" s="158">
        <v>13</v>
      </c>
      <c r="P17" s="130"/>
      <c r="Q17" s="130"/>
      <c r="R17" s="104"/>
    </row>
    <row r="18" spans="2:18">
      <c r="B18" s="158">
        <v>14</v>
      </c>
      <c r="C18" s="130"/>
      <c r="D18" s="22"/>
      <c r="E18" s="59" t="str">
        <f>IF($C18&lt;&gt;"","ALERT_" &amp; D18 &amp; "_ID_"&amp;UPPER(Matrix!$D$6) &amp; "_" &amp; $C18,"")</f>
        <v/>
      </c>
      <c r="F18" s="103"/>
      <c r="G18" s="59" t="str">
        <f t="shared" si="0"/>
        <v/>
      </c>
      <c r="O18" s="158">
        <v>14</v>
      </c>
      <c r="P18" s="130"/>
      <c r="Q18" s="130"/>
      <c r="R18" s="104"/>
    </row>
    <row r="19" spans="2:18">
      <c r="B19" s="158">
        <v>15</v>
      </c>
      <c r="C19" s="130"/>
      <c r="D19" s="22"/>
      <c r="E19" s="59" t="str">
        <f>IF($C19&lt;&gt;"","ALERT_" &amp; D19 &amp; "_ID_"&amp;UPPER(Matrix!$D$6) &amp; "_" &amp; $C19,"")</f>
        <v/>
      </c>
      <c r="F19" s="103"/>
      <c r="G19" s="59" t="str">
        <f t="shared" si="0"/>
        <v/>
      </c>
      <c r="O19" s="158">
        <v>15</v>
      </c>
      <c r="P19" s="130"/>
      <c r="Q19" s="130"/>
      <c r="R19" s="104"/>
    </row>
    <row r="20" spans="2:18">
      <c r="B20" s="158">
        <v>16</v>
      </c>
      <c r="C20" s="130"/>
      <c r="D20" s="22"/>
      <c r="E20" s="59" t="str">
        <f>IF($C20&lt;&gt;"","ALERT_" &amp; D20 &amp; "_ID_"&amp;UPPER(Matrix!$D$6) &amp; "_" &amp; $C20,"")</f>
        <v/>
      </c>
      <c r="F20" s="103"/>
      <c r="G20" s="59" t="str">
        <f t="shared" si="0"/>
        <v/>
      </c>
      <c r="O20" s="158">
        <v>16</v>
      </c>
      <c r="P20" s="130"/>
      <c r="Q20" s="130"/>
      <c r="R20" s="104"/>
    </row>
    <row r="21" spans="2:18">
      <c r="B21" s="158">
        <v>17</v>
      </c>
      <c r="C21" s="130"/>
      <c r="D21" s="22"/>
      <c r="E21" s="59" t="str">
        <f>IF($C21&lt;&gt;"","ALERT_" &amp; D21 &amp; "_ID_"&amp;UPPER(Matrix!$D$6) &amp; "_" &amp; $C21,"")</f>
        <v/>
      </c>
      <c r="F21" s="103"/>
      <c r="G21" s="59" t="str">
        <f t="shared" si="0"/>
        <v/>
      </c>
      <c r="O21" s="158">
        <v>17</v>
      </c>
      <c r="P21" s="130"/>
      <c r="Q21" s="130"/>
      <c r="R21" s="104"/>
    </row>
    <row r="22" spans="2:18">
      <c r="B22" s="158">
        <v>18</v>
      </c>
      <c r="C22" s="130"/>
      <c r="D22" s="22"/>
      <c r="E22" s="59" t="str">
        <f>IF($C22&lt;&gt;"","ALERT_" &amp; D22 &amp; "_ID_"&amp;UPPER(Matrix!$D$6) &amp; "_" &amp; $C22,"")</f>
        <v/>
      </c>
      <c r="F22" s="103"/>
      <c r="G22" s="59" t="str">
        <f t="shared" si="0"/>
        <v/>
      </c>
      <c r="O22" s="158">
        <v>18</v>
      </c>
      <c r="P22" s="130"/>
      <c r="Q22" s="130"/>
      <c r="R22" s="104"/>
    </row>
    <row r="23" spans="2:18">
      <c r="B23" s="158">
        <v>19</v>
      </c>
      <c r="C23" s="130"/>
      <c r="D23" s="22"/>
      <c r="E23" s="59" t="str">
        <f>IF($C23&lt;&gt;"","ALERT_" &amp; D23 &amp; "_ID_"&amp;UPPER(Matrix!$D$6) &amp; "_" &amp; $C23,"")</f>
        <v/>
      </c>
      <c r="F23" s="103"/>
      <c r="G23" s="59" t="str">
        <f t="shared" si="0"/>
        <v/>
      </c>
      <c r="O23" s="158">
        <v>19</v>
      </c>
      <c r="P23" s="130"/>
      <c r="Q23" s="130"/>
      <c r="R23" s="104"/>
    </row>
    <row r="24" spans="2:18">
      <c r="B24" s="158">
        <v>20</v>
      </c>
      <c r="C24" s="130"/>
      <c r="D24" s="22"/>
      <c r="E24" s="59" t="str">
        <f>IF($C24&lt;&gt;"","ALERT_" &amp; D24 &amp; "_ID_"&amp;UPPER(Matrix!$D$6) &amp; "_" &amp; $C24,"")</f>
        <v/>
      </c>
      <c r="F24" s="103"/>
      <c r="G24" s="59" t="str">
        <f t="shared" si="0"/>
        <v/>
      </c>
      <c r="O24" s="158">
        <v>20</v>
      </c>
      <c r="P24" s="130"/>
      <c r="Q24" s="130"/>
      <c r="R24" s="104"/>
    </row>
    <row r="25" spans="2:18">
      <c r="B25" s="158">
        <v>21</v>
      </c>
      <c r="C25" s="130"/>
      <c r="D25" s="22"/>
      <c r="E25" s="59" t="str">
        <f>IF($C25&lt;&gt;"","ALERT_" &amp; D25 &amp; "_ID_"&amp;UPPER(Matrix!$D$6) &amp; "_" &amp; $C25,"")</f>
        <v/>
      </c>
      <c r="F25" s="103"/>
      <c r="G25" s="59" t="str">
        <f t="shared" si="0"/>
        <v/>
      </c>
      <c r="O25" s="158">
        <v>21</v>
      </c>
      <c r="P25" s="130"/>
      <c r="Q25" s="130"/>
      <c r="R25" s="104"/>
    </row>
    <row r="26" spans="2:18">
      <c r="B26" s="158">
        <v>22</v>
      </c>
      <c r="C26" s="130"/>
      <c r="D26" s="22"/>
      <c r="E26" s="59" t="str">
        <f>IF($C26&lt;&gt;"","ALERT_" &amp; D26 &amp; "_ID_"&amp;UPPER(Matrix!$D$6) &amp; "_" &amp; $C26,"")</f>
        <v/>
      </c>
      <c r="F26" s="103"/>
      <c r="G26" s="59" t="str">
        <f t="shared" si="0"/>
        <v/>
      </c>
      <c r="O26" s="158">
        <v>22</v>
      </c>
      <c r="P26" s="130"/>
      <c r="Q26" s="130"/>
      <c r="R26" s="104"/>
    </row>
    <row r="27" spans="2:18">
      <c r="B27" s="158">
        <v>23</v>
      </c>
      <c r="C27" s="130"/>
      <c r="D27" s="22"/>
      <c r="E27" s="59" t="str">
        <f>IF($C27&lt;&gt;"","ALERT_" &amp; D27 &amp; "_ID_"&amp;UPPER(Matrix!$D$6) &amp; "_" &amp; $C27,"")</f>
        <v/>
      </c>
      <c r="F27" s="103"/>
      <c r="G27" s="59" t="str">
        <f t="shared" si="0"/>
        <v/>
      </c>
      <c r="O27" s="158">
        <v>23</v>
      </c>
      <c r="P27" s="130"/>
      <c r="Q27" s="130"/>
      <c r="R27" s="104"/>
    </row>
    <row r="28" spans="2:18">
      <c r="B28" s="158">
        <v>24</v>
      </c>
      <c r="C28" s="130"/>
      <c r="D28" s="22"/>
      <c r="E28" s="59" t="str">
        <f>IF($C28&lt;&gt;"","ALERT_" &amp; D28 &amp; "_ID_"&amp;UPPER(Matrix!$D$6) &amp; "_" &amp; $C28,"")</f>
        <v/>
      </c>
      <c r="F28" s="103"/>
      <c r="G28" s="59" t="str">
        <f t="shared" si="0"/>
        <v/>
      </c>
      <c r="O28" s="158">
        <v>24</v>
      </c>
      <c r="P28" s="130"/>
      <c r="Q28" s="130"/>
      <c r="R28" s="104"/>
    </row>
    <row r="29" spans="2:18" ht="14.25" thickBot="1">
      <c r="B29" s="159">
        <v>25</v>
      </c>
      <c r="C29" s="128"/>
      <c r="D29" s="45"/>
      <c r="E29" s="60" t="str">
        <f>IF($C29&lt;&gt;"","ALERT_" &amp; D29 &amp; "_ID_"&amp;UPPER(Matrix!$D$6) &amp; "_" &amp; $C29,"")</f>
        <v/>
      </c>
      <c r="F29" s="105"/>
      <c r="G29" s="60" t="str">
        <f t="shared" si="0"/>
        <v/>
      </c>
      <c r="O29" s="159">
        <v>25</v>
      </c>
      <c r="P29" s="128"/>
      <c r="Q29" s="128"/>
      <c r="R29" s="106"/>
    </row>
    <row r="32" spans="2:18" ht="14.25" thickBot="1">
      <c r="B32" t="s">
        <v>181</v>
      </c>
      <c r="O32" t="s">
        <v>178</v>
      </c>
    </row>
    <row r="33" spans="2:18" ht="14.25" thickBot="1">
      <c r="B33" s="126" t="s">
        <v>34</v>
      </c>
      <c r="C33" s="94" t="s">
        <v>170</v>
      </c>
      <c r="D33" s="94" t="s">
        <v>175</v>
      </c>
      <c r="E33" s="95" t="s">
        <v>173</v>
      </c>
      <c r="F33" s="164" t="s">
        <v>174</v>
      </c>
      <c r="G33" s="164" t="s">
        <v>185</v>
      </c>
      <c r="O33" s="126" t="s">
        <v>34</v>
      </c>
      <c r="P33" s="163" t="s">
        <v>167</v>
      </c>
      <c r="Q33" s="163" t="s">
        <v>183</v>
      </c>
      <c r="R33" s="164" t="s">
        <v>171</v>
      </c>
    </row>
    <row r="34" spans="2:18" ht="14.25" hidden="1" thickTop="1">
      <c r="B34" s="155">
        <v>0</v>
      </c>
      <c r="C34" s="156" t="s">
        <v>156</v>
      </c>
      <c r="D34" s="156"/>
      <c r="E34" s="157"/>
      <c r="F34" s="166" t="s">
        <v>156</v>
      </c>
      <c r="G34" s="169"/>
      <c r="O34" s="165">
        <v>0</v>
      </c>
      <c r="P34" s="162" t="s">
        <v>156</v>
      </c>
      <c r="Q34" s="162" t="s">
        <v>156</v>
      </c>
      <c r="R34" s="166" t="s">
        <v>156</v>
      </c>
    </row>
    <row r="35" spans="2:18" ht="14.25" thickTop="1">
      <c r="B35" s="158">
        <v>1</v>
      </c>
      <c r="C35" s="130"/>
      <c r="D35" s="22"/>
      <c r="E35" s="59" t="str">
        <f>IF($C35&lt;&gt;"","ALERT_" &amp; UPPER(Matrix!$D$6) &amp; "_" &amp; $C35,"")</f>
        <v/>
      </c>
      <c r="F35" s="160"/>
      <c r="G35" s="59" t="str">
        <f>IF(E35&lt;&gt;"",LEN(E35),"")</f>
        <v/>
      </c>
      <c r="O35" s="158">
        <v>1</v>
      </c>
      <c r="P35" s="130"/>
      <c r="Q35" s="130"/>
      <c r="R35" s="160"/>
    </row>
    <row r="36" spans="2:18">
      <c r="B36" s="158">
        <v>2</v>
      </c>
      <c r="C36" s="130"/>
      <c r="D36" s="22"/>
      <c r="E36" s="59" t="str">
        <f>IF($C36&lt;&gt;"","ALERT_" &amp; UPPER(Matrix!$D$6) &amp; "_" &amp; $C36,"")</f>
        <v/>
      </c>
      <c r="F36" s="160"/>
      <c r="G36" s="59" t="str">
        <f>IF(E36&lt;&gt;"",LEN(E36),"")</f>
        <v/>
      </c>
      <c r="O36" s="158">
        <v>2</v>
      </c>
      <c r="P36" s="130"/>
      <c r="Q36" s="130"/>
      <c r="R36" s="160"/>
    </row>
    <row r="37" spans="2:18">
      <c r="B37" s="158">
        <v>3</v>
      </c>
      <c r="C37" s="130"/>
      <c r="D37" s="22"/>
      <c r="E37" s="59" t="str">
        <f>IF($C37&lt;&gt;"","ALERT_" &amp; UPPER(Matrix!$D$6) &amp; "_" &amp; $C37,"")</f>
        <v/>
      </c>
      <c r="F37" s="160"/>
      <c r="G37" s="59" t="str">
        <f>IF(E37&lt;&gt;"",LEN(E37),"")</f>
        <v/>
      </c>
      <c r="O37" s="158">
        <v>3</v>
      </c>
      <c r="P37" s="130"/>
      <c r="Q37" s="130"/>
      <c r="R37" s="160"/>
    </row>
    <row r="38" spans="2:18">
      <c r="B38" s="158">
        <v>4</v>
      </c>
      <c r="C38" s="130"/>
      <c r="D38" s="22"/>
      <c r="E38" s="59" t="str">
        <f>IF($C38&lt;&gt;"","ALERT_" &amp; UPPER(Matrix!$D$6) &amp; "_" &amp; $C38,"")</f>
        <v/>
      </c>
      <c r="F38" s="160"/>
      <c r="G38" s="59" t="str">
        <f t="shared" ref="G38:G59" si="1">IF(E38&lt;&gt;"",LEN(E38),"")</f>
        <v/>
      </c>
      <c r="O38" s="158">
        <v>4</v>
      </c>
      <c r="P38" s="130"/>
      <c r="Q38" s="130"/>
      <c r="R38" s="160"/>
    </row>
    <row r="39" spans="2:18">
      <c r="B39" s="158">
        <v>5</v>
      </c>
      <c r="C39" s="130"/>
      <c r="D39" s="22"/>
      <c r="E39" s="59" t="str">
        <f>IF($C39&lt;&gt;"","ALERT_" &amp; UPPER(Matrix!$D$6) &amp; "_" &amp; $C39,"")</f>
        <v/>
      </c>
      <c r="F39" s="160"/>
      <c r="G39" s="59" t="str">
        <f t="shared" si="1"/>
        <v/>
      </c>
      <c r="O39" s="158">
        <v>5</v>
      </c>
      <c r="P39" s="130"/>
      <c r="Q39" s="130"/>
      <c r="R39" s="160"/>
    </row>
    <row r="40" spans="2:18">
      <c r="B40" s="158">
        <v>6</v>
      </c>
      <c r="C40" s="130"/>
      <c r="D40" s="22"/>
      <c r="E40" s="59" t="str">
        <f>IF($C40&lt;&gt;"","ALERT_" &amp; UPPER(Matrix!$D$6) &amp; "_" &amp; $C40,"")</f>
        <v/>
      </c>
      <c r="F40" s="160"/>
      <c r="G40" s="59" t="str">
        <f t="shared" si="1"/>
        <v/>
      </c>
      <c r="O40" s="158">
        <v>6</v>
      </c>
      <c r="P40" s="130"/>
      <c r="Q40" s="130"/>
      <c r="R40" s="160"/>
    </row>
    <row r="41" spans="2:18">
      <c r="B41" s="158">
        <v>7</v>
      </c>
      <c r="C41" s="130"/>
      <c r="D41" s="22"/>
      <c r="E41" s="59" t="str">
        <f>IF($C41&lt;&gt;"","ALERT_" &amp; UPPER(Matrix!$D$6) &amp; "_" &amp; $C41,"")</f>
        <v/>
      </c>
      <c r="F41" s="160"/>
      <c r="G41" s="59" t="str">
        <f t="shared" si="1"/>
        <v/>
      </c>
      <c r="O41" s="158">
        <v>7</v>
      </c>
      <c r="P41" s="130"/>
      <c r="Q41" s="130"/>
      <c r="R41" s="160"/>
    </row>
    <row r="42" spans="2:18">
      <c r="B42" s="158">
        <v>8</v>
      </c>
      <c r="C42" s="130"/>
      <c r="D42" s="22"/>
      <c r="E42" s="59" t="str">
        <f>IF($C42&lt;&gt;"","ALERT_" &amp; UPPER(Matrix!$D$6) &amp; "_" &amp; $C42,"")</f>
        <v/>
      </c>
      <c r="F42" s="160"/>
      <c r="G42" s="59" t="str">
        <f t="shared" si="1"/>
        <v/>
      </c>
      <c r="O42" s="158">
        <v>8</v>
      </c>
      <c r="P42" s="130"/>
      <c r="Q42" s="130"/>
      <c r="R42" s="160"/>
    </row>
    <row r="43" spans="2:18">
      <c r="B43" s="158">
        <v>9</v>
      </c>
      <c r="C43" s="130"/>
      <c r="D43" s="22"/>
      <c r="E43" s="59" t="str">
        <f>IF($C43&lt;&gt;"","ALERT_" &amp; UPPER(Matrix!$D$6) &amp; "_" &amp; $C43,"")</f>
        <v/>
      </c>
      <c r="F43" s="160"/>
      <c r="G43" s="59" t="str">
        <f t="shared" si="1"/>
        <v/>
      </c>
      <c r="O43" s="158">
        <v>9</v>
      </c>
      <c r="P43" s="130"/>
      <c r="Q43" s="130"/>
      <c r="R43" s="160"/>
    </row>
    <row r="44" spans="2:18">
      <c r="B44" s="158">
        <v>10</v>
      </c>
      <c r="C44" s="130"/>
      <c r="D44" s="22"/>
      <c r="E44" s="59" t="str">
        <f>IF($C44&lt;&gt;"","ALERT_" &amp; UPPER(Matrix!$D$6) &amp; "_" &amp; $C44,"")</f>
        <v/>
      </c>
      <c r="F44" s="160"/>
      <c r="G44" s="59" t="str">
        <f t="shared" si="1"/>
        <v/>
      </c>
      <c r="O44" s="158">
        <v>10</v>
      </c>
      <c r="P44" s="130"/>
      <c r="Q44" s="130"/>
      <c r="R44" s="160"/>
    </row>
    <row r="45" spans="2:18">
      <c r="B45" s="158">
        <v>11</v>
      </c>
      <c r="C45" s="130"/>
      <c r="D45" s="22"/>
      <c r="E45" s="59" t="str">
        <f>IF($C45&lt;&gt;"","ALERT_" &amp; UPPER(Matrix!$D$6) &amp; "_" &amp; $C45,"")</f>
        <v/>
      </c>
      <c r="F45" s="160"/>
      <c r="G45" s="59" t="str">
        <f t="shared" si="1"/>
        <v/>
      </c>
      <c r="O45" s="158">
        <v>11</v>
      </c>
      <c r="P45" s="130"/>
      <c r="Q45" s="130"/>
      <c r="R45" s="160"/>
    </row>
    <row r="46" spans="2:18">
      <c r="B46" s="158">
        <v>12</v>
      </c>
      <c r="C46" s="130"/>
      <c r="D46" s="22"/>
      <c r="E46" s="59" t="str">
        <f>IF($C46&lt;&gt;"","ALERT_" &amp; UPPER(Matrix!$D$6) &amp; "_" &amp; $C46,"")</f>
        <v/>
      </c>
      <c r="F46" s="160"/>
      <c r="G46" s="59" t="str">
        <f t="shared" si="1"/>
        <v/>
      </c>
      <c r="O46" s="158">
        <v>12</v>
      </c>
      <c r="P46" s="130"/>
      <c r="Q46" s="130"/>
      <c r="R46" s="160"/>
    </row>
    <row r="47" spans="2:18">
      <c r="B47" s="158">
        <v>13</v>
      </c>
      <c r="C47" s="130"/>
      <c r="D47" s="22"/>
      <c r="E47" s="59" t="str">
        <f>IF($C47&lt;&gt;"","ALERT_" &amp; UPPER(Matrix!$D$6) &amp; "_" &amp; $C47,"")</f>
        <v/>
      </c>
      <c r="F47" s="160"/>
      <c r="G47" s="59" t="str">
        <f t="shared" si="1"/>
        <v/>
      </c>
      <c r="O47" s="158">
        <v>13</v>
      </c>
      <c r="P47" s="130"/>
      <c r="Q47" s="130"/>
      <c r="R47" s="160"/>
    </row>
    <row r="48" spans="2:18">
      <c r="B48" s="158">
        <v>14</v>
      </c>
      <c r="C48" s="130"/>
      <c r="D48" s="22"/>
      <c r="E48" s="59" t="str">
        <f>IF($C48&lt;&gt;"","ALERT_" &amp; UPPER(Matrix!$D$6) &amp; "_" &amp; $C48,"")</f>
        <v/>
      </c>
      <c r="F48" s="160"/>
      <c r="G48" s="59" t="str">
        <f t="shared" si="1"/>
        <v/>
      </c>
      <c r="O48" s="158">
        <v>14</v>
      </c>
      <c r="P48" s="130"/>
      <c r="Q48" s="130"/>
      <c r="R48" s="160"/>
    </row>
    <row r="49" spans="2:18">
      <c r="B49" s="158">
        <v>15</v>
      </c>
      <c r="C49" s="130"/>
      <c r="D49" s="22"/>
      <c r="E49" s="59" t="str">
        <f>IF($C49&lt;&gt;"","ALERT_" &amp; UPPER(Matrix!$D$6) &amp; "_" &amp; $C49,"")</f>
        <v/>
      </c>
      <c r="F49" s="160"/>
      <c r="G49" s="59" t="str">
        <f t="shared" si="1"/>
        <v/>
      </c>
      <c r="O49" s="158">
        <v>15</v>
      </c>
      <c r="P49" s="130"/>
      <c r="Q49" s="130"/>
      <c r="R49" s="160"/>
    </row>
    <row r="50" spans="2:18">
      <c r="B50" s="158">
        <v>16</v>
      </c>
      <c r="C50" s="130"/>
      <c r="D50" s="22"/>
      <c r="E50" s="59" t="str">
        <f>IF($C50&lt;&gt;"","ALERT_" &amp; UPPER(Matrix!$D$6) &amp; "_" &amp; $C50,"")</f>
        <v/>
      </c>
      <c r="F50" s="160"/>
      <c r="G50" s="59" t="str">
        <f t="shared" si="1"/>
        <v/>
      </c>
      <c r="O50" s="158">
        <v>16</v>
      </c>
      <c r="P50" s="130"/>
      <c r="Q50" s="130"/>
      <c r="R50" s="160"/>
    </row>
    <row r="51" spans="2:18">
      <c r="B51" s="158">
        <v>17</v>
      </c>
      <c r="C51" s="130"/>
      <c r="D51" s="22"/>
      <c r="E51" s="59" t="str">
        <f>IF($C51&lt;&gt;"","ALERT_" &amp; UPPER(Matrix!$D$6) &amp; "_" &amp; $C51,"")</f>
        <v/>
      </c>
      <c r="F51" s="160"/>
      <c r="G51" s="59" t="str">
        <f t="shared" si="1"/>
        <v/>
      </c>
      <c r="O51" s="158">
        <v>17</v>
      </c>
      <c r="P51" s="130"/>
      <c r="Q51" s="130"/>
      <c r="R51" s="160"/>
    </row>
    <row r="52" spans="2:18">
      <c r="B52" s="158">
        <v>18</v>
      </c>
      <c r="C52" s="130"/>
      <c r="D52" s="22"/>
      <c r="E52" s="59" t="str">
        <f>IF($C52&lt;&gt;"","ALERT_" &amp; UPPER(Matrix!$D$6) &amp; "_" &amp; $C52,"")</f>
        <v/>
      </c>
      <c r="F52" s="160"/>
      <c r="G52" s="59" t="str">
        <f t="shared" si="1"/>
        <v/>
      </c>
      <c r="O52" s="158">
        <v>18</v>
      </c>
      <c r="P52" s="130"/>
      <c r="Q52" s="130"/>
      <c r="R52" s="160"/>
    </row>
    <row r="53" spans="2:18">
      <c r="B53" s="158">
        <v>19</v>
      </c>
      <c r="C53" s="130"/>
      <c r="D53" s="22"/>
      <c r="E53" s="59" t="str">
        <f>IF($C53&lt;&gt;"","ALERT_" &amp; UPPER(Matrix!$D$6) &amp; "_" &amp; $C53,"")</f>
        <v/>
      </c>
      <c r="F53" s="160"/>
      <c r="G53" s="59" t="str">
        <f t="shared" si="1"/>
        <v/>
      </c>
      <c r="O53" s="158">
        <v>19</v>
      </c>
      <c r="P53" s="130"/>
      <c r="Q53" s="130"/>
      <c r="R53" s="160"/>
    </row>
    <row r="54" spans="2:18">
      <c r="B54" s="158">
        <v>20</v>
      </c>
      <c r="C54" s="130"/>
      <c r="D54" s="22"/>
      <c r="E54" s="59" t="str">
        <f>IF($C54&lt;&gt;"","ALERT_" &amp; UPPER(Matrix!$D$6) &amp; "_" &amp; $C54,"")</f>
        <v/>
      </c>
      <c r="F54" s="160"/>
      <c r="G54" s="59" t="str">
        <f t="shared" si="1"/>
        <v/>
      </c>
      <c r="O54" s="158">
        <v>20</v>
      </c>
      <c r="P54" s="130"/>
      <c r="Q54" s="130"/>
      <c r="R54" s="160"/>
    </row>
    <row r="55" spans="2:18">
      <c r="B55" s="158">
        <v>21</v>
      </c>
      <c r="C55" s="130"/>
      <c r="D55" s="22"/>
      <c r="E55" s="59" t="str">
        <f>IF($C55&lt;&gt;"","ALERT_" &amp; UPPER(Matrix!$D$6) &amp; "_" &amp; $C55,"")</f>
        <v/>
      </c>
      <c r="F55" s="160"/>
      <c r="G55" s="59" t="str">
        <f t="shared" si="1"/>
        <v/>
      </c>
      <c r="O55" s="158">
        <v>21</v>
      </c>
      <c r="P55" s="130"/>
      <c r="Q55" s="130"/>
      <c r="R55" s="160"/>
    </row>
    <row r="56" spans="2:18">
      <c r="B56" s="158">
        <v>22</v>
      </c>
      <c r="C56" s="130"/>
      <c r="D56" s="22"/>
      <c r="E56" s="59" t="str">
        <f>IF($C56&lt;&gt;"","ALERT_" &amp; UPPER(Matrix!$D$6) &amp; "_" &amp; $C56,"")</f>
        <v/>
      </c>
      <c r="F56" s="160"/>
      <c r="G56" s="59" t="str">
        <f t="shared" si="1"/>
        <v/>
      </c>
      <c r="O56" s="158">
        <v>22</v>
      </c>
      <c r="P56" s="130"/>
      <c r="Q56" s="130"/>
      <c r="R56" s="160"/>
    </row>
    <row r="57" spans="2:18">
      <c r="B57" s="158">
        <v>23</v>
      </c>
      <c r="C57" s="130"/>
      <c r="D57" s="22"/>
      <c r="E57" s="59" t="str">
        <f>IF($C57&lt;&gt;"","ALERT_" &amp; UPPER(Matrix!$D$6) &amp; "_" &amp; $C57,"")</f>
        <v/>
      </c>
      <c r="F57" s="160"/>
      <c r="G57" s="59" t="str">
        <f t="shared" si="1"/>
        <v/>
      </c>
      <c r="O57" s="158">
        <v>23</v>
      </c>
      <c r="P57" s="130"/>
      <c r="Q57" s="130"/>
      <c r="R57" s="160"/>
    </row>
    <row r="58" spans="2:18">
      <c r="B58" s="158">
        <v>24</v>
      </c>
      <c r="C58" s="130"/>
      <c r="D58" s="22"/>
      <c r="E58" s="59" t="str">
        <f>IF($C58&lt;&gt;"","ALERT_" &amp; UPPER(Matrix!$D$6) &amp; "_" &amp; $C58,"")</f>
        <v/>
      </c>
      <c r="F58" s="160"/>
      <c r="G58" s="59" t="str">
        <f t="shared" si="1"/>
        <v/>
      </c>
      <c r="O58" s="158">
        <v>24</v>
      </c>
      <c r="P58" s="130"/>
      <c r="Q58" s="130"/>
      <c r="R58" s="160"/>
    </row>
    <row r="59" spans="2:18" ht="14.25" thickBot="1">
      <c r="B59" s="159">
        <v>25</v>
      </c>
      <c r="C59" s="128"/>
      <c r="D59" s="45"/>
      <c r="E59" s="60" t="str">
        <f>IF($C59&lt;&gt;"","ALERT_" &amp; UPPER(Matrix!$D$6) &amp; "_" &amp; $C59,"")</f>
        <v/>
      </c>
      <c r="F59" s="161"/>
      <c r="G59" s="60" t="str">
        <f t="shared" si="1"/>
        <v/>
      </c>
      <c r="O59" s="159">
        <v>25</v>
      </c>
      <c r="P59" s="128"/>
      <c r="Q59" s="128"/>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0" t="s">
        <v>100</v>
      </c>
    </row>
    <row r="2" spans="2:21" ht="14.25" thickBot="1">
      <c r="B2" s="88" t="s">
        <v>58</v>
      </c>
      <c r="C2" s="89" t="s">
        <v>118</v>
      </c>
      <c r="D2" s="90" t="s">
        <v>52</v>
      </c>
      <c r="E2" s="91" t="s">
        <v>53</v>
      </c>
      <c r="F2" s="92" t="s">
        <v>23</v>
      </c>
      <c r="G2" s="91" t="s">
        <v>54</v>
      </c>
      <c r="H2" s="92" t="s">
        <v>25</v>
      </c>
      <c r="I2" s="91" t="s">
        <v>55</v>
      </c>
      <c r="J2" s="92" t="s">
        <v>154</v>
      </c>
      <c r="K2" s="91" t="s">
        <v>56</v>
      </c>
      <c r="L2" s="92" t="s">
        <v>26</v>
      </c>
      <c r="M2" s="89" t="s">
        <v>57</v>
      </c>
      <c r="N2" s="92" t="s">
        <v>113</v>
      </c>
      <c r="O2" s="109" t="s">
        <v>80</v>
      </c>
    </row>
    <row r="3" spans="2:21" ht="15" hidden="1" thickTop="1" thickBot="1">
      <c r="B3" s="23"/>
      <c r="C3" s="42" t="s">
        <v>104</v>
      </c>
      <c r="D3" s="102"/>
      <c r="E3" s="12"/>
      <c r="F3" s="13"/>
      <c r="G3" s="12"/>
      <c r="H3" s="13"/>
      <c r="I3" s="12"/>
      <c r="J3" s="13"/>
      <c r="K3" s="12"/>
      <c r="L3" s="13"/>
      <c r="M3" s="43"/>
      <c r="N3" s="100"/>
      <c r="O3" s="110"/>
      <c r="U3" s="84" t="s">
        <v>94</v>
      </c>
    </row>
    <row r="4" spans="2:21" ht="14.25" thickTop="1">
      <c r="B4" s="99" t="s">
        <v>287</v>
      </c>
      <c r="C4" s="97" t="s">
        <v>201</v>
      </c>
      <c r="D4" s="107">
        <v>0</v>
      </c>
      <c r="E4" s="170" t="s">
        <v>122</v>
      </c>
      <c r="F4" s="171" t="s">
        <v>31</v>
      </c>
      <c r="G4" s="170" t="s">
        <v>122</v>
      </c>
      <c r="H4" s="171" t="s">
        <v>322</v>
      </c>
      <c r="I4" s="170" t="s">
        <v>122</v>
      </c>
      <c r="J4" s="171" t="s">
        <v>289</v>
      </c>
      <c r="K4" s="170" t="s">
        <v>122</v>
      </c>
      <c r="L4" s="171" t="s">
        <v>234</v>
      </c>
      <c r="M4" s="43">
        <f ca="1">LEN(N4)</f>
        <v>27</v>
      </c>
      <c r="N4" s="100" t="str">
        <f ca="1">VLOOKUP($B4,Matrix!$H$13:$I$37,2,FALSE)&amp;"_"&amp;C4</f>
        <v>ALERT_REQ_H_TOWWAR_MLFNC_HV</v>
      </c>
      <c r="O4" s="110" t="str">
        <f t="shared" ref="O4:O35" ca="1" si="0">"#define "&amp;N4&amp;REPT(" ",48-M4)&amp;"("&amp;D4&amp;"U)"</f>
        <v>#define ALERT_REQ_H_TOWWAR_MLFNC_HV                     (0U)</v>
      </c>
      <c r="U4" s="84" t="s">
        <v>94</v>
      </c>
    </row>
    <row r="5" spans="2:21">
      <c r="B5" s="99" t="s">
        <v>287</v>
      </c>
      <c r="C5" s="98" t="s">
        <v>202</v>
      </c>
      <c r="D5" s="108">
        <v>1</v>
      </c>
      <c r="E5" s="99" t="s">
        <v>122</v>
      </c>
      <c r="F5" s="172" t="s">
        <v>31</v>
      </c>
      <c r="G5" s="99" t="s">
        <v>122</v>
      </c>
      <c r="H5" s="172" t="s">
        <v>322</v>
      </c>
      <c r="I5" s="170" t="s">
        <v>122</v>
      </c>
      <c r="J5" s="171" t="s">
        <v>290</v>
      </c>
      <c r="K5" s="170" t="s">
        <v>122</v>
      </c>
      <c r="L5" s="171" t="s">
        <v>234</v>
      </c>
      <c r="M5" s="38">
        <f t="shared" ref="M5:M68" ca="1" si="1">LEN(N5)</f>
        <v>27</v>
      </c>
      <c r="N5" s="100" t="str">
        <f ca="1">VLOOKUP($B5,Matrix!$H$13:$I$37,2,FALSE)&amp;"_"&amp;C5</f>
        <v>ALERT_REQ_H_TOWWAR_MLFNC_EV</v>
      </c>
      <c r="O5" s="111" t="str">
        <f t="shared" ca="1" si="0"/>
        <v>#define ALERT_REQ_H_TOWWAR_MLFNC_EV                     (1U)</v>
      </c>
      <c r="U5" s="82" t="s">
        <v>95</v>
      </c>
    </row>
    <row r="6" spans="2:21">
      <c r="B6" s="99" t="s">
        <v>287</v>
      </c>
      <c r="C6" s="97" t="s">
        <v>203</v>
      </c>
      <c r="D6" s="107">
        <v>2</v>
      </c>
      <c r="E6" s="170" t="s">
        <v>122</v>
      </c>
      <c r="F6" s="171" t="s">
        <v>31</v>
      </c>
      <c r="G6" s="170" t="s">
        <v>122</v>
      </c>
      <c r="H6" s="171" t="s">
        <v>321</v>
      </c>
      <c r="I6" s="99" t="s">
        <v>122</v>
      </c>
      <c r="J6" s="171" t="s">
        <v>291</v>
      </c>
      <c r="K6" s="170" t="s">
        <v>122</v>
      </c>
      <c r="L6" s="171" t="s">
        <v>234</v>
      </c>
      <c r="M6" s="38">
        <f t="shared" ca="1" si="1"/>
        <v>28</v>
      </c>
      <c r="N6" s="100" t="str">
        <f ca="1">VLOOKUP($B6,Matrix!$H$13:$I$37,2,FALSE)&amp;"_"&amp;C6</f>
        <v>ALERT_REQ_H_TOWWAR_MLFNC_FCV</v>
      </c>
      <c r="O6" s="111" t="str">
        <f t="shared" ca="1" si="0"/>
        <v>#define ALERT_REQ_H_TOWWAR_MLFNC_FCV                    (2U)</v>
      </c>
      <c r="U6" s="27" t="s">
        <v>96</v>
      </c>
    </row>
    <row r="7" spans="2:21">
      <c r="B7" s="99" t="s">
        <v>287</v>
      </c>
      <c r="C7" s="98" t="s">
        <v>198</v>
      </c>
      <c r="D7" s="108">
        <v>3</v>
      </c>
      <c r="E7" s="170" t="s">
        <v>122</v>
      </c>
      <c r="F7" s="171" t="s">
        <v>31</v>
      </c>
      <c r="G7" s="170" t="s">
        <v>122</v>
      </c>
      <c r="H7" s="171" t="s">
        <v>321</v>
      </c>
      <c r="I7" s="99" t="s">
        <v>122</v>
      </c>
      <c r="J7" s="171" t="s">
        <v>289</v>
      </c>
      <c r="K7" s="170" t="s">
        <v>122</v>
      </c>
      <c r="L7" s="171" t="s">
        <v>234</v>
      </c>
      <c r="M7" s="38">
        <f t="shared" ca="1" si="1"/>
        <v>28</v>
      </c>
      <c r="N7" s="100" t="str">
        <f ca="1">VLOOKUP($B7,Matrix!$H$13:$I$37,2,FALSE)&amp;"_"&amp;C7</f>
        <v>ALERT_REQ_H_TOWWAR_MLFNC_HV2</v>
      </c>
      <c r="O7" s="111" t="str">
        <f t="shared" ca="1" si="0"/>
        <v>#define ALERT_REQ_H_TOWWAR_MLFNC_HV2                    (3U)</v>
      </c>
      <c r="U7" s="27" t="s">
        <v>97</v>
      </c>
    </row>
    <row r="8" spans="2:21">
      <c r="B8" s="99" t="s">
        <v>287</v>
      </c>
      <c r="C8" s="98" t="s">
        <v>286</v>
      </c>
      <c r="D8" s="108">
        <v>4</v>
      </c>
      <c r="E8" s="99" t="s">
        <v>122</v>
      </c>
      <c r="F8" s="172" t="s">
        <v>31</v>
      </c>
      <c r="G8" s="99" t="s">
        <v>122</v>
      </c>
      <c r="H8" s="172" t="s">
        <v>321</v>
      </c>
      <c r="I8" s="170" t="s">
        <v>122</v>
      </c>
      <c r="J8" s="171" t="s">
        <v>193</v>
      </c>
      <c r="K8" s="170" t="s">
        <v>122</v>
      </c>
      <c r="L8" s="171" t="s">
        <v>234</v>
      </c>
      <c r="M8" s="38">
        <f t="shared" ca="1" si="1"/>
        <v>24</v>
      </c>
      <c r="N8" s="100" t="str">
        <f ca="1">VLOOKUP($B8,Matrix!$H$13:$I$37,2,FALSE)&amp;"_"&amp;C8</f>
        <v>ALERT_REQ_H_TOWWAR_MLFNC</v>
      </c>
      <c r="O8" s="111" t="str">
        <f t="shared" ca="1" si="0"/>
        <v>#define ALERT_REQ_H_TOWWAR_MLFNC                        (4U)</v>
      </c>
      <c r="U8" s="27" t="s">
        <v>98</v>
      </c>
    </row>
    <row r="9" spans="2:21">
      <c r="B9" s="99"/>
      <c r="C9" s="98"/>
      <c r="D9" s="108"/>
      <c r="E9" s="99"/>
      <c r="F9" s="172"/>
      <c r="G9" s="99"/>
      <c r="H9" s="172"/>
      <c r="I9" s="170"/>
      <c r="J9" s="171"/>
      <c r="K9" s="170"/>
      <c r="L9" s="171"/>
      <c r="M9" s="38" t="e">
        <f t="shared" ca="1" si="1"/>
        <v>#N/A</v>
      </c>
      <c r="N9" s="100" t="e">
        <f ca="1">VLOOKUP($B9,Matrix!$H$13:$I$37,2,FALSE)&amp;"_"&amp;C9</f>
        <v>#N/A</v>
      </c>
      <c r="O9" s="111" t="e">
        <f t="shared" ca="1" si="0"/>
        <v>#N/A</v>
      </c>
      <c r="U9" s="27" t="s">
        <v>99</v>
      </c>
    </row>
    <row r="10" spans="2:21">
      <c r="B10" s="99"/>
      <c r="C10" s="98"/>
      <c r="D10" s="108"/>
      <c r="E10" s="99"/>
      <c r="F10" s="172"/>
      <c r="G10" s="99"/>
      <c r="H10" s="172"/>
      <c r="I10" s="99"/>
      <c r="J10" s="172"/>
      <c r="K10" s="99"/>
      <c r="L10" s="172"/>
      <c r="M10" s="38" t="e">
        <f t="shared" ca="1" si="1"/>
        <v>#N/A</v>
      </c>
      <c r="N10" s="100" t="e">
        <f ca="1">VLOOKUP($B10,Matrix!$H$13:$I$37,2,FALSE)&amp;"_"&amp;C10</f>
        <v>#N/A</v>
      </c>
      <c r="O10" s="111" t="e">
        <f t="shared" ca="1" si="0"/>
        <v>#N/A</v>
      </c>
      <c r="U10" s="27"/>
    </row>
    <row r="11" spans="2:21">
      <c r="B11" s="99"/>
      <c r="C11" s="98"/>
      <c r="D11" s="108"/>
      <c r="E11" s="99"/>
      <c r="F11" s="172"/>
      <c r="G11" s="99"/>
      <c r="H11" s="172"/>
      <c r="I11" s="99"/>
      <c r="J11" s="172"/>
      <c r="K11" s="99"/>
      <c r="L11" s="172"/>
      <c r="M11" s="38" t="e">
        <f t="shared" ca="1" si="1"/>
        <v>#N/A</v>
      </c>
      <c r="N11" s="100" t="e">
        <f ca="1">VLOOKUP($B11,Matrix!$H$13:$I$37,2,FALSE)&amp;"_"&amp;C11</f>
        <v>#N/A</v>
      </c>
      <c r="O11" s="111" t="e">
        <f t="shared" ca="1" si="0"/>
        <v>#N/A</v>
      </c>
      <c r="U11" s="27"/>
    </row>
    <row r="12" spans="2:21">
      <c r="B12" s="99"/>
      <c r="C12" s="98"/>
      <c r="D12" s="108"/>
      <c r="E12" s="99"/>
      <c r="F12" s="172"/>
      <c r="G12" s="99"/>
      <c r="H12" s="172"/>
      <c r="I12" s="99"/>
      <c r="J12" s="172"/>
      <c r="K12" s="99"/>
      <c r="L12" s="172"/>
      <c r="M12" s="38" t="e">
        <f t="shared" ca="1" si="1"/>
        <v>#N/A</v>
      </c>
      <c r="N12" s="100" t="e">
        <f ca="1">VLOOKUP($B12,Matrix!$H$13:$I$37,2,FALSE)&amp;"_"&amp;C12</f>
        <v>#N/A</v>
      </c>
      <c r="O12" s="111" t="e">
        <f t="shared" ca="1" si="0"/>
        <v>#N/A</v>
      </c>
      <c r="U12" s="27"/>
    </row>
    <row r="13" spans="2:21" ht="14.25" thickBot="1">
      <c r="B13" s="99"/>
      <c r="C13" s="98"/>
      <c r="D13" s="108"/>
      <c r="E13" s="99"/>
      <c r="F13" s="172"/>
      <c r="G13" s="99"/>
      <c r="H13" s="172"/>
      <c r="I13" s="99"/>
      <c r="J13" s="172"/>
      <c r="K13" s="99"/>
      <c r="L13" s="172"/>
      <c r="M13" s="38" t="e">
        <f t="shared" ca="1" si="1"/>
        <v>#N/A</v>
      </c>
      <c r="N13" s="100" t="e">
        <f ca="1">VLOOKUP($B13,Matrix!$H$13:$I$37,2,FALSE)&amp;"_"&amp;C13</f>
        <v>#N/A</v>
      </c>
      <c r="O13" s="111" t="e">
        <f t="shared" ca="1" si="0"/>
        <v>#N/A</v>
      </c>
      <c r="U13" s="83"/>
    </row>
    <row r="14" spans="2:21">
      <c r="B14" s="99"/>
      <c r="C14" s="98"/>
      <c r="D14" s="108"/>
      <c r="E14" s="99"/>
      <c r="F14" s="172"/>
      <c r="G14" s="99"/>
      <c r="H14" s="172"/>
      <c r="I14" s="99"/>
      <c r="J14" s="172"/>
      <c r="K14" s="99"/>
      <c r="L14" s="172"/>
      <c r="M14" s="38" t="e">
        <f t="shared" ca="1" si="1"/>
        <v>#N/A</v>
      </c>
      <c r="N14" s="100" t="e">
        <f ca="1">VLOOKUP($B14,Matrix!$H$13:$I$37,2,FALSE)&amp;"_"&amp;C14</f>
        <v>#N/A</v>
      </c>
      <c r="O14" s="111" t="e">
        <f t="shared" ca="1" si="0"/>
        <v>#N/A</v>
      </c>
    </row>
    <row r="15" spans="2:21">
      <c r="B15" s="99"/>
      <c r="C15" s="98"/>
      <c r="D15" s="108"/>
      <c r="E15" s="99"/>
      <c r="F15" s="172"/>
      <c r="G15" s="99"/>
      <c r="H15" s="172"/>
      <c r="I15" s="99"/>
      <c r="J15" s="172"/>
      <c r="K15" s="99"/>
      <c r="L15" s="172"/>
      <c r="M15" s="38" t="e">
        <f t="shared" ca="1" si="1"/>
        <v>#N/A</v>
      </c>
      <c r="N15" s="100" t="e">
        <f ca="1">VLOOKUP($B15,Matrix!$H$13:$I$37,2,FALSE)&amp;"_"&amp;C15</f>
        <v>#N/A</v>
      </c>
      <c r="O15" s="111" t="e">
        <f t="shared" ca="1" si="0"/>
        <v>#N/A</v>
      </c>
    </row>
    <row r="16" spans="2:21">
      <c r="B16" s="99"/>
      <c r="C16" s="98"/>
      <c r="D16" s="108"/>
      <c r="E16" s="99"/>
      <c r="F16" s="172"/>
      <c r="G16" s="99"/>
      <c r="H16" s="172"/>
      <c r="I16" s="99"/>
      <c r="J16" s="172"/>
      <c r="K16" s="99"/>
      <c r="L16" s="172"/>
      <c r="M16" s="38" t="e">
        <f t="shared" ca="1" si="1"/>
        <v>#N/A</v>
      </c>
      <c r="N16" s="100" t="e">
        <f ca="1">VLOOKUP($B16,Matrix!$H$13:$I$37,2,FALSE)&amp;"_"&amp;C16</f>
        <v>#N/A</v>
      </c>
      <c r="O16" s="111" t="e">
        <f t="shared" ca="1" si="0"/>
        <v>#N/A</v>
      </c>
    </row>
    <row r="17" spans="2:15">
      <c r="B17" s="99"/>
      <c r="C17" s="98"/>
      <c r="D17" s="108"/>
      <c r="E17" s="99"/>
      <c r="F17" s="172"/>
      <c r="G17" s="99"/>
      <c r="H17" s="172"/>
      <c r="I17" s="99"/>
      <c r="J17" s="172"/>
      <c r="K17" s="99"/>
      <c r="L17" s="172"/>
      <c r="M17" s="38" t="e">
        <f t="shared" ca="1" si="1"/>
        <v>#N/A</v>
      </c>
      <c r="N17" s="100" t="e">
        <f ca="1">VLOOKUP($B17,Matrix!$H$13:$I$37,2,FALSE)&amp;"_"&amp;C17</f>
        <v>#N/A</v>
      </c>
      <c r="O17" s="111" t="e">
        <f t="shared" ca="1" si="0"/>
        <v>#N/A</v>
      </c>
    </row>
    <row r="18" spans="2:15">
      <c r="B18" s="23"/>
      <c r="C18" s="22"/>
      <c r="D18" s="103"/>
      <c r="E18" s="23"/>
      <c r="F18" s="104"/>
      <c r="G18" s="23"/>
      <c r="H18" s="104"/>
      <c r="I18" s="23"/>
      <c r="J18" s="104"/>
      <c r="K18" s="23"/>
      <c r="L18" s="104"/>
      <c r="M18" s="38" t="e">
        <f t="shared" ca="1" si="1"/>
        <v>#N/A</v>
      </c>
      <c r="N18" s="100" t="e">
        <f ca="1">VLOOKUP($B18,Matrix!$H$13:$I$37,2,FALSE)&amp;"_"&amp;C18</f>
        <v>#N/A</v>
      </c>
      <c r="O18" s="111" t="e">
        <f t="shared" ca="1" si="0"/>
        <v>#N/A</v>
      </c>
    </row>
    <row r="19" spans="2:15">
      <c r="B19" s="23"/>
      <c r="C19" s="22"/>
      <c r="D19" s="103"/>
      <c r="E19" s="23"/>
      <c r="F19" s="104"/>
      <c r="G19" s="23"/>
      <c r="H19" s="104"/>
      <c r="I19" s="23"/>
      <c r="J19" s="104"/>
      <c r="K19" s="23"/>
      <c r="L19" s="104"/>
      <c r="M19" s="38" t="e">
        <f t="shared" ca="1" si="1"/>
        <v>#N/A</v>
      </c>
      <c r="N19" s="100" t="e">
        <f ca="1">VLOOKUP($B19,Matrix!$H$13:$I$37,2,FALSE)&amp;"_"&amp;C19</f>
        <v>#N/A</v>
      </c>
      <c r="O19" s="111" t="e">
        <f t="shared" ca="1" si="0"/>
        <v>#N/A</v>
      </c>
    </row>
    <row r="20" spans="2:15">
      <c r="B20" s="23"/>
      <c r="C20" s="22"/>
      <c r="D20" s="103"/>
      <c r="E20" s="23"/>
      <c r="F20" s="104"/>
      <c r="G20" s="23"/>
      <c r="H20" s="104"/>
      <c r="I20" s="23"/>
      <c r="J20" s="104"/>
      <c r="K20" s="23"/>
      <c r="L20" s="104"/>
      <c r="M20" s="38" t="e">
        <f t="shared" ca="1" si="1"/>
        <v>#N/A</v>
      </c>
      <c r="N20" s="100" t="e">
        <f ca="1">VLOOKUP($B20,Matrix!$H$13:$I$37,2,FALSE)&amp;"_"&amp;C20</f>
        <v>#N/A</v>
      </c>
      <c r="O20" s="111" t="e">
        <f t="shared" ca="1" si="0"/>
        <v>#N/A</v>
      </c>
    </row>
    <row r="21" spans="2:15">
      <c r="B21" s="23"/>
      <c r="C21" s="22"/>
      <c r="D21" s="103"/>
      <c r="E21" s="23"/>
      <c r="F21" s="104"/>
      <c r="G21" s="23"/>
      <c r="H21" s="104"/>
      <c r="I21" s="23"/>
      <c r="J21" s="104"/>
      <c r="K21" s="23"/>
      <c r="L21" s="104"/>
      <c r="M21" s="38" t="e">
        <f t="shared" ca="1" si="1"/>
        <v>#N/A</v>
      </c>
      <c r="N21" s="100" t="e">
        <f ca="1">VLOOKUP($B21,Matrix!$H$13:$I$37,2,FALSE)&amp;"_"&amp;C21</f>
        <v>#N/A</v>
      </c>
      <c r="O21" s="111" t="e">
        <f t="shared" ca="1" si="0"/>
        <v>#N/A</v>
      </c>
    </row>
    <row r="22" spans="2:15">
      <c r="B22" s="23"/>
      <c r="C22" s="22"/>
      <c r="D22" s="103"/>
      <c r="E22" s="23"/>
      <c r="F22" s="104"/>
      <c r="G22" s="23"/>
      <c r="H22" s="104"/>
      <c r="I22" s="23"/>
      <c r="J22" s="104"/>
      <c r="K22" s="23"/>
      <c r="L22" s="104"/>
      <c r="M22" s="38" t="e">
        <f t="shared" ca="1" si="1"/>
        <v>#N/A</v>
      </c>
      <c r="N22" s="100" t="e">
        <f ca="1">VLOOKUP($B22,Matrix!$H$13:$I$37,2,FALSE)&amp;"_"&amp;C22</f>
        <v>#N/A</v>
      </c>
      <c r="O22" s="111" t="e">
        <f t="shared" ca="1" si="0"/>
        <v>#N/A</v>
      </c>
    </row>
    <row r="23" spans="2:15">
      <c r="B23" s="23"/>
      <c r="C23" s="22"/>
      <c r="D23" s="103"/>
      <c r="E23" s="23"/>
      <c r="F23" s="104"/>
      <c r="G23" s="23"/>
      <c r="H23" s="104"/>
      <c r="I23" s="23"/>
      <c r="J23" s="104"/>
      <c r="K23" s="23"/>
      <c r="L23" s="104"/>
      <c r="M23" s="38" t="e">
        <f t="shared" ca="1" si="1"/>
        <v>#N/A</v>
      </c>
      <c r="N23" s="100" t="e">
        <f ca="1">VLOOKUP($B23,Matrix!$H$13:$I$37,2,FALSE)&amp;"_"&amp;C23</f>
        <v>#N/A</v>
      </c>
      <c r="O23" s="111" t="e">
        <f t="shared" ca="1" si="0"/>
        <v>#N/A</v>
      </c>
    </row>
    <row r="24" spans="2:15">
      <c r="B24" s="23"/>
      <c r="C24" s="22"/>
      <c r="D24" s="103"/>
      <c r="E24" s="23"/>
      <c r="F24" s="104"/>
      <c r="G24" s="23"/>
      <c r="H24" s="104"/>
      <c r="I24" s="23"/>
      <c r="J24" s="104"/>
      <c r="K24" s="23"/>
      <c r="L24" s="104"/>
      <c r="M24" s="38" t="e">
        <f t="shared" ca="1" si="1"/>
        <v>#N/A</v>
      </c>
      <c r="N24" s="100" t="e">
        <f ca="1">VLOOKUP($B24,Matrix!$H$13:$I$37,2,FALSE)&amp;"_"&amp;C24</f>
        <v>#N/A</v>
      </c>
      <c r="O24" s="111" t="e">
        <f t="shared" ca="1" si="0"/>
        <v>#N/A</v>
      </c>
    </row>
    <row r="25" spans="2:15">
      <c r="B25" s="23"/>
      <c r="C25" s="22"/>
      <c r="D25" s="103"/>
      <c r="E25" s="23"/>
      <c r="F25" s="104"/>
      <c r="G25" s="23"/>
      <c r="H25" s="104"/>
      <c r="I25" s="23"/>
      <c r="J25" s="104"/>
      <c r="K25" s="23"/>
      <c r="L25" s="104"/>
      <c r="M25" s="38" t="e">
        <f t="shared" ca="1" si="1"/>
        <v>#N/A</v>
      </c>
      <c r="N25" s="100" t="e">
        <f ca="1">VLOOKUP($B25,Matrix!$H$13:$I$37,2,FALSE)&amp;"_"&amp;C25</f>
        <v>#N/A</v>
      </c>
      <c r="O25" s="111" t="e">
        <f t="shared" ca="1" si="0"/>
        <v>#N/A</v>
      </c>
    </row>
    <row r="26" spans="2:15">
      <c r="B26" s="23"/>
      <c r="C26" s="22"/>
      <c r="D26" s="103"/>
      <c r="E26" s="23"/>
      <c r="F26" s="104"/>
      <c r="G26" s="23"/>
      <c r="H26" s="104"/>
      <c r="I26" s="23"/>
      <c r="J26" s="104"/>
      <c r="K26" s="23"/>
      <c r="L26" s="104"/>
      <c r="M26" s="38" t="e">
        <f t="shared" ca="1" si="1"/>
        <v>#N/A</v>
      </c>
      <c r="N26" s="100" t="e">
        <f ca="1">VLOOKUP($B26,Matrix!$H$13:$I$37,2,FALSE)&amp;"_"&amp;C26</f>
        <v>#N/A</v>
      </c>
      <c r="O26" s="111" t="e">
        <f t="shared" ca="1" si="0"/>
        <v>#N/A</v>
      </c>
    </row>
    <row r="27" spans="2:15">
      <c r="B27" s="23"/>
      <c r="C27" s="22"/>
      <c r="D27" s="103"/>
      <c r="E27" s="23"/>
      <c r="F27" s="104"/>
      <c r="G27" s="23"/>
      <c r="H27" s="104"/>
      <c r="I27" s="23"/>
      <c r="J27" s="104"/>
      <c r="K27" s="23"/>
      <c r="L27" s="104"/>
      <c r="M27" s="38" t="e">
        <f t="shared" ca="1" si="1"/>
        <v>#N/A</v>
      </c>
      <c r="N27" s="100" t="e">
        <f ca="1">VLOOKUP($B27,Matrix!$H$13:$I$37,2,FALSE)&amp;"_"&amp;C27</f>
        <v>#N/A</v>
      </c>
      <c r="O27" s="111" t="e">
        <f t="shared" ca="1" si="0"/>
        <v>#N/A</v>
      </c>
    </row>
    <row r="28" spans="2:15">
      <c r="B28" s="23"/>
      <c r="C28" s="22"/>
      <c r="D28" s="103"/>
      <c r="E28" s="23"/>
      <c r="F28" s="104"/>
      <c r="G28" s="23"/>
      <c r="H28" s="104"/>
      <c r="I28" s="23"/>
      <c r="J28" s="104"/>
      <c r="K28" s="23"/>
      <c r="L28" s="104"/>
      <c r="M28" s="38" t="e">
        <f t="shared" ca="1" si="1"/>
        <v>#N/A</v>
      </c>
      <c r="N28" s="100" t="e">
        <f ca="1">VLOOKUP($B28,Matrix!$H$13:$I$37,2,FALSE)&amp;"_"&amp;C28</f>
        <v>#N/A</v>
      </c>
      <c r="O28" s="111" t="e">
        <f t="shared" ca="1" si="0"/>
        <v>#N/A</v>
      </c>
    </row>
    <row r="29" spans="2:15">
      <c r="B29" s="23"/>
      <c r="C29" s="22"/>
      <c r="D29" s="103"/>
      <c r="E29" s="23"/>
      <c r="F29" s="104"/>
      <c r="G29" s="23"/>
      <c r="H29" s="104"/>
      <c r="I29" s="23"/>
      <c r="J29" s="104"/>
      <c r="K29" s="23"/>
      <c r="L29" s="104"/>
      <c r="M29" s="38" t="e">
        <f t="shared" ca="1" si="1"/>
        <v>#N/A</v>
      </c>
      <c r="N29" s="100" t="e">
        <f ca="1">VLOOKUP($B29,Matrix!$H$13:$I$37,2,FALSE)&amp;"_"&amp;C29</f>
        <v>#N/A</v>
      </c>
      <c r="O29" s="111" t="e">
        <f t="shared" ca="1" si="0"/>
        <v>#N/A</v>
      </c>
    </row>
    <row r="30" spans="2:15">
      <c r="B30" s="23"/>
      <c r="C30" s="22"/>
      <c r="D30" s="103"/>
      <c r="E30" s="23"/>
      <c r="F30" s="104"/>
      <c r="G30" s="23"/>
      <c r="H30" s="104"/>
      <c r="I30" s="23"/>
      <c r="J30" s="104"/>
      <c r="K30" s="23"/>
      <c r="L30" s="104"/>
      <c r="M30" s="38" t="e">
        <f t="shared" ca="1" si="1"/>
        <v>#N/A</v>
      </c>
      <c r="N30" s="100" t="e">
        <f ca="1">VLOOKUP($B30,Matrix!$H$13:$I$37,2,FALSE)&amp;"_"&amp;C30</f>
        <v>#N/A</v>
      </c>
      <c r="O30" s="111" t="e">
        <f t="shared" ca="1" si="0"/>
        <v>#N/A</v>
      </c>
    </row>
    <row r="31" spans="2:15">
      <c r="B31" s="23"/>
      <c r="C31" s="22"/>
      <c r="D31" s="103"/>
      <c r="E31" s="23"/>
      <c r="F31" s="104"/>
      <c r="G31" s="23"/>
      <c r="H31" s="104"/>
      <c r="I31" s="23"/>
      <c r="J31" s="104"/>
      <c r="K31" s="23"/>
      <c r="L31" s="104"/>
      <c r="M31" s="38" t="e">
        <f t="shared" ca="1" si="1"/>
        <v>#N/A</v>
      </c>
      <c r="N31" s="100" t="e">
        <f ca="1">VLOOKUP($B31,Matrix!$H$13:$I$37,2,FALSE)&amp;"_"&amp;C31</f>
        <v>#N/A</v>
      </c>
      <c r="O31" s="111" t="e">
        <f t="shared" ca="1" si="0"/>
        <v>#N/A</v>
      </c>
    </row>
    <row r="32" spans="2:15">
      <c r="B32" s="23"/>
      <c r="C32" s="22"/>
      <c r="D32" s="103"/>
      <c r="E32" s="23"/>
      <c r="F32" s="104"/>
      <c r="G32" s="23"/>
      <c r="H32" s="104"/>
      <c r="I32" s="23"/>
      <c r="J32" s="104"/>
      <c r="K32" s="23"/>
      <c r="L32" s="104"/>
      <c r="M32" s="38" t="e">
        <f t="shared" ca="1" si="1"/>
        <v>#N/A</v>
      </c>
      <c r="N32" s="100" t="e">
        <f ca="1">VLOOKUP($B32,Matrix!$H$13:$I$37,2,FALSE)&amp;"_"&amp;C32</f>
        <v>#N/A</v>
      </c>
      <c r="O32" s="111" t="e">
        <f t="shared" ca="1" si="0"/>
        <v>#N/A</v>
      </c>
    </row>
    <row r="33" spans="2:15">
      <c r="B33" s="23"/>
      <c r="C33" s="22"/>
      <c r="D33" s="103"/>
      <c r="E33" s="23"/>
      <c r="F33" s="104"/>
      <c r="G33" s="23"/>
      <c r="H33" s="104"/>
      <c r="I33" s="23"/>
      <c r="J33" s="104"/>
      <c r="K33" s="23"/>
      <c r="L33" s="104"/>
      <c r="M33" s="38" t="e">
        <f t="shared" ca="1" si="1"/>
        <v>#N/A</v>
      </c>
      <c r="N33" s="100" t="e">
        <f ca="1">VLOOKUP($B33,Matrix!$H$13:$I$37,2,FALSE)&amp;"_"&amp;C33</f>
        <v>#N/A</v>
      </c>
      <c r="O33" s="111" t="e">
        <f t="shared" ca="1" si="0"/>
        <v>#N/A</v>
      </c>
    </row>
    <row r="34" spans="2:15">
      <c r="B34" s="23"/>
      <c r="C34" s="22"/>
      <c r="D34" s="103"/>
      <c r="E34" s="23"/>
      <c r="F34" s="104"/>
      <c r="G34" s="23"/>
      <c r="H34" s="104"/>
      <c r="I34" s="23"/>
      <c r="J34" s="104"/>
      <c r="K34" s="23"/>
      <c r="L34" s="104"/>
      <c r="M34" s="38" t="e">
        <f t="shared" ca="1" si="1"/>
        <v>#N/A</v>
      </c>
      <c r="N34" s="100" t="e">
        <f ca="1">VLOOKUP($B34,Matrix!$H$13:$I$37,2,FALSE)&amp;"_"&amp;C34</f>
        <v>#N/A</v>
      </c>
      <c r="O34" s="111" t="e">
        <f t="shared" ca="1" si="0"/>
        <v>#N/A</v>
      </c>
    </row>
    <row r="35" spans="2:15">
      <c r="B35" s="23"/>
      <c r="C35" s="22"/>
      <c r="D35" s="103"/>
      <c r="E35" s="23"/>
      <c r="F35" s="104"/>
      <c r="G35" s="23"/>
      <c r="H35" s="104"/>
      <c r="I35" s="23"/>
      <c r="J35" s="104"/>
      <c r="K35" s="23"/>
      <c r="L35" s="104"/>
      <c r="M35" s="38" t="e">
        <f t="shared" ca="1" si="1"/>
        <v>#N/A</v>
      </c>
      <c r="N35" s="100" t="e">
        <f ca="1">VLOOKUP($B35,Matrix!$H$13:$I$37,2,FALSE)&amp;"_"&amp;C35</f>
        <v>#N/A</v>
      </c>
      <c r="O35" s="111" t="e">
        <f t="shared" ca="1" si="0"/>
        <v>#N/A</v>
      </c>
    </row>
    <row r="36" spans="2:15">
      <c r="B36" s="23"/>
      <c r="C36" s="22"/>
      <c r="D36" s="103"/>
      <c r="E36" s="23"/>
      <c r="F36" s="104"/>
      <c r="G36" s="23"/>
      <c r="H36" s="104"/>
      <c r="I36" s="23"/>
      <c r="J36" s="104"/>
      <c r="K36" s="23"/>
      <c r="L36" s="104"/>
      <c r="M36" s="38" t="e">
        <f t="shared" ca="1" si="1"/>
        <v>#N/A</v>
      </c>
      <c r="N36" s="100" t="e">
        <f ca="1">VLOOKUP($B36,Matrix!$H$13:$I$37,2,FALSE)&amp;"_"&amp;C36</f>
        <v>#N/A</v>
      </c>
      <c r="O36" s="111" t="e">
        <f t="shared" ref="O36:O67" ca="1" si="2">"#define "&amp;N36&amp;REPT(" ",48-M36)&amp;"("&amp;D36&amp;"U)"</f>
        <v>#N/A</v>
      </c>
    </row>
    <row r="37" spans="2:15">
      <c r="B37" s="23"/>
      <c r="C37" s="22"/>
      <c r="D37" s="103"/>
      <c r="E37" s="23"/>
      <c r="F37" s="104"/>
      <c r="G37" s="23"/>
      <c r="H37" s="104"/>
      <c r="I37" s="23"/>
      <c r="J37" s="104"/>
      <c r="K37" s="23"/>
      <c r="L37" s="104"/>
      <c r="M37" s="38" t="e">
        <f t="shared" ca="1" si="1"/>
        <v>#N/A</v>
      </c>
      <c r="N37" s="100" t="e">
        <f ca="1">VLOOKUP($B37,Matrix!$H$13:$I$37,2,FALSE)&amp;"_"&amp;C37</f>
        <v>#N/A</v>
      </c>
      <c r="O37" s="111" t="e">
        <f t="shared" ca="1" si="2"/>
        <v>#N/A</v>
      </c>
    </row>
    <row r="38" spans="2:15">
      <c r="B38" s="23"/>
      <c r="C38" s="22"/>
      <c r="D38" s="103"/>
      <c r="E38" s="23"/>
      <c r="F38" s="104"/>
      <c r="G38" s="23"/>
      <c r="H38" s="104"/>
      <c r="I38" s="23"/>
      <c r="J38" s="104"/>
      <c r="K38" s="23"/>
      <c r="L38" s="104"/>
      <c r="M38" s="38" t="e">
        <f t="shared" ca="1" si="1"/>
        <v>#N/A</v>
      </c>
      <c r="N38" s="100" t="e">
        <f ca="1">VLOOKUP($B38,Matrix!$H$13:$I$37,2,FALSE)&amp;"_"&amp;C38</f>
        <v>#N/A</v>
      </c>
      <c r="O38" s="111" t="e">
        <f t="shared" ca="1" si="2"/>
        <v>#N/A</v>
      </c>
    </row>
    <row r="39" spans="2:15">
      <c r="B39" s="23"/>
      <c r="C39" s="22"/>
      <c r="D39" s="103"/>
      <c r="E39" s="23"/>
      <c r="F39" s="104"/>
      <c r="G39" s="23"/>
      <c r="H39" s="104"/>
      <c r="I39" s="23"/>
      <c r="J39" s="104"/>
      <c r="K39" s="23"/>
      <c r="L39" s="104"/>
      <c r="M39" s="38" t="e">
        <f t="shared" ca="1" si="1"/>
        <v>#N/A</v>
      </c>
      <c r="N39" s="100" t="e">
        <f ca="1">VLOOKUP($B39,Matrix!$H$13:$I$37,2,FALSE)&amp;"_"&amp;C39</f>
        <v>#N/A</v>
      </c>
      <c r="O39" s="111" t="e">
        <f t="shared" ca="1" si="2"/>
        <v>#N/A</v>
      </c>
    </row>
    <row r="40" spans="2:15">
      <c r="B40" s="23"/>
      <c r="C40" s="22"/>
      <c r="D40" s="103"/>
      <c r="E40" s="23"/>
      <c r="F40" s="104"/>
      <c r="G40" s="23"/>
      <c r="H40" s="104"/>
      <c r="I40" s="23"/>
      <c r="J40" s="104"/>
      <c r="K40" s="23"/>
      <c r="L40" s="104"/>
      <c r="M40" s="38" t="e">
        <f t="shared" ca="1" si="1"/>
        <v>#N/A</v>
      </c>
      <c r="N40" s="100" t="e">
        <f ca="1">VLOOKUP($B40,Matrix!$H$13:$I$37,2,FALSE)&amp;"_"&amp;C40</f>
        <v>#N/A</v>
      </c>
      <c r="O40" s="111" t="e">
        <f t="shared" ca="1" si="2"/>
        <v>#N/A</v>
      </c>
    </row>
    <row r="41" spans="2:15">
      <c r="B41" s="23"/>
      <c r="C41" s="22"/>
      <c r="D41" s="103"/>
      <c r="E41" s="23"/>
      <c r="F41" s="104"/>
      <c r="G41" s="23"/>
      <c r="H41" s="104"/>
      <c r="I41" s="23"/>
      <c r="J41" s="104"/>
      <c r="K41" s="23"/>
      <c r="L41" s="104"/>
      <c r="M41" s="38" t="e">
        <f t="shared" ca="1" si="1"/>
        <v>#N/A</v>
      </c>
      <c r="N41" s="100" t="e">
        <f ca="1">VLOOKUP($B41,Matrix!$H$13:$I$37,2,FALSE)&amp;"_"&amp;C41</f>
        <v>#N/A</v>
      </c>
      <c r="O41" s="111" t="e">
        <f t="shared" ca="1" si="2"/>
        <v>#N/A</v>
      </c>
    </row>
    <row r="42" spans="2:15">
      <c r="B42" s="23"/>
      <c r="C42" s="22"/>
      <c r="D42" s="103"/>
      <c r="E42" s="23"/>
      <c r="F42" s="104"/>
      <c r="G42" s="23"/>
      <c r="H42" s="104"/>
      <c r="I42" s="23"/>
      <c r="J42" s="104"/>
      <c r="K42" s="23"/>
      <c r="L42" s="104"/>
      <c r="M42" s="38" t="e">
        <f t="shared" ca="1" si="1"/>
        <v>#N/A</v>
      </c>
      <c r="N42" s="100" t="e">
        <f ca="1">VLOOKUP($B42,Matrix!$H$13:$I$37,2,FALSE)&amp;"_"&amp;C42</f>
        <v>#N/A</v>
      </c>
      <c r="O42" s="111" t="e">
        <f t="shared" ca="1" si="2"/>
        <v>#N/A</v>
      </c>
    </row>
    <row r="43" spans="2:15">
      <c r="B43" s="23"/>
      <c r="C43" s="22"/>
      <c r="D43" s="103"/>
      <c r="E43" s="23"/>
      <c r="F43" s="104"/>
      <c r="G43" s="23"/>
      <c r="H43" s="104"/>
      <c r="I43" s="23"/>
      <c r="J43" s="104"/>
      <c r="K43" s="23"/>
      <c r="L43" s="104"/>
      <c r="M43" s="38" t="e">
        <f t="shared" ca="1" si="1"/>
        <v>#N/A</v>
      </c>
      <c r="N43" s="100" t="e">
        <f ca="1">VLOOKUP($B43,Matrix!$H$13:$I$37,2,FALSE)&amp;"_"&amp;C43</f>
        <v>#N/A</v>
      </c>
      <c r="O43" s="111" t="e">
        <f t="shared" ca="1" si="2"/>
        <v>#N/A</v>
      </c>
    </row>
    <row r="44" spans="2:15">
      <c r="B44" s="23"/>
      <c r="C44" s="22"/>
      <c r="D44" s="103"/>
      <c r="E44" s="23"/>
      <c r="F44" s="104"/>
      <c r="G44" s="23"/>
      <c r="H44" s="104"/>
      <c r="I44" s="23"/>
      <c r="J44" s="104"/>
      <c r="K44" s="23"/>
      <c r="L44" s="104"/>
      <c r="M44" s="38" t="e">
        <f t="shared" ca="1" si="1"/>
        <v>#N/A</v>
      </c>
      <c r="N44" s="100" t="e">
        <f ca="1">VLOOKUP($B44,Matrix!$H$13:$I$37,2,FALSE)&amp;"_"&amp;C44</f>
        <v>#N/A</v>
      </c>
      <c r="O44" s="111" t="e">
        <f t="shared" ca="1" si="2"/>
        <v>#N/A</v>
      </c>
    </row>
    <row r="45" spans="2:15">
      <c r="B45" s="23"/>
      <c r="C45" s="22"/>
      <c r="D45" s="103"/>
      <c r="E45" s="23"/>
      <c r="F45" s="104"/>
      <c r="G45" s="23"/>
      <c r="H45" s="104"/>
      <c r="I45" s="23"/>
      <c r="J45" s="104"/>
      <c r="K45" s="23"/>
      <c r="L45" s="104"/>
      <c r="M45" s="38" t="e">
        <f t="shared" ca="1" si="1"/>
        <v>#N/A</v>
      </c>
      <c r="N45" s="100" t="e">
        <f ca="1">VLOOKUP($B45,Matrix!$H$13:$I$37,2,FALSE)&amp;"_"&amp;C45</f>
        <v>#N/A</v>
      </c>
      <c r="O45" s="111" t="e">
        <f t="shared" ca="1" si="2"/>
        <v>#N/A</v>
      </c>
    </row>
    <row r="46" spans="2:15">
      <c r="B46" s="23"/>
      <c r="C46" s="22"/>
      <c r="D46" s="103"/>
      <c r="E46" s="23"/>
      <c r="F46" s="104"/>
      <c r="G46" s="23"/>
      <c r="H46" s="104"/>
      <c r="I46" s="23"/>
      <c r="J46" s="104"/>
      <c r="K46" s="23"/>
      <c r="L46" s="104"/>
      <c r="M46" s="38" t="e">
        <f t="shared" ca="1" si="1"/>
        <v>#N/A</v>
      </c>
      <c r="N46" s="100" t="e">
        <f ca="1">VLOOKUP($B46,Matrix!$H$13:$I$37,2,FALSE)&amp;"_"&amp;C46</f>
        <v>#N/A</v>
      </c>
      <c r="O46" s="111" t="e">
        <f t="shared" ca="1" si="2"/>
        <v>#N/A</v>
      </c>
    </row>
    <row r="47" spans="2:15">
      <c r="B47" s="23"/>
      <c r="C47" s="22"/>
      <c r="D47" s="103"/>
      <c r="E47" s="23"/>
      <c r="F47" s="104"/>
      <c r="G47" s="23"/>
      <c r="H47" s="104"/>
      <c r="I47" s="23"/>
      <c r="J47" s="104"/>
      <c r="K47" s="23"/>
      <c r="L47" s="104"/>
      <c r="M47" s="38" t="e">
        <f t="shared" ca="1" si="1"/>
        <v>#N/A</v>
      </c>
      <c r="N47" s="100" t="e">
        <f ca="1">VLOOKUP($B47,Matrix!$H$13:$I$37,2,FALSE)&amp;"_"&amp;C47</f>
        <v>#N/A</v>
      </c>
      <c r="O47" s="111" t="e">
        <f t="shared" ca="1" si="2"/>
        <v>#N/A</v>
      </c>
    </row>
    <row r="48" spans="2:15">
      <c r="B48" s="23"/>
      <c r="C48" s="22"/>
      <c r="D48" s="103"/>
      <c r="E48" s="23"/>
      <c r="F48" s="104"/>
      <c r="G48" s="23"/>
      <c r="H48" s="104"/>
      <c r="I48" s="23"/>
      <c r="J48" s="104"/>
      <c r="K48" s="23"/>
      <c r="L48" s="104"/>
      <c r="M48" s="38" t="e">
        <f t="shared" ca="1" si="1"/>
        <v>#N/A</v>
      </c>
      <c r="N48" s="100" t="e">
        <f ca="1">VLOOKUP($B48,Matrix!$H$13:$I$37,2,FALSE)&amp;"_"&amp;C48</f>
        <v>#N/A</v>
      </c>
      <c r="O48" s="111" t="e">
        <f t="shared" ca="1" si="2"/>
        <v>#N/A</v>
      </c>
    </row>
    <row r="49" spans="2:15">
      <c r="B49" s="23"/>
      <c r="C49" s="22"/>
      <c r="D49" s="103"/>
      <c r="E49" s="23"/>
      <c r="F49" s="104"/>
      <c r="G49" s="23"/>
      <c r="H49" s="104"/>
      <c r="I49" s="23"/>
      <c r="J49" s="104"/>
      <c r="K49" s="23"/>
      <c r="L49" s="104"/>
      <c r="M49" s="38" t="e">
        <f t="shared" ca="1" si="1"/>
        <v>#N/A</v>
      </c>
      <c r="N49" s="100" t="e">
        <f ca="1">VLOOKUP($B49,Matrix!$H$13:$I$37,2,FALSE)&amp;"_"&amp;C49</f>
        <v>#N/A</v>
      </c>
      <c r="O49" s="111" t="e">
        <f t="shared" ca="1" si="2"/>
        <v>#N/A</v>
      </c>
    </row>
    <row r="50" spans="2:15">
      <c r="B50" s="23"/>
      <c r="C50" s="22"/>
      <c r="D50" s="103"/>
      <c r="E50" s="23"/>
      <c r="F50" s="104"/>
      <c r="G50" s="23"/>
      <c r="H50" s="104"/>
      <c r="I50" s="23"/>
      <c r="J50" s="104"/>
      <c r="K50" s="23"/>
      <c r="L50" s="104"/>
      <c r="M50" s="38" t="e">
        <f t="shared" ca="1" si="1"/>
        <v>#N/A</v>
      </c>
      <c r="N50" s="100" t="e">
        <f ca="1">VLOOKUP($B50,Matrix!$H$13:$I$37,2,FALSE)&amp;"_"&amp;C50</f>
        <v>#N/A</v>
      </c>
      <c r="O50" s="111" t="e">
        <f t="shared" ca="1" si="2"/>
        <v>#N/A</v>
      </c>
    </row>
    <row r="51" spans="2:15">
      <c r="B51" s="23"/>
      <c r="C51" s="22"/>
      <c r="D51" s="103"/>
      <c r="E51" s="23"/>
      <c r="F51" s="104"/>
      <c r="G51" s="23"/>
      <c r="H51" s="104"/>
      <c r="I51" s="23"/>
      <c r="J51" s="104"/>
      <c r="K51" s="23"/>
      <c r="L51" s="104"/>
      <c r="M51" s="38" t="e">
        <f t="shared" ca="1" si="1"/>
        <v>#N/A</v>
      </c>
      <c r="N51" s="100" t="e">
        <f ca="1">VLOOKUP($B51,Matrix!$H$13:$I$37,2,FALSE)&amp;"_"&amp;C51</f>
        <v>#N/A</v>
      </c>
      <c r="O51" s="111" t="e">
        <f t="shared" ca="1" si="2"/>
        <v>#N/A</v>
      </c>
    </row>
    <row r="52" spans="2:15">
      <c r="B52" s="23"/>
      <c r="C52" s="22"/>
      <c r="D52" s="103"/>
      <c r="E52" s="23"/>
      <c r="F52" s="104"/>
      <c r="G52" s="23"/>
      <c r="H52" s="104"/>
      <c r="I52" s="23"/>
      <c r="J52" s="104"/>
      <c r="K52" s="23"/>
      <c r="L52" s="104"/>
      <c r="M52" s="38" t="e">
        <f t="shared" ca="1" si="1"/>
        <v>#N/A</v>
      </c>
      <c r="N52" s="100" t="e">
        <f ca="1">VLOOKUP($B52,Matrix!$H$13:$I$37,2,FALSE)&amp;"_"&amp;C52</f>
        <v>#N/A</v>
      </c>
      <c r="O52" s="111" t="e">
        <f t="shared" ca="1" si="2"/>
        <v>#N/A</v>
      </c>
    </row>
    <row r="53" spans="2:15">
      <c r="B53" s="23"/>
      <c r="C53" s="22"/>
      <c r="D53" s="103"/>
      <c r="E53" s="23"/>
      <c r="F53" s="104"/>
      <c r="G53" s="23"/>
      <c r="H53" s="104"/>
      <c r="I53" s="23"/>
      <c r="J53" s="104"/>
      <c r="K53" s="23"/>
      <c r="L53" s="104"/>
      <c r="M53" s="38" t="e">
        <f t="shared" ca="1" si="1"/>
        <v>#N/A</v>
      </c>
      <c r="N53" s="100" t="e">
        <f ca="1">VLOOKUP($B53,Matrix!$H$13:$I$37,2,FALSE)&amp;"_"&amp;C53</f>
        <v>#N/A</v>
      </c>
      <c r="O53" s="111" t="e">
        <f t="shared" ca="1" si="2"/>
        <v>#N/A</v>
      </c>
    </row>
    <row r="54" spans="2:15">
      <c r="B54" s="23"/>
      <c r="C54" s="22"/>
      <c r="D54" s="103"/>
      <c r="E54" s="23"/>
      <c r="F54" s="104"/>
      <c r="G54" s="23"/>
      <c r="H54" s="104"/>
      <c r="I54" s="23"/>
      <c r="J54" s="104"/>
      <c r="K54" s="23"/>
      <c r="L54" s="104"/>
      <c r="M54" s="38" t="e">
        <f t="shared" ca="1" si="1"/>
        <v>#N/A</v>
      </c>
      <c r="N54" s="100" t="e">
        <f ca="1">VLOOKUP($B54,Matrix!$H$13:$I$37,2,FALSE)&amp;"_"&amp;C54</f>
        <v>#N/A</v>
      </c>
      <c r="O54" s="111" t="e">
        <f t="shared" ca="1" si="2"/>
        <v>#N/A</v>
      </c>
    </row>
    <row r="55" spans="2:15">
      <c r="B55" s="23"/>
      <c r="C55" s="22"/>
      <c r="D55" s="103"/>
      <c r="E55" s="23"/>
      <c r="F55" s="104"/>
      <c r="G55" s="23"/>
      <c r="H55" s="104"/>
      <c r="I55" s="23"/>
      <c r="J55" s="104"/>
      <c r="K55" s="23"/>
      <c r="L55" s="104"/>
      <c r="M55" s="38" t="e">
        <f t="shared" ca="1" si="1"/>
        <v>#N/A</v>
      </c>
      <c r="N55" s="100" t="e">
        <f ca="1">VLOOKUP($B55,Matrix!$H$13:$I$37,2,FALSE)&amp;"_"&amp;C55</f>
        <v>#N/A</v>
      </c>
      <c r="O55" s="111" t="e">
        <f t="shared" ca="1" si="2"/>
        <v>#N/A</v>
      </c>
    </row>
    <row r="56" spans="2:15">
      <c r="B56" s="23"/>
      <c r="C56" s="22"/>
      <c r="D56" s="103"/>
      <c r="E56" s="23"/>
      <c r="F56" s="104"/>
      <c r="G56" s="23"/>
      <c r="H56" s="104"/>
      <c r="I56" s="23"/>
      <c r="J56" s="104"/>
      <c r="K56" s="23"/>
      <c r="L56" s="104"/>
      <c r="M56" s="38" t="e">
        <f t="shared" ca="1" si="1"/>
        <v>#N/A</v>
      </c>
      <c r="N56" s="100" t="e">
        <f ca="1">VLOOKUP($B56,Matrix!$H$13:$I$37,2,FALSE)&amp;"_"&amp;C56</f>
        <v>#N/A</v>
      </c>
      <c r="O56" s="111" t="e">
        <f t="shared" ca="1" si="2"/>
        <v>#N/A</v>
      </c>
    </row>
    <row r="57" spans="2:15">
      <c r="B57" s="23"/>
      <c r="C57" s="22"/>
      <c r="D57" s="103"/>
      <c r="E57" s="23"/>
      <c r="F57" s="104"/>
      <c r="G57" s="23"/>
      <c r="H57" s="104"/>
      <c r="I57" s="23"/>
      <c r="J57" s="104"/>
      <c r="K57" s="23"/>
      <c r="L57" s="104"/>
      <c r="M57" s="38" t="e">
        <f t="shared" ca="1" si="1"/>
        <v>#N/A</v>
      </c>
      <c r="N57" s="100" t="e">
        <f ca="1">VLOOKUP($B57,Matrix!$H$13:$I$37,2,FALSE)&amp;"_"&amp;C57</f>
        <v>#N/A</v>
      </c>
      <c r="O57" s="111" t="e">
        <f t="shared" ca="1" si="2"/>
        <v>#N/A</v>
      </c>
    </row>
    <row r="58" spans="2:15">
      <c r="B58" s="23"/>
      <c r="C58" s="22"/>
      <c r="D58" s="103"/>
      <c r="E58" s="23"/>
      <c r="F58" s="104"/>
      <c r="G58" s="23"/>
      <c r="H58" s="104"/>
      <c r="I58" s="23"/>
      <c r="J58" s="104"/>
      <c r="K58" s="23"/>
      <c r="L58" s="104"/>
      <c r="M58" s="38" t="e">
        <f t="shared" ca="1" si="1"/>
        <v>#N/A</v>
      </c>
      <c r="N58" s="100" t="e">
        <f ca="1">VLOOKUP($B58,Matrix!$H$13:$I$37,2,FALSE)&amp;"_"&amp;C58</f>
        <v>#N/A</v>
      </c>
      <c r="O58" s="111" t="e">
        <f t="shared" ca="1" si="2"/>
        <v>#N/A</v>
      </c>
    </row>
    <row r="59" spans="2:15">
      <c r="B59" s="23"/>
      <c r="C59" s="22"/>
      <c r="D59" s="103"/>
      <c r="E59" s="23"/>
      <c r="F59" s="104"/>
      <c r="G59" s="23"/>
      <c r="H59" s="104"/>
      <c r="I59" s="23"/>
      <c r="J59" s="104"/>
      <c r="K59" s="23"/>
      <c r="L59" s="104"/>
      <c r="M59" s="38" t="e">
        <f t="shared" ca="1" si="1"/>
        <v>#N/A</v>
      </c>
      <c r="N59" s="100" t="e">
        <f ca="1">VLOOKUP($B59,Matrix!$H$13:$I$37,2,FALSE)&amp;"_"&amp;C59</f>
        <v>#N/A</v>
      </c>
      <c r="O59" s="111" t="e">
        <f t="shared" ca="1" si="2"/>
        <v>#N/A</v>
      </c>
    </row>
    <row r="60" spans="2:15">
      <c r="B60" s="23"/>
      <c r="C60" s="22"/>
      <c r="D60" s="103"/>
      <c r="E60" s="23"/>
      <c r="F60" s="104"/>
      <c r="G60" s="23"/>
      <c r="H60" s="104"/>
      <c r="I60" s="23"/>
      <c r="J60" s="104"/>
      <c r="K60" s="23"/>
      <c r="L60" s="104"/>
      <c r="M60" s="38" t="e">
        <f t="shared" ca="1" si="1"/>
        <v>#N/A</v>
      </c>
      <c r="N60" s="100" t="e">
        <f ca="1">VLOOKUP($B60,Matrix!$H$13:$I$37,2,FALSE)&amp;"_"&amp;C60</f>
        <v>#N/A</v>
      </c>
      <c r="O60" s="111" t="e">
        <f t="shared" ca="1" si="2"/>
        <v>#N/A</v>
      </c>
    </row>
    <row r="61" spans="2:15">
      <c r="B61" s="23"/>
      <c r="C61" s="22"/>
      <c r="D61" s="103"/>
      <c r="E61" s="23"/>
      <c r="F61" s="104"/>
      <c r="G61" s="23"/>
      <c r="H61" s="104"/>
      <c r="I61" s="23"/>
      <c r="J61" s="104"/>
      <c r="K61" s="23"/>
      <c r="L61" s="104"/>
      <c r="M61" s="38" t="e">
        <f t="shared" ca="1" si="1"/>
        <v>#N/A</v>
      </c>
      <c r="N61" s="100" t="e">
        <f ca="1">VLOOKUP($B61,Matrix!$H$13:$I$37,2,FALSE)&amp;"_"&amp;C61</f>
        <v>#N/A</v>
      </c>
      <c r="O61" s="111" t="e">
        <f t="shared" ca="1" si="2"/>
        <v>#N/A</v>
      </c>
    </row>
    <row r="62" spans="2:15">
      <c r="B62" s="23"/>
      <c r="C62" s="22"/>
      <c r="D62" s="103"/>
      <c r="E62" s="23"/>
      <c r="F62" s="104"/>
      <c r="G62" s="23"/>
      <c r="H62" s="104"/>
      <c r="I62" s="23"/>
      <c r="J62" s="104"/>
      <c r="K62" s="23"/>
      <c r="L62" s="104"/>
      <c r="M62" s="38" t="e">
        <f t="shared" ca="1" si="1"/>
        <v>#N/A</v>
      </c>
      <c r="N62" s="100" t="e">
        <f ca="1">VLOOKUP($B62,Matrix!$H$13:$I$37,2,FALSE)&amp;"_"&amp;C62</f>
        <v>#N/A</v>
      </c>
      <c r="O62" s="111" t="e">
        <f t="shared" ca="1" si="2"/>
        <v>#N/A</v>
      </c>
    </row>
    <row r="63" spans="2:15">
      <c r="B63" s="23"/>
      <c r="C63" s="22"/>
      <c r="D63" s="103"/>
      <c r="E63" s="23"/>
      <c r="F63" s="104"/>
      <c r="G63" s="23"/>
      <c r="H63" s="104"/>
      <c r="I63" s="23"/>
      <c r="J63" s="104"/>
      <c r="K63" s="23"/>
      <c r="L63" s="104"/>
      <c r="M63" s="38" t="e">
        <f t="shared" ca="1" si="1"/>
        <v>#N/A</v>
      </c>
      <c r="N63" s="100" t="e">
        <f ca="1">VLOOKUP($B63,Matrix!$H$13:$I$37,2,FALSE)&amp;"_"&amp;C63</f>
        <v>#N/A</v>
      </c>
      <c r="O63" s="111" t="e">
        <f t="shared" ca="1" si="2"/>
        <v>#N/A</v>
      </c>
    </row>
    <row r="64" spans="2:15">
      <c r="B64" s="23"/>
      <c r="C64" s="22"/>
      <c r="D64" s="103"/>
      <c r="E64" s="23"/>
      <c r="F64" s="104"/>
      <c r="G64" s="23"/>
      <c r="H64" s="104"/>
      <c r="I64" s="23"/>
      <c r="J64" s="104"/>
      <c r="K64" s="23"/>
      <c r="L64" s="104"/>
      <c r="M64" s="38" t="e">
        <f t="shared" ca="1" si="1"/>
        <v>#N/A</v>
      </c>
      <c r="N64" s="100" t="e">
        <f ca="1">VLOOKUP($B64,Matrix!$H$13:$I$37,2,FALSE)&amp;"_"&amp;C64</f>
        <v>#N/A</v>
      </c>
      <c r="O64" s="111" t="e">
        <f t="shared" ca="1" si="2"/>
        <v>#N/A</v>
      </c>
    </row>
    <row r="65" spans="2:15">
      <c r="B65" s="23"/>
      <c r="C65" s="22"/>
      <c r="D65" s="103"/>
      <c r="E65" s="23"/>
      <c r="F65" s="104"/>
      <c r="G65" s="23"/>
      <c r="H65" s="104"/>
      <c r="I65" s="23"/>
      <c r="J65" s="104"/>
      <c r="K65" s="23"/>
      <c r="L65" s="104"/>
      <c r="M65" s="38" t="e">
        <f t="shared" ca="1" si="1"/>
        <v>#N/A</v>
      </c>
      <c r="N65" s="100" t="e">
        <f ca="1">VLOOKUP($B65,Matrix!$H$13:$I$37,2,FALSE)&amp;"_"&amp;C65</f>
        <v>#N/A</v>
      </c>
      <c r="O65" s="111" t="e">
        <f t="shared" ca="1" si="2"/>
        <v>#N/A</v>
      </c>
    </row>
    <row r="66" spans="2:15">
      <c r="B66" s="23"/>
      <c r="C66" s="22"/>
      <c r="D66" s="103"/>
      <c r="E66" s="23"/>
      <c r="F66" s="104"/>
      <c r="G66" s="23"/>
      <c r="H66" s="104"/>
      <c r="I66" s="23"/>
      <c r="J66" s="104"/>
      <c r="K66" s="23"/>
      <c r="L66" s="104"/>
      <c r="M66" s="38" t="e">
        <f t="shared" ca="1" si="1"/>
        <v>#N/A</v>
      </c>
      <c r="N66" s="100" t="e">
        <f ca="1">VLOOKUP($B66,Matrix!$H$13:$I$37,2,FALSE)&amp;"_"&amp;C66</f>
        <v>#N/A</v>
      </c>
      <c r="O66" s="111" t="e">
        <f t="shared" ca="1" si="2"/>
        <v>#N/A</v>
      </c>
    </row>
    <row r="67" spans="2:15">
      <c r="B67" s="23"/>
      <c r="C67" s="22"/>
      <c r="D67" s="103"/>
      <c r="E67" s="23"/>
      <c r="F67" s="104"/>
      <c r="G67" s="23"/>
      <c r="H67" s="104"/>
      <c r="I67" s="23"/>
      <c r="J67" s="104"/>
      <c r="K67" s="23"/>
      <c r="L67" s="104"/>
      <c r="M67" s="38" t="e">
        <f t="shared" ca="1" si="1"/>
        <v>#N/A</v>
      </c>
      <c r="N67" s="100" t="e">
        <f ca="1">VLOOKUP($B67,Matrix!$H$13:$I$37,2,FALSE)&amp;"_"&amp;C67</f>
        <v>#N/A</v>
      </c>
      <c r="O67" s="111" t="e">
        <f t="shared" ca="1" si="2"/>
        <v>#N/A</v>
      </c>
    </row>
    <row r="68" spans="2:15">
      <c r="B68" s="23"/>
      <c r="C68" s="22"/>
      <c r="D68" s="103"/>
      <c r="E68" s="23"/>
      <c r="F68" s="104"/>
      <c r="G68" s="23"/>
      <c r="H68" s="104"/>
      <c r="I68" s="23"/>
      <c r="J68" s="104"/>
      <c r="K68" s="23"/>
      <c r="L68" s="104"/>
      <c r="M68" s="38" t="e">
        <f t="shared" ca="1" si="1"/>
        <v>#N/A</v>
      </c>
      <c r="N68" s="100" t="e">
        <f ca="1">VLOOKUP($B68,Matrix!$H$13:$I$37,2,FALSE)&amp;"_"&amp;C68</f>
        <v>#N/A</v>
      </c>
      <c r="O68" s="111" t="e">
        <f t="shared" ref="O68:O99" ca="1" si="3">"#define "&amp;N68&amp;REPT(" ",48-M68)&amp;"("&amp;D68&amp;"U)"</f>
        <v>#N/A</v>
      </c>
    </row>
    <row r="69" spans="2:15">
      <c r="B69" s="23"/>
      <c r="C69" s="22"/>
      <c r="D69" s="103"/>
      <c r="E69" s="23"/>
      <c r="F69" s="104"/>
      <c r="G69" s="23"/>
      <c r="H69" s="104"/>
      <c r="I69" s="23"/>
      <c r="J69" s="104"/>
      <c r="K69" s="23"/>
      <c r="L69" s="104"/>
      <c r="M69" s="38" t="e">
        <f t="shared" ref="M69:M103" ca="1" si="4">LEN(N69)</f>
        <v>#N/A</v>
      </c>
      <c r="N69" s="100" t="e">
        <f ca="1">VLOOKUP($B69,Matrix!$H$13:$I$37,2,FALSE)&amp;"_"&amp;C69</f>
        <v>#N/A</v>
      </c>
      <c r="O69" s="111" t="e">
        <f t="shared" ca="1" si="3"/>
        <v>#N/A</v>
      </c>
    </row>
    <row r="70" spans="2:15">
      <c r="B70" s="23"/>
      <c r="C70" s="22"/>
      <c r="D70" s="103"/>
      <c r="E70" s="23"/>
      <c r="F70" s="104"/>
      <c r="G70" s="23"/>
      <c r="H70" s="104"/>
      <c r="I70" s="23"/>
      <c r="J70" s="104"/>
      <c r="K70" s="23"/>
      <c r="L70" s="104"/>
      <c r="M70" s="38" t="e">
        <f t="shared" ca="1" si="4"/>
        <v>#N/A</v>
      </c>
      <c r="N70" s="100" t="e">
        <f ca="1">VLOOKUP($B70,Matrix!$H$13:$I$37,2,FALSE)&amp;"_"&amp;C70</f>
        <v>#N/A</v>
      </c>
      <c r="O70" s="111" t="e">
        <f t="shared" ca="1" si="3"/>
        <v>#N/A</v>
      </c>
    </row>
    <row r="71" spans="2:15">
      <c r="B71" s="23"/>
      <c r="C71" s="22"/>
      <c r="D71" s="103"/>
      <c r="E71" s="23"/>
      <c r="F71" s="104"/>
      <c r="G71" s="23"/>
      <c r="H71" s="104"/>
      <c r="I71" s="23"/>
      <c r="J71" s="104"/>
      <c r="K71" s="23"/>
      <c r="L71" s="104"/>
      <c r="M71" s="38" t="e">
        <f t="shared" ca="1" si="4"/>
        <v>#N/A</v>
      </c>
      <c r="N71" s="100" t="e">
        <f ca="1">VLOOKUP($B71,Matrix!$H$13:$I$37,2,FALSE)&amp;"_"&amp;C71</f>
        <v>#N/A</v>
      </c>
      <c r="O71" s="111" t="e">
        <f t="shared" ca="1" si="3"/>
        <v>#N/A</v>
      </c>
    </row>
    <row r="72" spans="2:15">
      <c r="B72" s="23"/>
      <c r="C72" s="22"/>
      <c r="D72" s="103"/>
      <c r="E72" s="23"/>
      <c r="F72" s="104"/>
      <c r="G72" s="23"/>
      <c r="H72" s="104"/>
      <c r="I72" s="23"/>
      <c r="J72" s="104"/>
      <c r="K72" s="23"/>
      <c r="L72" s="104"/>
      <c r="M72" s="38" t="e">
        <f t="shared" ca="1" si="4"/>
        <v>#N/A</v>
      </c>
      <c r="N72" s="100" t="e">
        <f ca="1">VLOOKUP($B72,Matrix!$H$13:$I$37,2,FALSE)&amp;"_"&amp;C72</f>
        <v>#N/A</v>
      </c>
      <c r="O72" s="111" t="e">
        <f t="shared" ca="1" si="3"/>
        <v>#N/A</v>
      </c>
    </row>
    <row r="73" spans="2:15">
      <c r="B73" s="23"/>
      <c r="C73" s="22"/>
      <c r="D73" s="103"/>
      <c r="E73" s="23"/>
      <c r="F73" s="104"/>
      <c r="G73" s="23"/>
      <c r="H73" s="104"/>
      <c r="I73" s="23"/>
      <c r="J73" s="104"/>
      <c r="K73" s="23"/>
      <c r="L73" s="104"/>
      <c r="M73" s="38" t="e">
        <f t="shared" ca="1" si="4"/>
        <v>#N/A</v>
      </c>
      <c r="N73" s="100" t="e">
        <f ca="1">VLOOKUP($B73,Matrix!$H$13:$I$37,2,FALSE)&amp;"_"&amp;C73</f>
        <v>#N/A</v>
      </c>
      <c r="O73" s="111" t="e">
        <f t="shared" ca="1" si="3"/>
        <v>#N/A</v>
      </c>
    </row>
    <row r="74" spans="2:15">
      <c r="B74" s="23"/>
      <c r="C74" s="22"/>
      <c r="D74" s="103"/>
      <c r="E74" s="23"/>
      <c r="F74" s="104"/>
      <c r="G74" s="23"/>
      <c r="H74" s="104"/>
      <c r="I74" s="23"/>
      <c r="J74" s="104"/>
      <c r="K74" s="23"/>
      <c r="L74" s="104"/>
      <c r="M74" s="38" t="e">
        <f t="shared" ca="1" si="4"/>
        <v>#N/A</v>
      </c>
      <c r="N74" s="100" t="e">
        <f ca="1">VLOOKUP($B74,Matrix!$H$13:$I$37,2,FALSE)&amp;"_"&amp;C74</f>
        <v>#N/A</v>
      </c>
      <c r="O74" s="111" t="e">
        <f t="shared" ca="1" si="3"/>
        <v>#N/A</v>
      </c>
    </row>
    <row r="75" spans="2:15">
      <c r="B75" s="23"/>
      <c r="C75" s="22"/>
      <c r="D75" s="103"/>
      <c r="E75" s="23"/>
      <c r="F75" s="104"/>
      <c r="G75" s="23"/>
      <c r="H75" s="104"/>
      <c r="I75" s="23"/>
      <c r="J75" s="104"/>
      <c r="K75" s="23"/>
      <c r="L75" s="104"/>
      <c r="M75" s="38" t="e">
        <f t="shared" ca="1" si="4"/>
        <v>#N/A</v>
      </c>
      <c r="N75" s="100" t="e">
        <f ca="1">VLOOKUP($B75,Matrix!$H$13:$I$37,2,FALSE)&amp;"_"&amp;C75</f>
        <v>#N/A</v>
      </c>
      <c r="O75" s="111" t="e">
        <f t="shared" ca="1" si="3"/>
        <v>#N/A</v>
      </c>
    </row>
    <row r="76" spans="2:15">
      <c r="B76" s="23"/>
      <c r="C76" s="22"/>
      <c r="D76" s="103"/>
      <c r="E76" s="23"/>
      <c r="F76" s="104"/>
      <c r="G76" s="23"/>
      <c r="H76" s="104"/>
      <c r="I76" s="23"/>
      <c r="J76" s="104"/>
      <c r="K76" s="23"/>
      <c r="L76" s="104"/>
      <c r="M76" s="38" t="e">
        <f t="shared" ca="1" si="4"/>
        <v>#N/A</v>
      </c>
      <c r="N76" s="100" t="e">
        <f ca="1">VLOOKUP($B76,Matrix!$H$13:$I$37,2,FALSE)&amp;"_"&amp;C76</f>
        <v>#N/A</v>
      </c>
      <c r="O76" s="111" t="e">
        <f t="shared" ca="1" si="3"/>
        <v>#N/A</v>
      </c>
    </row>
    <row r="77" spans="2:15">
      <c r="B77" s="23"/>
      <c r="C77" s="22"/>
      <c r="D77" s="103"/>
      <c r="E77" s="23"/>
      <c r="F77" s="104"/>
      <c r="G77" s="23"/>
      <c r="H77" s="104"/>
      <c r="I77" s="23"/>
      <c r="J77" s="104"/>
      <c r="K77" s="23"/>
      <c r="L77" s="104"/>
      <c r="M77" s="38" t="e">
        <f t="shared" ca="1" si="4"/>
        <v>#N/A</v>
      </c>
      <c r="N77" s="100" t="e">
        <f ca="1">VLOOKUP($B77,Matrix!$H$13:$I$37,2,FALSE)&amp;"_"&amp;C77</f>
        <v>#N/A</v>
      </c>
      <c r="O77" s="111" t="e">
        <f t="shared" ca="1" si="3"/>
        <v>#N/A</v>
      </c>
    </row>
    <row r="78" spans="2:15">
      <c r="B78" s="23"/>
      <c r="C78" s="22"/>
      <c r="D78" s="103"/>
      <c r="E78" s="23"/>
      <c r="F78" s="104"/>
      <c r="G78" s="23"/>
      <c r="H78" s="104"/>
      <c r="I78" s="23"/>
      <c r="J78" s="104"/>
      <c r="K78" s="23"/>
      <c r="L78" s="104"/>
      <c r="M78" s="38" t="e">
        <f t="shared" ca="1" si="4"/>
        <v>#N/A</v>
      </c>
      <c r="N78" s="100" t="e">
        <f ca="1">VLOOKUP($B78,Matrix!$H$13:$I$37,2,FALSE)&amp;"_"&amp;C78</f>
        <v>#N/A</v>
      </c>
      <c r="O78" s="111" t="e">
        <f t="shared" ca="1" si="3"/>
        <v>#N/A</v>
      </c>
    </row>
    <row r="79" spans="2:15">
      <c r="B79" s="23"/>
      <c r="C79" s="22"/>
      <c r="D79" s="103"/>
      <c r="E79" s="23"/>
      <c r="F79" s="104"/>
      <c r="G79" s="23"/>
      <c r="H79" s="104"/>
      <c r="I79" s="23"/>
      <c r="J79" s="104"/>
      <c r="K79" s="23"/>
      <c r="L79" s="104"/>
      <c r="M79" s="38" t="e">
        <f t="shared" ca="1" si="4"/>
        <v>#N/A</v>
      </c>
      <c r="N79" s="100" t="e">
        <f ca="1">VLOOKUP($B79,Matrix!$H$13:$I$37,2,FALSE)&amp;"_"&amp;C79</f>
        <v>#N/A</v>
      </c>
      <c r="O79" s="111" t="e">
        <f t="shared" ca="1" si="3"/>
        <v>#N/A</v>
      </c>
    </row>
    <row r="80" spans="2:15">
      <c r="B80" s="23"/>
      <c r="C80" s="22"/>
      <c r="D80" s="103"/>
      <c r="E80" s="23"/>
      <c r="F80" s="104"/>
      <c r="G80" s="23"/>
      <c r="H80" s="104"/>
      <c r="I80" s="23"/>
      <c r="J80" s="104"/>
      <c r="K80" s="23"/>
      <c r="L80" s="104"/>
      <c r="M80" s="38" t="e">
        <f t="shared" ca="1" si="4"/>
        <v>#N/A</v>
      </c>
      <c r="N80" s="100" t="e">
        <f ca="1">VLOOKUP($B80,Matrix!$H$13:$I$37,2,FALSE)&amp;"_"&amp;C80</f>
        <v>#N/A</v>
      </c>
      <c r="O80" s="111" t="e">
        <f t="shared" ca="1" si="3"/>
        <v>#N/A</v>
      </c>
    </row>
    <row r="81" spans="2:15">
      <c r="B81" s="23"/>
      <c r="C81" s="22"/>
      <c r="D81" s="103"/>
      <c r="E81" s="23"/>
      <c r="F81" s="104"/>
      <c r="G81" s="23"/>
      <c r="H81" s="104"/>
      <c r="I81" s="23"/>
      <c r="J81" s="104"/>
      <c r="K81" s="23"/>
      <c r="L81" s="104"/>
      <c r="M81" s="38" t="e">
        <f t="shared" ca="1" si="4"/>
        <v>#N/A</v>
      </c>
      <c r="N81" s="100" t="e">
        <f ca="1">VLOOKUP($B81,Matrix!$H$13:$I$37,2,FALSE)&amp;"_"&amp;C81</f>
        <v>#N/A</v>
      </c>
      <c r="O81" s="111" t="e">
        <f t="shared" ca="1" si="3"/>
        <v>#N/A</v>
      </c>
    </row>
    <row r="82" spans="2:15">
      <c r="B82" s="23"/>
      <c r="C82" s="22"/>
      <c r="D82" s="103"/>
      <c r="E82" s="23"/>
      <c r="F82" s="104"/>
      <c r="G82" s="23"/>
      <c r="H82" s="104"/>
      <c r="I82" s="23"/>
      <c r="J82" s="104"/>
      <c r="K82" s="23"/>
      <c r="L82" s="104"/>
      <c r="M82" s="38" t="e">
        <f t="shared" ca="1" si="4"/>
        <v>#N/A</v>
      </c>
      <c r="N82" s="100" t="e">
        <f ca="1">VLOOKUP($B82,Matrix!$H$13:$I$37,2,FALSE)&amp;"_"&amp;C82</f>
        <v>#N/A</v>
      </c>
      <c r="O82" s="111" t="e">
        <f t="shared" ca="1" si="3"/>
        <v>#N/A</v>
      </c>
    </row>
    <row r="83" spans="2:15">
      <c r="B83" s="23"/>
      <c r="C83" s="22"/>
      <c r="D83" s="103"/>
      <c r="E83" s="23"/>
      <c r="F83" s="104"/>
      <c r="G83" s="23"/>
      <c r="H83" s="104"/>
      <c r="I83" s="23"/>
      <c r="J83" s="104"/>
      <c r="K83" s="23"/>
      <c r="L83" s="104"/>
      <c r="M83" s="38" t="e">
        <f t="shared" ca="1" si="4"/>
        <v>#N/A</v>
      </c>
      <c r="N83" s="100" t="e">
        <f ca="1">VLOOKUP($B83,Matrix!$H$13:$I$37,2,FALSE)&amp;"_"&amp;C83</f>
        <v>#N/A</v>
      </c>
      <c r="O83" s="111" t="e">
        <f t="shared" ca="1" si="3"/>
        <v>#N/A</v>
      </c>
    </row>
    <row r="84" spans="2:15">
      <c r="B84" s="23"/>
      <c r="C84" s="22"/>
      <c r="D84" s="103"/>
      <c r="E84" s="23"/>
      <c r="F84" s="104"/>
      <c r="G84" s="23"/>
      <c r="H84" s="104"/>
      <c r="I84" s="23"/>
      <c r="J84" s="104"/>
      <c r="K84" s="23"/>
      <c r="L84" s="104"/>
      <c r="M84" s="38" t="e">
        <f t="shared" ca="1" si="4"/>
        <v>#N/A</v>
      </c>
      <c r="N84" s="100" t="e">
        <f ca="1">VLOOKUP($B84,Matrix!$H$13:$I$37,2,FALSE)&amp;"_"&amp;C84</f>
        <v>#N/A</v>
      </c>
      <c r="O84" s="111" t="e">
        <f t="shared" ca="1" si="3"/>
        <v>#N/A</v>
      </c>
    </row>
    <row r="85" spans="2:15">
      <c r="B85" s="23"/>
      <c r="C85" s="22"/>
      <c r="D85" s="103"/>
      <c r="E85" s="23"/>
      <c r="F85" s="104"/>
      <c r="G85" s="23"/>
      <c r="H85" s="104"/>
      <c r="I85" s="23"/>
      <c r="J85" s="104"/>
      <c r="K85" s="23"/>
      <c r="L85" s="104"/>
      <c r="M85" s="38" t="e">
        <f t="shared" ca="1" si="4"/>
        <v>#N/A</v>
      </c>
      <c r="N85" s="100" t="e">
        <f ca="1">VLOOKUP($B85,Matrix!$H$13:$I$37,2,FALSE)&amp;"_"&amp;C85</f>
        <v>#N/A</v>
      </c>
      <c r="O85" s="111" t="e">
        <f t="shared" ca="1" si="3"/>
        <v>#N/A</v>
      </c>
    </row>
    <row r="86" spans="2:15">
      <c r="B86" s="23"/>
      <c r="C86" s="22"/>
      <c r="D86" s="103"/>
      <c r="E86" s="23"/>
      <c r="F86" s="104"/>
      <c r="G86" s="23"/>
      <c r="H86" s="104"/>
      <c r="I86" s="23"/>
      <c r="J86" s="104"/>
      <c r="K86" s="23"/>
      <c r="L86" s="104"/>
      <c r="M86" s="38" t="e">
        <f t="shared" ca="1" si="4"/>
        <v>#N/A</v>
      </c>
      <c r="N86" s="100" t="e">
        <f ca="1">VLOOKUP($B86,Matrix!$H$13:$I$37,2,FALSE)&amp;"_"&amp;C86</f>
        <v>#N/A</v>
      </c>
      <c r="O86" s="111" t="e">
        <f t="shared" ca="1" si="3"/>
        <v>#N/A</v>
      </c>
    </row>
    <row r="87" spans="2:15">
      <c r="B87" s="23"/>
      <c r="C87" s="22"/>
      <c r="D87" s="103"/>
      <c r="E87" s="23"/>
      <c r="F87" s="104"/>
      <c r="G87" s="23"/>
      <c r="H87" s="104"/>
      <c r="I87" s="23"/>
      <c r="J87" s="104"/>
      <c r="K87" s="23"/>
      <c r="L87" s="104"/>
      <c r="M87" s="38" t="e">
        <f t="shared" ca="1" si="4"/>
        <v>#N/A</v>
      </c>
      <c r="N87" s="59" t="e">
        <f ca="1">VLOOKUP($B87,Matrix!$H$13:$I$37,2,FALSE)&amp;"_"&amp;C87</f>
        <v>#N/A</v>
      </c>
      <c r="O87" s="111" t="e">
        <f t="shared" ca="1" si="3"/>
        <v>#N/A</v>
      </c>
    </row>
    <row r="88" spans="2:15">
      <c r="B88" s="23"/>
      <c r="C88" s="22"/>
      <c r="D88" s="103"/>
      <c r="E88" s="23"/>
      <c r="F88" s="104"/>
      <c r="G88" s="23"/>
      <c r="H88" s="104"/>
      <c r="I88" s="23"/>
      <c r="J88" s="104"/>
      <c r="K88" s="23"/>
      <c r="L88" s="104"/>
      <c r="M88" s="38" t="e">
        <f t="shared" ca="1" si="4"/>
        <v>#N/A</v>
      </c>
      <c r="N88" s="59" t="e">
        <f ca="1">VLOOKUP($B88,Matrix!$H$13:$I$37,2,FALSE)&amp;"_"&amp;C88</f>
        <v>#N/A</v>
      </c>
      <c r="O88" s="111" t="e">
        <f t="shared" ca="1" si="3"/>
        <v>#N/A</v>
      </c>
    </row>
    <row r="89" spans="2:15">
      <c r="B89" s="23"/>
      <c r="C89" s="22"/>
      <c r="D89" s="103"/>
      <c r="E89" s="23"/>
      <c r="F89" s="104"/>
      <c r="G89" s="23"/>
      <c r="H89" s="104"/>
      <c r="I89" s="23"/>
      <c r="J89" s="104"/>
      <c r="K89" s="23"/>
      <c r="L89" s="104"/>
      <c r="M89" s="38" t="e">
        <f t="shared" ca="1" si="4"/>
        <v>#N/A</v>
      </c>
      <c r="N89" s="59" t="e">
        <f ca="1">VLOOKUP($B89,Matrix!$H$13:$I$37,2,FALSE)&amp;"_"&amp;C89</f>
        <v>#N/A</v>
      </c>
      <c r="O89" s="111" t="e">
        <f t="shared" ca="1" si="3"/>
        <v>#N/A</v>
      </c>
    </row>
    <row r="90" spans="2:15">
      <c r="B90" s="23"/>
      <c r="C90" s="22"/>
      <c r="D90" s="103"/>
      <c r="E90" s="23"/>
      <c r="F90" s="104"/>
      <c r="G90" s="23"/>
      <c r="H90" s="104"/>
      <c r="I90" s="23"/>
      <c r="J90" s="104"/>
      <c r="K90" s="23"/>
      <c r="L90" s="104"/>
      <c r="M90" s="38" t="e">
        <f t="shared" ca="1" si="4"/>
        <v>#N/A</v>
      </c>
      <c r="N90" s="59" t="e">
        <f ca="1">VLOOKUP($B90,Matrix!$H$13:$I$37,2,FALSE)&amp;"_"&amp;C90</f>
        <v>#N/A</v>
      </c>
      <c r="O90" s="111" t="e">
        <f t="shared" ca="1" si="3"/>
        <v>#N/A</v>
      </c>
    </row>
    <row r="91" spans="2:15">
      <c r="B91" s="23"/>
      <c r="C91" s="22"/>
      <c r="D91" s="103"/>
      <c r="E91" s="23"/>
      <c r="F91" s="104"/>
      <c r="G91" s="23"/>
      <c r="H91" s="104"/>
      <c r="I91" s="23"/>
      <c r="J91" s="104"/>
      <c r="K91" s="23"/>
      <c r="L91" s="104"/>
      <c r="M91" s="38" t="e">
        <f t="shared" ca="1" si="4"/>
        <v>#N/A</v>
      </c>
      <c r="N91" s="59" t="e">
        <f ca="1">VLOOKUP($B91,Matrix!$H$13:$I$37,2,FALSE)&amp;"_"&amp;C91</f>
        <v>#N/A</v>
      </c>
      <c r="O91" s="111" t="e">
        <f t="shared" ca="1" si="3"/>
        <v>#N/A</v>
      </c>
    </row>
    <row r="92" spans="2:15">
      <c r="B92" s="23"/>
      <c r="C92" s="22"/>
      <c r="D92" s="103"/>
      <c r="E92" s="23"/>
      <c r="F92" s="104"/>
      <c r="G92" s="23"/>
      <c r="H92" s="104"/>
      <c r="I92" s="23"/>
      <c r="J92" s="104"/>
      <c r="K92" s="23"/>
      <c r="L92" s="104"/>
      <c r="M92" s="38" t="e">
        <f t="shared" ca="1" si="4"/>
        <v>#N/A</v>
      </c>
      <c r="N92" s="59" t="e">
        <f ca="1">VLOOKUP($B92,Matrix!$H$13:$I$37,2,FALSE)&amp;"_"&amp;C92</f>
        <v>#N/A</v>
      </c>
      <c r="O92" s="111" t="e">
        <f t="shared" ca="1" si="3"/>
        <v>#N/A</v>
      </c>
    </row>
    <row r="93" spans="2:15">
      <c r="B93" s="23"/>
      <c r="C93" s="22"/>
      <c r="D93" s="103"/>
      <c r="E93" s="23"/>
      <c r="F93" s="104"/>
      <c r="G93" s="23"/>
      <c r="H93" s="104"/>
      <c r="I93" s="23"/>
      <c r="J93" s="104"/>
      <c r="K93" s="23"/>
      <c r="L93" s="104"/>
      <c r="M93" s="38" t="e">
        <f t="shared" ca="1" si="4"/>
        <v>#N/A</v>
      </c>
      <c r="N93" s="59" t="e">
        <f ca="1">VLOOKUP($B93,Matrix!$H$13:$I$37,2,FALSE)&amp;"_"&amp;C93</f>
        <v>#N/A</v>
      </c>
      <c r="O93" s="111" t="e">
        <f t="shared" ca="1" si="3"/>
        <v>#N/A</v>
      </c>
    </row>
    <row r="94" spans="2:15">
      <c r="B94" s="23"/>
      <c r="C94" s="22"/>
      <c r="D94" s="103"/>
      <c r="E94" s="23"/>
      <c r="F94" s="104"/>
      <c r="G94" s="23"/>
      <c r="H94" s="104"/>
      <c r="I94" s="23"/>
      <c r="J94" s="104"/>
      <c r="K94" s="23"/>
      <c r="L94" s="104"/>
      <c r="M94" s="38" t="e">
        <f t="shared" ca="1" si="4"/>
        <v>#N/A</v>
      </c>
      <c r="N94" s="59" t="e">
        <f ca="1">VLOOKUP($B94,Matrix!$H$13:$I$37,2,FALSE)&amp;"_"&amp;C94</f>
        <v>#N/A</v>
      </c>
      <c r="O94" s="111" t="e">
        <f t="shared" ca="1" si="3"/>
        <v>#N/A</v>
      </c>
    </row>
    <row r="95" spans="2:15">
      <c r="B95" s="23"/>
      <c r="C95" s="22"/>
      <c r="D95" s="103"/>
      <c r="E95" s="23"/>
      <c r="F95" s="104"/>
      <c r="G95" s="23"/>
      <c r="H95" s="104"/>
      <c r="I95" s="23"/>
      <c r="J95" s="104"/>
      <c r="K95" s="23"/>
      <c r="L95" s="104"/>
      <c r="M95" s="38" t="e">
        <f t="shared" ca="1" si="4"/>
        <v>#N/A</v>
      </c>
      <c r="N95" s="59" t="e">
        <f ca="1">VLOOKUP($B95,Matrix!$H$13:$I$37,2,FALSE)&amp;"_"&amp;C95</f>
        <v>#N/A</v>
      </c>
      <c r="O95" s="111" t="e">
        <f t="shared" ca="1" si="3"/>
        <v>#N/A</v>
      </c>
    </row>
    <row r="96" spans="2:15">
      <c r="B96" s="23"/>
      <c r="C96" s="22"/>
      <c r="D96" s="103"/>
      <c r="E96" s="23"/>
      <c r="F96" s="104"/>
      <c r="G96" s="23"/>
      <c r="H96" s="104"/>
      <c r="I96" s="23"/>
      <c r="J96" s="104"/>
      <c r="K96" s="23"/>
      <c r="L96" s="104"/>
      <c r="M96" s="38" t="e">
        <f t="shared" ca="1" si="4"/>
        <v>#N/A</v>
      </c>
      <c r="N96" s="59" t="e">
        <f ca="1">VLOOKUP($B96,Matrix!$H$13:$I$37,2,FALSE)&amp;"_"&amp;C96</f>
        <v>#N/A</v>
      </c>
      <c r="O96" s="111" t="e">
        <f t="shared" ca="1" si="3"/>
        <v>#N/A</v>
      </c>
    </row>
    <row r="97" spans="2:15">
      <c r="B97" s="23"/>
      <c r="C97" s="22"/>
      <c r="D97" s="103"/>
      <c r="E97" s="23"/>
      <c r="F97" s="104"/>
      <c r="G97" s="23"/>
      <c r="H97" s="104"/>
      <c r="I97" s="23"/>
      <c r="J97" s="104"/>
      <c r="K97" s="23"/>
      <c r="L97" s="104"/>
      <c r="M97" s="38" t="e">
        <f t="shared" ca="1" si="4"/>
        <v>#N/A</v>
      </c>
      <c r="N97" s="59" t="e">
        <f ca="1">VLOOKUP($B97,Matrix!$H$13:$I$37,2,FALSE)&amp;"_"&amp;C97</f>
        <v>#N/A</v>
      </c>
      <c r="O97" s="111" t="e">
        <f t="shared" ca="1" si="3"/>
        <v>#N/A</v>
      </c>
    </row>
    <row r="98" spans="2:15">
      <c r="B98" s="23"/>
      <c r="C98" s="22"/>
      <c r="D98" s="103"/>
      <c r="E98" s="23"/>
      <c r="F98" s="104"/>
      <c r="G98" s="23"/>
      <c r="H98" s="104"/>
      <c r="I98" s="23"/>
      <c r="J98" s="104"/>
      <c r="K98" s="23"/>
      <c r="L98" s="104"/>
      <c r="M98" s="38" t="e">
        <f t="shared" ca="1" si="4"/>
        <v>#N/A</v>
      </c>
      <c r="N98" s="59" t="e">
        <f ca="1">VLOOKUP($B98,Matrix!$H$13:$I$37,2,FALSE)&amp;"_"&amp;C98</f>
        <v>#N/A</v>
      </c>
      <c r="O98" s="111" t="e">
        <f t="shared" ca="1" si="3"/>
        <v>#N/A</v>
      </c>
    </row>
    <row r="99" spans="2:15">
      <c r="B99" s="23"/>
      <c r="C99" s="22"/>
      <c r="D99" s="103"/>
      <c r="E99" s="23"/>
      <c r="F99" s="104"/>
      <c r="G99" s="23"/>
      <c r="H99" s="104"/>
      <c r="I99" s="23"/>
      <c r="J99" s="104"/>
      <c r="K99" s="23"/>
      <c r="L99" s="104"/>
      <c r="M99" s="38" t="e">
        <f t="shared" ca="1" si="4"/>
        <v>#N/A</v>
      </c>
      <c r="N99" s="59" t="e">
        <f ca="1">VLOOKUP($B99,Matrix!$H$13:$I$37,2,FALSE)&amp;"_"&amp;C99</f>
        <v>#N/A</v>
      </c>
      <c r="O99" s="111" t="e">
        <f t="shared" ca="1" si="3"/>
        <v>#N/A</v>
      </c>
    </row>
    <row r="100" spans="2:15">
      <c r="B100" s="23"/>
      <c r="C100" s="22"/>
      <c r="D100" s="103"/>
      <c r="E100" s="23"/>
      <c r="F100" s="104"/>
      <c r="G100" s="23"/>
      <c r="H100" s="104"/>
      <c r="I100" s="23"/>
      <c r="J100" s="104"/>
      <c r="K100" s="23"/>
      <c r="L100" s="104"/>
      <c r="M100" s="38" t="e">
        <f t="shared" ca="1" si="4"/>
        <v>#N/A</v>
      </c>
      <c r="N100" s="59" t="e">
        <f ca="1">VLOOKUP($B100,Matrix!$H$13:$I$37,2,FALSE)&amp;"_"&amp;C100</f>
        <v>#N/A</v>
      </c>
      <c r="O100" s="111" t="e">
        <f t="shared" ref="O100:O103" ca="1" si="5">"#define "&amp;N100&amp;REPT(" ",48-M100)&amp;"("&amp;D100&amp;"U)"</f>
        <v>#N/A</v>
      </c>
    </row>
    <row r="101" spans="2:15">
      <c r="B101" s="23"/>
      <c r="C101" s="22"/>
      <c r="D101" s="103"/>
      <c r="E101" s="23"/>
      <c r="F101" s="104"/>
      <c r="G101" s="23"/>
      <c r="H101" s="104"/>
      <c r="I101" s="23"/>
      <c r="J101" s="104"/>
      <c r="K101" s="23"/>
      <c r="L101" s="104"/>
      <c r="M101" s="38" t="e">
        <f t="shared" ca="1" si="4"/>
        <v>#N/A</v>
      </c>
      <c r="N101" s="59" t="e">
        <f ca="1">VLOOKUP($B101,Matrix!$H$13:$I$37,2,FALSE)&amp;"_"&amp;C101</f>
        <v>#N/A</v>
      </c>
      <c r="O101" s="111" t="e">
        <f t="shared" ca="1" si="5"/>
        <v>#N/A</v>
      </c>
    </row>
    <row r="102" spans="2:15">
      <c r="B102" s="23"/>
      <c r="C102" s="22"/>
      <c r="D102" s="103"/>
      <c r="E102" s="23"/>
      <c r="F102" s="104"/>
      <c r="G102" s="23"/>
      <c r="H102" s="104"/>
      <c r="I102" s="23"/>
      <c r="J102" s="104"/>
      <c r="K102" s="23"/>
      <c r="L102" s="104"/>
      <c r="M102" s="38" t="e">
        <f t="shared" ca="1" si="4"/>
        <v>#N/A</v>
      </c>
      <c r="N102" s="59" t="e">
        <f ca="1">VLOOKUP($B102,Matrix!$H$13:$I$37,2,FALSE)&amp;"_"&amp;C102</f>
        <v>#N/A</v>
      </c>
      <c r="O102" s="111" t="e">
        <f t="shared" ca="1" si="5"/>
        <v>#N/A</v>
      </c>
    </row>
    <row r="103" spans="2:15" ht="14.25" thickBot="1">
      <c r="B103" s="44"/>
      <c r="C103" s="45"/>
      <c r="D103" s="105"/>
      <c r="E103" s="44"/>
      <c r="F103" s="106"/>
      <c r="G103" s="44"/>
      <c r="H103" s="106"/>
      <c r="I103" s="44"/>
      <c r="J103" s="106"/>
      <c r="K103" s="44"/>
      <c r="L103" s="106"/>
      <c r="M103" s="46" t="e">
        <f t="shared" ca="1" si="4"/>
        <v>#N/A</v>
      </c>
      <c r="N103" s="60" t="e">
        <f ca="1">VLOOKUP($B103,Matrix!$H$13:$I$37,2,FALSE)&amp;"_"&amp;C103</f>
        <v>#N/A</v>
      </c>
      <c r="O103" s="112" t="e">
        <f t="shared" ca="1" si="5"/>
        <v>#N/A</v>
      </c>
    </row>
  </sheetData>
  <sheetProtection sheet="1" objects="1" scenarios="1"/>
  <protectedRanges>
    <protectedRange sqref="B4:L103" name="範囲1"/>
  </protectedRanges>
  <phoneticPr fontId="2"/>
  <conditionalFormatting sqref="M3:M103">
    <cfRule type="cellIs" dxfId="2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3" t="s">
        <v>119</v>
      </c>
      <c r="C2" s="293"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95" t="s">
        <v>150</v>
      </c>
    </row>
    <row r="3" spans="1:49" ht="213" customHeight="1" thickBot="1">
      <c r="B3" s="215" t="str">
        <f>IF(OR(IF(COUNTIF(D6:AC69,"0")&lt;&gt;0,TRUE,FALSE),IF(COUNTIF(D6:AC69,"1")&lt;&gt;0,TRUE,FALSE)),"Search Table","Index Table")</f>
        <v>Search Table</v>
      </c>
      <c r="C3" s="294"/>
      <c r="D3" s="115" t="s">
        <v>61</v>
      </c>
      <c r="E3" s="115" t="s">
        <v>66</v>
      </c>
      <c r="F3" s="115" t="s">
        <v>49</v>
      </c>
      <c r="G3" s="115" t="s">
        <v>48</v>
      </c>
      <c r="H3" s="115" t="s">
        <v>117</v>
      </c>
      <c r="I3" s="115" t="s">
        <v>116</v>
      </c>
      <c r="J3" s="115" t="s">
        <v>121</v>
      </c>
      <c r="K3" s="115" t="s">
        <v>120</v>
      </c>
      <c r="L3" s="116" t="s">
        <v>66</v>
      </c>
      <c r="M3" s="116" t="s">
        <v>62</v>
      </c>
      <c r="N3" s="116" t="s">
        <v>62</v>
      </c>
      <c r="O3" s="116" t="s">
        <v>62</v>
      </c>
      <c r="P3" s="116" t="s">
        <v>62</v>
      </c>
      <c r="Q3" s="116" t="s">
        <v>62</v>
      </c>
      <c r="R3" s="116" t="s">
        <v>62</v>
      </c>
      <c r="S3" s="116" t="s">
        <v>62</v>
      </c>
      <c r="T3" s="116" t="s">
        <v>62</v>
      </c>
      <c r="U3" s="116" t="s">
        <v>62</v>
      </c>
      <c r="V3" s="116" t="s">
        <v>62</v>
      </c>
      <c r="W3" s="116" t="s">
        <v>62</v>
      </c>
      <c r="X3" s="116" t="s">
        <v>62</v>
      </c>
      <c r="Y3" s="116" t="s">
        <v>62</v>
      </c>
      <c r="Z3" s="116" t="s">
        <v>62</v>
      </c>
      <c r="AA3" s="304" t="s">
        <v>200</v>
      </c>
      <c r="AB3" s="305"/>
      <c r="AC3" s="305"/>
      <c r="AD3" s="305"/>
      <c r="AE3" s="306"/>
      <c r="AF3" s="303" t="s">
        <v>199</v>
      </c>
      <c r="AG3" s="302"/>
      <c r="AH3" s="301" t="s">
        <v>325</v>
      </c>
      <c r="AI3" s="302"/>
      <c r="AJ3" s="296"/>
      <c r="AR3" s="81" t="s">
        <v>92</v>
      </c>
    </row>
    <row r="4" spans="1:49" ht="14.25" thickBot="1">
      <c r="A4" s="297" t="s">
        <v>63</v>
      </c>
      <c r="B4" s="298"/>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18"/>
      <c r="AR4" s="69" t="s">
        <v>79</v>
      </c>
      <c r="AS4" s="70"/>
      <c r="AT4" s="70"/>
      <c r="AU4" s="70"/>
      <c r="AV4" s="70"/>
      <c r="AW4" s="71"/>
    </row>
    <row r="5" spans="1:49" ht="14.25" thickBot="1">
      <c r="A5" s="299"/>
      <c r="B5" s="300"/>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19"/>
      <c r="AR5" s="72" t="str">
        <f ca="1">"static const U4  "&amp;AW8&amp;"["&amp;AW10&amp;"]"&amp;" = {"</f>
        <v>static const U4  u4_sp_ALERT_H_TOWWAR_CRIT[ALERT_H_TOWWAR_NUM_DST] = {</v>
      </c>
      <c r="AS5" s="72" t="str">
        <f ca="1">"static const U4  "&amp;$AW$9&amp;"["&amp;$AW$10&amp;"] = {"</f>
        <v>static const U4  u4_sp_ALERT_H_TOWWAR_MASK[ALERT_H_TOWWAR_NUM_DST] = {</v>
      </c>
      <c r="AT5" s="72" t="str">
        <f ca="1">"static const U1  "&amp;$AW$11&amp;"["&amp;$AW$10&amp;"] = {"</f>
        <v>static const U1  u1_sp_ALERT_H_TOWWAR_DST[ALERT_H_TOWWAR_NUM_DST] = {</v>
      </c>
      <c r="AU5" s="72" t="str">
        <f ca="1">"const ST_ALERT_MTRX "&amp;$AW$12&amp;" = {"</f>
        <v>const ST_ALERT_MTRX st_gp_ALERT_H_TOWWAR_MTRX[1] = {</v>
      </c>
      <c r="AV5" s="56" t="str">
        <f ca="1">"#define "&amp;AW10&amp;REPT(" ",41-LEN(AW10))&amp;"("&amp;AW13&amp;"U)"</f>
        <v>#define ALERT_H_TOWWAR_NUM_DST                   (7U)</v>
      </c>
      <c r="AW5" s="57"/>
    </row>
    <row r="6" spans="1:49">
      <c r="B6" s="121" t="str">
        <f ca="1">"Table "&amp;$AW$6</f>
        <v>Table H_TOWWAR</v>
      </c>
      <c r="C6" s="43">
        <f>ROW()-ROW($C$6)</f>
        <v>0</v>
      </c>
      <c r="D6" s="117" t="s">
        <v>189</v>
      </c>
      <c r="E6" s="117" t="s">
        <v>189</v>
      </c>
      <c r="F6" s="117" t="s">
        <v>189</v>
      </c>
      <c r="G6" s="117" t="s">
        <v>189</v>
      </c>
      <c r="H6" s="117" t="s">
        <v>189</v>
      </c>
      <c r="I6" s="117" t="s">
        <v>190</v>
      </c>
      <c r="J6" s="117" t="s">
        <v>186</v>
      </c>
      <c r="K6" s="117" t="s">
        <v>191</v>
      </c>
      <c r="L6" s="117" t="s">
        <v>189</v>
      </c>
      <c r="M6" s="117" t="s">
        <v>190</v>
      </c>
      <c r="N6" s="117" t="s">
        <v>190</v>
      </c>
      <c r="O6" s="117" t="s">
        <v>190</v>
      </c>
      <c r="P6" s="117" t="s">
        <v>190</v>
      </c>
      <c r="Q6" s="117" t="s">
        <v>190</v>
      </c>
      <c r="R6" s="117" t="s">
        <v>190</v>
      </c>
      <c r="S6" s="117" t="s">
        <v>190</v>
      </c>
      <c r="T6" s="117" t="s">
        <v>190</v>
      </c>
      <c r="U6" s="117" t="s">
        <v>190</v>
      </c>
      <c r="V6" s="117" t="s">
        <v>190</v>
      </c>
      <c r="W6" s="117" t="s">
        <v>190</v>
      </c>
      <c r="X6" s="117" t="s">
        <v>67</v>
      </c>
      <c r="Y6" s="117" t="s">
        <v>67</v>
      </c>
      <c r="Z6" s="117" t="s">
        <v>67</v>
      </c>
      <c r="AA6" s="31">
        <v>0</v>
      </c>
      <c r="AB6" s="31">
        <v>0</v>
      </c>
      <c r="AC6" s="31">
        <v>0</v>
      </c>
      <c r="AD6" s="31">
        <v>0</v>
      </c>
      <c r="AE6" s="220">
        <v>0</v>
      </c>
      <c r="AF6" s="220">
        <v>0</v>
      </c>
      <c r="AG6" s="220">
        <v>0</v>
      </c>
      <c r="AH6" s="220">
        <v>0</v>
      </c>
      <c r="AI6" s="220">
        <v>1</v>
      </c>
      <c r="AJ6" s="42" t="s">
        <v>198</v>
      </c>
      <c r="AL6" t="str">
        <f t="shared" ref="AL6:AL69" ca="1" si="0">IF($AJ6="UNKNOWN","    (U1)ALERT_REQ_UNKNOWN","    (U1)"&amp;"ALERT_REQ_"&amp;$AW$17&amp;"_"&amp;IF($AW$6&lt;&gt;$AW$17,$AW$6&amp;"_","")&amp;AJ6)</f>
        <v xml:space="preserve">    (U1)ALERT_REQ_H_TOWWAR_MLFNC_HV2</v>
      </c>
      <c r="AR6" s="54" t="str">
        <f>IF(AQ71&lt;&gt;"",AQ71,IF(AQ70&lt;&gt;"","};",""))</f>
        <v xml:space="preserve">    (U4)0x00000001U,                                                           /* 00 MLFNC_HV2                                       */</v>
      </c>
      <c r="AS6" s="54" t="str">
        <f>IF(AQ136&lt;&gt;"",AQ136,IF(AQ135&lt;&gt;"","};",""))</f>
        <v xml:space="preserve">    (U4)0x000001FFU,                                                           /* 00 MLFNC_HV2                                       */</v>
      </c>
      <c r="AT6" s="54" t="str">
        <f t="shared" ref="AT6:AT69" ca="1" si="1">IF(AJ6&lt;&gt;"",AL6&amp;IF(AJ7&lt;&gt;"",","," ")&amp;REPT(" ",78-LEN(AL6))&amp;"/* "&amp;IF(C6&lt;10,"0"&amp;C6,C6)&amp;" "&amp;AJ6&amp;REPT(" ",48-LEN(AJ6))&amp;"*/",IF(AJ5&lt;&gt;"","};",""))</f>
        <v xml:space="preserve">    (U1)ALERT_REQ_H_TOWWAR_MLFNC_HV2,                                          /* 00 MLFNC_HV2                                       */</v>
      </c>
      <c r="AU6" s="54" t="s">
        <v>337</v>
      </c>
      <c r="AV6" s="39" t="s">
        <v>68</v>
      </c>
      <c r="AW6" s="58" t="str">
        <f ca="1">UPPER(RIGHT(CELL("filename",A1),LEN(CELL("filename",A1))-FIND("]",CELL("filename",A1))))</f>
        <v>H_TOWWAR</v>
      </c>
    </row>
    <row r="7" spans="1:49">
      <c r="B7" s="121"/>
      <c r="C7" s="38">
        <f t="shared" ref="C7:C69" si="2">ROW()-ROW($C$6)</f>
        <v>1</v>
      </c>
      <c r="D7" s="52" t="s">
        <v>190</v>
      </c>
      <c r="E7" s="52" t="s">
        <v>190</v>
      </c>
      <c r="F7" s="52" t="s">
        <v>190</v>
      </c>
      <c r="G7" s="52" t="s">
        <v>191</v>
      </c>
      <c r="H7" s="52" t="s">
        <v>190</v>
      </c>
      <c r="I7" s="52" t="s">
        <v>190</v>
      </c>
      <c r="J7" s="117" t="s">
        <v>186</v>
      </c>
      <c r="K7" s="117" t="s">
        <v>190</v>
      </c>
      <c r="L7" s="52" t="s">
        <v>190</v>
      </c>
      <c r="M7" s="52" t="s">
        <v>190</v>
      </c>
      <c r="N7" s="52" t="s">
        <v>190</v>
      </c>
      <c r="O7" s="52" t="s">
        <v>190</v>
      </c>
      <c r="P7" s="52" t="s">
        <v>190</v>
      </c>
      <c r="Q7" s="52" t="s">
        <v>190</v>
      </c>
      <c r="R7" s="52" t="s">
        <v>190</v>
      </c>
      <c r="S7" s="52" t="s">
        <v>190</v>
      </c>
      <c r="T7" s="52" t="s">
        <v>190</v>
      </c>
      <c r="U7" s="52" t="s">
        <v>190</v>
      </c>
      <c r="V7" s="52" t="s">
        <v>190</v>
      </c>
      <c r="W7" s="52" t="s">
        <v>190</v>
      </c>
      <c r="X7" s="52" t="s">
        <v>67</v>
      </c>
      <c r="Y7" s="52" t="s">
        <v>67</v>
      </c>
      <c r="Z7" s="52" t="s">
        <v>67</v>
      </c>
      <c r="AA7" s="31">
        <v>0</v>
      </c>
      <c r="AB7" s="31">
        <v>0</v>
      </c>
      <c r="AC7" s="31">
        <v>0</v>
      </c>
      <c r="AD7" s="31">
        <v>1</v>
      </c>
      <c r="AE7" s="220">
        <v>1</v>
      </c>
      <c r="AF7" s="220">
        <v>0</v>
      </c>
      <c r="AG7" s="220">
        <v>0</v>
      </c>
      <c r="AH7" s="220">
        <v>0</v>
      </c>
      <c r="AI7" s="220">
        <v>1</v>
      </c>
      <c r="AJ7" s="42" t="s">
        <v>201</v>
      </c>
      <c r="AL7" t="str">
        <f t="shared" ca="1" si="0"/>
        <v xml:space="preserve">    (U1)ALERT_REQ_H_TOWWAR_MLFNC_HV</v>
      </c>
      <c r="AR7" s="54" t="str">
        <f t="shared" ref="AR7:AR70" si="3">IF(AQ72&lt;&gt;"",AQ72,IF(AQ71&lt;&gt;"","};",""))</f>
        <v xml:space="preserve">    (U4)0x00000031U,                                                           /* 01 MLFNC_HV                                        */</v>
      </c>
      <c r="AS7" s="54" t="str">
        <f t="shared" ref="AS7:AS70" si="4">IF(AQ137&lt;&gt;"",AQ137,IF(AQ136&lt;&gt;"","};",""))</f>
        <v xml:space="preserve">    (U4)0x000001FFU,                                                           /* 01 MLFNC_HV                                        */</v>
      </c>
      <c r="AT7" s="54" t="str">
        <f t="shared" ca="1" si="1"/>
        <v xml:space="preserve">    (U1)ALERT_REQ_H_TOWWAR_MLFNC_HV,                                           /* 01 MLFNC_HV                                        */</v>
      </c>
      <c r="AU7" s="54" t="str">
        <f ca="1">"        &amp;"&amp;$AW$14&amp;","&amp;REPT(" ",69-LEN($AW$14))&amp;"/* fp_u4_SRC_CHK                                      */"</f>
        <v xml:space="preserve">        &amp;u4_s_AlertH_towwarSrcchk,                                             /* fp_u4_SRC_CHK                                      */</v>
      </c>
      <c r="AV7" s="40" t="s">
        <v>69</v>
      </c>
      <c r="AW7" s="120">
        <f>IF(B3="Search Table",1,0)</f>
        <v>1</v>
      </c>
    </row>
    <row r="8" spans="1:49">
      <c r="B8" s="121"/>
      <c r="C8" s="38">
        <f t="shared" si="2"/>
        <v>2</v>
      </c>
      <c r="D8" s="52" t="s">
        <v>190</v>
      </c>
      <c r="E8" s="52" t="s">
        <v>190</v>
      </c>
      <c r="F8" s="52" t="s">
        <v>190</v>
      </c>
      <c r="G8" s="52" t="s">
        <v>190</v>
      </c>
      <c r="H8" s="52" t="s">
        <v>190</v>
      </c>
      <c r="I8" s="52" t="s">
        <v>190</v>
      </c>
      <c r="J8" s="117" t="s">
        <v>186</v>
      </c>
      <c r="K8" s="52" t="s">
        <v>190</v>
      </c>
      <c r="L8" s="52" t="s">
        <v>190</v>
      </c>
      <c r="M8" s="52" t="s">
        <v>190</v>
      </c>
      <c r="N8" s="52" t="s">
        <v>190</v>
      </c>
      <c r="O8" s="52" t="s">
        <v>190</v>
      </c>
      <c r="P8" s="52" t="s">
        <v>190</v>
      </c>
      <c r="Q8" s="52" t="s">
        <v>190</v>
      </c>
      <c r="R8" s="52" t="s">
        <v>190</v>
      </c>
      <c r="S8" s="52" t="s">
        <v>190</v>
      </c>
      <c r="T8" s="52" t="s">
        <v>190</v>
      </c>
      <c r="U8" s="52" t="s">
        <v>190</v>
      </c>
      <c r="V8" s="52" t="s">
        <v>190</v>
      </c>
      <c r="W8" s="52" t="s">
        <v>190</v>
      </c>
      <c r="X8" s="52" t="s">
        <v>67</v>
      </c>
      <c r="Y8" s="52" t="s">
        <v>67</v>
      </c>
      <c r="Z8" s="52" t="s">
        <v>67</v>
      </c>
      <c r="AA8" s="31">
        <v>0</v>
      </c>
      <c r="AB8" s="220">
        <v>0</v>
      </c>
      <c r="AC8" s="220">
        <v>1</v>
      </c>
      <c r="AD8" s="31" t="s">
        <v>67</v>
      </c>
      <c r="AE8" s="220">
        <v>0</v>
      </c>
      <c r="AF8" s="220">
        <v>0</v>
      </c>
      <c r="AG8" s="220">
        <v>0</v>
      </c>
      <c r="AH8" s="220">
        <v>0</v>
      </c>
      <c r="AI8" s="220">
        <v>1</v>
      </c>
      <c r="AJ8" s="42" t="s">
        <v>201</v>
      </c>
      <c r="AL8" t="str">
        <f t="shared" ca="1" si="0"/>
        <v xml:space="preserve">    (U1)ALERT_REQ_H_TOWWAR_MLFNC_HV</v>
      </c>
      <c r="AR8" s="54" t="str">
        <f t="shared" si="3"/>
        <v xml:space="preserve">    (U4)0x00000041U,                                                           /* 02 MLFNC_HV                                        */</v>
      </c>
      <c r="AS8" s="54" t="str">
        <f t="shared" si="4"/>
        <v xml:space="preserve">    (U4)0x000001DFU,                                                           /* 02 MLFNC_HV                                        */</v>
      </c>
      <c r="AT8" s="54" t="str">
        <f ca="1">IF(AJ8&lt;&gt;"",AL8&amp;IF(AJ9&lt;&gt;"",","," ")&amp;REPT(" ",78-LEN(AL8))&amp;"/* "&amp;IF(C8&lt;10,"0"&amp;C8,C8)&amp;" "&amp;AJ8&amp;REPT(" ",48-LEN(AJ8))&amp;"*/",IF(AJ7&lt;&gt;"","};",""))</f>
        <v xml:space="preserve">    (U1)ALERT_REQ_H_TOWWAR_MLFNC_HV,                                           /* 02 MLFNC_HV                                        */</v>
      </c>
      <c r="AU8" s="54" t="str">
        <f ca="1">IF($AW$15&lt;&gt;"NULL","        &amp;"&amp;$AW$15&amp;","&amp;REPT(" ",69-LEN($AW$15))&amp;"/* fp_vd_XDST                                         */","        vdp_PTR_NA,                                                            /* fp_vd_XDST                                         */")</f>
        <v xml:space="preserve">        &amp;vd_s_AlertH_towwarRwTx,                                               /* fp_vd_XDST                                         */</v>
      </c>
      <c r="AV8" s="40" t="s">
        <v>70</v>
      </c>
      <c r="AW8" s="59" t="str">
        <f ca="1">"u4_sp_ALERT_"&amp;IF(AW6&lt;&gt;AW17,$AW$17&amp;"_"&amp;$AW$6,AW17)&amp;"_CRIT"</f>
        <v>u4_sp_ALERT_H_TOWWAR_CRIT</v>
      </c>
    </row>
    <row r="9" spans="1:49">
      <c r="B9" s="121"/>
      <c r="C9" s="38">
        <f t="shared" si="2"/>
        <v>3</v>
      </c>
      <c r="D9" s="52" t="s">
        <v>190</v>
      </c>
      <c r="E9" s="52" t="s">
        <v>190</v>
      </c>
      <c r="F9" s="52" t="s">
        <v>190</v>
      </c>
      <c r="G9" s="52" t="s">
        <v>190</v>
      </c>
      <c r="H9" s="52" t="s">
        <v>190</v>
      </c>
      <c r="I9" s="52" t="s">
        <v>190</v>
      </c>
      <c r="J9" s="117" t="s">
        <v>186</v>
      </c>
      <c r="K9" s="52" t="s">
        <v>190</v>
      </c>
      <c r="L9" s="52" t="s">
        <v>190</v>
      </c>
      <c r="M9" s="52" t="s">
        <v>190</v>
      </c>
      <c r="N9" s="52" t="s">
        <v>190</v>
      </c>
      <c r="O9" s="52" t="s">
        <v>190</v>
      </c>
      <c r="P9" s="52" t="s">
        <v>190</v>
      </c>
      <c r="Q9" s="52" t="s">
        <v>190</v>
      </c>
      <c r="R9" s="52" t="s">
        <v>190</v>
      </c>
      <c r="S9" s="52" t="s">
        <v>190</v>
      </c>
      <c r="T9" s="52" t="s">
        <v>190</v>
      </c>
      <c r="U9" s="52" t="s">
        <v>190</v>
      </c>
      <c r="V9" s="52" t="s">
        <v>190</v>
      </c>
      <c r="W9" s="52" t="s">
        <v>190</v>
      </c>
      <c r="X9" s="52" t="s">
        <v>67</v>
      </c>
      <c r="Y9" s="52" t="s">
        <v>67</v>
      </c>
      <c r="Z9" s="52" t="s">
        <v>67</v>
      </c>
      <c r="AA9" s="31">
        <v>0</v>
      </c>
      <c r="AB9" s="220">
        <v>0</v>
      </c>
      <c r="AC9" s="220">
        <v>1</v>
      </c>
      <c r="AD9" s="220">
        <v>0</v>
      </c>
      <c r="AE9" s="220">
        <v>1</v>
      </c>
      <c r="AF9" s="220">
        <v>0</v>
      </c>
      <c r="AG9" s="220">
        <v>0</v>
      </c>
      <c r="AH9" s="220">
        <v>0</v>
      </c>
      <c r="AI9" s="220">
        <v>1</v>
      </c>
      <c r="AJ9" s="42" t="s">
        <v>202</v>
      </c>
      <c r="AL9" t="str">
        <f t="shared" ca="1" si="0"/>
        <v xml:space="preserve">    (U1)ALERT_REQ_H_TOWWAR_MLFNC_EV</v>
      </c>
      <c r="AR9" s="54" t="str">
        <f t="shared" si="3"/>
        <v xml:space="preserve">    (U4)0x00000051U,                                                           /* 03 MLFNC_EV                                        */</v>
      </c>
      <c r="AS9" s="54" t="str">
        <f t="shared" si="4"/>
        <v xml:space="preserve">    (U4)0x000001FFU,                                                           /* 03 MLFNC_EV                                        */</v>
      </c>
      <c r="AT9" s="54" t="str">
        <f t="shared" ca="1" si="1"/>
        <v xml:space="preserve">    (U1)ALERT_REQ_H_TOWWAR_MLFNC_EV,                                           /* 03 MLFNC_EV                                        */</v>
      </c>
      <c r="AU9" s="54"/>
      <c r="AV9" s="40" t="s">
        <v>71</v>
      </c>
      <c r="AW9" s="59" t="str">
        <f ca="1">"u4_sp_ALERT_"&amp;IF(AW6&lt;&gt;AW17,$AW$17&amp;"_"&amp;$AW$6,AW17)&amp;"_MASK"</f>
        <v>u4_sp_ALERT_H_TOWWAR_MASK</v>
      </c>
    </row>
    <row r="10" spans="1:49">
      <c r="B10" s="121"/>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31">
        <v>0</v>
      </c>
      <c r="AB10" s="220">
        <v>0</v>
      </c>
      <c r="AC10" s="220">
        <v>1</v>
      </c>
      <c r="AD10" s="220">
        <v>1</v>
      </c>
      <c r="AE10" s="220">
        <v>1</v>
      </c>
      <c r="AF10" s="220">
        <v>0</v>
      </c>
      <c r="AG10" s="220">
        <v>0</v>
      </c>
      <c r="AH10" s="220">
        <v>0</v>
      </c>
      <c r="AI10" s="220">
        <v>1</v>
      </c>
      <c r="AJ10" s="42" t="s">
        <v>203</v>
      </c>
      <c r="AL10" t="str">
        <f t="shared" ca="1" si="0"/>
        <v xml:space="preserve">    (U1)ALERT_REQ_H_TOWWAR_MLFNC_FCV</v>
      </c>
      <c r="AR10" s="54" t="str">
        <f t="shared" si="3"/>
        <v xml:space="preserve">    (U4)0x00000071U,                                                           /* 04 MLFNC_FCV                                       */</v>
      </c>
      <c r="AS10" s="54" t="str">
        <f t="shared" si="4"/>
        <v xml:space="preserve">    (U4)0x000001FFU,                                                           /* 04 MLFNC_FCV                                       */</v>
      </c>
      <c r="AT10" s="54" t="str">
        <f t="shared" ca="1" si="1"/>
        <v xml:space="preserve">    (U1)ALERT_REQ_H_TOWWAR_MLFNC_FCV,                                          /* 04 MLFNC_FCV                                       */</v>
      </c>
      <c r="AU10" s="54" t="str">
        <f ca="1">IF($AW$7=1,"        &amp;"&amp;$AW$9&amp;"[0],"&amp;REPT(" ",66-LEN($AW$9))&amp;"/* u4p_MASK                                           */","        (const U4 *)vdp_PTR_NA,                                                /* u4p_MASK                                           */")</f>
        <v xml:space="preserve">        &amp;u4_sp_ALERT_H_TOWWAR_MASK[0],                                         /* u4p_MASK                                           */</v>
      </c>
      <c r="AV10" s="40" t="s">
        <v>72</v>
      </c>
      <c r="AW10" s="59" t="str">
        <f ca="1">"ALERT_"&amp;IF(AW6&lt;&gt;AW17,$AW$17&amp;"_"&amp;$AW$6,AW17)&amp;"_NUM_DST"</f>
        <v>ALERT_H_TOWWAR_NUM_DST</v>
      </c>
    </row>
    <row r="11" spans="1:49">
      <c r="B11" s="121"/>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220">
        <v>1</v>
      </c>
      <c r="AB11" s="220">
        <v>1</v>
      </c>
      <c r="AC11" s="220">
        <v>1</v>
      </c>
      <c r="AD11" s="31">
        <v>1</v>
      </c>
      <c r="AE11" s="31">
        <v>1</v>
      </c>
      <c r="AF11" s="31">
        <v>0</v>
      </c>
      <c r="AG11" s="31">
        <v>0</v>
      </c>
      <c r="AH11" s="31">
        <v>0</v>
      </c>
      <c r="AI11" s="31">
        <v>1</v>
      </c>
      <c r="AJ11" s="42" t="s">
        <v>201</v>
      </c>
      <c r="AL11" t="str">
        <f t="shared" ca="1" si="0"/>
        <v xml:space="preserve">    (U1)ALERT_REQ_H_TOWWAR_MLFNC_HV</v>
      </c>
      <c r="AR11" s="54" t="str">
        <f t="shared" si="3"/>
        <v xml:space="preserve">    (U4)0x000001F1U,                                                           /* 05 MLFNC_HV                                        */</v>
      </c>
      <c r="AS11" s="54" t="str">
        <f t="shared" si="4"/>
        <v xml:space="preserve">    (U4)0x000001FFU,                                                           /* 05 MLFNC_HV                                        */</v>
      </c>
      <c r="AT11" s="54" t="str">
        <f t="shared" ca="1" si="1"/>
        <v xml:space="preserve">    (U1)ALERT_REQ_H_TOWWAR_MLFNC_HV,                                           /* 05 MLFNC_HV                                        */</v>
      </c>
      <c r="AU11" s="54" t="str">
        <f ca="1">IF($AW$7=1,"        &amp;"&amp;$AW$8&amp;"[0],"&amp;REPT(" ",66-LEN($AW$8))&amp;"/* u4p_CRIT                                           */","        (const U4 *)vdp_PTR_NA,                                                /* u4p_CRIT                                           */")</f>
        <v xml:space="preserve">        &amp;u4_sp_ALERT_H_TOWWAR_CRIT[0],                                         /* u4p_CRIT                                           */</v>
      </c>
      <c r="AV11" s="40" t="s">
        <v>73</v>
      </c>
      <c r="AW11" s="59" t="str">
        <f ca="1">"u1_sp_ALERT_"&amp;IF(AW6&lt;&gt;AW17,$AW$17&amp;"_"&amp;$AW$6,AW17)&amp;"_DST"</f>
        <v>u1_sp_ALERT_H_TOWWAR_DST</v>
      </c>
    </row>
    <row r="12" spans="1:49">
      <c r="B12" s="121"/>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220" t="s">
        <v>67</v>
      </c>
      <c r="AB12" s="220" t="s">
        <v>67</v>
      </c>
      <c r="AC12" s="220" t="s">
        <v>67</v>
      </c>
      <c r="AD12" s="31" t="s">
        <v>67</v>
      </c>
      <c r="AE12" s="31" t="s">
        <v>67</v>
      </c>
      <c r="AF12" s="31">
        <v>0</v>
      </c>
      <c r="AG12" s="31">
        <v>0</v>
      </c>
      <c r="AH12" s="31">
        <v>0</v>
      </c>
      <c r="AI12" s="31">
        <v>1</v>
      </c>
      <c r="AJ12" s="42" t="s">
        <v>303</v>
      </c>
      <c r="AL12" t="str">
        <f t="shared" ca="1" si="0"/>
        <v xml:space="preserve">    (U1)ALERT_REQ_H_TOWWAR_MLFNC</v>
      </c>
      <c r="AR12" s="54" t="str">
        <f t="shared" si="3"/>
        <v xml:space="preserve">    (U4)0x00000001U                                                            /* 06 MLFNC                                           */</v>
      </c>
      <c r="AS12" s="54" t="str">
        <f t="shared" si="4"/>
        <v xml:space="preserve">    (U4)0x0000000FU                                                            /* 06 MLFNC                                           */</v>
      </c>
      <c r="AT12" s="54" t="str">
        <f t="shared" ca="1" si="1"/>
        <v xml:space="preserve">    (U1)ALERT_REQ_H_TOWWAR_MLFNC                                               /* 06 MLFNC                                           */</v>
      </c>
      <c r="AU12" s="54"/>
      <c r="AV12" s="40" t="s">
        <v>85</v>
      </c>
      <c r="AW12" s="59" t="str">
        <f ca="1">Matrix!D8&amp;"["&amp;Matrix!D7&amp;"]"</f>
        <v>st_gp_ALERT_H_TOWWAR_MTRX[1]</v>
      </c>
    </row>
    <row r="13" spans="1:49">
      <c r="B13" s="121"/>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52" t="s">
        <v>67</v>
      </c>
      <c r="AD13" s="52" t="s">
        <v>67</v>
      </c>
      <c r="AE13" s="52" t="s">
        <v>67</v>
      </c>
      <c r="AF13" s="52" t="s">
        <v>67</v>
      </c>
      <c r="AG13" s="52" t="s">
        <v>67</v>
      </c>
      <c r="AH13" s="52" t="s">
        <v>67</v>
      </c>
      <c r="AI13" s="52" t="s">
        <v>67</v>
      </c>
      <c r="AJ13" s="42"/>
      <c r="AL13" t="str">
        <f t="shared" ca="1" si="0"/>
        <v xml:space="preserve">    (U1)ALERT_REQ_H_TOWWAR_</v>
      </c>
      <c r="AR13" s="54" t="str">
        <f t="shared" si="3"/>
        <v>};</v>
      </c>
      <c r="AS13" s="54" t="str">
        <f t="shared" si="4"/>
        <v>};</v>
      </c>
      <c r="AT13" s="54" t="str">
        <f t="shared" si="1"/>
        <v>};</v>
      </c>
      <c r="AU13" s="54" t="str">
        <f ca="1">"        &amp;"&amp;$AW$11&amp;"[0],"&amp;REPT(" ",66-LEN($AW$11))&amp;"/* u1p_DST                                            */"</f>
        <v xml:space="preserve">        &amp;u1_sp_ALERT_H_TOWWAR_DST[0],                                          /* u1p_DST                                            */</v>
      </c>
      <c r="AV13" s="40" t="s">
        <v>74</v>
      </c>
      <c r="AW13" s="120">
        <f>COUNTA($AJ$6:$AJ$69)</f>
        <v>7</v>
      </c>
    </row>
    <row r="14" spans="1:49">
      <c r="B14" s="121"/>
      <c r="C14" s="38">
        <f t="shared" si="2"/>
        <v>8</v>
      </c>
      <c r="D14" s="52" t="s">
        <v>67</v>
      </c>
      <c r="E14" s="52" t="s">
        <v>67</v>
      </c>
      <c r="F14" s="52" t="s">
        <v>67</v>
      </c>
      <c r="G14" s="52" t="s">
        <v>67</v>
      </c>
      <c r="H14" s="52" t="s">
        <v>67</v>
      </c>
      <c r="I14" s="52" t="s">
        <v>67</v>
      </c>
      <c r="J14" s="52" t="s">
        <v>67</v>
      </c>
      <c r="K14" s="52" t="s">
        <v>186</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52" t="s">
        <v>67</v>
      </c>
      <c r="AD14" s="52" t="s">
        <v>67</v>
      </c>
      <c r="AE14" s="52" t="s">
        <v>67</v>
      </c>
      <c r="AF14" s="52" t="s">
        <v>67</v>
      </c>
      <c r="AG14" s="52" t="s">
        <v>67</v>
      </c>
      <c r="AH14" s="52" t="s">
        <v>67</v>
      </c>
      <c r="AI14" s="52" t="s">
        <v>67</v>
      </c>
      <c r="AJ14" s="42"/>
      <c r="AL14" t="str">
        <f t="shared" ca="1" si="0"/>
        <v xml:space="preserve">    (U1)ALERT_REQ_H_TOWWAR_</v>
      </c>
      <c r="AR14" s="54" t="str">
        <f t="shared" si="3"/>
        <v/>
      </c>
      <c r="AS14" s="54" t="str">
        <f t="shared" si="4"/>
        <v/>
      </c>
      <c r="AT14" s="54" t="str">
        <f t="shared" si="1"/>
        <v/>
      </c>
      <c r="AU14" s="54" t="str">
        <f ca="1">"        (U2)"&amp;$AW$10&amp;","&amp;REPT(" ",66-LEN($AW$10))&amp;"/* u2_num_srch                                        */"</f>
        <v xml:space="preserve">        (U2)ALERT_H_TOWWAR_NUM_DST,                                            /* u2_num_srch                                        */</v>
      </c>
      <c r="AV14" s="40" t="s">
        <v>75</v>
      </c>
      <c r="AW14" s="59" t="str">
        <f ca="1">IF(AW6&lt;&gt;AW17,VLOOKUP(AW6,Matrix!$C$13:$G$37,4,FALSE),Matrix!F13)</f>
        <v>u4_s_AlertH_towwarSrcchk</v>
      </c>
    </row>
    <row r="15" spans="1:49">
      <c r="B15" s="121"/>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52" t="s">
        <v>67</v>
      </c>
      <c r="AD15" s="52" t="s">
        <v>67</v>
      </c>
      <c r="AE15" s="52" t="s">
        <v>67</v>
      </c>
      <c r="AF15" s="52" t="s">
        <v>67</v>
      </c>
      <c r="AG15" s="52" t="s">
        <v>67</v>
      </c>
      <c r="AH15" s="52" t="s">
        <v>67</v>
      </c>
      <c r="AI15" s="52" t="s">
        <v>67</v>
      </c>
      <c r="AJ15" s="42"/>
      <c r="AL15" t="str">
        <f t="shared" ca="1" si="0"/>
        <v xml:space="preserve">    (U1)ALERT_REQ_H_TOWWAR_</v>
      </c>
      <c r="AR15" s="54" t="str">
        <f t="shared" si="3"/>
        <v/>
      </c>
      <c r="AS15" s="54" t="str">
        <f t="shared" si="4"/>
        <v/>
      </c>
      <c r="AT15" s="54" t="str">
        <f t="shared" si="1"/>
        <v/>
      </c>
      <c r="AU15" s="54" t="str">
        <f ca="1">"        (U1)"&amp;$AW$16&amp;REPT(" ",67-LEN($AW$16))&amp;"/* u1_vom_act                                         */"</f>
        <v xml:space="preserve">        (U1)ALERT_VOM_IGN_ON                                                   /* u1_vom_act                                         */</v>
      </c>
      <c r="AV15" s="40" t="s">
        <v>78</v>
      </c>
      <c r="AW15" s="59" t="str">
        <f ca="1">IF(AW6&lt;&gt;AW17,VLOOKUP(AW6,Matrix!$C$13:$G$37,5,FALSE),Matrix!G13)</f>
        <v>vd_s_AlertH_towwarRwTx</v>
      </c>
    </row>
    <row r="16" spans="1:49">
      <c r="B16" s="121"/>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52" t="s">
        <v>67</v>
      </c>
      <c r="AD16" s="117" t="s">
        <v>67</v>
      </c>
      <c r="AE16" s="117" t="s">
        <v>67</v>
      </c>
      <c r="AF16" s="117" t="s">
        <v>67</v>
      </c>
      <c r="AG16" s="117" t="s">
        <v>67</v>
      </c>
      <c r="AH16" s="117" t="s">
        <v>67</v>
      </c>
      <c r="AI16" s="117" t="s">
        <v>67</v>
      </c>
      <c r="AJ16" s="42"/>
      <c r="AL16" t="str">
        <f t="shared" ca="1" si="0"/>
        <v xml:space="preserve">    (U1)ALERT_REQ_H_TOWWAR_</v>
      </c>
      <c r="AR16" s="54" t="str">
        <f t="shared" si="3"/>
        <v/>
      </c>
      <c r="AS16" s="54" t="str">
        <f t="shared" si="4"/>
        <v/>
      </c>
      <c r="AT16" s="54" t="str">
        <f t="shared" si="1"/>
        <v/>
      </c>
      <c r="AU16" s="54" t="s">
        <v>338</v>
      </c>
      <c r="AV16" s="40" t="s">
        <v>76</v>
      </c>
      <c r="AW16" s="59" t="str">
        <f ca="1">IF(AW6&lt;&gt;AW17,VLOOKUP(AW6,Matrix!$C$13:$G$37,2,FALSE),Matrix!D13)</f>
        <v>ALERT_VOM_IGN_ON</v>
      </c>
    </row>
    <row r="17" spans="2:49" ht="14.25" thickBot="1">
      <c r="B17" s="121"/>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52" t="s">
        <v>67</v>
      </c>
      <c r="AD17" s="117" t="s">
        <v>67</v>
      </c>
      <c r="AE17" s="117" t="s">
        <v>67</v>
      </c>
      <c r="AF17" s="117" t="s">
        <v>67</v>
      </c>
      <c r="AG17" s="117" t="s">
        <v>67</v>
      </c>
      <c r="AH17" s="117" t="s">
        <v>67</v>
      </c>
      <c r="AI17" s="117" t="s">
        <v>67</v>
      </c>
      <c r="AJ17" s="42"/>
      <c r="AL17" t="str">
        <f t="shared" ca="1" si="0"/>
        <v xml:space="preserve">    (U1)ALERT_REQ_H_TOWWAR_</v>
      </c>
      <c r="AR17" s="54" t="str">
        <f t="shared" si="3"/>
        <v/>
      </c>
      <c r="AS17" s="54" t="str">
        <f t="shared" si="4"/>
        <v/>
      </c>
      <c r="AT17" s="54" t="str">
        <f t="shared" si="1"/>
        <v/>
      </c>
      <c r="AU17" s="55" t="s">
        <v>339</v>
      </c>
      <c r="AV17" s="41" t="s">
        <v>77</v>
      </c>
      <c r="AW17" s="60" t="str">
        <f ca="1">UPPER(Matrix!$D$6)</f>
        <v>H_TOWWAR</v>
      </c>
    </row>
    <row r="18" spans="2:49">
      <c r="B18" s="121"/>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52" t="s">
        <v>67</v>
      </c>
      <c r="AD18" s="117" t="s">
        <v>67</v>
      </c>
      <c r="AE18" s="117" t="s">
        <v>67</v>
      </c>
      <c r="AF18" s="117" t="s">
        <v>67</v>
      </c>
      <c r="AG18" s="117" t="s">
        <v>67</v>
      </c>
      <c r="AH18" s="117" t="s">
        <v>67</v>
      </c>
      <c r="AI18" s="117" t="s">
        <v>67</v>
      </c>
      <c r="AJ18" s="42"/>
      <c r="AL18" t="str">
        <f t="shared" ca="1" si="0"/>
        <v xml:space="preserve">    (U1)ALERT_REQ_H_TOWWAR_</v>
      </c>
      <c r="AR18" s="54" t="str">
        <f t="shared" si="3"/>
        <v/>
      </c>
      <c r="AS18" s="54" t="str">
        <f t="shared" si="4"/>
        <v/>
      </c>
      <c r="AT18" s="54" t="str">
        <f t="shared" si="1"/>
        <v/>
      </c>
    </row>
    <row r="19" spans="2:49">
      <c r="B19" s="121"/>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52" t="s">
        <v>67</v>
      </c>
      <c r="AD19" s="117" t="s">
        <v>67</v>
      </c>
      <c r="AE19" s="117" t="s">
        <v>67</v>
      </c>
      <c r="AF19" s="117" t="s">
        <v>67</v>
      </c>
      <c r="AG19" s="117" t="s">
        <v>67</v>
      </c>
      <c r="AH19" s="117" t="s">
        <v>67</v>
      </c>
      <c r="AI19" s="117" t="s">
        <v>67</v>
      </c>
      <c r="AJ19" s="42"/>
      <c r="AL19" t="str">
        <f t="shared" ca="1" si="0"/>
        <v xml:space="preserve">    (U1)ALERT_REQ_H_TOWWAR_</v>
      </c>
      <c r="AR19" s="54" t="str">
        <f t="shared" si="3"/>
        <v/>
      </c>
      <c r="AS19" s="54" t="str">
        <f t="shared" si="4"/>
        <v/>
      </c>
      <c r="AT19" s="54" t="str">
        <f t="shared" si="1"/>
        <v/>
      </c>
    </row>
    <row r="20" spans="2:49">
      <c r="B20" s="121"/>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52" t="s">
        <v>67</v>
      </c>
      <c r="AD20" s="117" t="s">
        <v>67</v>
      </c>
      <c r="AE20" s="117" t="s">
        <v>67</v>
      </c>
      <c r="AF20" s="117" t="s">
        <v>67</v>
      </c>
      <c r="AG20" s="117" t="s">
        <v>67</v>
      </c>
      <c r="AH20" s="117" t="s">
        <v>67</v>
      </c>
      <c r="AI20" s="117" t="s">
        <v>67</v>
      </c>
      <c r="AJ20" s="42"/>
      <c r="AL20" t="str">
        <f t="shared" ca="1" si="0"/>
        <v xml:space="preserve">    (U1)ALERT_REQ_H_TOWWAR_</v>
      </c>
      <c r="AR20" s="54" t="str">
        <f t="shared" si="3"/>
        <v/>
      </c>
      <c r="AS20" s="54" t="str">
        <f t="shared" si="4"/>
        <v/>
      </c>
      <c r="AT20" s="54" t="str">
        <f t="shared" si="1"/>
        <v/>
      </c>
    </row>
    <row r="21" spans="2:49">
      <c r="B21" s="121"/>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52" t="s">
        <v>67</v>
      </c>
      <c r="AD21" s="117" t="s">
        <v>67</v>
      </c>
      <c r="AE21" s="117" t="s">
        <v>67</v>
      </c>
      <c r="AF21" s="117" t="s">
        <v>67</v>
      </c>
      <c r="AG21" s="117" t="s">
        <v>67</v>
      </c>
      <c r="AH21" s="117" t="s">
        <v>67</v>
      </c>
      <c r="AI21" s="117" t="s">
        <v>67</v>
      </c>
      <c r="AJ21" s="42"/>
      <c r="AL21" t="str">
        <f t="shared" ca="1" si="0"/>
        <v xml:space="preserve">    (U1)ALERT_REQ_H_TOWWAR_</v>
      </c>
      <c r="AR21" s="54" t="str">
        <f t="shared" si="3"/>
        <v/>
      </c>
      <c r="AS21" s="54" t="str">
        <f t="shared" si="4"/>
        <v/>
      </c>
      <c r="AT21" s="54" t="str">
        <f t="shared" si="1"/>
        <v/>
      </c>
    </row>
    <row r="22" spans="2:49">
      <c r="B22" s="121"/>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52" t="s">
        <v>67</v>
      </c>
      <c r="AD22" s="117" t="s">
        <v>67</v>
      </c>
      <c r="AE22" s="117" t="s">
        <v>67</v>
      </c>
      <c r="AF22" s="117" t="s">
        <v>67</v>
      </c>
      <c r="AG22" s="117" t="s">
        <v>67</v>
      </c>
      <c r="AH22" s="117" t="s">
        <v>67</v>
      </c>
      <c r="AI22" s="117" t="s">
        <v>67</v>
      </c>
      <c r="AJ22" s="42"/>
      <c r="AL22" t="str">
        <f t="shared" ca="1" si="0"/>
        <v xml:space="preserve">    (U1)ALERT_REQ_H_TOWWAR_</v>
      </c>
      <c r="AR22" s="54" t="str">
        <f t="shared" si="3"/>
        <v/>
      </c>
      <c r="AS22" s="54" t="str">
        <f t="shared" si="4"/>
        <v/>
      </c>
      <c r="AT22" s="54" t="str">
        <f t="shared" si="1"/>
        <v/>
      </c>
    </row>
    <row r="23" spans="2:49">
      <c r="B23" s="121"/>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52" t="s">
        <v>67</v>
      </c>
      <c r="AD23" s="117" t="s">
        <v>67</v>
      </c>
      <c r="AE23" s="117" t="s">
        <v>67</v>
      </c>
      <c r="AF23" s="117" t="s">
        <v>67</v>
      </c>
      <c r="AG23" s="117" t="s">
        <v>67</v>
      </c>
      <c r="AH23" s="117" t="s">
        <v>67</v>
      </c>
      <c r="AI23" s="117" t="s">
        <v>67</v>
      </c>
      <c r="AJ23" s="42"/>
      <c r="AL23" t="str">
        <f t="shared" ca="1" si="0"/>
        <v xml:space="preserve">    (U1)ALERT_REQ_H_TOWWAR_</v>
      </c>
      <c r="AR23" s="54" t="str">
        <f t="shared" si="3"/>
        <v/>
      </c>
      <c r="AS23" s="54" t="str">
        <f t="shared" si="4"/>
        <v/>
      </c>
      <c r="AT23" s="54" t="str">
        <f t="shared" si="1"/>
        <v/>
      </c>
    </row>
    <row r="24" spans="2:49">
      <c r="B24" s="121"/>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52" t="s">
        <v>67</v>
      </c>
      <c r="AD24" s="117" t="s">
        <v>67</v>
      </c>
      <c r="AE24" s="117" t="s">
        <v>67</v>
      </c>
      <c r="AF24" s="117" t="s">
        <v>67</v>
      </c>
      <c r="AG24" s="117" t="s">
        <v>67</v>
      </c>
      <c r="AH24" s="117" t="s">
        <v>67</v>
      </c>
      <c r="AI24" s="117" t="s">
        <v>67</v>
      </c>
      <c r="AJ24" s="42"/>
      <c r="AL24" t="str">
        <f t="shared" ca="1" si="0"/>
        <v xml:space="preserve">    (U1)ALERT_REQ_H_TOWWAR_</v>
      </c>
      <c r="AR24" s="54" t="str">
        <f t="shared" si="3"/>
        <v/>
      </c>
      <c r="AS24" s="54" t="str">
        <f t="shared" si="4"/>
        <v/>
      </c>
      <c r="AT24" s="54" t="str">
        <f t="shared" si="1"/>
        <v/>
      </c>
    </row>
    <row r="25" spans="2:49">
      <c r="B25" s="121"/>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52" t="s">
        <v>67</v>
      </c>
      <c r="AD25" s="117" t="s">
        <v>67</v>
      </c>
      <c r="AE25" s="117" t="s">
        <v>67</v>
      </c>
      <c r="AF25" s="117" t="s">
        <v>67</v>
      </c>
      <c r="AG25" s="117" t="s">
        <v>67</v>
      </c>
      <c r="AH25" s="117" t="s">
        <v>67</v>
      </c>
      <c r="AI25" s="117" t="s">
        <v>67</v>
      </c>
      <c r="AJ25" s="42"/>
      <c r="AL25" t="str">
        <f t="shared" ca="1" si="0"/>
        <v xml:space="preserve">    (U1)ALERT_REQ_H_TOWWAR_</v>
      </c>
      <c r="AR25" s="54" t="str">
        <f t="shared" si="3"/>
        <v/>
      </c>
      <c r="AS25" s="54" t="str">
        <f t="shared" si="4"/>
        <v/>
      </c>
      <c r="AT25" s="54" t="str">
        <f t="shared" si="1"/>
        <v/>
      </c>
    </row>
    <row r="26" spans="2:49">
      <c r="B26" s="121"/>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52" t="s">
        <v>67</v>
      </c>
      <c r="AD26" s="117" t="s">
        <v>186</v>
      </c>
      <c r="AE26" s="117" t="s">
        <v>67</v>
      </c>
      <c r="AF26" s="117" t="s">
        <v>67</v>
      </c>
      <c r="AG26" s="117" t="s">
        <v>67</v>
      </c>
      <c r="AH26" s="117" t="s">
        <v>67</v>
      </c>
      <c r="AI26" s="117" t="s">
        <v>67</v>
      </c>
      <c r="AJ26" s="42"/>
      <c r="AL26" t="str">
        <f t="shared" ca="1" si="0"/>
        <v xml:space="preserve">    (U1)ALERT_REQ_H_TOWWAR_</v>
      </c>
      <c r="AR26" s="54" t="str">
        <f t="shared" si="3"/>
        <v/>
      </c>
      <c r="AS26" s="54" t="str">
        <f t="shared" si="4"/>
        <v/>
      </c>
      <c r="AT26" s="54" t="str">
        <f t="shared" si="1"/>
        <v/>
      </c>
    </row>
    <row r="27" spans="2:49">
      <c r="B27" s="121"/>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52" t="s">
        <v>67</v>
      </c>
      <c r="AD27" s="117" t="s">
        <v>186</v>
      </c>
      <c r="AE27" s="117" t="s">
        <v>186</v>
      </c>
      <c r="AF27" s="117" t="s">
        <v>186</v>
      </c>
      <c r="AG27" s="117" t="s">
        <v>186</v>
      </c>
      <c r="AH27" s="117" t="s">
        <v>186</v>
      </c>
      <c r="AI27" s="117" t="s">
        <v>186</v>
      </c>
      <c r="AJ27" s="42"/>
      <c r="AL27" t="str">
        <f t="shared" ca="1" si="0"/>
        <v xml:space="preserve">    (U1)ALERT_REQ_H_TOWWAR_</v>
      </c>
      <c r="AR27" s="54" t="str">
        <f t="shared" si="3"/>
        <v/>
      </c>
      <c r="AS27" s="54" t="str">
        <f t="shared" si="4"/>
        <v/>
      </c>
      <c r="AT27" s="54" t="str">
        <f t="shared" si="1"/>
        <v/>
      </c>
    </row>
    <row r="28" spans="2:49">
      <c r="B28" s="121"/>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52" t="s">
        <v>67</v>
      </c>
      <c r="AD28" s="117" t="s">
        <v>186</v>
      </c>
      <c r="AE28" s="117" t="s">
        <v>186</v>
      </c>
      <c r="AF28" s="117" t="s">
        <v>186</v>
      </c>
      <c r="AG28" s="117" t="s">
        <v>186</v>
      </c>
      <c r="AH28" s="117" t="s">
        <v>186</v>
      </c>
      <c r="AI28" s="117" t="s">
        <v>186</v>
      </c>
      <c r="AJ28" s="42"/>
      <c r="AL28" t="str">
        <f t="shared" ca="1" si="0"/>
        <v xml:space="preserve">    (U1)ALERT_REQ_H_TOWWAR_</v>
      </c>
      <c r="AR28" s="54" t="str">
        <f t="shared" si="3"/>
        <v/>
      </c>
      <c r="AS28" s="54" t="str">
        <f t="shared" si="4"/>
        <v/>
      </c>
      <c r="AT28" s="54" t="str">
        <f t="shared" si="1"/>
        <v/>
      </c>
    </row>
    <row r="29" spans="2:49">
      <c r="B29" s="121"/>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52" t="s">
        <v>67</v>
      </c>
      <c r="AD29" s="117" t="s">
        <v>186</v>
      </c>
      <c r="AE29" s="117" t="s">
        <v>186</v>
      </c>
      <c r="AF29" s="117" t="s">
        <v>186</v>
      </c>
      <c r="AG29" s="117" t="s">
        <v>186</v>
      </c>
      <c r="AH29" s="117" t="s">
        <v>186</v>
      </c>
      <c r="AI29" s="117" t="s">
        <v>186</v>
      </c>
      <c r="AJ29" s="42"/>
      <c r="AL29" t="str">
        <f t="shared" ca="1" si="0"/>
        <v xml:space="preserve">    (U1)ALERT_REQ_H_TOWWAR_</v>
      </c>
      <c r="AR29" s="54" t="str">
        <f t="shared" si="3"/>
        <v/>
      </c>
      <c r="AS29" s="54" t="str">
        <f t="shared" si="4"/>
        <v/>
      </c>
      <c r="AT29" s="54" t="str">
        <f t="shared" si="1"/>
        <v/>
      </c>
    </row>
    <row r="30" spans="2:49">
      <c r="B30" s="121"/>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52" t="s">
        <v>67</v>
      </c>
      <c r="AD30" s="117" t="s">
        <v>186</v>
      </c>
      <c r="AE30" s="117" t="s">
        <v>186</v>
      </c>
      <c r="AF30" s="117" t="s">
        <v>186</v>
      </c>
      <c r="AG30" s="117" t="s">
        <v>186</v>
      </c>
      <c r="AH30" s="117" t="s">
        <v>186</v>
      </c>
      <c r="AI30" s="117" t="s">
        <v>186</v>
      </c>
      <c r="AJ30" s="42"/>
      <c r="AL30" t="str">
        <f t="shared" ca="1" si="0"/>
        <v xml:space="preserve">    (U1)ALERT_REQ_H_TOWWAR_</v>
      </c>
      <c r="AR30" s="54" t="str">
        <f t="shared" si="3"/>
        <v/>
      </c>
      <c r="AS30" s="54" t="str">
        <f t="shared" si="4"/>
        <v/>
      </c>
      <c r="AT30" s="54" t="str">
        <f t="shared" si="1"/>
        <v/>
      </c>
    </row>
    <row r="31" spans="2:49">
      <c r="B31" s="121"/>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52" t="s">
        <v>67</v>
      </c>
      <c r="AD31" s="117" t="s">
        <v>186</v>
      </c>
      <c r="AE31" s="117" t="s">
        <v>186</v>
      </c>
      <c r="AF31" s="117" t="s">
        <v>186</v>
      </c>
      <c r="AG31" s="117" t="s">
        <v>186</v>
      </c>
      <c r="AH31" s="117" t="s">
        <v>186</v>
      </c>
      <c r="AI31" s="117" t="s">
        <v>186</v>
      </c>
      <c r="AJ31" s="42"/>
      <c r="AL31" t="str">
        <f t="shared" ca="1" si="0"/>
        <v xml:space="preserve">    (U1)ALERT_REQ_H_TOWWAR_</v>
      </c>
      <c r="AR31" s="54" t="str">
        <f t="shared" si="3"/>
        <v/>
      </c>
      <c r="AS31" s="54" t="str">
        <f t="shared" si="4"/>
        <v/>
      </c>
      <c r="AT31" s="54" t="str">
        <f t="shared" si="1"/>
        <v/>
      </c>
    </row>
    <row r="32" spans="2:49">
      <c r="B32" s="121"/>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52" t="s">
        <v>67</v>
      </c>
      <c r="AD32" s="117" t="s">
        <v>186</v>
      </c>
      <c r="AE32" s="117" t="s">
        <v>186</v>
      </c>
      <c r="AF32" s="117" t="s">
        <v>186</v>
      </c>
      <c r="AG32" s="117" t="s">
        <v>186</v>
      </c>
      <c r="AH32" s="117" t="s">
        <v>186</v>
      </c>
      <c r="AI32" s="117" t="s">
        <v>186</v>
      </c>
      <c r="AJ32" s="42"/>
      <c r="AL32" t="str">
        <f t="shared" ca="1" si="0"/>
        <v xml:space="preserve">    (U1)ALERT_REQ_H_TOWWAR_</v>
      </c>
      <c r="AR32" s="54" t="str">
        <f t="shared" si="3"/>
        <v/>
      </c>
      <c r="AS32" s="54" t="str">
        <f t="shared" si="4"/>
        <v/>
      </c>
      <c r="AT32" s="54" t="str">
        <f t="shared" si="1"/>
        <v/>
      </c>
    </row>
    <row r="33" spans="2:46">
      <c r="B33" s="121"/>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52" t="s">
        <v>67</v>
      </c>
      <c r="AD33" s="117" t="s">
        <v>186</v>
      </c>
      <c r="AE33" s="117" t="s">
        <v>186</v>
      </c>
      <c r="AF33" s="117" t="s">
        <v>186</v>
      </c>
      <c r="AG33" s="117" t="s">
        <v>186</v>
      </c>
      <c r="AH33" s="117" t="s">
        <v>186</v>
      </c>
      <c r="AI33" s="117" t="s">
        <v>186</v>
      </c>
      <c r="AJ33" s="42"/>
      <c r="AL33" t="str">
        <f t="shared" ca="1" si="0"/>
        <v xml:space="preserve">    (U1)ALERT_REQ_H_TOWWAR_</v>
      </c>
      <c r="AR33" s="54" t="str">
        <f t="shared" si="3"/>
        <v/>
      </c>
      <c r="AS33" s="54" t="str">
        <f t="shared" si="4"/>
        <v/>
      </c>
      <c r="AT33" s="54" t="str">
        <f t="shared" si="1"/>
        <v/>
      </c>
    </row>
    <row r="34" spans="2:46">
      <c r="B34" s="121"/>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52" t="s">
        <v>67</v>
      </c>
      <c r="AD34" s="117" t="s">
        <v>186</v>
      </c>
      <c r="AE34" s="117" t="s">
        <v>186</v>
      </c>
      <c r="AF34" s="117" t="s">
        <v>186</v>
      </c>
      <c r="AG34" s="117" t="s">
        <v>186</v>
      </c>
      <c r="AH34" s="117" t="s">
        <v>186</v>
      </c>
      <c r="AI34" s="117" t="s">
        <v>186</v>
      </c>
      <c r="AJ34" s="42"/>
      <c r="AL34" t="str">
        <f t="shared" ca="1" si="0"/>
        <v xml:space="preserve">    (U1)ALERT_REQ_H_TOWWAR_</v>
      </c>
      <c r="AR34" s="54" t="str">
        <f t="shared" si="3"/>
        <v/>
      </c>
      <c r="AS34" s="54" t="str">
        <f t="shared" si="4"/>
        <v/>
      </c>
      <c r="AT34" s="54" t="str">
        <f t="shared" si="1"/>
        <v/>
      </c>
    </row>
    <row r="35" spans="2:46">
      <c r="B35" s="121"/>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52" t="s">
        <v>67</v>
      </c>
      <c r="AD35" s="117" t="s">
        <v>186</v>
      </c>
      <c r="AE35" s="117" t="s">
        <v>186</v>
      </c>
      <c r="AF35" s="117" t="s">
        <v>186</v>
      </c>
      <c r="AG35" s="117" t="s">
        <v>186</v>
      </c>
      <c r="AH35" s="117" t="s">
        <v>186</v>
      </c>
      <c r="AI35" s="117" t="s">
        <v>186</v>
      </c>
      <c r="AJ35" s="42"/>
      <c r="AL35" t="str">
        <f t="shared" ca="1" si="0"/>
        <v xml:space="preserve">    (U1)ALERT_REQ_H_TOWWAR_</v>
      </c>
      <c r="AR35" s="54" t="str">
        <f t="shared" si="3"/>
        <v/>
      </c>
      <c r="AS35" s="54" t="str">
        <f t="shared" si="4"/>
        <v/>
      </c>
      <c r="AT35" s="54" t="str">
        <f t="shared" si="1"/>
        <v/>
      </c>
    </row>
    <row r="36" spans="2:46">
      <c r="B36" s="121"/>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52" t="s">
        <v>67</v>
      </c>
      <c r="AD36" s="117" t="s">
        <v>186</v>
      </c>
      <c r="AE36" s="117" t="s">
        <v>186</v>
      </c>
      <c r="AF36" s="117" t="s">
        <v>186</v>
      </c>
      <c r="AG36" s="117" t="s">
        <v>186</v>
      </c>
      <c r="AH36" s="117" t="s">
        <v>186</v>
      </c>
      <c r="AI36" s="117" t="s">
        <v>186</v>
      </c>
      <c r="AJ36" s="42"/>
      <c r="AL36" t="str">
        <f t="shared" ca="1" si="0"/>
        <v xml:space="preserve">    (U1)ALERT_REQ_H_TOWWAR_</v>
      </c>
      <c r="AR36" s="54" t="str">
        <f t="shared" si="3"/>
        <v/>
      </c>
      <c r="AS36" s="54" t="str">
        <f t="shared" si="4"/>
        <v/>
      </c>
      <c r="AT36" s="54" t="str">
        <f t="shared" si="1"/>
        <v/>
      </c>
    </row>
    <row r="37" spans="2:46">
      <c r="B37" s="121"/>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52" t="s">
        <v>67</v>
      </c>
      <c r="AD37" s="117" t="s">
        <v>186</v>
      </c>
      <c r="AE37" s="117" t="s">
        <v>186</v>
      </c>
      <c r="AF37" s="117" t="s">
        <v>186</v>
      </c>
      <c r="AG37" s="117" t="s">
        <v>186</v>
      </c>
      <c r="AH37" s="117" t="s">
        <v>186</v>
      </c>
      <c r="AI37" s="117" t="s">
        <v>186</v>
      </c>
      <c r="AJ37" s="42"/>
      <c r="AL37" t="str">
        <f t="shared" ca="1" si="0"/>
        <v xml:space="preserve">    (U1)ALERT_REQ_H_TOWWAR_</v>
      </c>
      <c r="AR37" s="54" t="str">
        <f t="shared" si="3"/>
        <v/>
      </c>
      <c r="AS37" s="54" t="str">
        <f t="shared" si="4"/>
        <v/>
      </c>
      <c r="AT37" s="54" t="str">
        <f t="shared" si="1"/>
        <v/>
      </c>
    </row>
    <row r="38" spans="2:46">
      <c r="B38" s="121"/>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52" t="s">
        <v>67</v>
      </c>
      <c r="AD38" s="117" t="s">
        <v>186</v>
      </c>
      <c r="AE38" s="117" t="s">
        <v>186</v>
      </c>
      <c r="AF38" s="117" t="s">
        <v>186</v>
      </c>
      <c r="AG38" s="117" t="s">
        <v>186</v>
      </c>
      <c r="AH38" s="117" t="s">
        <v>186</v>
      </c>
      <c r="AI38" s="117" t="s">
        <v>186</v>
      </c>
      <c r="AJ38" s="42"/>
      <c r="AL38" t="str">
        <f t="shared" ca="1" si="0"/>
        <v xml:space="preserve">    (U1)ALERT_REQ_H_TOWWAR_</v>
      </c>
      <c r="AR38" s="54" t="str">
        <f t="shared" si="3"/>
        <v/>
      </c>
      <c r="AS38" s="54" t="str">
        <f t="shared" si="4"/>
        <v/>
      </c>
      <c r="AT38" s="54" t="str">
        <f t="shared" si="1"/>
        <v/>
      </c>
    </row>
    <row r="39" spans="2:46">
      <c r="B39" s="121"/>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52" t="s">
        <v>67</v>
      </c>
      <c r="AD39" s="117" t="s">
        <v>186</v>
      </c>
      <c r="AE39" s="117" t="s">
        <v>186</v>
      </c>
      <c r="AF39" s="117" t="s">
        <v>186</v>
      </c>
      <c r="AG39" s="117" t="s">
        <v>186</v>
      </c>
      <c r="AH39" s="117" t="s">
        <v>186</v>
      </c>
      <c r="AI39" s="117" t="s">
        <v>186</v>
      </c>
      <c r="AJ39" s="42"/>
      <c r="AL39" t="str">
        <f t="shared" ca="1" si="0"/>
        <v xml:space="preserve">    (U1)ALERT_REQ_H_TOWWAR_</v>
      </c>
      <c r="AR39" s="54" t="str">
        <f t="shared" si="3"/>
        <v/>
      </c>
      <c r="AS39" s="54" t="str">
        <f t="shared" si="4"/>
        <v/>
      </c>
      <c r="AT39" s="54" t="str">
        <f t="shared" si="1"/>
        <v/>
      </c>
    </row>
    <row r="40" spans="2:46">
      <c r="B40" s="121"/>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52" t="s">
        <v>67</v>
      </c>
      <c r="AD40" s="117" t="s">
        <v>186</v>
      </c>
      <c r="AE40" s="117" t="s">
        <v>186</v>
      </c>
      <c r="AF40" s="117" t="s">
        <v>186</v>
      </c>
      <c r="AG40" s="117" t="s">
        <v>186</v>
      </c>
      <c r="AH40" s="117" t="s">
        <v>186</v>
      </c>
      <c r="AI40" s="117" t="s">
        <v>186</v>
      </c>
      <c r="AJ40" s="42"/>
      <c r="AL40" t="str">
        <f t="shared" ca="1" si="0"/>
        <v xml:space="preserve">    (U1)ALERT_REQ_H_TOWWAR_</v>
      </c>
      <c r="AR40" s="54" t="str">
        <f t="shared" si="3"/>
        <v/>
      </c>
      <c r="AS40" s="54" t="str">
        <f t="shared" si="4"/>
        <v/>
      </c>
      <c r="AT40" s="54" t="str">
        <f t="shared" si="1"/>
        <v/>
      </c>
    </row>
    <row r="41" spans="2:46">
      <c r="B41" s="121"/>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52" t="s">
        <v>67</v>
      </c>
      <c r="AD41" s="117" t="s">
        <v>186</v>
      </c>
      <c r="AE41" s="117" t="s">
        <v>186</v>
      </c>
      <c r="AF41" s="117" t="s">
        <v>186</v>
      </c>
      <c r="AG41" s="117" t="s">
        <v>186</v>
      </c>
      <c r="AH41" s="117" t="s">
        <v>186</v>
      </c>
      <c r="AI41" s="117" t="s">
        <v>186</v>
      </c>
      <c r="AJ41" s="42"/>
      <c r="AL41" t="str">
        <f t="shared" ca="1" si="0"/>
        <v xml:space="preserve">    (U1)ALERT_REQ_H_TOWWAR_</v>
      </c>
      <c r="AR41" s="54" t="str">
        <f t="shared" si="3"/>
        <v/>
      </c>
      <c r="AS41" s="54" t="str">
        <f t="shared" si="4"/>
        <v/>
      </c>
      <c r="AT41" s="54" t="str">
        <f t="shared" si="1"/>
        <v/>
      </c>
    </row>
    <row r="42" spans="2:46">
      <c r="B42" s="121"/>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52" t="s">
        <v>67</v>
      </c>
      <c r="AD42" s="117" t="s">
        <v>186</v>
      </c>
      <c r="AE42" s="117" t="s">
        <v>186</v>
      </c>
      <c r="AF42" s="117" t="s">
        <v>186</v>
      </c>
      <c r="AG42" s="117" t="s">
        <v>186</v>
      </c>
      <c r="AH42" s="117" t="s">
        <v>186</v>
      </c>
      <c r="AI42" s="117" t="s">
        <v>186</v>
      </c>
      <c r="AJ42" s="42"/>
      <c r="AL42" t="str">
        <f t="shared" ca="1" si="0"/>
        <v xml:space="preserve">    (U1)ALERT_REQ_H_TOWWAR_</v>
      </c>
      <c r="AR42" s="54" t="str">
        <f t="shared" si="3"/>
        <v/>
      </c>
      <c r="AS42" s="54" t="str">
        <f t="shared" si="4"/>
        <v/>
      </c>
      <c r="AT42" s="54" t="str">
        <f t="shared" si="1"/>
        <v/>
      </c>
    </row>
    <row r="43" spans="2:46">
      <c r="B43" s="121"/>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52" t="s">
        <v>67</v>
      </c>
      <c r="AD43" s="117" t="s">
        <v>186</v>
      </c>
      <c r="AE43" s="117" t="s">
        <v>186</v>
      </c>
      <c r="AF43" s="117" t="s">
        <v>186</v>
      </c>
      <c r="AG43" s="117" t="s">
        <v>186</v>
      </c>
      <c r="AH43" s="117" t="s">
        <v>186</v>
      </c>
      <c r="AI43" s="117" t="s">
        <v>186</v>
      </c>
      <c r="AJ43" s="42"/>
      <c r="AL43" t="str">
        <f t="shared" ca="1" si="0"/>
        <v xml:space="preserve">    (U1)ALERT_REQ_H_TOWWAR_</v>
      </c>
      <c r="AR43" s="54" t="str">
        <f t="shared" si="3"/>
        <v/>
      </c>
      <c r="AS43" s="54" t="str">
        <f t="shared" si="4"/>
        <v/>
      </c>
      <c r="AT43" s="54" t="str">
        <f t="shared" si="1"/>
        <v/>
      </c>
    </row>
    <row r="44" spans="2:46">
      <c r="B44" s="121"/>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52" t="s">
        <v>67</v>
      </c>
      <c r="AD44" s="117" t="s">
        <v>186</v>
      </c>
      <c r="AE44" s="117" t="s">
        <v>186</v>
      </c>
      <c r="AF44" s="117" t="s">
        <v>186</v>
      </c>
      <c r="AG44" s="117" t="s">
        <v>186</v>
      </c>
      <c r="AH44" s="117" t="s">
        <v>186</v>
      </c>
      <c r="AI44" s="117" t="s">
        <v>186</v>
      </c>
      <c r="AJ44" s="42"/>
      <c r="AL44" t="str">
        <f t="shared" ca="1" si="0"/>
        <v xml:space="preserve">    (U1)ALERT_REQ_H_TOWWAR_</v>
      </c>
      <c r="AR44" s="54" t="str">
        <f t="shared" si="3"/>
        <v/>
      </c>
      <c r="AS44" s="54" t="str">
        <f t="shared" si="4"/>
        <v/>
      </c>
      <c r="AT44" s="54" t="str">
        <f t="shared" si="1"/>
        <v/>
      </c>
    </row>
    <row r="45" spans="2:46">
      <c r="B45" s="121"/>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52" t="s">
        <v>67</v>
      </c>
      <c r="AD45" s="117" t="s">
        <v>186</v>
      </c>
      <c r="AE45" s="117" t="s">
        <v>186</v>
      </c>
      <c r="AF45" s="117" t="s">
        <v>186</v>
      </c>
      <c r="AG45" s="117" t="s">
        <v>186</v>
      </c>
      <c r="AH45" s="117" t="s">
        <v>186</v>
      </c>
      <c r="AI45" s="117" t="s">
        <v>186</v>
      </c>
      <c r="AJ45" s="42"/>
      <c r="AL45" t="str">
        <f t="shared" ca="1" si="0"/>
        <v xml:space="preserve">    (U1)ALERT_REQ_H_TOWWAR_</v>
      </c>
      <c r="AR45" s="54" t="str">
        <f t="shared" si="3"/>
        <v/>
      </c>
      <c r="AS45" s="54" t="str">
        <f t="shared" si="4"/>
        <v/>
      </c>
      <c r="AT45" s="54" t="str">
        <f t="shared" si="1"/>
        <v/>
      </c>
    </row>
    <row r="46" spans="2:46">
      <c r="B46" s="121"/>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52" t="s">
        <v>67</v>
      </c>
      <c r="AD46" s="117" t="s">
        <v>186</v>
      </c>
      <c r="AE46" s="117" t="s">
        <v>186</v>
      </c>
      <c r="AF46" s="117" t="s">
        <v>186</v>
      </c>
      <c r="AG46" s="117" t="s">
        <v>186</v>
      </c>
      <c r="AH46" s="117" t="s">
        <v>186</v>
      </c>
      <c r="AI46" s="117" t="s">
        <v>186</v>
      </c>
      <c r="AJ46" s="42"/>
      <c r="AL46" t="str">
        <f t="shared" ca="1" si="0"/>
        <v xml:space="preserve">    (U1)ALERT_REQ_H_TOWWAR_</v>
      </c>
      <c r="AR46" s="54" t="str">
        <f t="shared" si="3"/>
        <v/>
      </c>
      <c r="AS46" s="54" t="str">
        <f t="shared" si="4"/>
        <v/>
      </c>
      <c r="AT46" s="54" t="str">
        <f t="shared" si="1"/>
        <v/>
      </c>
    </row>
    <row r="47" spans="2:46">
      <c r="B47" s="121"/>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52" t="s">
        <v>67</v>
      </c>
      <c r="AD47" s="117" t="s">
        <v>186</v>
      </c>
      <c r="AE47" s="117" t="s">
        <v>186</v>
      </c>
      <c r="AF47" s="117" t="s">
        <v>186</v>
      </c>
      <c r="AG47" s="117" t="s">
        <v>186</v>
      </c>
      <c r="AH47" s="117" t="s">
        <v>186</v>
      </c>
      <c r="AI47" s="117" t="s">
        <v>186</v>
      </c>
      <c r="AJ47" s="42"/>
      <c r="AL47" t="str">
        <f t="shared" ca="1" si="0"/>
        <v xml:space="preserve">    (U1)ALERT_REQ_H_TOWWAR_</v>
      </c>
      <c r="AR47" s="54" t="str">
        <f t="shared" si="3"/>
        <v/>
      </c>
      <c r="AS47" s="54" t="str">
        <f t="shared" si="4"/>
        <v/>
      </c>
      <c r="AT47" s="54" t="str">
        <f t="shared" si="1"/>
        <v/>
      </c>
    </row>
    <row r="48" spans="2:46">
      <c r="B48" s="121"/>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52" t="s">
        <v>67</v>
      </c>
      <c r="AD48" s="117" t="s">
        <v>186</v>
      </c>
      <c r="AE48" s="117" t="s">
        <v>186</v>
      </c>
      <c r="AF48" s="117" t="s">
        <v>186</v>
      </c>
      <c r="AG48" s="117" t="s">
        <v>186</v>
      </c>
      <c r="AH48" s="117" t="s">
        <v>186</v>
      </c>
      <c r="AI48" s="117" t="s">
        <v>186</v>
      </c>
      <c r="AJ48" s="42"/>
      <c r="AL48" t="str">
        <f t="shared" ca="1" si="0"/>
        <v xml:space="preserve">    (U1)ALERT_REQ_H_TOWWAR_</v>
      </c>
      <c r="AR48" s="54" t="str">
        <f t="shared" si="3"/>
        <v/>
      </c>
      <c r="AS48" s="54" t="str">
        <f t="shared" si="4"/>
        <v/>
      </c>
      <c r="AT48" s="54" t="str">
        <f t="shared" si="1"/>
        <v/>
      </c>
    </row>
    <row r="49" spans="2:46">
      <c r="B49" s="121"/>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52" t="s">
        <v>67</v>
      </c>
      <c r="AD49" s="117" t="s">
        <v>186</v>
      </c>
      <c r="AE49" s="117" t="s">
        <v>186</v>
      </c>
      <c r="AF49" s="117" t="s">
        <v>186</v>
      </c>
      <c r="AG49" s="117" t="s">
        <v>186</v>
      </c>
      <c r="AH49" s="117" t="s">
        <v>186</v>
      </c>
      <c r="AI49" s="117" t="s">
        <v>186</v>
      </c>
      <c r="AJ49" s="42"/>
      <c r="AL49" t="str">
        <f t="shared" ca="1" si="0"/>
        <v xml:space="preserve">    (U1)ALERT_REQ_H_TOWWAR_</v>
      </c>
      <c r="AR49" s="54" t="str">
        <f t="shared" si="3"/>
        <v/>
      </c>
      <c r="AS49" s="54" t="str">
        <f t="shared" si="4"/>
        <v/>
      </c>
      <c r="AT49" s="54" t="str">
        <f t="shared" si="1"/>
        <v/>
      </c>
    </row>
    <row r="50" spans="2:46">
      <c r="B50" s="121"/>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52" t="s">
        <v>67</v>
      </c>
      <c r="AD50" s="117" t="s">
        <v>186</v>
      </c>
      <c r="AE50" s="117" t="s">
        <v>186</v>
      </c>
      <c r="AF50" s="117" t="s">
        <v>186</v>
      </c>
      <c r="AG50" s="117" t="s">
        <v>186</v>
      </c>
      <c r="AH50" s="117" t="s">
        <v>186</v>
      </c>
      <c r="AI50" s="117" t="s">
        <v>186</v>
      </c>
      <c r="AJ50" s="42"/>
      <c r="AL50" t="str">
        <f t="shared" ca="1" si="0"/>
        <v xml:space="preserve">    (U1)ALERT_REQ_H_TOWWAR_</v>
      </c>
      <c r="AR50" s="54" t="str">
        <f t="shared" si="3"/>
        <v/>
      </c>
      <c r="AS50" s="54" t="str">
        <f t="shared" si="4"/>
        <v/>
      </c>
      <c r="AT50" s="54" t="str">
        <f t="shared" si="1"/>
        <v/>
      </c>
    </row>
    <row r="51" spans="2:46">
      <c r="B51" s="121"/>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52" t="s">
        <v>67</v>
      </c>
      <c r="AD51" s="117" t="s">
        <v>186</v>
      </c>
      <c r="AE51" s="117" t="s">
        <v>186</v>
      </c>
      <c r="AF51" s="117" t="s">
        <v>186</v>
      </c>
      <c r="AG51" s="117" t="s">
        <v>186</v>
      </c>
      <c r="AH51" s="117" t="s">
        <v>186</v>
      </c>
      <c r="AI51" s="117" t="s">
        <v>186</v>
      </c>
      <c r="AJ51" s="42"/>
      <c r="AL51" t="str">
        <f t="shared" ca="1" si="0"/>
        <v xml:space="preserve">    (U1)ALERT_REQ_H_TOWWAR_</v>
      </c>
      <c r="AR51" s="54" t="str">
        <f t="shared" si="3"/>
        <v/>
      </c>
      <c r="AS51" s="54" t="str">
        <f t="shared" si="4"/>
        <v/>
      </c>
      <c r="AT51" s="54" t="str">
        <f t="shared" si="1"/>
        <v/>
      </c>
    </row>
    <row r="52" spans="2:46">
      <c r="B52" s="121"/>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52" t="s">
        <v>67</v>
      </c>
      <c r="AD52" s="117" t="s">
        <v>186</v>
      </c>
      <c r="AE52" s="117" t="s">
        <v>186</v>
      </c>
      <c r="AF52" s="117" t="s">
        <v>186</v>
      </c>
      <c r="AG52" s="117" t="s">
        <v>186</v>
      </c>
      <c r="AH52" s="117" t="s">
        <v>186</v>
      </c>
      <c r="AI52" s="117" t="s">
        <v>186</v>
      </c>
      <c r="AJ52" s="42"/>
      <c r="AL52" t="str">
        <f t="shared" ca="1" si="0"/>
        <v xml:space="preserve">    (U1)ALERT_REQ_H_TOWWAR_</v>
      </c>
      <c r="AR52" s="54" t="str">
        <f t="shared" si="3"/>
        <v/>
      </c>
      <c r="AS52" s="54" t="str">
        <f t="shared" si="4"/>
        <v/>
      </c>
      <c r="AT52" s="54" t="str">
        <f t="shared" si="1"/>
        <v/>
      </c>
    </row>
    <row r="53" spans="2:46">
      <c r="B53" s="121"/>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52" t="s">
        <v>67</v>
      </c>
      <c r="AD53" s="117" t="s">
        <v>186</v>
      </c>
      <c r="AE53" s="117" t="s">
        <v>186</v>
      </c>
      <c r="AF53" s="117" t="s">
        <v>186</v>
      </c>
      <c r="AG53" s="117" t="s">
        <v>186</v>
      </c>
      <c r="AH53" s="117" t="s">
        <v>186</v>
      </c>
      <c r="AI53" s="117" t="s">
        <v>186</v>
      </c>
      <c r="AJ53" s="42"/>
      <c r="AL53" t="str">
        <f t="shared" ca="1" si="0"/>
        <v xml:space="preserve">    (U1)ALERT_REQ_H_TOWWAR_</v>
      </c>
      <c r="AR53" s="54" t="str">
        <f t="shared" si="3"/>
        <v/>
      </c>
      <c r="AS53" s="54" t="str">
        <f t="shared" si="4"/>
        <v/>
      </c>
      <c r="AT53" s="54" t="str">
        <f t="shared" si="1"/>
        <v/>
      </c>
    </row>
    <row r="54" spans="2:46">
      <c r="B54" s="121"/>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52" t="s">
        <v>67</v>
      </c>
      <c r="AD54" s="117" t="s">
        <v>186</v>
      </c>
      <c r="AE54" s="117" t="s">
        <v>186</v>
      </c>
      <c r="AF54" s="117" t="s">
        <v>186</v>
      </c>
      <c r="AG54" s="117" t="s">
        <v>186</v>
      </c>
      <c r="AH54" s="117" t="s">
        <v>186</v>
      </c>
      <c r="AI54" s="117" t="s">
        <v>186</v>
      </c>
      <c r="AJ54" s="42"/>
      <c r="AL54" t="str">
        <f t="shared" ca="1" si="0"/>
        <v xml:space="preserve">    (U1)ALERT_REQ_H_TOWWAR_</v>
      </c>
      <c r="AR54" s="54" t="str">
        <f t="shared" si="3"/>
        <v/>
      </c>
      <c r="AS54" s="54" t="str">
        <f t="shared" si="4"/>
        <v/>
      </c>
      <c r="AT54" s="54" t="str">
        <f t="shared" si="1"/>
        <v/>
      </c>
    </row>
    <row r="55" spans="2:46">
      <c r="B55" s="121"/>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52" t="s">
        <v>67</v>
      </c>
      <c r="AD55" s="117" t="s">
        <v>186</v>
      </c>
      <c r="AE55" s="117" t="s">
        <v>186</v>
      </c>
      <c r="AF55" s="117" t="s">
        <v>186</v>
      </c>
      <c r="AG55" s="117" t="s">
        <v>186</v>
      </c>
      <c r="AH55" s="117" t="s">
        <v>186</v>
      </c>
      <c r="AI55" s="117" t="s">
        <v>186</v>
      </c>
      <c r="AJ55" s="42"/>
      <c r="AL55" t="str">
        <f t="shared" ca="1" si="0"/>
        <v xml:space="preserve">    (U1)ALERT_REQ_H_TOWWAR_</v>
      </c>
      <c r="AR55" s="54" t="str">
        <f t="shared" si="3"/>
        <v/>
      </c>
      <c r="AS55" s="54" t="str">
        <f t="shared" si="4"/>
        <v/>
      </c>
      <c r="AT55" s="54" t="str">
        <f t="shared" si="1"/>
        <v/>
      </c>
    </row>
    <row r="56" spans="2:46">
      <c r="B56" s="121"/>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52" t="s">
        <v>67</v>
      </c>
      <c r="AD56" s="117" t="s">
        <v>186</v>
      </c>
      <c r="AE56" s="117" t="s">
        <v>186</v>
      </c>
      <c r="AF56" s="117" t="s">
        <v>186</v>
      </c>
      <c r="AG56" s="117" t="s">
        <v>186</v>
      </c>
      <c r="AH56" s="117" t="s">
        <v>186</v>
      </c>
      <c r="AI56" s="117" t="s">
        <v>186</v>
      </c>
      <c r="AJ56" s="42"/>
      <c r="AL56" t="str">
        <f t="shared" ca="1" si="0"/>
        <v xml:space="preserve">    (U1)ALERT_REQ_H_TOWWAR_</v>
      </c>
      <c r="AR56" s="54" t="str">
        <f t="shared" si="3"/>
        <v/>
      </c>
      <c r="AS56" s="54" t="str">
        <f t="shared" si="4"/>
        <v/>
      </c>
      <c r="AT56" s="54" t="str">
        <f t="shared" si="1"/>
        <v/>
      </c>
    </row>
    <row r="57" spans="2:46">
      <c r="B57" s="121"/>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52" t="s">
        <v>67</v>
      </c>
      <c r="AD57" s="117" t="s">
        <v>186</v>
      </c>
      <c r="AE57" s="117" t="s">
        <v>186</v>
      </c>
      <c r="AF57" s="117" t="s">
        <v>186</v>
      </c>
      <c r="AG57" s="117" t="s">
        <v>186</v>
      </c>
      <c r="AH57" s="117" t="s">
        <v>186</v>
      </c>
      <c r="AI57" s="117" t="s">
        <v>186</v>
      </c>
      <c r="AJ57" s="42"/>
      <c r="AL57" t="str">
        <f t="shared" ca="1" si="0"/>
        <v xml:space="preserve">    (U1)ALERT_REQ_H_TOWWAR_</v>
      </c>
      <c r="AR57" s="54" t="str">
        <f t="shared" si="3"/>
        <v/>
      </c>
      <c r="AS57" s="54" t="str">
        <f t="shared" si="4"/>
        <v/>
      </c>
      <c r="AT57" s="54" t="str">
        <f t="shared" si="1"/>
        <v/>
      </c>
    </row>
    <row r="58" spans="2:46">
      <c r="B58" s="121"/>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52" t="s">
        <v>67</v>
      </c>
      <c r="AD58" s="117" t="s">
        <v>186</v>
      </c>
      <c r="AE58" s="117" t="s">
        <v>186</v>
      </c>
      <c r="AF58" s="117" t="s">
        <v>186</v>
      </c>
      <c r="AG58" s="117" t="s">
        <v>186</v>
      </c>
      <c r="AH58" s="117" t="s">
        <v>186</v>
      </c>
      <c r="AI58" s="117" t="s">
        <v>186</v>
      </c>
      <c r="AJ58" s="42"/>
      <c r="AL58" t="str">
        <f t="shared" ca="1" si="0"/>
        <v xml:space="preserve">    (U1)ALERT_REQ_H_TOWWAR_</v>
      </c>
      <c r="AR58" s="54" t="str">
        <f t="shared" si="3"/>
        <v/>
      </c>
      <c r="AS58" s="54" t="str">
        <f t="shared" si="4"/>
        <v/>
      </c>
      <c r="AT58" s="54" t="str">
        <f t="shared" si="1"/>
        <v/>
      </c>
    </row>
    <row r="59" spans="2:46">
      <c r="B59" s="121"/>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52" t="s">
        <v>67</v>
      </c>
      <c r="AD59" s="117" t="s">
        <v>186</v>
      </c>
      <c r="AE59" s="117" t="s">
        <v>186</v>
      </c>
      <c r="AF59" s="117" t="s">
        <v>186</v>
      </c>
      <c r="AG59" s="117" t="s">
        <v>186</v>
      </c>
      <c r="AH59" s="117" t="s">
        <v>186</v>
      </c>
      <c r="AI59" s="117" t="s">
        <v>186</v>
      </c>
      <c r="AJ59" s="42"/>
      <c r="AL59" t="str">
        <f t="shared" ca="1" si="0"/>
        <v xml:space="preserve">    (U1)ALERT_REQ_H_TOWWAR_</v>
      </c>
      <c r="AR59" s="54" t="str">
        <f t="shared" si="3"/>
        <v/>
      </c>
      <c r="AS59" s="54" t="str">
        <f t="shared" si="4"/>
        <v/>
      </c>
      <c r="AT59" s="54" t="str">
        <f t="shared" si="1"/>
        <v/>
      </c>
    </row>
    <row r="60" spans="2:46">
      <c r="B60" s="121"/>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52" t="s">
        <v>67</v>
      </c>
      <c r="AD60" s="117" t="s">
        <v>186</v>
      </c>
      <c r="AE60" s="117" t="s">
        <v>186</v>
      </c>
      <c r="AF60" s="117" t="s">
        <v>186</v>
      </c>
      <c r="AG60" s="117" t="s">
        <v>186</v>
      </c>
      <c r="AH60" s="117" t="s">
        <v>186</v>
      </c>
      <c r="AI60" s="117" t="s">
        <v>186</v>
      </c>
      <c r="AJ60" s="42"/>
      <c r="AL60" t="str">
        <f t="shared" ca="1" si="0"/>
        <v xml:space="preserve">    (U1)ALERT_REQ_H_TOWWAR_</v>
      </c>
      <c r="AR60" s="54" t="str">
        <f t="shared" si="3"/>
        <v/>
      </c>
      <c r="AS60" s="54" t="str">
        <f t="shared" si="4"/>
        <v/>
      </c>
      <c r="AT60" s="54" t="str">
        <f t="shared" si="1"/>
        <v/>
      </c>
    </row>
    <row r="61" spans="2:46">
      <c r="B61" s="121"/>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52" t="s">
        <v>67</v>
      </c>
      <c r="AD61" s="117" t="s">
        <v>186</v>
      </c>
      <c r="AE61" s="117" t="s">
        <v>186</v>
      </c>
      <c r="AF61" s="117" t="s">
        <v>186</v>
      </c>
      <c r="AG61" s="117" t="s">
        <v>186</v>
      </c>
      <c r="AH61" s="117" t="s">
        <v>186</v>
      </c>
      <c r="AI61" s="117" t="s">
        <v>186</v>
      </c>
      <c r="AJ61" s="42"/>
      <c r="AL61" t="str">
        <f t="shared" ca="1" si="0"/>
        <v xml:space="preserve">    (U1)ALERT_REQ_H_TOWWAR_</v>
      </c>
      <c r="AR61" s="54" t="str">
        <f t="shared" si="3"/>
        <v/>
      </c>
      <c r="AS61" s="54" t="str">
        <f t="shared" si="4"/>
        <v/>
      </c>
      <c r="AT61" s="54" t="str">
        <f t="shared" si="1"/>
        <v/>
      </c>
    </row>
    <row r="62" spans="2:46">
      <c r="B62" s="121"/>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52" t="s">
        <v>67</v>
      </c>
      <c r="AD62" s="117" t="s">
        <v>186</v>
      </c>
      <c r="AE62" s="117" t="s">
        <v>186</v>
      </c>
      <c r="AF62" s="117" t="s">
        <v>186</v>
      </c>
      <c r="AG62" s="117" t="s">
        <v>186</v>
      </c>
      <c r="AH62" s="117" t="s">
        <v>186</v>
      </c>
      <c r="AI62" s="117" t="s">
        <v>186</v>
      </c>
      <c r="AJ62" s="42"/>
      <c r="AL62" t="str">
        <f t="shared" ca="1" si="0"/>
        <v xml:space="preserve">    (U1)ALERT_REQ_H_TOWWAR_</v>
      </c>
      <c r="AR62" s="54" t="str">
        <f t="shared" si="3"/>
        <v/>
      </c>
      <c r="AS62" s="54" t="str">
        <f t="shared" si="4"/>
        <v/>
      </c>
      <c r="AT62" s="54" t="str">
        <f t="shared" si="1"/>
        <v/>
      </c>
    </row>
    <row r="63" spans="2:46">
      <c r="B63" s="121"/>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52" t="s">
        <v>67</v>
      </c>
      <c r="AD63" s="117" t="s">
        <v>186</v>
      </c>
      <c r="AE63" s="117" t="s">
        <v>186</v>
      </c>
      <c r="AF63" s="117" t="s">
        <v>186</v>
      </c>
      <c r="AG63" s="117" t="s">
        <v>186</v>
      </c>
      <c r="AH63" s="117" t="s">
        <v>186</v>
      </c>
      <c r="AI63" s="117" t="s">
        <v>186</v>
      </c>
      <c r="AJ63" s="42"/>
      <c r="AL63" t="str">
        <f t="shared" ca="1" si="0"/>
        <v xml:space="preserve">    (U1)ALERT_REQ_H_TOWWAR_</v>
      </c>
      <c r="AR63" s="54" t="str">
        <f t="shared" si="3"/>
        <v/>
      </c>
      <c r="AS63" s="54" t="str">
        <f t="shared" si="4"/>
        <v/>
      </c>
      <c r="AT63" s="54" t="str">
        <f t="shared" si="1"/>
        <v/>
      </c>
    </row>
    <row r="64" spans="2:46">
      <c r="B64" s="121"/>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52" t="s">
        <v>67</v>
      </c>
      <c r="AD64" s="117" t="s">
        <v>186</v>
      </c>
      <c r="AE64" s="117" t="s">
        <v>186</v>
      </c>
      <c r="AF64" s="117" t="s">
        <v>186</v>
      </c>
      <c r="AG64" s="117" t="s">
        <v>186</v>
      </c>
      <c r="AH64" s="117" t="s">
        <v>186</v>
      </c>
      <c r="AI64" s="117" t="s">
        <v>186</v>
      </c>
      <c r="AJ64" s="42"/>
      <c r="AL64" t="str">
        <f t="shared" ca="1" si="0"/>
        <v xml:space="preserve">    (U1)ALERT_REQ_H_TOWWAR_</v>
      </c>
      <c r="AR64" s="54" t="str">
        <f t="shared" si="3"/>
        <v/>
      </c>
      <c r="AS64" s="54" t="str">
        <f t="shared" si="4"/>
        <v/>
      </c>
      <c r="AT64" s="54" t="str">
        <f t="shared" si="1"/>
        <v/>
      </c>
    </row>
    <row r="65" spans="1:46">
      <c r="B65" s="121"/>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52" t="s">
        <v>67</v>
      </c>
      <c r="AD65" s="117" t="s">
        <v>186</v>
      </c>
      <c r="AE65" s="117" t="s">
        <v>186</v>
      </c>
      <c r="AF65" s="117" t="s">
        <v>186</v>
      </c>
      <c r="AG65" s="117" t="s">
        <v>186</v>
      </c>
      <c r="AH65" s="117" t="s">
        <v>186</v>
      </c>
      <c r="AI65" s="117" t="s">
        <v>186</v>
      </c>
      <c r="AJ65" s="42"/>
      <c r="AL65" t="str">
        <f t="shared" ca="1" si="0"/>
        <v xml:space="preserve">    (U1)ALERT_REQ_H_TOWWAR_</v>
      </c>
      <c r="AR65" s="54" t="str">
        <f t="shared" si="3"/>
        <v/>
      </c>
      <c r="AS65" s="54" t="str">
        <f t="shared" si="4"/>
        <v/>
      </c>
      <c r="AT65" s="54" t="str">
        <f t="shared" si="1"/>
        <v/>
      </c>
    </row>
    <row r="66" spans="1:46">
      <c r="B66" s="121"/>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52" t="s">
        <v>67</v>
      </c>
      <c r="AD66" s="117" t="s">
        <v>186</v>
      </c>
      <c r="AE66" s="117" t="s">
        <v>186</v>
      </c>
      <c r="AF66" s="117" t="s">
        <v>186</v>
      </c>
      <c r="AG66" s="117" t="s">
        <v>186</v>
      </c>
      <c r="AH66" s="117" t="s">
        <v>186</v>
      </c>
      <c r="AI66" s="117" t="s">
        <v>186</v>
      </c>
      <c r="AJ66" s="42"/>
      <c r="AL66" t="str">
        <f t="shared" ca="1" si="0"/>
        <v xml:space="preserve">    (U1)ALERT_REQ_H_TOWWAR_</v>
      </c>
      <c r="AR66" s="54" t="str">
        <f t="shared" si="3"/>
        <v/>
      </c>
      <c r="AS66" s="54" t="str">
        <f t="shared" si="4"/>
        <v/>
      </c>
      <c r="AT66" s="54" t="str">
        <f t="shared" si="1"/>
        <v/>
      </c>
    </row>
    <row r="67" spans="1:46">
      <c r="B67" s="121"/>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52" t="s">
        <v>67</v>
      </c>
      <c r="AD67" s="117" t="s">
        <v>186</v>
      </c>
      <c r="AE67" s="117" t="s">
        <v>186</v>
      </c>
      <c r="AF67" s="117" t="s">
        <v>186</v>
      </c>
      <c r="AG67" s="117" t="s">
        <v>186</v>
      </c>
      <c r="AH67" s="117" t="s">
        <v>186</v>
      </c>
      <c r="AI67" s="117" t="s">
        <v>186</v>
      </c>
      <c r="AJ67" s="42"/>
      <c r="AL67" t="str">
        <f t="shared" ca="1" si="0"/>
        <v xml:space="preserve">    (U1)ALERT_REQ_H_TOWWAR_</v>
      </c>
      <c r="AR67" s="54" t="str">
        <f t="shared" si="3"/>
        <v/>
      </c>
      <c r="AS67" s="54" t="str">
        <f t="shared" si="4"/>
        <v/>
      </c>
      <c r="AT67" s="54" t="str">
        <f t="shared" si="1"/>
        <v/>
      </c>
    </row>
    <row r="68" spans="1:46">
      <c r="B68" s="121"/>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52" t="s">
        <v>67</v>
      </c>
      <c r="AD68" s="117" t="s">
        <v>186</v>
      </c>
      <c r="AE68" s="117" t="s">
        <v>186</v>
      </c>
      <c r="AF68" s="117" t="s">
        <v>186</v>
      </c>
      <c r="AG68" s="117" t="s">
        <v>186</v>
      </c>
      <c r="AH68" s="117" t="s">
        <v>186</v>
      </c>
      <c r="AI68" s="117" t="s">
        <v>186</v>
      </c>
      <c r="AJ68" s="42"/>
      <c r="AL68" t="str">
        <f t="shared" ca="1" si="0"/>
        <v xml:space="preserve">    (U1)ALERT_REQ_H_TOWWAR_</v>
      </c>
      <c r="AR68" s="54" t="str">
        <f t="shared" si="3"/>
        <v/>
      </c>
      <c r="AS68" s="54" t="str">
        <f t="shared" si="4"/>
        <v/>
      </c>
      <c r="AT68" s="54" t="str">
        <f t="shared" si="1"/>
        <v/>
      </c>
    </row>
    <row r="69" spans="1:46">
      <c r="B69" s="122"/>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52" t="s">
        <v>67</v>
      </c>
      <c r="AD69" s="117" t="s">
        <v>186</v>
      </c>
      <c r="AE69" s="117" t="s">
        <v>186</v>
      </c>
      <c r="AF69" s="117" t="s">
        <v>186</v>
      </c>
      <c r="AG69" s="117" t="s">
        <v>186</v>
      </c>
      <c r="AH69" s="117" t="s">
        <v>186</v>
      </c>
      <c r="AI69" s="117" t="s">
        <v>186</v>
      </c>
      <c r="AJ69" s="42"/>
      <c r="AL69" t="str">
        <f t="shared" ca="1" si="0"/>
        <v xml:space="preserve">    (U1)ALERT_REQ_H_TOWWAR_</v>
      </c>
      <c r="AR69" s="54" t="str">
        <f t="shared" si="3"/>
        <v/>
      </c>
      <c r="AS69" s="54" t="str">
        <f t="shared" si="4"/>
        <v/>
      </c>
      <c r="AT69" s="54" t="str">
        <f t="shared" si="1"/>
        <v/>
      </c>
    </row>
    <row r="70" spans="1:46" ht="14.2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3" t="str">
        <f ca="1">IF(B6&lt;&gt;"",B6,"")</f>
        <v>Table H_TOWWAR</v>
      </c>
      <c r="C71" s="38">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1</v>
      </c>
      <c r="AJ71" s="38" t="str">
        <f t="shared" ref="AJ71:AJ134" si="7">IF(AJ6&lt;&gt;"",AJ6,"")</f>
        <v>MLFNC_HV2</v>
      </c>
      <c r="AK71" s="51"/>
      <c r="AL71" s="51" t="str">
        <f>BIN2HEX(AB71&amp;AC71&amp;AD71&amp;AE71&amp;AF71&amp;AG71&amp;AH71&amp;AI71,2)</f>
        <v>01</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(U4)0x00000001U,                                                           /* 00 MLFNC_HV2                                       */</v>
      </c>
    </row>
    <row r="72" spans="1:46">
      <c r="B72" s="121"/>
      <c r="C72" s="38">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1</v>
      </c>
      <c r="AE72" s="114">
        <f t="shared" si="6"/>
        <v>1</v>
      </c>
      <c r="AF72" s="114">
        <f t="shared" si="6"/>
        <v>0</v>
      </c>
      <c r="AG72" s="114">
        <f t="shared" si="6"/>
        <v>0</v>
      </c>
      <c r="AH72" s="114">
        <f t="shared" si="6"/>
        <v>0</v>
      </c>
      <c r="AI72" s="114">
        <f t="shared" si="6"/>
        <v>1</v>
      </c>
      <c r="AJ72" s="38" t="str">
        <f t="shared" si="7"/>
        <v>MLFNC_HV</v>
      </c>
      <c r="AK72" s="51"/>
      <c r="AL72" s="51" t="str">
        <f t="shared" ref="AL72:AL134" si="10">BIN2HEX(AB72&amp;AC72&amp;AD72&amp;AE72&amp;AF72&amp;AG72&amp;AH72&amp;AI72,2)</f>
        <v>31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(U4)0x00000031U,                                                           /* 01 MLFNC_HV                                        */</v>
      </c>
    </row>
    <row r="73" spans="1:46">
      <c r="B73" s="121"/>
      <c r="C73" s="38">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1</v>
      </c>
      <c r="AD73" s="114">
        <f t="shared" si="6"/>
        <v>0</v>
      </c>
      <c r="AE73" s="114">
        <f t="shared" si="6"/>
        <v>0</v>
      </c>
      <c r="AF73" s="114">
        <f t="shared" si="6"/>
        <v>0</v>
      </c>
      <c r="AG73" s="114">
        <f t="shared" si="6"/>
        <v>0</v>
      </c>
      <c r="AH73" s="114">
        <f t="shared" si="6"/>
        <v>0</v>
      </c>
      <c r="AI73" s="114">
        <f t="shared" si="6"/>
        <v>1</v>
      </c>
      <c r="AJ73" s="38" t="str">
        <f t="shared" si="7"/>
        <v>MLFNC_HV</v>
      </c>
      <c r="AK73" s="51"/>
      <c r="AL73" s="51" t="str">
        <f t="shared" si="10"/>
        <v>41</v>
      </c>
      <c r="AM73" s="53" t="str">
        <f t="shared" si="11"/>
        <v>00</v>
      </c>
      <c r="AN73" s="53" t="str">
        <f t="shared" si="12"/>
        <v>00</v>
      </c>
      <c r="AO73" s="53" t="str">
        <f t="shared" si="13"/>
        <v>00</v>
      </c>
      <c r="AQ73" t="str">
        <f t="shared" si="8"/>
        <v xml:space="preserve">    (U4)0x00000041U,                                                           /* 02 MLFNC_HV                                        */</v>
      </c>
    </row>
    <row r="74" spans="1:46">
      <c r="B74" s="121"/>
      <c r="C74" s="38">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1</v>
      </c>
      <c r="AD74" s="114">
        <f t="shared" si="6"/>
        <v>0</v>
      </c>
      <c r="AE74" s="114">
        <f t="shared" si="6"/>
        <v>1</v>
      </c>
      <c r="AF74" s="114">
        <f t="shared" si="6"/>
        <v>0</v>
      </c>
      <c r="AG74" s="114">
        <f t="shared" si="6"/>
        <v>0</v>
      </c>
      <c r="AH74" s="114">
        <f t="shared" si="6"/>
        <v>0</v>
      </c>
      <c r="AI74" s="114">
        <f t="shared" si="6"/>
        <v>1</v>
      </c>
      <c r="AJ74" s="38" t="str">
        <f t="shared" si="7"/>
        <v>MLFNC_EV</v>
      </c>
      <c r="AK74" s="51"/>
      <c r="AL74" s="51" t="str">
        <f t="shared" si="10"/>
        <v>51</v>
      </c>
      <c r="AM74" s="53" t="str">
        <f t="shared" si="11"/>
        <v>00</v>
      </c>
      <c r="AN74" s="53" t="str">
        <f t="shared" si="12"/>
        <v>00</v>
      </c>
      <c r="AO74" s="53" t="str">
        <f t="shared" si="13"/>
        <v>00</v>
      </c>
      <c r="AQ74" t="str">
        <f t="shared" si="8"/>
        <v xml:space="preserve">    (U4)0x00000051U,                                                           /* 03 MLFNC_EV                                        */</v>
      </c>
    </row>
    <row r="75" spans="1:46">
      <c r="B75" s="121"/>
      <c r="C75" s="38">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1</v>
      </c>
      <c r="AD75" s="114">
        <f t="shared" si="6"/>
        <v>1</v>
      </c>
      <c r="AE75" s="114">
        <f t="shared" si="6"/>
        <v>1</v>
      </c>
      <c r="AF75" s="114">
        <f t="shared" si="6"/>
        <v>0</v>
      </c>
      <c r="AG75" s="114">
        <f t="shared" si="6"/>
        <v>0</v>
      </c>
      <c r="AH75" s="114">
        <f t="shared" si="6"/>
        <v>0</v>
      </c>
      <c r="AI75" s="114">
        <f t="shared" si="6"/>
        <v>1</v>
      </c>
      <c r="AJ75" s="38" t="str">
        <f t="shared" si="7"/>
        <v>MLFNC_FCV</v>
      </c>
      <c r="AK75" s="51"/>
      <c r="AL75" s="51" t="str">
        <f t="shared" si="10"/>
        <v>71</v>
      </c>
      <c r="AM75" s="53" t="str">
        <f t="shared" si="11"/>
        <v>00</v>
      </c>
      <c r="AN75" s="53" t="str">
        <f t="shared" si="12"/>
        <v>00</v>
      </c>
      <c r="AO75" s="53" t="str">
        <f t="shared" si="13"/>
        <v>00</v>
      </c>
      <c r="AQ75" t="str">
        <f t="shared" si="8"/>
        <v xml:space="preserve">    (U4)0x00000071U,                                                           /* 04 MLFNC_FCV                                       */</v>
      </c>
    </row>
    <row r="76" spans="1:46">
      <c r="B76" s="121"/>
      <c r="C76" s="38">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1</v>
      </c>
      <c r="AB76" s="114">
        <f t="shared" si="6"/>
        <v>1</v>
      </c>
      <c r="AC76" s="114">
        <f t="shared" si="6"/>
        <v>1</v>
      </c>
      <c r="AD76" s="114">
        <f t="shared" si="6"/>
        <v>1</v>
      </c>
      <c r="AE76" s="114">
        <f t="shared" si="6"/>
        <v>1</v>
      </c>
      <c r="AF76" s="114">
        <f t="shared" si="6"/>
        <v>0</v>
      </c>
      <c r="AG76" s="114">
        <f t="shared" si="6"/>
        <v>0</v>
      </c>
      <c r="AH76" s="114">
        <f t="shared" si="6"/>
        <v>0</v>
      </c>
      <c r="AI76" s="114">
        <f t="shared" si="6"/>
        <v>1</v>
      </c>
      <c r="AJ76" s="38" t="str">
        <f>IF(AJ11&lt;&gt;"",AJ11,"")</f>
        <v>MLFNC_HV</v>
      </c>
      <c r="AK76" s="51"/>
      <c r="AL76" s="51" t="str">
        <f t="shared" si="10"/>
        <v>F1</v>
      </c>
      <c r="AM76" s="53" t="str">
        <f t="shared" si="11"/>
        <v>01</v>
      </c>
      <c r="AN76" s="53" t="str">
        <f t="shared" si="12"/>
        <v>00</v>
      </c>
      <c r="AO76" s="53" t="str">
        <f t="shared" si="13"/>
        <v>00</v>
      </c>
      <c r="AQ76" t="str">
        <f t="shared" si="8"/>
        <v xml:space="preserve">    (U4)0x000001F1U,                                                           /* 05 MLFNC_HV                                        */</v>
      </c>
    </row>
    <row r="77" spans="1:46">
      <c r="B77" s="121"/>
      <c r="C77" s="38">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0</v>
      </c>
      <c r="AH77" s="114">
        <f t="shared" si="6"/>
        <v>0</v>
      </c>
      <c r="AI77" s="114">
        <f t="shared" si="6"/>
        <v>1</v>
      </c>
      <c r="AJ77" s="38" t="str">
        <f t="shared" si="7"/>
        <v>MLFNC</v>
      </c>
      <c r="AK77" s="51"/>
      <c r="AL77" s="51" t="str">
        <f t="shared" si="10"/>
        <v>01</v>
      </c>
      <c r="AM77" s="53" t="str">
        <f t="shared" si="11"/>
        <v>00</v>
      </c>
      <c r="AN77" s="53" t="str">
        <f t="shared" si="12"/>
        <v>00</v>
      </c>
      <c r="AO77" s="53" t="str">
        <f t="shared" si="13"/>
        <v>00</v>
      </c>
      <c r="AQ77" t="str">
        <f t="shared" si="8"/>
        <v xml:space="preserve">    (U4)0x00000001U                                                            /* 06 MLFNC                                           */</v>
      </c>
    </row>
    <row r="78" spans="1:46">
      <c r="B78" s="121"/>
      <c r="C78" s="38">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0</v>
      </c>
      <c r="AH78" s="114">
        <f t="shared" si="6"/>
        <v>0</v>
      </c>
      <c r="AI78" s="114">
        <f t="shared" ref="AI78" si="14">IF(AI13=1,1,0)</f>
        <v>0</v>
      </c>
      <c r="AJ78" s="38" t="str">
        <f t="shared" si="7"/>
        <v/>
      </c>
      <c r="AK78" s="51"/>
      <c r="AL78" s="51" t="str">
        <f t="shared" si="10"/>
        <v>00</v>
      </c>
      <c r="AM78" s="53" t="str">
        <f t="shared" si="11"/>
        <v>00</v>
      </c>
      <c r="AN78" s="53" t="str">
        <f t="shared" si="12"/>
        <v>00</v>
      </c>
      <c r="AO78" s="53" t="str">
        <f t="shared" si="13"/>
        <v>00</v>
      </c>
      <c r="AQ78" t="str">
        <f t="shared" si="8"/>
        <v/>
      </c>
    </row>
    <row r="79" spans="1:46">
      <c r="B79" s="121"/>
      <c r="C79" s="38">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0</v>
      </c>
      <c r="AG79" s="114">
        <f t="shared" si="15"/>
        <v>0</v>
      </c>
      <c r="AH79" s="114">
        <f t="shared" si="15"/>
        <v>0</v>
      </c>
      <c r="AI79" s="114">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1"/>
      <c r="C80" s="38">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0</v>
      </c>
      <c r="AF80" s="114">
        <f t="shared" si="15"/>
        <v>0</v>
      </c>
      <c r="AG80" s="114">
        <f t="shared" si="15"/>
        <v>0</v>
      </c>
      <c r="AH80" s="114">
        <f t="shared" si="15"/>
        <v>0</v>
      </c>
      <c r="AI80" s="114">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1"/>
      <c r="C81" s="38">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0</v>
      </c>
      <c r="AG81" s="114">
        <f t="shared" si="15"/>
        <v>0</v>
      </c>
      <c r="AH81" s="114">
        <f t="shared" si="15"/>
        <v>0</v>
      </c>
      <c r="AI81" s="114">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1"/>
      <c r="C82" s="38">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0</v>
      </c>
      <c r="AG82" s="114">
        <f t="shared" si="15"/>
        <v>0</v>
      </c>
      <c r="AH82" s="114">
        <f t="shared" si="15"/>
        <v>0</v>
      </c>
      <c r="AI82" s="114">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1"/>
      <c r="C83" s="38">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0</v>
      </c>
      <c r="AG83" s="114">
        <f t="shared" si="15"/>
        <v>0</v>
      </c>
      <c r="AH83" s="114">
        <f t="shared" si="15"/>
        <v>0</v>
      </c>
      <c r="AI83" s="114">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1"/>
      <c r="C84" s="38">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0</v>
      </c>
      <c r="AD84" s="114">
        <f t="shared" si="15"/>
        <v>0</v>
      </c>
      <c r="AE84" s="114">
        <f t="shared" si="15"/>
        <v>0</v>
      </c>
      <c r="AF84" s="114">
        <f t="shared" si="15"/>
        <v>0</v>
      </c>
      <c r="AG84" s="114">
        <f t="shared" si="15"/>
        <v>0</v>
      </c>
      <c r="AH84" s="114">
        <f t="shared" si="15"/>
        <v>0</v>
      </c>
      <c r="AI84" s="114">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1"/>
      <c r="C85" s="38">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0</v>
      </c>
      <c r="AG85" s="114">
        <f t="shared" si="15"/>
        <v>0</v>
      </c>
      <c r="AH85" s="114">
        <f t="shared" si="15"/>
        <v>0</v>
      </c>
      <c r="AI85" s="114">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1"/>
      <c r="C86" s="38">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0</v>
      </c>
      <c r="AD86" s="114">
        <f t="shared" si="15"/>
        <v>0</v>
      </c>
      <c r="AE86" s="114">
        <f t="shared" si="15"/>
        <v>0</v>
      </c>
      <c r="AF86" s="114">
        <f t="shared" si="15"/>
        <v>0</v>
      </c>
      <c r="AG86" s="114">
        <f t="shared" si="15"/>
        <v>0</v>
      </c>
      <c r="AH86" s="114">
        <f t="shared" si="15"/>
        <v>0</v>
      </c>
      <c r="AI86" s="114">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1"/>
      <c r="C87" s="38">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0</v>
      </c>
      <c r="AH87" s="114">
        <f t="shared" si="17"/>
        <v>0</v>
      </c>
      <c r="AI87" s="114">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1"/>
      <c r="C88" s="38">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0</v>
      </c>
      <c r="AD88" s="114">
        <f t="shared" si="17"/>
        <v>0</v>
      </c>
      <c r="AE88" s="114">
        <f t="shared" si="17"/>
        <v>0</v>
      </c>
      <c r="AF88" s="114">
        <f t="shared" si="17"/>
        <v>0</v>
      </c>
      <c r="AG88" s="114">
        <f t="shared" si="17"/>
        <v>0</v>
      </c>
      <c r="AH88" s="114">
        <f t="shared" si="17"/>
        <v>0</v>
      </c>
      <c r="AI88" s="114">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1"/>
      <c r="C89" s="38">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1"/>
      <c r="C90" s="38">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1"/>
      <c r="C91" s="38">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1"/>
      <c r="C92" s="38">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1"/>
      <c r="C93" s="38">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1"/>
      <c r="C94" s="38">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1"/>
      <c r="C95" s="38">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1"/>
      <c r="C96" s="38">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1"/>
      <c r="C97" s="38">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1"/>
      <c r="C98" s="38">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1"/>
      <c r="C99" s="38">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1"/>
      <c r="C100" s="38">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1"/>
      <c r="C101" s="38">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1"/>
      <c r="C102" s="38">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1"/>
      <c r="C103" s="38">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1"/>
      <c r="C104" s="38">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1"/>
      <c r="C105" s="38">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1"/>
      <c r="C106" s="38">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1"/>
      <c r="C107" s="38">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1"/>
      <c r="C108" s="38">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1"/>
      <c r="C109" s="38">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1"/>
      <c r="C110" s="38">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1"/>
      <c r="C111" s="38">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1"/>
      <c r="C112" s="38">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1"/>
      <c r="C113" s="38">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1"/>
      <c r="C114" s="38">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1"/>
      <c r="C115" s="38">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1"/>
      <c r="C116" s="38">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1"/>
      <c r="C117" s="38">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1"/>
      <c r="C118" s="38">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1"/>
      <c r="C119" s="38">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1"/>
      <c r="C120" s="38">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1"/>
      <c r="C121" s="38">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1"/>
      <c r="C122" s="38">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1"/>
      <c r="C123" s="38">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1"/>
      <c r="C124" s="38">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1"/>
      <c r="C125" s="38">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1"/>
      <c r="C126" s="38">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1"/>
      <c r="C127" s="38">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1"/>
      <c r="C128" s="38">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1"/>
      <c r="C129" s="38">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1"/>
      <c r="C130" s="38">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1"/>
      <c r="C131" s="38">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1"/>
      <c r="C132" s="38">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1"/>
      <c r="C133" s="38">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2"/>
      <c r="C134" s="38">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3" t="str">
        <f ca="1">IF(B6&lt;&gt;"",B6,"")</f>
        <v>Table H_TOWWAR</v>
      </c>
      <c r="C136" s="38">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1</v>
      </c>
      <c r="AB136" s="114">
        <f t="shared" si="29"/>
        <v>1</v>
      </c>
      <c r="AC136" s="114">
        <f t="shared" si="29"/>
        <v>1</v>
      </c>
      <c r="AD136" s="114">
        <f t="shared" si="29"/>
        <v>1</v>
      </c>
      <c r="AE136" s="114">
        <f t="shared" si="29"/>
        <v>1</v>
      </c>
      <c r="AF136" s="114">
        <f t="shared" si="29"/>
        <v>1</v>
      </c>
      <c r="AG136" s="114">
        <f t="shared" si="29"/>
        <v>1</v>
      </c>
      <c r="AH136" s="114">
        <f t="shared" si="29"/>
        <v>1</v>
      </c>
      <c r="AI136" s="114">
        <f t="shared" si="29"/>
        <v>1</v>
      </c>
      <c r="AJ136" s="38" t="str">
        <f t="shared" ref="AJ136:AJ199" si="30">IF(AJ6&lt;&gt;"",AJ6,"")</f>
        <v>MLFNC_HV2</v>
      </c>
      <c r="AK136" s="51"/>
      <c r="AL136" s="51" t="str">
        <f>BIN2HEX(AB136&amp;AC136&amp;AD136&amp;AE136&amp;AF136&amp;AG136&amp;AH136&amp;AI136,2)</f>
        <v>FF</v>
      </c>
      <c r="AM136" s="53" t="str">
        <f>BIN2HEX(T136&amp;U136&amp;V136&amp;W136&amp;X136&amp;Y136&amp;Z136&amp;AA136,2)</f>
        <v>01</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MLFNC_HV2                                       */</v>
      </c>
    </row>
    <row r="137" spans="1:43">
      <c r="B137" s="121"/>
      <c r="C137" s="38">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1</v>
      </c>
      <c r="AB137" s="114">
        <f t="shared" si="29"/>
        <v>1</v>
      </c>
      <c r="AC137" s="114">
        <f t="shared" si="29"/>
        <v>1</v>
      </c>
      <c r="AD137" s="114">
        <f t="shared" si="29"/>
        <v>1</v>
      </c>
      <c r="AE137" s="114">
        <f t="shared" si="29"/>
        <v>1</v>
      </c>
      <c r="AF137" s="114">
        <f t="shared" si="29"/>
        <v>1</v>
      </c>
      <c r="AG137" s="114">
        <f t="shared" si="29"/>
        <v>1</v>
      </c>
      <c r="AH137" s="114">
        <f t="shared" si="29"/>
        <v>1</v>
      </c>
      <c r="AI137" s="114">
        <f t="shared" si="29"/>
        <v>1</v>
      </c>
      <c r="AJ137" s="38" t="str">
        <f t="shared" si="30"/>
        <v>MLFNC_HV</v>
      </c>
      <c r="AK137" s="51"/>
      <c r="AL137" s="51" t="str">
        <f t="shared" ref="AL137:AL199" si="33">BIN2HEX(AB137&amp;AC137&amp;AD137&amp;AE137&amp;AF137&amp;AG137&amp;AH137&amp;AI137,2)</f>
        <v>FF</v>
      </c>
      <c r="AM137" s="53" t="str">
        <f t="shared" ref="AM137:AM199" si="34">BIN2HEX(T137&amp;U137&amp;V137&amp;W137&amp;X137&amp;Y137&amp;Z137&amp;AA137,2)</f>
        <v>01</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(U4)0x000001FFU,                                                           /* 01 MLFNC_HV                                        */</v>
      </c>
    </row>
    <row r="138" spans="1:43">
      <c r="B138" s="121"/>
      <c r="C138" s="38">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1</v>
      </c>
      <c r="AB138" s="114">
        <f t="shared" si="29"/>
        <v>1</v>
      </c>
      <c r="AC138" s="114">
        <f t="shared" si="29"/>
        <v>1</v>
      </c>
      <c r="AD138" s="114">
        <f t="shared" si="29"/>
        <v>0</v>
      </c>
      <c r="AE138" s="114">
        <f t="shared" si="29"/>
        <v>1</v>
      </c>
      <c r="AF138" s="114">
        <f t="shared" si="29"/>
        <v>1</v>
      </c>
      <c r="AG138" s="114">
        <f t="shared" si="29"/>
        <v>1</v>
      </c>
      <c r="AH138" s="114">
        <f t="shared" si="29"/>
        <v>1</v>
      </c>
      <c r="AI138" s="114">
        <f t="shared" si="29"/>
        <v>1</v>
      </c>
      <c r="AJ138" s="38" t="str">
        <f t="shared" si="30"/>
        <v>MLFNC_HV</v>
      </c>
      <c r="AK138" s="51"/>
      <c r="AL138" s="51" t="str">
        <f t="shared" si="33"/>
        <v>DF</v>
      </c>
      <c r="AM138" s="53" t="str">
        <f t="shared" si="34"/>
        <v>01</v>
      </c>
      <c r="AN138" s="53" t="str">
        <f t="shared" si="35"/>
        <v>00</v>
      </c>
      <c r="AO138" s="53" t="str">
        <f t="shared" si="36"/>
        <v>00</v>
      </c>
      <c r="AQ138" t="str">
        <f t="shared" si="31"/>
        <v xml:space="preserve">    (U4)0x000001DFU,                                                           /* 02 MLFNC_HV                                        */</v>
      </c>
    </row>
    <row r="139" spans="1:43">
      <c r="B139" s="121"/>
      <c r="C139" s="38">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1</v>
      </c>
      <c r="AB139" s="114">
        <f t="shared" si="29"/>
        <v>1</v>
      </c>
      <c r="AC139" s="114">
        <f t="shared" si="29"/>
        <v>1</v>
      </c>
      <c r="AD139" s="114">
        <f t="shared" si="29"/>
        <v>1</v>
      </c>
      <c r="AE139" s="114">
        <f t="shared" si="29"/>
        <v>1</v>
      </c>
      <c r="AF139" s="114">
        <f t="shared" si="29"/>
        <v>1</v>
      </c>
      <c r="AG139" s="114">
        <f t="shared" si="29"/>
        <v>1</v>
      </c>
      <c r="AH139" s="114">
        <f t="shared" si="29"/>
        <v>1</v>
      </c>
      <c r="AI139" s="114">
        <f t="shared" si="29"/>
        <v>1</v>
      </c>
      <c r="AJ139" s="38" t="str">
        <f t="shared" si="30"/>
        <v>MLFNC_EV</v>
      </c>
      <c r="AK139" s="51"/>
      <c r="AL139" s="51" t="str">
        <f t="shared" si="33"/>
        <v>FF</v>
      </c>
      <c r="AM139" s="53" t="str">
        <f t="shared" si="34"/>
        <v>01</v>
      </c>
      <c r="AN139" s="53" t="str">
        <f t="shared" si="35"/>
        <v>00</v>
      </c>
      <c r="AO139" s="53" t="str">
        <f t="shared" si="36"/>
        <v>00</v>
      </c>
      <c r="AQ139" t="str">
        <f t="shared" si="31"/>
        <v xml:space="preserve">    (U4)0x000001FFU,                                                           /* 03 MLFNC_EV                                        */</v>
      </c>
    </row>
    <row r="140" spans="1:43">
      <c r="B140" s="121"/>
      <c r="C140" s="38">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1</v>
      </c>
      <c r="AB140" s="114">
        <f t="shared" si="29"/>
        <v>1</v>
      </c>
      <c r="AC140" s="114">
        <f t="shared" si="29"/>
        <v>1</v>
      </c>
      <c r="AD140" s="114">
        <f t="shared" si="29"/>
        <v>1</v>
      </c>
      <c r="AE140" s="114">
        <f t="shared" si="29"/>
        <v>1</v>
      </c>
      <c r="AF140" s="114">
        <f t="shared" si="29"/>
        <v>1</v>
      </c>
      <c r="AG140" s="114">
        <f t="shared" si="29"/>
        <v>1</v>
      </c>
      <c r="AH140" s="114">
        <f t="shared" si="29"/>
        <v>1</v>
      </c>
      <c r="AI140" s="114">
        <f t="shared" si="29"/>
        <v>1</v>
      </c>
      <c r="AJ140" s="38" t="str">
        <f t="shared" si="30"/>
        <v>MLFNC_FCV</v>
      </c>
      <c r="AK140" s="51"/>
      <c r="AL140" s="51" t="str">
        <f t="shared" si="33"/>
        <v>FF</v>
      </c>
      <c r="AM140" s="53" t="str">
        <f t="shared" si="34"/>
        <v>01</v>
      </c>
      <c r="AN140" s="53" t="str">
        <f t="shared" si="35"/>
        <v>00</v>
      </c>
      <c r="AO140" s="53" t="str">
        <f t="shared" si="36"/>
        <v>00</v>
      </c>
      <c r="AQ140" t="str">
        <f t="shared" si="31"/>
        <v xml:space="preserve">    (U4)0x000001FFU,                                                           /* 04 MLFNC_FCV                                       */</v>
      </c>
    </row>
    <row r="141" spans="1:43">
      <c r="B141" s="121"/>
      <c r="C141" s="38">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1</v>
      </c>
      <c r="AB141" s="114">
        <f t="shared" si="29"/>
        <v>1</v>
      </c>
      <c r="AC141" s="114">
        <f t="shared" si="29"/>
        <v>1</v>
      </c>
      <c r="AD141" s="114">
        <f t="shared" si="29"/>
        <v>1</v>
      </c>
      <c r="AE141" s="114">
        <f t="shared" si="29"/>
        <v>1</v>
      </c>
      <c r="AF141" s="114">
        <f t="shared" si="29"/>
        <v>1</v>
      </c>
      <c r="AG141" s="114">
        <f t="shared" si="29"/>
        <v>1</v>
      </c>
      <c r="AH141" s="114">
        <f t="shared" si="29"/>
        <v>1</v>
      </c>
      <c r="AI141" s="114">
        <f t="shared" si="29"/>
        <v>1</v>
      </c>
      <c r="AJ141" s="38" t="str">
        <f t="shared" si="30"/>
        <v>MLFNC_HV</v>
      </c>
      <c r="AK141" s="51"/>
      <c r="AL141" s="51" t="str">
        <f t="shared" si="33"/>
        <v>FF</v>
      </c>
      <c r="AM141" s="53" t="str">
        <f t="shared" si="34"/>
        <v>01</v>
      </c>
      <c r="AN141" s="53" t="str">
        <f t="shared" si="35"/>
        <v>00</v>
      </c>
      <c r="AO141" s="53" t="str">
        <f t="shared" si="36"/>
        <v>00</v>
      </c>
      <c r="AQ141" t="str">
        <f t="shared" si="31"/>
        <v xml:space="preserve">    (U4)0x000001FFU,                                                           /* 05 MLFNC_HV                                        */</v>
      </c>
    </row>
    <row r="142" spans="1:43">
      <c r="B142" s="121"/>
      <c r="C142" s="38">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1</v>
      </c>
      <c r="AG142" s="114">
        <f t="shared" si="29"/>
        <v>1</v>
      </c>
      <c r="AH142" s="114">
        <f t="shared" si="29"/>
        <v>1</v>
      </c>
      <c r="AI142" s="114">
        <f t="shared" si="29"/>
        <v>1</v>
      </c>
      <c r="AJ142" s="38" t="str">
        <f t="shared" si="30"/>
        <v>MLFNC</v>
      </c>
      <c r="AK142" s="51"/>
      <c r="AL142" s="51" t="str">
        <f t="shared" si="33"/>
        <v>0F</v>
      </c>
      <c r="AM142" s="53" t="str">
        <f t="shared" si="34"/>
        <v>00</v>
      </c>
      <c r="AN142" s="53" t="str">
        <f t="shared" si="35"/>
        <v>00</v>
      </c>
      <c r="AO142" s="53" t="str">
        <f t="shared" si="36"/>
        <v>00</v>
      </c>
      <c r="AQ142" t="str">
        <f t="shared" si="31"/>
        <v xml:space="preserve">    (U4)0x0000000FU                                                            /* 06 MLFNC                                           */</v>
      </c>
    </row>
    <row r="143" spans="1:43">
      <c r="B143" s="121"/>
      <c r="C143" s="38">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0</v>
      </c>
      <c r="AD143" s="114">
        <f t="shared" si="29"/>
        <v>0</v>
      </c>
      <c r="AE143" s="114">
        <f t="shared" si="29"/>
        <v>0</v>
      </c>
      <c r="AF143" s="114">
        <f t="shared" si="29"/>
        <v>0</v>
      </c>
      <c r="AG143" s="114">
        <f t="shared" si="29"/>
        <v>0</v>
      </c>
      <c r="AH143" s="114">
        <f t="shared" si="29"/>
        <v>0</v>
      </c>
      <c r="AI143" s="114">
        <f t="shared" ref="AI143" si="37">IF(OR(AI13=0,AI13=1),1,0)</f>
        <v>0</v>
      </c>
      <c r="AJ143" s="38" t="str">
        <f t="shared" si="30"/>
        <v/>
      </c>
      <c r="AK143" s="51"/>
      <c r="AL143" s="51" t="str">
        <f t="shared" si="33"/>
        <v>00</v>
      </c>
      <c r="AM143" s="53" t="str">
        <f t="shared" si="34"/>
        <v>00</v>
      </c>
      <c r="AN143" s="53" t="str">
        <f t="shared" si="35"/>
        <v>00</v>
      </c>
      <c r="AO143" s="53" t="str">
        <f t="shared" si="36"/>
        <v>00</v>
      </c>
      <c r="AQ143" t="str">
        <f t="shared" si="31"/>
        <v/>
      </c>
    </row>
    <row r="144" spans="1:43">
      <c r="B144" s="121"/>
      <c r="C144" s="38">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0</v>
      </c>
      <c r="AG144" s="114">
        <f t="shared" si="38"/>
        <v>0</v>
      </c>
      <c r="AH144" s="114">
        <f t="shared" si="38"/>
        <v>0</v>
      </c>
      <c r="AI144" s="114">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1"/>
      <c r="C145" s="38">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0</v>
      </c>
      <c r="AD145" s="114">
        <f t="shared" si="38"/>
        <v>0</v>
      </c>
      <c r="AE145" s="114">
        <f t="shared" si="38"/>
        <v>0</v>
      </c>
      <c r="AF145" s="114">
        <f t="shared" si="38"/>
        <v>0</v>
      </c>
      <c r="AG145" s="114">
        <f t="shared" si="38"/>
        <v>0</v>
      </c>
      <c r="AH145" s="114">
        <f t="shared" si="38"/>
        <v>0</v>
      </c>
      <c r="AI145" s="114">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1"/>
      <c r="C146" s="38">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0</v>
      </c>
      <c r="AG146" s="114">
        <f t="shared" si="38"/>
        <v>0</v>
      </c>
      <c r="AH146" s="114">
        <f t="shared" si="38"/>
        <v>0</v>
      </c>
      <c r="AI146" s="114">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1"/>
      <c r="C147" s="38">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0</v>
      </c>
      <c r="AD147" s="114">
        <f t="shared" si="38"/>
        <v>0</v>
      </c>
      <c r="AE147" s="114">
        <f t="shared" si="38"/>
        <v>0</v>
      </c>
      <c r="AF147" s="114">
        <f t="shared" si="38"/>
        <v>0</v>
      </c>
      <c r="AG147" s="114">
        <f t="shared" si="38"/>
        <v>0</v>
      </c>
      <c r="AH147" s="114">
        <f t="shared" si="38"/>
        <v>0</v>
      </c>
      <c r="AI147" s="114">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1"/>
      <c r="C148" s="38">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0</v>
      </c>
      <c r="AG148" s="114">
        <f t="shared" si="38"/>
        <v>0</v>
      </c>
      <c r="AH148" s="114">
        <f t="shared" si="38"/>
        <v>0</v>
      </c>
      <c r="AI148" s="114">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1"/>
      <c r="C149" s="38">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0</v>
      </c>
      <c r="AD149" s="114">
        <f t="shared" si="38"/>
        <v>0</v>
      </c>
      <c r="AE149" s="114">
        <f t="shared" si="38"/>
        <v>0</v>
      </c>
      <c r="AF149" s="114">
        <f t="shared" si="38"/>
        <v>0</v>
      </c>
      <c r="AG149" s="114">
        <f t="shared" si="38"/>
        <v>0</v>
      </c>
      <c r="AH149" s="114">
        <f t="shared" si="38"/>
        <v>0</v>
      </c>
      <c r="AI149" s="114">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1"/>
      <c r="C150" s="38">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0</v>
      </c>
      <c r="AG150" s="114">
        <f t="shared" si="38"/>
        <v>0</v>
      </c>
      <c r="AH150" s="114">
        <f t="shared" si="38"/>
        <v>0</v>
      </c>
      <c r="AI150" s="114">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1"/>
      <c r="C151" s="38">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0</v>
      </c>
      <c r="AD151" s="114">
        <f t="shared" si="38"/>
        <v>0</v>
      </c>
      <c r="AE151" s="114">
        <f t="shared" si="38"/>
        <v>0</v>
      </c>
      <c r="AF151" s="114">
        <f t="shared" si="38"/>
        <v>0</v>
      </c>
      <c r="AG151" s="114">
        <f t="shared" si="38"/>
        <v>0</v>
      </c>
      <c r="AH151" s="114">
        <f t="shared" si="38"/>
        <v>0</v>
      </c>
      <c r="AI151" s="114">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1"/>
      <c r="C152" s="38">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0</v>
      </c>
      <c r="AG152" s="114">
        <f t="shared" si="40"/>
        <v>0</v>
      </c>
      <c r="AH152" s="114">
        <f t="shared" si="40"/>
        <v>0</v>
      </c>
      <c r="AI152" s="114">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1"/>
      <c r="C153" s="38">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0</v>
      </c>
      <c r="AD153" s="114">
        <f t="shared" si="40"/>
        <v>0</v>
      </c>
      <c r="AE153" s="114">
        <f t="shared" si="40"/>
        <v>0</v>
      </c>
      <c r="AF153" s="114">
        <f t="shared" si="40"/>
        <v>0</v>
      </c>
      <c r="AG153" s="114">
        <f t="shared" si="40"/>
        <v>0</v>
      </c>
      <c r="AH153" s="114">
        <f t="shared" si="40"/>
        <v>0</v>
      </c>
      <c r="AI153" s="114">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1"/>
      <c r="C154" s="38">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1"/>
      <c r="C155" s="38">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1"/>
      <c r="C156" s="38">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1"/>
      <c r="C157" s="38">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1"/>
      <c r="C158" s="38">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1"/>
      <c r="C159" s="38">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1"/>
      <c r="C160" s="38">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1"/>
      <c r="C161" s="38">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1"/>
      <c r="C162" s="38">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1"/>
      <c r="C163" s="38">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1"/>
      <c r="C164" s="38">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1"/>
      <c r="C165" s="38">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1"/>
      <c r="C166" s="38">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1"/>
      <c r="C167" s="38">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1"/>
      <c r="C168" s="38">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1"/>
      <c r="C169" s="38">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1"/>
      <c r="C170" s="38">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1"/>
      <c r="C171" s="38">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1"/>
      <c r="C172" s="38">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1"/>
      <c r="C173" s="38">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1"/>
      <c r="C174" s="38">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1"/>
      <c r="C175" s="38">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1"/>
      <c r="C176" s="38">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1"/>
      <c r="C177" s="38">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1"/>
      <c r="C178" s="38">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1"/>
      <c r="C179" s="38">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1"/>
      <c r="C180" s="38">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1"/>
      <c r="C181" s="38">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1"/>
      <c r="C182" s="38">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1"/>
      <c r="C183" s="38">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1"/>
      <c r="C184" s="38">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1"/>
      <c r="C185" s="38">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1"/>
      <c r="C186" s="38">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1"/>
      <c r="C187" s="38">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1"/>
      <c r="C188" s="38">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1"/>
      <c r="C189" s="38">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1"/>
      <c r="C190" s="38">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1"/>
      <c r="C191" s="38">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1"/>
      <c r="C192" s="38">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1"/>
      <c r="C193" s="38">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1"/>
      <c r="C194" s="38">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1"/>
      <c r="C195" s="38">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1"/>
      <c r="C196" s="38">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1"/>
      <c r="C197" s="38">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1"/>
      <c r="C198" s="38">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2"/>
      <c r="C199" s="38">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Z3 D10:Z14 D16:AC69 AA13:AI14 D15:AI15" name="Table作成編集範囲"/>
    <protectedRange sqref="D6:Z9 AD16:AI69" name="Table作成編集範囲_4"/>
    <protectedRange sqref="AJ13:AJ69" name="Table作成編集範囲_7"/>
    <protectedRange sqref="AD3" name="Table作成編集範囲_3"/>
    <protectedRange sqref="AA3:AC3" name="Table作成編集範囲_2_1"/>
    <protectedRange sqref="AH3" name="Table作成編集範囲_1_1"/>
    <protectedRange sqref="AF3" name="Table作成編集範囲_2_2"/>
    <protectedRange sqref="B3" name="Table作成編集範囲_1"/>
    <protectedRange sqref="AA11:AC12" name="Table作成編集範囲_2"/>
    <protectedRange sqref="AA6:AA10 AD8 AD11:AI12" name="Table作成編集範囲_4_1"/>
    <protectedRange sqref="AJ6:AJ12" name="Table作成編集範囲_7_1"/>
    <protectedRange sqref="AB6:AI7 AB9:AI10 AB8:AC8 AE8:AI8" name="Table作成編集範囲_5_1"/>
  </protectedRanges>
  <mergeCells count="6">
    <mergeCell ref="C2:C3"/>
    <mergeCell ref="AJ2:AJ3"/>
    <mergeCell ref="A4:B5"/>
    <mergeCell ref="AH3:AI3"/>
    <mergeCell ref="AF3:AG3"/>
    <mergeCell ref="AA3:AE3"/>
  </mergeCells>
  <phoneticPr fontId="2"/>
  <conditionalFormatting sqref="D6:Z16">
    <cfRule type="cellIs" dxfId="20" priority="81" operator="equal">
      <formula>1</formula>
    </cfRule>
    <cfRule type="cellIs" dxfId="19" priority="82" operator="equal">
      <formula>"×"</formula>
    </cfRule>
  </conditionalFormatting>
  <conditionalFormatting sqref="D17:AA25 D26:AC69">
    <cfRule type="cellIs" dxfId="18" priority="131" operator="equal">
      <formula>"×"</formula>
    </cfRule>
    <cfRule type="cellIs" dxfId="17" priority="130" operator="equal">
      <formula>1</formula>
    </cfRule>
  </conditionalFormatting>
  <conditionalFormatting sqref="AA16">
    <cfRule type="cellIs" dxfId="16" priority="55" operator="equal">
      <formula>1</formula>
    </cfRule>
    <cfRule type="cellIs" dxfId="15" priority="56" operator="equal">
      <formula>"×"</formula>
    </cfRule>
  </conditionalFormatting>
  <conditionalFormatting sqref="AA12:AC12">
    <cfRule type="cellIs" dxfId="14" priority="7" operator="equal">
      <formula>1</formula>
    </cfRule>
    <cfRule type="cellIs" dxfId="13" priority="8" operator="equal">
      <formula>"×"</formula>
    </cfRule>
  </conditionalFormatting>
  <conditionalFormatting sqref="AA6:AI15">
    <cfRule type="cellIs" dxfId="12" priority="1" operator="equal">
      <formula>1</formula>
    </cfRule>
    <cfRule type="cellIs" dxfId="11" priority="2" operator="equal">
      <formula>"×"</formula>
    </cfRule>
  </conditionalFormatting>
  <conditionalFormatting sqref="AB16:AC25">
    <cfRule type="cellIs" dxfId="10" priority="53" operator="equal">
      <formula>1</formula>
    </cfRule>
    <cfRule type="cellIs" dxfId="9" priority="54" operator="equal">
      <formula>"×"</formula>
    </cfRule>
  </conditionalFormatting>
  <conditionalFormatting sqref="AB9:AI12">
    <cfRule type="cellIs" dxfId="8" priority="3" operator="equal">
      <formula>1</formula>
    </cfRule>
    <cfRule type="cellIs" dxfId="7" priority="4" operator="equal">
      <formula>"×"</formula>
    </cfRule>
  </conditionalFormatting>
  <conditionalFormatting sqref="AD8">
    <cfRule type="cellIs" dxfId="6" priority="21" operator="equal">
      <formula>1</formula>
    </cfRule>
    <cfRule type="cellIs" dxfId="5" priority="22" operator="equal">
      <formula>"×"</formula>
    </cfRule>
  </conditionalFormatting>
  <conditionalFormatting sqref="AD10">
    <cfRule type="cellIs" dxfId="4" priority="32" operator="equal">
      <formula>"×"</formula>
    </cfRule>
    <cfRule type="cellIs" dxfId="3" priority="31" operator="equal">
      <formula>1</formula>
    </cfRule>
  </conditionalFormatting>
  <conditionalFormatting sqref="AD16:AI69">
    <cfRule type="cellIs" dxfId="2" priority="49" operator="equal">
      <formula>1</formula>
    </cfRule>
    <cfRule type="cellIs" dxfId="1" priority="50" operator="equal">
      <formula>"×"</formula>
    </cfRule>
  </conditionalFormatting>
  <conditionalFormatting sqref="AR5:AS70">
    <cfRule type="expression" dxfId="0" priority="129">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AJ13:AJ69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8:CD101"/>
  <sheetViews>
    <sheetView zoomScale="85" zoomScaleNormal="85" workbookViewId="0"/>
  </sheetViews>
  <sheetFormatPr defaultRowHeight="13.5"/>
  <cols>
    <col min="2" max="2" width="58.25" bestFit="1" customWidth="1"/>
    <col min="3" max="10" width="3.375" customWidth="1"/>
    <col min="11" max="11" width="25.375" customWidth="1"/>
    <col min="12" max="12" width="33.25" customWidth="1"/>
    <col min="13" max="13" width="31.875" customWidth="1"/>
    <col min="14" max="14" width="33.125" bestFit="1" customWidth="1"/>
    <col min="15" max="15" width="20" bestFit="1" customWidth="1"/>
    <col min="16" max="16" width="33.875" customWidth="1"/>
    <col min="17" max="17" width="43.25" customWidth="1"/>
    <col min="18" max="18" width="12.875" bestFit="1" customWidth="1"/>
    <col min="19" max="69" width="11" customWidth="1"/>
    <col min="70" max="82" width="9" style="189"/>
  </cols>
  <sheetData>
    <row r="8" spans="2:82" ht="15" thickBot="1">
      <c r="B8" s="24" t="s">
        <v>329</v>
      </c>
    </row>
    <row r="9" spans="2:82" ht="15" thickBot="1">
      <c r="B9" s="85" t="s">
        <v>219</v>
      </c>
      <c r="C9" s="310" t="s">
        <v>220</v>
      </c>
      <c r="D9" s="311"/>
      <c r="E9" s="311"/>
      <c r="F9" s="311"/>
      <c r="G9" s="311"/>
      <c r="H9" s="311"/>
      <c r="I9" s="311"/>
      <c r="J9" s="312"/>
      <c r="K9" s="151"/>
      <c r="L9" s="151"/>
      <c r="M9" s="151"/>
      <c r="N9" s="154"/>
      <c r="O9" s="152"/>
      <c r="P9" s="152"/>
      <c r="Q9" s="152"/>
      <c r="R9" s="153"/>
      <c r="S9" s="189"/>
      <c r="T9" s="189"/>
      <c r="U9" s="189"/>
      <c r="V9" s="189"/>
      <c r="W9" s="189"/>
      <c r="X9" s="189"/>
      <c r="Y9" s="189"/>
      <c r="Z9" s="189"/>
      <c r="AA9" s="189"/>
      <c r="AB9" s="189"/>
      <c r="AC9" s="189"/>
      <c r="AD9" s="189"/>
      <c r="AE9" s="189"/>
      <c r="AF9" s="189"/>
      <c r="AG9" s="189"/>
      <c r="AH9" s="189"/>
      <c r="AI9" s="189"/>
      <c r="AJ9" s="189"/>
      <c r="AK9" s="189"/>
      <c r="AL9" s="189"/>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189"/>
      <c r="BQ9" s="189"/>
      <c r="CD9"/>
    </row>
    <row r="10" spans="2:82">
      <c r="B10" s="61"/>
      <c r="C10" s="30" t="s">
        <v>221</v>
      </c>
      <c r="D10" s="30"/>
      <c r="E10" s="30"/>
      <c r="F10" s="30"/>
      <c r="G10" s="30"/>
      <c r="H10" s="30"/>
      <c r="I10" s="30"/>
      <c r="J10" s="30"/>
      <c r="K10" s="30"/>
      <c r="L10" s="30"/>
      <c r="M10" s="30"/>
      <c r="N10" s="26" t="s">
        <v>222</v>
      </c>
      <c r="O10" s="34" t="s">
        <v>21</v>
      </c>
      <c r="P10" s="35"/>
      <c r="Q10" s="35"/>
      <c r="R10" s="36"/>
      <c r="S10" s="189"/>
      <c r="T10" s="189"/>
      <c r="U10" s="189"/>
      <c r="V10" s="189"/>
      <c r="W10" s="189"/>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189"/>
      <c r="BQ10" s="189"/>
      <c r="CD10"/>
    </row>
    <row r="11" spans="2:82">
      <c r="B11" s="62" t="s">
        <v>22</v>
      </c>
      <c r="C11" s="313" t="s">
        <v>204</v>
      </c>
      <c r="D11" s="308"/>
      <c r="E11" s="308"/>
      <c r="F11" s="308"/>
      <c r="G11" s="308"/>
      <c r="H11" s="308"/>
      <c r="I11" s="308"/>
      <c r="J11" s="309"/>
      <c r="K11" s="190" t="s">
        <v>258</v>
      </c>
      <c r="L11" s="190"/>
      <c r="M11" s="190"/>
      <c r="N11" s="27" t="s">
        <v>288</v>
      </c>
      <c r="O11" s="183" t="s">
        <v>223</v>
      </c>
      <c r="P11" s="191" t="s">
        <v>205</v>
      </c>
      <c r="Q11" s="191" t="s">
        <v>196</v>
      </c>
      <c r="R11" s="169" t="s">
        <v>26</v>
      </c>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CD11"/>
    </row>
    <row r="12" spans="2:82" ht="27">
      <c r="B12" s="62" t="s">
        <v>33</v>
      </c>
      <c r="C12" s="147" t="s">
        <v>211</v>
      </c>
      <c r="D12" s="147" t="s">
        <v>211</v>
      </c>
      <c r="E12" s="147" t="s">
        <v>211</v>
      </c>
      <c r="F12" s="147" t="s">
        <v>206</v>
      </c>
      <c r="G12" s="147" t="s">
        <v>206</v>
      </c>
      <c r="H12" s="147" t="s">
        <v>211</v>
      </c>
      <c r="I12" s="147" t="s">
        <v>207</v>
      </c>
      <c r="J12" s="147" t="s">
        <v>206</v>
      </c>
      <c r="K12" s="192" t="s">
        <v>259</v>
      </c>
      <c r="L12" s="124" t="s">
        <v>195</v>
      </c>
      <c r="M12" s="192" t="s">
        <v>195</v>
      </c>
      <c r="N12" s="27" t="s">
        <v>224</v>
      </c>
      <c r="O12" s="184"/>
      <c r="P12" s="193"/>
      <c r="Q12" s="193"/>
      <c r="R12" s="203" t="s">
        <v>225</v>
      </c>
      <c r="S12" s="189"/>
      <c r="T12" s="189"/>
      <c r="U12" s="189"/>
      <c r="V12" s="189"/>
      <c r="W12" s="189"/>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189"/>
      <c r="BQ12" s="189"/>
      <c r="CD12"/>
    </row>
    <row r="13" spans="2:82" ht="27">
      <c r="B13" s="63" t="s">
        <v>27</v>
      </c>
      <c r="C13" s="307" t="s">
        <v>226</v>
      </c>
      <c r="D13" s="308"/>
      <c r="E13" s="308"/>
      <c r="F13" s="308"/>
      <c r="G13" s="308"/>
      <c r="H13" s="308"/>
      <c r="I13" s="308"/>
      <c r="J13" s="309"/>
      <c r="K13" s="204" t="s">
        <v>260</v>
      </c>
      <c r="L13" s="1" t="s">
        <v>208</v>
      </c>
      <c r="M13" s="194" t="s">
        <v>208</v>
      </c>
      <c r="N13" s="28"/>
      <c r="O13" s="184"/>
      <c r="P13" s="193"/>
      <c r="Q13" s="193"/>
      <c r="R13" s="169" t="s">
        <v>257</v>
      </c>
      <c r="S13" s="189"/>
      <c r="T13" s="189"/>
      <c r="U13" s="189"/>
      <c r="V13" s="189"/>
      <c r="W13" s="189"/>
      <c r="X13" s="189"/>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189"/>
      <c r="BQ13" s="189"/>
      <c r="CD13"/>
    </row>
    <row r="14" spans="2:82" ht="64.5">
      <c r="B14" s="62" t="s">
        <v>28</v>
      </c>
      <c r="C14" s="195" t="s">
        <v>227</v>
      </c>
      <c r="D14" s="195" t="s">
        <v>62</v>
      </c>
      <c r="E14" s="195" t="s">
        <v>228</v>
      </c>
      <c r="F14" s="195" t="s">
        <v>209</v>
      </c>
      <c r="G14" s="195" t="s">
        <v>229</v>
      </c>
      <c r="H14" s="195" t="s">
        <v>230</v>
      </c>
      <c r="I14" s="195" t="s">
        <v>231</v>
      </c>
      <c r="J14" s="195" t="s">
        <v>232</v>
      </c>
      <c r="K14" s="194" t="s">
        <v>233</v>
      </c>
      <c r="L14" s="1" t="s">
        <v>210</v>
      </c>
      <c r="M14" s="194" t="s">
        <v>325</v>
      </c>
      <c r="N14" s="27" t="s">
        <v>29</v>
      </c>
      <c r="O14" s="184"/>
      <c r="P14" s="193"/>
      <c r="Q14" s="193"/>
      <c r="R14" s="169" t="s">
        <v>234</v>
      </c>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189"/>
      <c r="BQ14" s="189"/>
      <c r="CD14"/>
    </row>
    <row r="15" spans="2:82" ht="163.5" customHeight="1" thickBot="1">
      <c r="B15" s="64" t="s">
        <v>30</v>
      </c>
      <c r="C15" s="148" t="s">
        <v>213</v>
      </c>
      <c r="D15" s="148" t="s">
        <v>211</v>
      </c>
      <c r="E15" s="148" t="s">
        <v>213</v>
      </c>
      <c r="F15" s="148" t="s">
        <v>213</v>
      </c>
      <c r="G15" s="148" t="s">
        <v>213</v>
      </c>
      <c r="H15" s="148" t="s">
        <v>212</v>
      </c>
      <c r="I15" s="148" t="s">
        <v>212</v>
      </c>
      <c r="J15" s="148" t="s">
        <v>213</v>
      </c>
      <c r="K15" s="213" t="s">
        <v>309</v>
      </c>
      <c r="L15" s="25" t="s">
        <v>307</v>
      </c>
      <c r="M15" s="196" t="s">
        <v>214</v>
      </c>
      <c r="N15" s="29" t="s">
        <v>285</v>
      </c>
      <c r="O15" s="185"/>
      <c r="P15" s="197" t="s">
        <v>282</v>
      </c>
      <c r="Q15" s="197" t="s">
        <v>215</v>
      </c>
      <c r="R15" s="205" t="s">
        <v>235</v>
      </c>
      <c r="S15" s="189"/>
      <c r="T15" s="189"/>
      <c r="U15" s="189"/>
      <c r="V15" s="189"/>
      <c r="W15" s="189"/>
      <c r="X15" s="189"/>
      <c r="Y15" s="189"/>
      <c r="Z15" s="189"/>
      <c r="AA15" s="189"/>
      <c r="AB15" s="189"/>
      <c r="AC15" s="189"/>
      <c r="AD15" s="189"/>
      <c r="AE15" s="189"/>
      <c r="AF15" s="189"/>
      <c r="AG15" s="189"/>
      <c r="AH15" s="189"/>
      <c r="AI15" s="189"/>
      <c r="AJ15" s="189"/>
      <c r="AK15" s="189"/>
      <c r="AL15" s="189"/>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189"/>
      <c r="BQ15" s="189"/>
      <c r="CD15"/>
    </row>
    <row r="16" spans="2:82" ht="14.25" thickTop="1">
      <c r="B16" s="65" t="s">
        <v>299</v>
      </c>
      <c r="C16" s="149" t="s">
        <v>153</v>
      </c>
      <c r="D16" s="149" t="s">
        <v>153</v>
      </c>
      <c r="E16" s="149" t="s">
        <v>153</v>
      </c>
      <c r="F16" s="149" t="s">
        <v>153</v>
      </c>
      <c r="G16" s="149" t="s">
        <v>153</v>
      </c>
      <c r="H16" s="149" t="s">
        <v>153</v>
      </c>
      <c r="I16" s="149" t="s">
        <v>153</v>
      </c>
      <c r="J16" s="149" t="s">
        <v>153</v>
      </c>
      <c r="K16" s="198" t="s">
        <v>308</v>
      </c>
      <c r="L16" s="31" t="s">
        <v>293</v>
      </c>
      <c r="M16" s="198" t="s">
        <v>194</v>
      </c>
      <c r="N16" s="32" t="s">
        <v>236</v>
      </c>
      <c r="O16" s="186"/>
      <c r="P16" s="31" t="s">
        <v>31</v>
      </c>
      <c r="Q16" s="117" t="s">
        <v>284</v>
      </c>
      <c r="R16" s="221" t="s">
        <v>237</v>
      </c>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CD16"/>
    </row>
    <row r="17" spans="2:82">
      <c r="B17" s="20" t="s">
        <v>274</v>
      </c>
      <c r="C17" s="150" t="s">
        <v>153</v>
      </c>
      <c r="D17" s="150" t="s">
        <v>153</v>
      </c>
      <c r="E17" s="150" t="s">
        <v>153</v>
      </c>
      <c r="F17" s="150" t="s">
        <v>153</v>
      </c>
      <c r="G17" s="150" t="s">
        <v>153</v>
      </c>
      <c r="H17" s="150" t="s">
        <v>153</v>
      </c>
      <c r="I17" s="150" t="s">
        <v>153</v>
      </c>
      <c r="J17" s="150" t="s">
        <v>153</v>
      </c>
      <c r="K17" s="198" t="s">
        <v>308</v>
      </c>
      <c r="L17" s="211" t="s">
        <v>293</v>
      </c>
      <c r="M17" s="199" t="s">
        <v>238</v>
      </c>
      <c r="N17" s="33" t="s">
        <v>246</v>
      </c>
      <c r="O17" s="187"/>
      <c r="P17" s="200" t="s">
        <v>247</v>
      </c>
      <c r="Q17" s="210" t="s">
        <v>217</v>
      </c>
      <c r="R17" s="219" t="s">
        <v>340</v>
      </c>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c r="BK17" s="189"/>
      <c r="BL17" s="189"/>
      <c r="BM17" s="189"/>
      <c r="BN17" s="189"/>
      <c r="BO17" s="189"/>
      <c r="BP17" s="189"/>
      <c r="BQ17" s="189"/>
      <c r="CD17"/>
    </row>
    <row r="18" spans="2:82">
      <c r="B18" s="65" t="s">
        <v>275</v>
      </c>
      <c r="C18" s="149" t="s">
        <v>153</v>
      </c>
      <c r="D18" s="149" t="s">
        <v>153</v>
      </c>
      <c r="E18" s="149" t="s">
        <v>153</v>
      </c>
      <c r="F18" s="149" t="s">
        <v>153</v>
      </c>
      <c r="G18" s="149" t="s">
        <v>153</v>
      </c>
      <c r="H18" s="149" t="s">
        <v>153</v>
      </c>
      <c r="I18" s="149" t="s">
        <v>153</v>
      </c>
      <c r="J18" s="149" t="s">
        <v>153</v>
      </c>
      <c r="K18" s="198" t="s">
        <v>308</v>
      </c>
      <c r="L18" s="211" t="s">
        <v>293</v>
      </c>
      <c r="M18" s="198" t="s">
        <v>240</v>
      </c>
      <c r="N18" s="33" t="s">
        <v>32</v>
      </c>
      <c r="O18" s="186"/>
      <c r="P18" s="200" t="s">
        <v>31</v>
      </c>
      <c r="Q18" s="117" t="s">
        <v>284</v>
      </c>
      <c r="R18" s="221" t="s">
        <v>249</v>
      </c>
      <c r="S18" s="189"/>
      <c r="T18" s="189"/>
      <c r="U18" s="189"/>
      <c r="V18" s="189"/>
      <c r="W18" s="189"/>
      <c r="X18" s="189"/>
      <c r="Y18" s="189"/>
      <c r="Z18" s="189"/>
      <c r="AA18" s="189"/>
      <c r="AB18" s="189"/>
      <c r="AC18" s="189"/>
      <c r="AD18" s="189"/>
      <c r="AE18" s="189"/>
      <c r="AF18" s="189"/>
      <c r="AG18" s="189"/>
      <c r="AH18" s="189"/>
      <c r="AI18" s="189"/>
      <c r="AJ18" s="189"/>
      <c r="AK18" s="189"/>
      <c r="AL18" s="189"/>
      <c r="AM18" s="189"/>
      <c r="AN18" s="189"/>
      <c r="AO18" s="189"/>
      <c r="AP18" s="189"/>
      <c r="AQ18" s="189"/>
      <c r="AR18" s="189"/>
      <c r="AS18" s="189"/>
      <c r="AT18" s="189"/>
      <c r="AU18" s="189"/>
      <c r="AV18" s="189"/>
      <c r="AW18" s="189"/>
      <c r="AX18" s="189"/>
      <c r="AY18" s="189"/>
      <c r="AZ18" s="189"/>
      <c r="BA18" s="189"/>
      <c r="BB18" s="189"/>
      <c r="BC18" s="189"/>
      <c r="BD18" s="189"/>
      <c r="BE18" s="189"/>
      <c r="BF18" s="189"/>
      <c r="BG18" s="189"/>
      <c r="BH18" s="189"/>
      <c r="BI18" s="189"/>
      <c r="BJ18" s="189"/>
      <c r="BK18" s="189"/>
      <c r="BL18" s="189"/>
      <c r="BM18" s="189"/>
      <c r="BN18" s="189"/>
      <c r="BO18" s="189"/>
      <c r="BP18" s="189"/>
      <c r="BQ18" s="189"/>
      <c r="CD18"/>
    </row>
    <row r="19" spans="2:82">
      <c r="B19" s="65" t="s">
        <v>292</v>
      </c>
      <c r="C19" s="149" t="s">
        <v>153</v>
      </c>
      <c r="D19" s="149" t="s">
        <v>153</v>
      </c>
      <c r="E19" s="149" t="s">
        <v>153</v>
      </c>
      <c r="F19" s="149" t="s">
        <v>153</v>
      </c>
      <c r="G19" s="149" t="s">
        <v>153</v>
      </c>
      <c r="H19" s="149" t="s">
        <v>153</v>
      </c>
      <c r="I19" s="149" t="s">
        <v>153</v>
      </c>
      <c r="J19" s="149" t="s">
        <v>153</v>
      </c>
      <c r="K19" s="198" t="s">
        <v>310</v>
      </c>
      <c r="L19" s="211" t="s">
        <v>293</v>
      </c>
      <c r="M19" s="198" t="s">
        <v>194</v>
      </c>
      <c r="N19" s="33" t="s">
        <v>32</v>
      </c>
      <c r="O19" s="186"/>
      <c r="P19" s="200" t="s">
        <v>31</v>
      </c>
      <c r="Q19" s="117" t="s">
        <v>193</v>
      </c>
      <c r="R19" s="221" t="s">
        <v>193</v>
      </c>
      <c r="S19" s="189"/>
      <c r="T19" s="189"/>
      <c r="U19" s="189"/>
      <c r="V19" s="189"/>
      <c r="W19" s="189"/>
      <c r="X19" s="189"/>
      <c r="Y19" s="189"/>
      <c r="Z19" s="189"/>
      <c r="AA19" s="189"/>
      <c r="AB19" s="189"/>
      <c r="AC19" s="189"/>
      <c r="AD19" s="189"/>
      <c r="AE19" s="189"/>
      <c r="AF19" s="189"/>
      <c r="AG19" s="189"/>
      <c r="AH19" s="189"/>
      <c r="AI19" s="189"/>
      <c r="AJ19" s="189"/>
      <c r="AK19" s="189"/>
      <c r="AL19" s="189"/>
      <c r="AM19" s="189"/>
      <c r="AN19" s="189"/>
      <c r="AO19" s="189"/>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189"/>
      <c r="BQ19" s="189"/>
      <c r="CD19"/>
    </row>
    <row r="20" spans="2:82">
      <c r="B20" s="20" t="s">
        <v>294</v>
      </c>
      <c r="C20" s="150" t="s">
        <v>153</v>
      </c>
      <c r="D20" s="150" t="s">
        <v>153</v>
      </c>
      <c r="E20" s="150" t="s">
        <v>153</v>
      </c>
      <c r="F20" s="150" t="s">
        <v>153</v>
      </c>
      <c r="G20" s="150" t="s">
        <v>153</v>
      </c>
      <c r="H20" s="150" t="s">
        <v>153</v>
      </c>
      <c r="I20" s="150" t="s">
        <v>153</v>
      </c>
      <c r="J20" s="150" t="s">
        <v>153</v>
      </c>
      <c r="K20" s="198" t="s">
        <v>310</v>
      </c>
      <c r="L20" s="211" t="s">
        <v>293</v>
      </c>
      <c r="M20" s="199" t="s">
        <v>216</v>
      </c>
      <c r="N20" s="32" t="s">
        <v>286</v>
      </c>
      <c r="O20" s="186"/>
      <c r="P20" s="200" t="s">
        <v>31</v>
      </c>
      <c r="Q20" s="210" t="s">
        <v>217</v>
      </c>
      <c r="R20" s="218" t="s">
        <v>239</v>
      </c>
      <c r="S20" s="189"/>
      <c r="T20" s="189"/>
      <c r="U20" s="189"/>
      <c r="V20" s="189"/>
      <c r="W20" s="189"/>
      <c r="X20" s="189"/>
      <c r="Y20" s="189"/>
      <c r="Z20" s="189"/>
      <c r="AA20" s="189"/>
      <c r="AB20" s="189"/>
      <c r="AC20" s="189"/>
      <c r="AD20" s="189"/>
      <c r="AE20" s="189"/>
      <c r="AF20" s="189"/>
      <c r="AG20" s="189"/>
      <c r="AH20" s="189"/>
      <c r="AI20" s="189"/>
      <c r="AJ20" s="189"/>
      <c r="AK20" s="189"/>
      <c r="AL20" s="189"/>
      <c r="AM20" s="189"/>
      <c r="AN20" s="189"/>
      <c r="AO20" s="189"/>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189"/>
      <c r="BQ20" s="189"/>
      <c r="CD20"/>
    </row>
    <row r="21" spans="2:82">
      <c r="B21" s="65" t="s">
        <v>295</v>
      </c>
      <c r="C21" s="149" t="s">
        <v>153</v>
      </c>
      <c r="D21" s="149" t="s">
        <v>153</v>
      </c>
      <c r="E21" s="149" t="s">
        <v>153</v>
      </c>
      <c r="F21" s="149" t="s">
        <v>153</v>
      </c>
      <c r="G21" s="149" t="s">
        <v>153</v>
      </c>
      <c r="H21" s="149" t="s">
        <v>153</v>
      </c>
      <c r="I21" s="149" t="s">
        <v>153</v>
      </c>
      <c r="J21" s="149" t="s">
        <v>153</v>
      </c>
      <c r="K21" s="198" t="s">
        <v>310</v>
      </c>
      <c r="L21" s="211" t="s">
        <v>293</v>
      </c>
      <c r="M21" s="198" t="s">
        <v>240</v>
      </c>
      <c r="N21" s="33" t="s">
        <v>32</v>
      </c>
      <c r="O21" s="186"/>
      <c r="P21" s="200" t="s">
        <v>31</v>
      </c>
      <c r="Q21" s="117" t="s">
        <v>193</v>
      </c>
      <c r="R21" s="221" t="s">
        <v>193</v>
      </c>
      <c r="S21" s="189"/>
      <c r="T21" s="189"/>
      <c r="U21" s="189"/>
      <c r="V21" s="189"/>
      <c r="W21" s="189"/>
      <c r="X21" s="189"/>
      <c r="Y21" s="189"/>
      <c r="Z21" s="189"/>
      <c r="AA21" s="189"/>
      <c r="AB21" s="189"/>
      <c r="AC21" s="189"/>
      <c r="AD21" s="189"/>
      <c r="AE21" s="189"/>
      <c r="AF21" s="189"/>
      <c r="AG21" s="189"/>
      <c r="AH21" s="189"/>
      <c r="AI21" s="189"/>
      <c r="AJ21" s="189"/>
      <c r="AK21" s="189"/>
      <c r="AL21" s="189"/>
      <c r="AM21" s="189"/>
      <c r="AN21" s="189"/>
      <c r="AO21" s="189"/>
      <c r="AP21" s="189"/>
      <c r="AQ21" s="189"/>
      <c r="AR21" s="189"/>
      <c r="AS21" s="189"/>
      <c r="AT21" s="189"/>
      <c r="AU21" s="189"/>
      <c r="AV21" s="189"/>
      <c r="AW21" s="189"/>
      <c r="AX21" s="189"/>
      <c r="AY21" s="189"/>
      <c r="AZ21" s="189"/>
      <c r="BA21" s="189"/>
      <c r="BB21" s="189"/>
      <c r="BC21" s="189"/>
      <c r="BD21" s="189"/>
      <c r="BE21" s="189"/>
      <c r="BF21" s="189"/>
      <c r="BG21" s="189"/>
      <c r="BH21" s="189"/>
      <c r="BI21" s="189"/>
      <c r="BJ21" s="189"/>
      <c r="BK21" s="189"/>
      <c r="BL21" s="189"/>
      <c r="BM21" s="189"/>
      <c r="BN21" s="189"/>
      <c r="BO21" s="189"/>
      <c r="BP21" s="189"/>
      <c r="BQ21" s="189"/>
      <c r="CD21"/>
    </row>
    <row r="22" spans="2:82">
      <c r="B22" s="65" t="s">
        <v>296</v>
      </c>
      <c r="C22" s="149" t="s">
        <v>153</v>
      </c>
      <c r="D22" s="149" t="s">
        <v>153</v>
      </c>
      <c r="E22" s="149" t="s">
        <v>153</v>
      </c>
      <c r="F22" s="149" t="s">
        <v>153</v>
      </c>
      <c r="G22" s="149" t="s">
        <v>153</v>
      </c>
      <c r="H22" s="149" t="s">
        <v>153</v>
      </c>
      <c r="I22" s="149" t="s">
        <v>153</v>
      </c>
      <c r="J22" s="149" t="s">
        <v>153</v>
      </c>
      <c r="K22" s="198" t="s">
        <v>311</v>
      </c>
      <c r="L22" s="211" t="s">
        <v>293</v>
      </c>
      <c r="M22" s="198" t="s">
        <v>194</v>
      </c>
      <c r="N22" s="33" t="s">
        <v>32</v>
      </c>
      <c r="O22" s="186"/>
      <c r="P22" s="200" t="s">
        <v>31</v>
      </c>
      <c r="Q22" s="117" t="s">
        <v>193</v>
      </c>
      <c r="R22" s="221" t="s">
        <v>193</v>
      </c>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89"/>
      <c r="AX22" s="189"/>
      <c r="AY22" s="189"/>
      <c r="AZ22" s="189"/>
      <c r="BA22" s="189"/>
      <c r="BB22" s="189"/>
      <c r="BC22" s="189"/>
      <c r="BD22" s="189"/>
      <c r="BE22" s="189"/>
      <c r="BF22" s="189"/>
      <c r="BG22" s="189"/>
      <c r="BH22" s="189"/>
      <c r="BI22" s="189"/>
      <c r="BJ22" s="189"/>
      <c r="BK22" s="189"/>
      <c r="BL22" s="189"/>
      <c r="BM22" s="189"/>
      <c r="BN22" s="189"/>
      <c r="BO22" s="189"/>
      <c r="BP22" s="189"/>
      <c r="BQ22" s="189"/>
      <c r="CD22"/>
    </row>
    <row r="23" spans="2:82">
      <c r="B23" s="20" t="s">
        <v>297</v>
      </c>
      <c r="C23" s="150" t="s">
        <v>153</v>
      </c>
      <c r="D23" s="150" t="s">
        <v>153</v>
      </c>
      <c r="E23" s="150" t="s">
        <v>153</v>
      </c>
      <c r="F23" s="150" t="s">
        <v>153</v>
      </c>
      <c r="G23" s="150" t="s">
        <v>153</v>
      </c>
      <c r="H23" s="150" t="s">
        <v>153</v>
      </c>
      <c r="I23" s="150" t="s">
        <v>153</v>
      </c>
      <c r="J23" s="150" t="s">
        <v>153</v>
      </c>
      <c r="K23" s="198" t="s">
        <v>311</v>
      </c>
      <c r="L23" s="211" t="s">
        <v>293</v>
      </c>
      <c r="M23" s="199" t="s">
        <v>216</v>
      </c>
      <c r="N23" s="32" t="s">
        <v>286</v>
      </c>
      <c r="O23" s="186"/>
      <c r="P23" s="200" t="s">
        <v>31</v>
      </c>
      <c r="Q23" s="210" t="s">
        <v>217</v>
      </c>
      <c r="R23" s="218" t="s">
        <v>239</v>
      </c>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89"/>
      <c r="AX23" s="189"/>
      <c r="AY23" s="189"/>
      <c r="AZ23" s="189"/>
      <c r="BA23" s="189"/>
      <c r="BB23" s="189"/>
      <c r="BC23" s="189"/>
      <c r="BD23" s="189"/>
      <c r="BE23" s="189"/>
      <c r="BF23" s="189"/>
      <c r="BG23" s="189"/>
      <c r="BH23" s="189"/>
      <c r="BI23" s="189"/>
      <c r="BJ23" s="189"/>
      <c r="BK23" s="189"/>
      <c r="BL23" s="189"/>
      <c r="BM23" s="189"/>
      <c r="BN23" s="189"/>
      <c r="BO23" s="189"/>
      <c r="BP23" s="189"/>
      <c r="BQ23" s="189"/>
      <c r="CD23"/>
    </row>
    <row r="24" spans="2:82">
      <c r="B24" s="65" t="s">
        <v>298</v>
      </c>
      <c r="C24" s="149" t="s">
        <v>153</v>
      </c>
      <c r="D24" s="149" t="s">
        <v>153</v>
      </c>
      <c r="E24" s="149" t="s">
        <v>153</v>
      </c>
      <c r="F24" s="149" t="s">
        <v>153</v>
      </c>
      <c r="G24" s="149" t="s">
        <v>153</v>
      </c>
      <c r="H24" s="149" t="s">
        <v>153</v>
      </c>
      <c r="I24" s="149" t="s">
        <v>153</v>
      </c>
      <c r="J24" s="149" t="s">
        <v>153</v>
      </c>
      <c r="K24" s="198" t="s">
        <v>311</v>
      </c>
      <c r="L24" s="211" t="s">
        <v>293</v>
      </c>
      <c r="M24" s="198" t="s">
        <v>240</v>
      </c>
      <c r="N24" s="33" t="s">
        <v>32</v>
      </c>
      <c r="O24" s="186"/>
      <c r="P24" s="200" t="s">
        <v>31</v>
      </c>
      <c r="Q24" s="117" t="s">
        <v>193</v>
      </c>
      <c r="R24" s="221" t="s">
        <v>193</v>
      </c>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89"/>
      <c r="BD24" s="189"/>
      <c r="BE24" s="189"/>
      <c r="BF24" s="189"/>
      <c r="BG24" s="189"/>
      <c r="BH24" s="189"/>
      <c r="BI24" s="189"/>
      <c r="BJ24" s="189"/>
      <c r="BK24" s="189"/>
      <c r="BL24" s="189"/>
      <c r="BM24" s="189"/>
      <c r="BN24" s="189"/>
      <c r="BO24" s="189"/>
      <c r="BP24" s="189"/>
      <c r="BQ24" s="189"/>
      <c r="CD24"/>
    </row>
    <row r="25" spans="2:82">
      <c r="B25" s="65" t="s">
        <v>262</v>
      </c>
      <c r="C25" s="149" t="s">
        <v>153</v>
      </c>
      <c r="D25" s="149" t="s">
        <v>153</v>
      </c>
      <c r="E25" s="149" t="s">
        <v>153</v>
      </c>
      <c r="F25" s="149" t="s">
        <v>153</v>
      </c>
      <c r="G25" s="149" t="s">
        <v>153</v>
      </c>
      <c r="H25" s="149" t="s">
        <v>153</v>
      </c>
      <c r="I25" s="149" t="s">
        <v>153</v>
      </c>
      <c r="J25" s="149" t="s">
        <v>153</v>
      </c>
      <c r="K25" s="198" t="s">
        <v>312</v>
      </c>
      <c r="L25" s="211" t="s">
        <v>293</v>
      </c>
      <c r="M25" s="198" t="s">
        <v>194</v>
      </c>
      <c r="N25" s="32" t="s">
        <v>32</v>
      </c>
      <c r="O25" s="186"/>
      <c r="P25" s="31" t="s">
        <v>31</v>
      </c>
      <c r="Q25" s="117" t="s">
        <v>284</v>
      </c>
      <c r="R25" s="221" t="s">
        <v>251</v>
      </c>
      <c r="S25" s="189"/>
      <c r="T25" s="189"/>
      <c r="U25" s="189"/>
      <c r="V25" s="189"/>
      <c r="W25" s="189"/>
      <c r="X25" s="189"/>
      <c r="Y25" s="189"/>
      <c r="Z25" s="189"/>
      <c r="AA25" s="189"/>
      <c r="AB25" s="189"/>
      <c r="AC25" s="189"/>
      <c r="AD25" s="189"/>
      <c r="AE25" s="189"/>
      <c r="AF25" s="189"/>
      <c r="AG25" s="189"/>
      <c r="AH25" s="189"/>
      <c r="AI25" s="189"/>
      <c r="AJ25" s="189"/>
      <c r="AK25" s="189"/>
      <c r="AL25" s="189"/>
      <c r="AM25" s="189"/>
      <c r="AN25" s="189"/>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89"/>
      <c r="BK25" s="189"/>
      <c r="BL25" s="189"/>
      <c r="BM25" s="189"/>
      <c r="BN25" s="189"/>
      <c r="BO25" s="189"/>
      <c r="BP25" s="189"/>
      <c r="BQ25" s="189"/>
      <c r="CD25"/>
    </row>
    <row r="26" spans="2:82">
      <c r="B26" s="20" t="s">
        <v>261</v>
      </c>
      <c r="C26" s="150" t="s">
        <v>153</v>
      </c>
      <c r="D26" s="150" t="s">
        <v>153</v>
      </c>
      <c r="E26" s="150" t="s">
        <v>153</v>
      </c>
      <c r="F26" s="150" t="s">
        <v>153</v>
      </c>
      <c r="G26" s="150" t="s">
        <v>153</v>
      </c>
      <c r="H26" s="150" t="s">
        <v>153</v>
      </c>
      <c r="I26" s="150" t="s">
        <v>153</v>
      </c>
      <c r="J26" s="150" t="s">
        <v>153</v>
      </c>
      <c r="K26" s="198" t="s">
        <v>312</v>
      </c>
      <c r="L26" s="211" t="s">
        <v>293</v>
      </c>
      <c r="M26" s="199" t="s">
        <v>216</v>
      </c>
      <c r="N26" s="33" t="s">
        <v>201</v>
      </c>
      <c r="O26" s="187"/>
      <c r="P26" s="200" t="s">
        <v>247</v>
      </c>
      <c r="Q26" s="210" t="s">
        <v>217</v>
      </c>
      <c r="R26" s="221" t="s">
        <v>239</v>
      </c>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189"/>
      <c r="BQ26" s="189"/>
      <c r="CD26"/>
    </row>
    <row r="27" spans="2:82">
      <c r="B27" s="65" t="s">
        <v>263</v>
      </c>
      <c r="C27" s="149" t="s">
        <v>153</v>
      </c>
      <c r="D27" s="149" t="s">
        <v>153</v>
      </c>
      <c r="E27" s="149" t="s">
        <v>153</v>
      </c>
      <c r="F27" s="149" t="s">
        <v>153</v>
      </c>
      <c r="G27" s="149" t="s">
        <v>153</v>
      </c>
      <c r="H27" s="149" t="s">
        <v>153</v>
      </c>
      <c r="I27" s="149" t="s">
        <v>153</v>
      </c>
      <c r="J27" s="149" t="s">
        <v>153</v>
      </c>
      <c r="K27" s="198" t="s">
        <v>312</v>
      </c>
      <c r="L27" s="211" t="s">
        <v>293</v>
      </c>
      <c r="M27" s="198" t="s">
        <v>241</v>
      </c>
      <c r="N27" s="33" t="s">
        <v>32</v>
      </c>
      <c r="O27" s="186"/>
      <c r="P27" s="200" t="s">
        <v>31</v>
      </c>
      <c r="Q27" s="117" t="s">
        <v>284</v>
      </c>
      <c r="R27" s="221" t="s">
        <v>252</v>
      </c>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189"/>
      <c r="BQ27" s="189"/>
      <c r="CD27"/>
    </row>
    <row r="28" spans="2:82">
      <c r="B28" s="65" t="s">
        <v>264</v>
      </c>
      <c r="C28" s="149" t="s">
        <v>153</v>
      </c>
      <c r="D28" s="149" t="s">
        <v>153</v>
      </c>
      <c r="E28" s="149" t="s">
        <v>153</v>
      </c>
      <c r="F28" s="149" t="s">
        <v>153</v>
      </c>
      <c r="G28" s="149" t="s">
        <v>153</v>
      </c>
      <c r="H28" s="149" t="s">
        <v>153</v>
      </c>
      <c r="I28" s="149" t="s">
        <v>153</v>
      </c>
      <c r="J28" s="149" t="s">
        <v>153</v>
      </c>
      <c r="K28" s="198" t="s">
        <v>313</v>
      </c>
      <c r="L28" s="211" t="s">
        <v>293</v>
      </c>
      <c r="M28" s="198" t="s">
        <v>194</v>
      </c>
      <c r="N28" s="32" t="s">
        <v>32</v>
      </c>
      <c r="O28" s="186"/>
      <c r="P28" s="31" t="s">
        <v>31</v>
      </c>
      <c r="Q28" s="117" t="s">
        <v>284</v>
      </c>
      <c r="R28" s="221" t="s">
        <v>249</v>
      </c>
      <c r="S28" s="189"/>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189"/>
      <c r="BQ28" s="189"/>
      <c r="CD28"/>
    </row>
    <row r="29" spans="2:82">
      <c r="B29" s="20" t="s">
        <v>265</v>
      </c>
      <c r="C29" s="150" t="s">
        <v>153</v>
      </c>
      <c r="D29" s="150" t="s">
        <v>153</v>
      </c>
      <c r="E29" s="150" t="s">
        <v>153</v>
      </c>
      <c r="F29" s="150" t="s">
        <v>153</v>
      </c>
      <c r="G29" s="150" t="s">
        <v>153</v>
      </c>
      <c r="H29" s="150" t="s">
        <v>153</v>
      </c>
      <c r="I29" s="150" t="s">
        <v>153</v>
      </c>
      <c r="J29" s="150" t="s">
        <v>153</v>
      </c>
      <c r="K29" s="198" t="s">
        <v>313</v>
      </c>
      <c r="L29" s="211" t="s">
        <v>293</v>
      </c>
      <c r="M29" s="199" t="s">
        <v>216</v>
      </c>
      <c r="N29" s="33" t="s">
        <v>201</v>
      </c>
      <c r="O29" s="187"/>
      <c r="P29" s="200" t="s">
        <v>247</v>
      </c>
      <c r="Q29" s="210" t="s">
        <v>217</v>
      </c>
      <c r="R29" s="221" t="s">
        <v>239</v>
      </c>
      <c r="S29" s="189"/>
      <c r="T29" s="189"/>
      <c r="U29" s="189"/>
      <c r="V29" s="189"/>
      <c r="W29" s="189"/>
      <c r="X29" s="189"/>
      <c r="Y29" s="189"/>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89"/>
      <c r="BP29" s="189"/>
      <c r="BQ29" s="189"/>
      <c r="CD29"/>
    </row>
    <row r="30" spans="2:82">
      <c r="B30" s="65" t="s">
        <v>266</v>
      </c>
      <c r="C30" s="149" t="s">
        <v>153</v>
      </c>
      <c r="D30" s="149" t="s">
        <v>153</v>
      </c>
      <c r="E30" s="149" t="s">
        <v>153</v>
      </c>
      <c r="F30" s="149" t="s">
        <v>153</v>
      </c>
      <c r="G30" s="149" t="s">
        <v>153</v>
      </c>
      <c r="H30" s="149" t="s">
        <v>153</v>
      </c>
      <c r="I30" s="149" t="s">
        <v>153</v>
      </c>
      <c r="J30" s="149" t="s">
        <v>153</v>
      </c>
      <c r="K30" s="198" t="s">
        <v>313</v>
      </c>
      <c r="L30" s="211" t="s">
        <v>293</v>
      </c>
      <c r="M30" s="198" t="s">
        <v>242</v>
      </c>
      <c r="N30" s="32" t="s">
        <v>32</v>
      </c>
      <c r="O30" s="186"/>
      <c r="P30" s="200" t="s">
        <v>31</v>
      </c>
      <c r="Q30" s="117" t="s">
        <v>284</v>
      </c>
      <c r="R30" s="221" t="s">
        <v>250</v>
      </c>
      <c r="S30" s="189"/>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89"/>
      <c r="AZ30" s="189"/>
      <c r="BA30" s="189"/>
      <c r="BB30" s="189"/>
      <c r="BC30" s="189"/>
      <c r="BD30" s="189"/>
      <c r="BE30" s="189"/>
      <c r="BF30" s="189"/>
      <c r="BG30" s="189"/>
      <c r="BH30" s="189"/>
      <c r="BI30" s="189"/>
      <c r="BJ30" s="189"/>
      <c r="BK30" s="189"/>
      <c r="BL30" s="189"/>
      <c r="BM30" s="189"/>
      <c r="BN30" s="189"/>
      <c r="BO30" s="189"/>
      <c r="BP30" s="189"/>
      <c r="BQ30" s="189"/>
      <c r="CD30"/>
    </row>
    <row r="31" spans="2:82">
      <c r="B31" s="65" t="s">
        <v>267</v>
      </c>
      <c r="C31" s="149" t="s">
        <v>153</v>
      </c>
      <c r="D31" s="149" t="s">
        <v>153</v>
      </c>
      <c r="E31" s="149" t="s">
        <v>153</v>
      </c>
      <c r="F31" s="149" t="s">
        <v>153</v>
      </c>
      <c r="G31" s="149" t="s">
        <v>153</v>
      </c>
      <c r="H31" s="149" t="s">
        <v>153</v>
      </c>
      <c r="I31" s="149" t="s">
        <v>153</v>
      </c>
      <c r="J31" s="149" t="s">
        <v>153</v>
      </c>
      <c r="K31" s="198" t="s">
        <v>314</v>
      </c>
      <c r="L31" s="211" t="s">
        <v>293</v>
      </c>
      <c r="M31" s="198" t="s">
        <v>194</v>
      </c>
      <c r="N31" s="32" t="s">
        <v>32</v>
      </c>
      <c r="O31" s="186"/>
      <c r="P31" s="31" t="s">
        <v>31</v>
      </c>
      <c r="Q31" s="117" t="s">
        <v>284</v>
      </c>
      <c r="R31" s="221" t="s">
        <v>253</v>
      </c>
      <c r="S31" s="189"/>
      <c r="T31" s="189"/>
      <c r="U31" s="189"/>
      <c r="V31" s="189"/>
      <c r="W31" s="189"/>
      <c r="X31" s="189"/>
      <c r="Y31" s="189"/>
      <c r="Z31" s="189"/>
      <c r="AA31" s="189"/>
      <c r="AB31" s="189"/>
      <c r="AC31" s="189"/>
      <c r="AD31" s="189"/>
      <c r="AE31" s="189"/>
      <c r="AF31" s="189"/>
      <c r="AG31" s="189"/>
      <c r="AH31" s="189"/>
      <c r="AI31" s="189"/>
      <c r="AJ31" s="189"/>
      <c r="AK31" s="189"/>
      <c r="AL31" s="189"/>
      <c r="AM31" s="189"/>
      <c r="AN31" s="189"/>
      <c r="AO31" s="189"/>
      <c r="AP31" s="189"/>
      <c r="AQ31" s="189"/>
      <c r="AR31" s="189"/>
      <c r="AS31" s="189"/>
      <c r="AT31" s="189"/>
      <c r="AU31" s="189"/>
      <c r="AV31" s="189"/>
      <c r="AW31" s="189"/>
      <c r="AX31" s="189"/>
      <c r="AY31" s="189"/>
      <c r="AZ31" s="189"/>
      <c r="BA31" s="189"/>
      <c r="BB31" s="189"/>
      <c r="BC31" s="189"/>
      <c r="BD31" s="189"/>
      <c r="BE31" s="189"/>
      <c r="BF31" s="189"/>
      <c r="BG31" s="189"/>
      <c r="BH31" s="189"/>
      <c r="BI31" s="189"/>
      <c r="BJ31" s="189"/>
      <c r="BK31" s="189"/>
      <c r="BL31" s="189"/>
      <c r="BM31" s="189"/>
      <c r="BN31" s="189"/>
      <c r="BO31" s="189"/>
      <c r="BP31" s="189"/>
      <c r="BQ31" s="189"/>
      <c r="CD31"/>
    </row>
    <row r="32" spans="2:82">
      <c r="B32" s="20" t="s">
        <v>268</v>
      </c>
      <c r="C32" s="150" t="s">
        <v>153</v>
      </c>
      <c r="D32" s="150" t="s">
        <v>153</v>
      </c>
      <c r="E32" s="150" t="s">
        <v>153</v>
      </c>
      <c r="F32" s="150" t="s">
        <v>153</v>
      </c>
      <c r="G32" s="150" t="s">
        <v>153</v>
      </c>
      <c r="H32" s="150" t="s">
        <v>153</v>
      </c>
      <c r="I32" s="150" t="s">
        <v>153</v>
      </c>
      <c r="J32" s="150" t="s">
        <v>153</v>
      </c>
      <c r="K32" s="198" t="s">
        <v>314</v>
      </c>
      <c r="L32" s="211" t="s">
        <v>293</v>
      </c>
      <c r="M32" s="199" t="s">
        <v>216</v>
      </c>
      <c r="N32" s="33" t="s">
        <v>243</v>
      </c>
      <c r="O32" s="187"/>
      <c r="P32" s="200" t="s">
        <v>256</v>
      </c>
      <c r="Q32" s="210" t="s">
        <v>217</v>
      </c>
      <c r="R32" s="218" t="s">
        <v>239</v>
      </c>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c r="BA32" s="189"/>
      <c r="BB32" s="189"/>
      <c r="BC32" s="189"/>
      <c r="BD32" s="189"/>
      <c r="BE32" s="189"/>
      <c r="BF32" s="189"/>
      <c r="BG32" s="189"/>
      <c r="BH32" s="189"/>
      <c r="BI32" s="189"/>
      <c r="BJ32" s="189"/>
      <c r="BK32" s="189"/>
      <c r="BL32" s="189"/>
      <c r="BM32" s="189"/>
      <c r="BN32" s="189"/>
      <c r="BO32" s="189"/>
      <c r="BP32" s="189"/>
      <c r="BQ32" s="189"/>
      <c r="CD32"/>
    </row>
    <row r="33" spans="2:82">
      <c r="B33" s="65" t="s">
        <v>269</v>
      </c>
      <c r="C33" s="149" t="s">
        <v>153</v>
      </c>
      <c r="D33" s="149" t="s">
        <v>153</v>
      </c>
      <c r="E33" s="149" t="s">
        <v>153</v>
      </c>
      <c r="F33" s="149" t="s">
        <v>153</v>
      </c>
      <c r="G33" s="149" t="s">
        <v>153</v>
      </c>
      <c r="H33" s="149" t="s">
        <v>153</v>
      </c>
      <c r="I33" s="149" t="s">
        <v>153</v>
      </c>
      <c r="J33" s="149" t="s">
        <v>153</v>
      </c>
      <c r="K33" s="198" t="s">
        <v>314</v>
      </c>
      <c r="L33" s="211" t="s">
        <v>293</v>
      </c>
      <c r="M33" s="198" t="s">
        <v>242</v>
      </c>
      <c r="N33" s="32" t="s">
        <v>32</v>
      </c>
      <c r="O33" s="186"/>
      <c r="P33" s="200" t="s">
        <v>31</v>
      </c>
      <c r="Q33" s="117" t="s">
        <v>284</v>
      </c>
      <c r="R33" s="221" t="s">
        <v>250</v>
      </c>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89"/>
      <c r="BL33" s="189"/>
      <c r="BM33" s="189"/>
      <c r="BN33" s="189"/>
      <c r="BO33" s="189"/>
      <c r="BP33" s="189"/>
      <c r="BQ33" s="189"/>
      <c r="CD33"/>
    </row>
    <row r="34" spans="2:82">
      <c r="B34" s="65" t="s">
        <v>300</v>
      </c>
      <c r="C34" s="149" t="s">
        <v>153</v>
      </c>
      <c r="D34" s="149" t="s">
        <v>153</v>
      </c>
      <c r="E34" s="149" t="s">
        <v>153</v>
      </c>
      <c r="F34" s="149" t="s">
        <v>153</v>
      </c>
      <c r="G34" s="149" t="s">
        <v>153</v>
      </c>
      <c r="H34" s="149" t="s">
        <v>153</v>
      </c>
      <c r="I34" s="149" t="s">
        <v>153</v>
      </c>
      <c r="J34" s="149" t="s">
        <v>153</v>
      </c>
      <c r="K34" s="198" t="s">
        <v>315</v>
      </c>
      <c r="L34" s="211" t="s">
        <v>293</v>
      </c>
      <c r="M34" s="198" t="s">
        <v>194</v>
      </c>
      <c r="N34" s="32" t="s">
        <v>32</v>
      </c>
      <c r="O34" s="186"/>
      <c r="P34" s="31" t="s">
        <v>31</v>
      </c>
      <c r="Q34" s="117" t="s">
        <v>284</v>
      </c>
      <c r="R34" s="221" t="s">
        <v>250</v>
      </c>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89"/>
      <c r="AX34" s="189"/>
      <c r="AY34" s="189"/>
      <c r="AZ34" s="189"/>
      <c r="BA34" s="189"/>
      <c r="BB34" s="189"/>
      <c r="BC34" s="189"/>
      <c r="BD34" s="189"/>
      <c r="BE34" s="189"/>
      <c r="BF34" s="189"/>
      <c r="BG34" s="189"/>
      <c r="BH34" s="189"/>
      <c r="BI34" s="189"/>
      <c r="BJ34" s="189"/>
      <c r="BK34" s="189"/>
      <c r="BL34" s="189"/>
      <c r="BM34" s="189"/>
      <c r="BN34" s="189"/>
      <c r="BO34" s="189"/>
      <c r="BP34" s="189"/>
      <c r="BQ34" s="189"/>
      <c r="CD34"/>
    </row>
    <row r="35" spans="2:82">
      <c r="B35" s="20" t="s">
        <v>301</v>
      </c>
      <c r="C35" s="150" t="s">
        <v>153</v>
      </c>
      <c r="D35" s="150" t="s">
        <v>153</v>
      </c>
      <c r="E35" s="150" t="s">
        <v>153</v>
      </c>
      <c r="F35" s="150" t="s">
        <v>153</v>
      </c>
      <c r="G35" s="150" t="s">
        <v>153</v>
      </c>
      <c r="H35" s="150" t="s">
        <v>153</v>
      </c>
      <c r="I35" s="150" t="s">
        <v>153</v>
      </c>
      <c r="J35" s="150" t="s">
        <v>153</v>
      </c>
      <c r="K35" s="198" t="s">
        <v>315</v>
      </c>
      <c r="L35" s="211" t="s">
        <v>293</v>
      </c>
      <c r="M35" s="199" t="s">
        <v>216</v>
      </c>
      <c r="N35" s="33" t="s">
        <v>201</v>
      </c>
      <c r="O35" s="187"/>
      <c r="P35" s="200" t="s">
        <v>248</v>
      </c>
      <c r="Q35" s="210" t="s">
        <v>217</v>
      </c>
      <c r="R35" s="218" t="s">
        <v>239</v>
      </c>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c r="AR35" s="189"/>
      <c r="AS35" s="189"/>
      <c r="AT35" s="189"/>
      <c r="AU35" s="189"/>
      <c r="AV35" s="189"/>
      <c r="AW35" s="189"/>
      <c r="AX35" s="189"/>
      <c r="AY35" s="189"/>
      <c r="AZ35" s="189"/>
      <c r="BA35" s="189"/>
      <c r="BB35" s="189"/>
      <c r="BC35" s="189"/>
      <c r="BD35" s="189"/>
      <c r="BE35" s="189"/>
      <c r="BF35" s="189"/>
      <c r="BG35" s="189"/>
      <c r="BH35" s="189"/>
      <c r="BI35" s="189"/>
      <c r="BJ35" s="189"/>
      <c r="BK35" s="189"/>
      <c r="BL35" s="189"/>
      <c r="BM35" s="189"/>
      <c r="BN35" s="189"/>
      <c r="BO35" s="189"/>
      <c r="BP35" s="189"/>
      <c r="BQ35" s="189"/>
      <c r="CD35"/>
    </row>
    <row r="36" spans="2:82">
      <c r="B36" s="65" t="s">
        <v>302</v>
      </c>
      <c r="C36" s="149" t="s">
        <v>153</v>
      </c>
      <c r="D36" s="149" t="s">
        <v>153</v>
      </c>
      <c r="E36" s="149" t="s">
        <v>153</v>
      </c>
      <c r="F36" s="149" t="s">
        <v>153</v>
      </c>
      <c r="G36" s="149" t="s">
        <v>153</v>
      </c>
      <c r="H36" s="149" t="s">
        <v>153</v>
      </c>
      <c r="I36" s="149" t="s">
        <v>153</v>
      </c>
      <c r="J36" s="149" t="s">
        <v>153</v>
      </c>
      <c r="K36" s="198" t="s">
        <v>315</v>
      </c>
      <c r="L36" s="211" t="s">
        <v>293</v>
      </c>
      <c r="M36" s="198" t="s">
        <v>242</v>
      </c>
      <c r="N36" s="32" t="s">
        <v>32</v>
      </c>
      <c r="O36" s="186"/>
      <c r="P36" s="200" t="s">
        <v>31</v>
      </c>
      <c r="Q36" s="117" t="s">
        <v>284</v>
      </c>
      <c r="R36" s="221" t="s">
        <v>250</v>
      </c>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189"/>
      <c r="BA36" s="189"/>
      <c r="BB36" s="189"/>
      <c r="BC36" s="189"/>
      <c r="BD36" s="189"/>
      <c r="BE36" s="189"/>
      <c r="BF36" s="189"/>
      <c r="BG36" s="189"/>
      <c r="BH36" s="189"/>
      <c r="BI36" s="189"/>
      <c r="BJ36" s="189"/>
      <c r="BK36" s="189"/>
      <c r="BL36" s="189"/>
      <c r="BM36" s="189"/>
      <c r="BN36" s="189"/>
      <c r="BO36" s="189"/>
      <c r="BP36" s="189"/>
      <c r="BQ36" s="189"/>
      <c r="CD36"/>
    </row>
    <row r="37" spans="2:82">
      <c r="B37" s="65" t="s">
        <v>270</v>
      </c>
      <c r="C37" s="149" t="s">
        <v>153</v>
      </c>
      <c r="D37" s="149" t="s">
        <v>153</v>
      </c>
      <c r="E37" s="149" t="s">
        <v>153</v>
      </c>
      <c r="F37" s="149" t="s">
        <v>153</v>
      </c>
      <c r="G37" s="149" t="s">
        <v>153</v>
      </c>
      <c r="H37" s="149" t="s">
        <v>153</v>
      </c>
      <c r="I37" s="149" t="s">
        <v>153</v>
      </c>
      <c r="J37" s="149" t="s">
        <v>153</v>
      </c>
      <c r="K37" s="198" t="s">
        <v>316</v>
      </c>
      <c r="L37" s="211" t="s">
        <v>293</v>
      </c>
      <c r="M37" s="198" t="s">
        <v>194</v>
      </c>
      <c r="N37" s="32" t="s">
        <v>32</v>
      </c>
      <c r="O37" s="186"/>
      <c r="P37" s="31" t="s">
        <v>31</v>
      </c>
      <c r="Q37" s="117" t="s">
        <v>284</v>
      </c>
      <c r="R37" s="221" t="s">
        <v>254</v>
      </c>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c r="BA37" s="189"/>
      <c r="BB37" s="189"/>
      <c r="BC37" s="189"/>
      <c r="BD37" s="189"/>
      <c r="BE37" s="189"/>
      <c r="BF37" s="189"/>
      <c r="BG37" s="189"/>
      <c r="BH37" s="189"/>
      <c r="BI37" s="189"/>
      <c r="BJ37" s="189"/>
      <c r="BK37" s="189"/>
      <c r="BL37" s="189"/>
      <c r="BM37" s="189"/>
      <c r="BN37" s="189"/>
      <c r="BO37" s="189"/>
      <c r="BP37" s="189"/>
      <c r="BQ37" s="189"/>
      <c r="CD37"/>
    </row>
    <row r="38" spans="2:82">
      <c r="B38" s="20" t="s">
        <v>271</v>
      </c>
      <c r="C38" s="150" t="s">
        <v>153</v>
      </c>
      <c r="D38" s="150" t="s">
        <v>153</v>
      </c>
      <c r="E38" s="150" t="s">
        <v>153</v>
      </c>
      <c r="F38" s="150" t="s">
        <v>153</v>
      </c>
      <c r="G38" s="150" t="s">
        <v>153</v>
      </c>
      <c r="H38" s="150" t="s">
        <v>153</v>
      </c>
      <c r="I38" s="150" t="s">
        <v>153</v>
      </c>
      <c r="J38" s="150" t="s">
        <v>153</v>
      </c>
      <c r="K38" s="198" t="s">
        <v>316</v>
      </c>
      <c r="L38" s="211" t="s">
        <v>293</v>
      </c>
      <c r="M38" s="199" t="s">
        <v>216</v>
      </c>
      <c r="N38" s="33" t="s">
        <v>244</v>
      </c>
      <c r="O38" s="187"/>
      <c r="P38" s="200" t="s">
        <v>283</v>
      </c>
      <c r="Q38" s="210" t="s">
        <v>217</v>
      </c>
      <c r="R38" s="218" t="s">
        <v>239</v>
      </c>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c r="BA38" s="189"/>
      <c r="BB38" s="189"/>
      <c r="BC38" s="189"/>
      <c r="BD38" s="189"/>
      <c r="BE38" s="189"/>
      <c r="BF38" s="189"/>
      <c r="BG38" s="189"/>
      <c r="BH38" s="189"/>
      <c r="BI38" s="189"/>
      <c r="BJ38" s="189"/>
      <c r="BK38" s="189"/>
      <c r="BL38" s="189"/>
      <c r="BM38" s="189"/>
      <c r="BN38" s="189"/>
      <c r="BO38" s="189"/>
      <c r="BP38" s="189"/>
      <c r="BQ38" s="189"/>
      <c r="CD38"/>
    </row>
    <row r="39" spans="2:82">
      <c r="B39" s="65" t="s">
        <v>272</v>
      </c>
      <c r="C39" s="149" t="s">
        <v>153</v>
      </c>
      <c r="D39" s="149" t="s">
        <v>153</v>
      </c>
      <c r="E39" s="149" t="s">
        <v>153</v>
      </c>
      <c r="F39" s="149" t="s">
        <v>153</v>
      </c>
      <c r="G39" s="149" t="s">
        <v>153</v>
      </c>
      <c r="H39" s="149" t="s">
        <v>153</v>
      </c>
      <c r="I39" s="149" t="s">
        <v>153</v>
      </c>
      <c r="J39" s="149" t="s">
        <v>153</v>
      </c>
      <c r="K39" s="198" t="s">
        <v>316</v>
      </c>
      <c r="L39" s="211" t="s">
        <v>293</v>
      </c>
      <c r="M39" s="198" t="s">
        <v>242</v>
      </c>
      <c r="N39" s="32" t="s">
        <v>32</v>
      </c>
      <c r="O39" s="186"/>
      <c r="P39" s="200" t="s">
        <v>31</v>
      </c>
      <c r="Q39" s="117" t="s">
        <v>284</v>
      </c>
      <c r="R39" s="221" t="s">
        <v>249</v>
      </c>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c r="BA39" s="189"/>
      <c r="BB39" s="189"/>
      <c r="BC39" s="189"/>
      <c r="BD39" s="189"/>
      <c r="BE39" s="189"/>
      <c r="BF39" s="189"/>
      <c r="BG39" s="189"/>
      <c r="BH39" s="189"/>
      <c r="BI39" s="189"/>
      <c r="BJ39" s="189"/>
      <c r="BK39" s="189"/>
      <c r="BL39" s="189"/>
      <c r="BM39" s="189"/>
      <c r="BN39" s="189"/>
      <c r="BO39" s="189"/>
      <c r="BP39" s="189"/>
      <c r="BQ39" s="189"/>
      <c r="CD39"/>
    </row>
    <row r="40" spans="2:82">
      <c r="B40" s="65" t="s">
        <v>273</v>
      </c>
      <c r="C40" s="149" t="s">
        <v>153</v>
      </c>
      <c r="D40" s="149" t="s">
        <v>153</v>
      </c>
      <c r="E40" s="149" t="s">
        <v>153</v>
      </c>
      <c r="F40" s="149" t="s">
        <v>153</v>
      </c>
      <c r="G40" s="149" t="s">
        <v>153</v>
      </c>
      <c r="H40" s="149" t="s">
        <v>153</v>
      </c>
      <c r="I40" s="149" t="s">
        <v>153</v>
      </c>
      <c r="J40" s="149" t="s">
        <v>153</v>
      </c>
      <c r="K40" s="214" t="s">
        <v>317</v>
      </c>
      <c r="L40" s="211" t="s">
        <v>293</v>
      </c>
      <c r="M40" s="198" t="s">
        <v>194</v>
      </c>
      <c r="N40" s="32" t="s">
        <v>236</v>
      </c>
      <c r="O40" s="186"/>
      <c r="P40" s="31" t="s">
        <v>31</v>
      </c>
      <c r="Q40" s="117" t="s">
        <v>284</v>
      </c>
      <c r="R40" s="221" t="s">
        <v>255</v>
      </c>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89"/>
      <c r="AX40" s="189"/>
      <c r="AY40" s="189"/>
      <c r="AZ40" s="189"/>
      <c r="BA40" s="189"/>
      <c r="BB40" s="189"/>
      <c r="BC40" s="189"/>
      <c r="BD40" s="189"/>
      <c r="BE40" s="189"/>
      <c r="BF40" s="189"/>
      <c r="BG40" s="189"/>
      <c r="BH40" s="189"/>
      <c r="BI40" s="189"/>
      <c r="BJ40" s="189"/>
      <c r="BK40" s="189"/>
      <c r="BL40" s="189"/>
      <c r="BM40" s="189"/>
      <c r="BN40" s="189"/>
      <c r="BO40" s="189"/>
      <c r="BP40" s="189"/>
      <c r="BQ40" s="189"/>
      <c r="CD40"/>
    </row>
    <row r="41" spans="2:82">
      <c r="B41" s="20" t="s">
        <v>274</v>
      </c>
      <c r="C41" s="150" t="s">
        <v>153</v>
      </c>
      <c r="D41" s="150" t="s">
        <v>153</v>
      </c>
      <c r="E41" s="150" t="s">
        <v>153</v>
      </c>
      <c r="F41" s="150" t="s">
        <v>153</v>
      </c>
      <c r="G41" s="150" t="s">
        <v>153</v>
      </c>
      <c r="H41" s="150" t="s">
        <v>153</v>
      </c>
      <c r="I41" s="150" t="s">
        <v>153</v>
      </c>
      <c r="J41" s="150" t="s">
        <v>153</v>
      </c>
      <c r="K41" s="214" t="s">
        <v>317</v>
      </c>
      <c r="L41" s="211" t="s">
        <v>293</v>
      </c>
      <c r="M41" s="199" t="s">
        <v>216</v>
      </c>
      <c r="N41" s="32" t="s">
        <v>286</v>
      </c>
      <c r="O41" s="187"/>
      <c r="P41" s="31" t="s">
        <v>31</v>
      </c>
      <c r="Q41" s="210" t="s">
        <v>217</v>
      </c>
      <c r="R41" s="218" t="s">
        <v>239</v>
      </c>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89"/>
      <c r="BC41" s="189"/>
      <c r="BD41" s="189"/>
      <c r="BE41" s="189"/>
      <c r="BF41" s="189"/>
      <c r="BG41" s="189"/>
      <c r="BH41" s="189"/>
      <c r="BI41" s="189"/>
      <c r="BJ41" s="189"/>
      <c r="BK41" s="189"/>
      <c r="BL41" s="189"/>
      <c r="BM41" s="189"/>
      <c r="BN41" s="189"/>
      <c r="BO41" s="189"/>
      <c r="BP41" s="189"/>
      <c r="BQ41" s="189"/>
      <c r="CD41"/>
    </row>
    <row r="42" spans="2:82">
      <c r="B42" s="65" t="s">
        <v>275</v>
      </c>
      <c r="C42" s="149" t="s">
        <v>153</v>
      </c>
      <c r="D42" s="149" t="s">
        <v>153</v>
      </c>
      <c r="E42" s="149" t="s">
        <v>153</v>
      </c>
      <c r="F42" s="149" t="s">
        <v>153</v>
      </c>
      <c r="G42" s="149" t="s">
        <v>153</v>
      </c>
      <c r="H42" s="149" t="s">
        <v>153</v>
      </c>
      <c r="I42" s="149" t="s">
        <v>153</v>
      </c>
      <c r="J42" s="149" t="s">
        <v>153</v>
      </c>
      <c r="K42" s="214" t="s">
        <v>317</v>
      </c>
      <c r="L42" s="211" t="s">
        <v>293</v>
      </c>
      <c r="M42" s="198" t="s">
        <v>242</v>
      </c>
      <c r="N42" s="33" t="s">
        <v>32</v>
      </c>
      <c r="O42" s="186"/>
      <c r="P42" s="200" t="s">
        <v>31</v>
      </c>
      <c r="Q42" s="117" t="s">
        <v>284</v>
      </c>
      <c r="R42" s="221" t="s">
        <v>249</v>
      </c>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89"/>
      <c r="AX42" s="189"/>
      <c r="AY42" s="189"/>
      <c r="AZ42" s="189"/>
      <c r="BA42" s="189"/>
      <c r="BB42" s="189"/>
      <c r="BC42" s="189"/>
      <c r="BD42" s="189"/>
      <c r="BE42" s="189"/>
      <c r="BF42" s="189"/>
      <c r="BG42" s="189"/>
      <c r="BH42" s="189"/>
      <c r="BI42" s="189"/>
      <c r="BJ42" s="189"/>
      <c r="BK42" s="189"/>
      <c r="BL42" s="189"/>
      <c r="BM42" s="189"/>
      <c r="BN42" s="189"/>
      <c r="BO42" s="189"/>
      <c r="BP42" s="189"/>
      <c r="BQ42" s="189"/>
      <c r="CD42"/>
    </row>
    <row r="43" spans="2:82">
      <c r="B43" s="65" t="s">
        <v>304</v>
      </c>
      <c r="C43" s="149" t="s">
        <v>153</v>
      </c>
      <c r="D43" s="149" t="s">
        <v>153</v>
      </c>
      <c r="E43" s="149" t="s">
        <v>153</v>
      </c>
      <c r="F43" s="149" t="s">
        <v>153</v>
      </c>
      <c r="G43" s="149" t="s">
        <v>153</v>
      </c>
      <c r="H43" s="149" t="s">
        <v>153</v>
      </c>
      <c r="I43" s="149" t="s">
        <v>153</v>
      </c>
      <c r="J43" s="149" t="s">
        <v>153</v>
      </c>
      <c r="K43" s="198" t="s">
        <v>318</v>
      </c>
      <c r="L43" s="212" t="s">
        <v>293</v>
      </c>
      <c r="M43" s="198" t="s">
        <v>194</v>
      </c>
      <c r="N43" s="32" t="s">
        <v>32</v>
      </c>
      <c r="O43" s="186"/>
      <c r="P43" s="31" t="s">
        <v>31</v>
      </c>
      <c r="Q43" s="117" t="s">
        <v>193</v>
      </c>
      <c r="R43" s="221" t="s">
        <v>193</v>
      </c>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89"/>
      <c r="BA43" s="189"/>
      <c r="BB43" s="189"/>
      <c r="BC43" s="189"/>
      <c r="BD43" s="189"/>
      <c r="BE43" s="189"/>
      <c r="BF43" s="189"/>
      <c r="BG43" s="189"/>
      <c r="BH43" s="189"/>
      <c r="BI43" s="189"/>
      <c r="BJ43" s="189"/>
      <c r="BK43" s="189"/>
      <c r="BL43" s="189"/>
      <c r="BM43" s="189"/>
      <c r="BN43" s="189"/>
      <c r="BO43" s="189"/>
      <c r="BP43" s="189"/>
      <c r="BQ43" s="189"/>
      <c r="CD43"/>
    </row>
    <row r="44" spans="2:82">
      <c r="B44" s="20" t="s">
        <v>305</v>
      </c>
      <c r="C44" s="150" t="s">
        <v>153</v>
      </c>
      <c r="D44" s="150" t="s">
        <v>153</v>
      </c>
      <c r="E44" s="150" t="s">
        <v>153</v>
      </c>
      <c r="F44" s="150" t="s">
        <v>153</v>
      </c>
      <c r="G44" s="150" t="s">
        <v>153</v>
      </c>
      <c r="H44" s="150" t="s">
        <v>153</v>
      </c>
      <c r="I44" s="150" t="s">
        <v>153</v>
      </c>
      <c r="J44" s="150" t="s">
        <v>153</v>
      </c>
      <c r="K44" s="198" t="s">
        <v>318</v>
      </c>
      <c r="L44" s="212" t="s">
        <v>293</v>
      </c>
      <c r="M44" s="199" t="s">
        <v>216</v>
      </c>
      <c r="N44" s="33" t="s">
        <v>201</v>
      </c>
      <c r="O44" s="187"/>
      <c r="P44" s="200" t="s">
        <v>247</v>
      </c>
      <c r="Q44" s="210" t="s">
        <v>217</v>
      </c>
      <c r="R44" s="221" t="s">
        <v>239</v>
      </c>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89"/>
      <c r="AX44" s="189"/>
      <c r="AY44" s="189"/>
      <c r="AZ44" s="189"/>
      <c r="BA44" s="189"/>
      <c r="BB44" s="189"/>
      <c r="BC44" s="189"/>
      <c r="BD44" s="189"/>
      <c r="BE44" s="189"/>
      <c r="BF44" s="189"/>
      <c r="BG44" s="189"/>
      <c r="BH44" s="189"/>
      <c r="BI44" s="189"/>
      <c r="BJ44" s="189"/>
      <c r="BK44" s="189"/>
      <c r="BL44" s="189"/>
      <c r="BM44" s="189"/>
      <c r="BN44" s="189"/>
      <c r="BO44" s="189"/>
      <c r="BP44" s="189"/>
      <c r="BQ44" s="189"/>
      <c r="CD44"/>
    </row>
    <row r="45" spans="2:82">
      <c r="B45" s="65" t="s">
        <v>306</v>
      </c>
      <c r="C45" s="149" t="s">
        <v>153</v>
      </c>
      <c r="D45" s="149" t="s">
        <v>153</v>
      </c>
      <c r="E45" s="149" t="s">
        <v>153</v>
      </c>
      <c r="F45" s="149" t="s">
        <v>153</v>
      </c>
      <c r="G45" s="149" t="s">
        <v>153</v>
      </c>
      <c r="H45" s="149" t="s">
        <v>153</v>
      </c>
      <c r="I45" s="149" t="s">
        <v>153</v>
      </c>
      <c r="J45" s="149" t="s">
        <v>153</v>
      </c>
      <c r="K45" s="198" t="s">
        <v>318</v>
      </c>
      <c r="L45" s="212" t="s">
        <v>293</v>
      </c>
      <c r="M45" s="198" t="s">
        <v>242</v>
      </c>
      <c r="N45" s="32" t="s">
        <v>32</v>
      </c>
      <c r="O45" s="186"/>
      <c r="P45" s="200" t="s">
        <v>31</v>
      </c>
      <c r="Q45" s="117" t="s">
        <v>193</v>
      </c>
      <c r="R45" s="221" t="s">
        <v>193</v>
      </c>
      <c r="S45" s="189"/>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89"/>
      <c r="AS45" s="189"/>
      <c r="AT45" s="189"/>
      <c r="AU45" s="189"/>
      <c r="AV45" s="189"/>
      <c r="AW45" s="189"/>
      <c r="AX45" s="189"/>
      <c r="AY45" s="189"/>
      <c r="AZ45" s="189"/>
      <c r="BA45" s="189"/>
      <c r="BB45" s="189"/>
      <c r="BC45" s="189"/>
      <c r="BD45" s="189"/>
      <c r="BE45" s="189"/>
      <c r="BF45" s="189"/>
      <c r="BG45" s="189"/>
      <c r="BH45" s="189"/>
      <c r="BI45" s="189"/>
      <c r="BJ45" s="189"/>
      <c r="BK45" s="189"/>
      <c r="BL45" s="189"/>
      <c r="BM45" s="189"/>
      <c r="BN45" s="189"/>
      <c r="BO45" s="189"/>
      <c r="BP45" s="189"/>
      <c r="BQ45" s="189"/>
      <c r="CD45"/>
    </row>
    <row r="46" spans="2:82">
      <c r="B46" s="65" t="s">
        <v>276</v>
      </c>
      <c r="C46" s="149" t="s">
        <v>153</v>
      </c>
      <c r="D46" s="149" t="s">
        <v>153</v>
      </c>
      <c r="E46" s="149" t="s">
        <v>153</v>
      </c>
      <c r="F46" s="149" t="s">
        <v>153</v>
      </c>
      <c r="G46" s="149" t="s">
        <v>153</v>
      </c>
      <c r="H46" s="149" t="s">
        <v>153</v>
      </c>
      <c r="I46" s="149" t="s">
        <v>153</v>
      </c>
      <c r="J46" s="149" t="s">
        <v>153</v>
      </c>
      <c r="K46" s="198" t="s">
        <v>320</v>
      </c>
      <c r="L46" s="31" t="s">
        <v>238</v>
      </c>
      <c r="M46" s="198" t="s">
        <v>218</v>
      </c>
      <c r="N46" s="32" t="s">
        <v>236</v>
      </c>
      <c r="O46" s="186"/>
      <c r="P46" s="31" t="s">
        <v>31</v>
      </c>
      <c r="Q46" s="117" t="s">
        <v>284</v>
      </c>
      <c r="R46" s="221" t="s">
        <v>249</v>
      </c>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c r="BD46" s="189"/>
      <c r="BE46" s="189"/>
      <c r="BF46" s="189"/>
      <c r="BG46" s="189"/>
      <c r="BH46" s="189"/>
      <c r="BI46" s="189"/>
      <c r="BJ46" s="189"/>
      <c r="BK46" s="189"/>
      <c r="BL46" s="189"/>
      <c r="BM46" s="189"/>
      <c r="BN46" s="189"/>
      <c r="BO46" s="189"/>
      <c r="BP46" s="189"/>
      <c r="BQ46" s="189"/>
      <c r="CD46"/>
    </row>
    <row r="47" spans="2:82">
      <c r="B47" s="65" t="s">
        <v>280</v>
      </c>
      <c r="C47" s="149" t="s">
        <v>153</v>
      </c>
      <c r="D47" s="149" t="s">
        <v>153</v>
      </c>
      <c r="E47" s="149" t="s">
        <v>153</v>
      </c>
      <c r="F47" s="149" t="s">
        <v>153</v>
      </c>
      <c r="G47" s="149" t="s">
        <v>153</v>
      </c>
      <c r="H47" s="149" t="s">
        <v>153</v>
      </c>
      <c r="I47" s="149" t="s">
        <v>153</v>
      </c>
      <c r="J47" s="149" t="s">
        <v>153</v>
      </c>
      <c r="K47" s="198" t="s">
        <v>320</v>
      </c>
      <c r="L47" s="206" t="s">
        <v>278</v>
      </c>
      <c r="M47" s="198" t="s">
        <v>218</v>
      </c>
      <c r="N47" s="32" t="s">
        <v>104</v>
      </c>
      <c r="O47" s="186"/>
      <c r="P47" s="31" t="s">
        <v>31</v>
      </c>
      <c r="Q47" s="117" t="s">
        <v>284</v>
      </c>
      <c r="R47" s="221" t="s">
        <v>193</v>
      </c>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9"/>
      <c r="AP47" s="189"/>
      <c r="AQ47" s="189"/>
      <c r="AR47" s="189"/>
      <c r="AS47" s="189"/>
      <c r="AT47" s="189"/>
      <c r="AU47" s="189"/>
      <c r="AV47" s="189"/>
      <c r="AW47" s="189"/>
      <c r="AX47" s="189"/>
      <c r="AY47" s="189"/>
      <c r="AZ47" s="189"/>
      <c r="BA47" s="189"/>
      <c r="BB47" s="189"/>
      <c r="BC47" s="189"/>
      <c r="BD47" s="189"/>
      <c r="BE47" s="189"/>
      <c r="BF47" s="189"/>
      <c r="BG47" s="189"/>
      <c r="BH47" s="189"/>
      <c r="BI47" s="189"/>
      <c r="BJ47" s="189"/>
      <c r="BK47" s="189"/>
      <c r="BL47" s="189"/>
      <c r="BM47" s="189"/>
      <c r="BN47" s="189"/>
      <c r="BO47" s="189"/>
      <c r="BP47" s="189"/>
      <c r="BQ47" s="189"/>
      <c r="CD47"/>
    </row>
    <row r="48" spans="2:82">
      <c r="B48" s="65" t="s">
        <v>281</v>
      </c>
      <c r="C48" s="149" t="s">
        <v>153</v>
      </c>
      <c r="D48" s="149" t="s">
        <v>153</v>
      </c>
      <c r="E48" s="149" t="s">
        <v>153</v>
      </c>
      <c r="F48" s="149" t="s">
        <v>153</v>
      </c>
      <c r="G48" s="149" t="s">
        <v>153</v>
      </c>
      <c r="H48" s="149" t="s">
        <v>153</v>
      </c>
      <c r="I48" s="149" t="s">
        <v>153</v>
      </c>
      <c r="J48" s="149" t="s">
        <v>153</v>
      </c>
      <c r="K48" s="198" t="s">
        <v>320</v>
      </c>
      <c r="L48" s="208" t="s">
        <v>279</v>
      </c>
      <c r="M48" s="198" t="s">
        <v>218</v>
      </c>
      <c r="N48" s="32" t="s">
        <v>104</v>
      </c>
      <c r="O48" s="186"/>
      <c r="P48" s="31" t="s">
        <v>31</v>
      </c>
      <c r="Q48" s="117" t="s">
        <v>284</v>
      </c>
      <c r="R48" s="221" t="s">
        <v>193</v>
      </c>
      <c r="S48" s="189"/>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89"/>
      <c r="AX48" s="189"/>
      <c r="AY48" s="189"/>
      <c r="AZ48" s="189"/>
      <c r="BA48" s="189"/>
      <c r="BB48" s="189"/>
      <c r="BC48" s="189"/>
      <c r="BD48" s="189"/>
      <c r="BE48" s="189"/>
      <c r="BF48" s="189"/>
      <c r="BG48" s="189"/>
      <c r="BH48" s="189"/>
      <c r="BI48" s="189"/>
      <c r="BJ48" s="189"/>
      <c r="BK48" s="189"/>
      <c r="BL48" s="189"/>
      <c r="BM48" s="189"/>
      <c r="BN48" s="189"/>
      <c r="BO48" s="189"/>
      <c r="BP48" s="189"/>
      <c r="BQ48" s="189"/>
      <c r="CD48"/>
    </row>
    <row r="49" spans="2:82" ht="14.25" thickBot="1">
      <c r="B49" s="173" t="s">
        <v>277</v>
      </c>
      <c r="C49" s="174" t="s">
        <v>153</v>
      </c>
      <c r="D49" s="174" t="s">
        <v>153</v>
      </c>
      <c r="E49" s="174" t="s">
        <v>153</v>
      </c>
      <c r="F49" s="174" t="s">
        <v>153</v>
      </c>
      <c r="G49" s="174" t="s">
        <v>153</v>
      </c>
      <c r="H49" s="174" t="s">
        <v>153</v>
      </c>
      <c r="I49" s="174" t="s">
        <v>153</v>
      </c>
      <c r="J49" s="174" t="s">
        <v>153</v>
      </c>
      <c r="K49" s="201" t="s">
        <v>319</v>
      </c>
      <c r="L49" s="175" t="s">
        <v>245</v>
      </c>
      <c r="M49" s="201" t="s">
        <v>245</v>
      </c>
      <c r="N49" s="176" t="s">
        <v>32</v>
      </c>
      <c r="O49" s="202"/>
      <c r="P49" s="175" t="s">
        <v>31</v>
      </c>
      <c r="Q49" s="188" t="s">
        <v>284</v>
      </c>
      <c r="R49" s="222" t="s">
        <v>250</v>
      </c>
      <c r="S49" s="189"/>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c r="AR49" s="189"/>
      <c r="AS49" s="189"/>
      <c r="AT49" s="189"/>
      <c r="AU49" s="189"/>
      <c r="AV49" s="189"/>
      <c r="AW49" s="189"/>
      <c r="AX49" s="189"/>
      <c r="AY49" s="189"/>
      <c r="AZ49" s="189"/>
      <c r="BA49" s="189"/>
      <c r="BB49" s="189"/>
      <c r="BC49" s="189"/>
      <c r="BD49" s="189"/>
      <c r="BE49" s="189"/>
      <c r="BF49" s="189"/>
      <c r="BG49" s="189"/>
      <c r="BH49" s="189"/>
      <c r="BI49" s="189"/>
      <c r="BJ49" s="189"/>
      <c r="BK49" s="189"/>
      <c r="BL49" s="189"/>
      <c r="BM49" s="189"/>
      <c r="BN49" s="189"/>
      <c r="BO49" s="189"/>
      <c r="BP49" s="189"/>
      <c r="BQ49" s="189"/>
      <c r="CD49"/>
    </row>
    <row r="50" spans="2:82">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89"/>
      <c r="BB50" s="189"/>
      <c r="BC50" s="189"/>
      <c r="BD50" s="189"/>
      <c r="BE50" s="189"/>
      <c r="BF50" s="189"/>
      <c r="BG50" s="189"/>
      <c r="BH50" s="189"/>
      <c r="BI50" s="189"/>
      <c r="BJ50" s="189"/>
      <c r="BK50" s="189"/>
      <c r="BL50" s="189"/>
      <c r="BM50" s="189"/>
      <c r="BN50" s="189"/>
      <c r="BO50" s="189"/>
      <c r="BP50" s="189"/>
      <c r="BQ50" s="189"/>
      <c r="CD50"/>
    </row>
    <row r="51" spans="2:82">
      <c r="S51" s="189"/>
      <c r="T51" s="189"/>
      <c r="U51" s="189"/>
      <c r="V51" s="189"/>
      <c r="W51" s="189"/>
      <c r="X51" s="189"/>
      <c r="Y51" s="189"/>
      <c r="Z51" s="189"/>
      <c r="AA51" s="189"/>
      <c r="AB51" s="189"/>
      <c r="AC51" s="189"/>
      <c r="AD51" s="189"/>
      <c r="AE51" s="189"/>
      <c r="AF51" s="189"/>
      <c r="AG51" s="189"/>
      <c r="AH51" s="189"/>
      <c r="AI51" s="189"/>
      <c r="AJ51" s="189"/>
      <c r="AK51" s="189"/>
      <c r="AL51" s="189"/>
      <c r="AM51" s="189"/>
      <c r="AN51" s="189"/>
      <c r="AO51" s="189"/>
      <c r="AP51" s="189"/>
      <c r="AQ51" s="189"/>
      <c r="AR51" s="189"/>
      <c r="AS51" s="189"/>
      <c r="AT51" s="189"/>
      <c r="AU51" s="189"/>
      <c r="AV51" s="189"/>
      <c r="AW51" s="189"/>
      <c r="AX51" s="189"/>
      <c r="AY51" s="189"/>
      <c r="AZ51" s="189"/>
      <c r="BA51" s="189"/>
      <c r="BB51" s="189"/>
      <c r="BC51" s="189"/>
      <c r="BD51" s="189"/>
      <c r="BE51" s="189"/>
      <c r="BF51" s="189"/>
      <c r="BG51" s="189"/>
      <c r="BH51" s="189"/>
      <c r="BI51" s="189"/>
      <c r="BJ51" s="189"/>
      <c r="BK51" s="189"/>
      <c r="BL51" s="189"/>
      <c r="BM51" s="189"/>
      <c r="BN51" s="189"/>
      <c r="BO51" s="189"/>
      <c r="BP51" s="189"/>
      <c r="BQ51" s="189"/>
      <c r="CD51"/>
    </row>
    <row r="52" spans="2:82">
      <c r="S52" s="189"/>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89"/>
      <c r="AX52" s="189"/>
      <c r="AY52" s="189"/>
      <c r="AZ52" s="189"/>
      <c r="BA52" s="189"/>
      <c r="BB52" s="189"/>
      <c r="BC52" s="189"/>
      <c r="BD52" s="189"/>
      <c r="BE52" s="189"/>
      <c r="BF52" s="189"/>
      <c r="BG52" s="189"/>
      <c r="BH52" s="189"/>
      <c r="BI52" s="189"/>
      <c r="BJ52" s="189"/>
      <c r="BK52" s="189"/>
      <c r="BL52" s="189"/>
      <c r="BM52" s="189"/>
      <c r="BN52" s="189"/>
      <c r="BO52" s="189"/>
      <c r="BP52" s="189"/>
      <c r="BQ52" s="189"/>
      <c r="CD52"/>
    </row>
    <row r="53" spans="2:82">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c r="AV53" s="189"/>
      <c r="AW53" s="189"/>
      <c r="AX53" s="189"/>
      <c r="AY53" s="189"/>
      <c r="AZ53" s="189"/>
      <c r="BA53" s="189"/>
      <c r="BB53" s="189"/>
      <c r="BC53" s="189"/>
      <c r="BD53" s="189"/>
      <c r="BE53" s="189"/>
      <c r="BF53" s="189"/>
      <c r="BG53" s="189"/>
      <c r="BH53" s="189"/>
      <c r="BI53" s="189"/>
      <c r="BJ53" s="189"/>
      <c r="BK53" s="189"/>
      <c r="BL53" s="189"/>
      <c r="BM53" s="189"/>
      <c r="BN53" s="189"/>
      <c r="BO53" s="189"/>
      <c r="BP53" s="189"/>
      <c r="BQ53" s="189"/>
      <c r="CD53"/>
    </row>
    <row r="54" spans="2:82">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89"/>
      <c r="AX54" s="189"/>
      <c r="AY54" s="189"/>
      <c r="AZ54" s="189"/>
      <c r="BA54" s="189"/>
      <c r="BB54" s="189"/>
      <c r="BC54" s="189"/>
      <c r="BD54" s="189"/>
      <c r="BE54" s="189"/>
      <c r="BF54" s="189"/>
      <c r="BG54" s="189"/>
      <c r="BH54" s="189"/>
      <c r="BI54" s="189"/>
      <c r="BJ54" s="189"/>
      <c r="BK54" s="189"/>
      <c r="BL54" s="189"/>
      <c r="BM54" s="189"/>
      <c r="BN54" s="189"/>
      <c r="BO54" s="189"/>
      <c r="BP54" s="189"/>
      <c r="BQ54" s="189"/>
      <c r="CD54"/>
    </row>
    <row r="55" spans="2:82">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89"/>
      <c r="BJ55" s="189"/>
      <c r="BK55" s="189"/>
      <c r="BL55" s="189"/>
      <c r="BM55" s="189"/>
      <c r="BN55" s="189"/>
      <c r="BO55" s="189"/>
      <c r="BP55" s="189"/>
      <c r="BQ55" s="189"/>
      <c r="CD55"/>
    </row>
    <row r="56" spans="2:82">
      <c r="S56" s="189"/>
      <c r="T56" s="189"/>
      <c r="U56" s="189"/>
      <c r="V56" s="189"/>
      <c r="W56" s="189"/>
      <c r="X56" s="189"/>
      <c r="Y56" s="189"/>
      <c r="Z56" s="189"/>
      <c r="AA56" s="189"/>
      <c r="AB56" s="189"/>
      <c r="AC56" s="189"/>
      <c r="AD56" s="189"/>
      <c r="AE56" s="189"/>
      <c r="AF56" s="189"/>
      <c r="AG56" s="189"/>
      <c r="AH56" s="189"/>
      <c r="AI56" s="189"/>
      <c r="AJ56" s="189"/>
      <c r="AK56" s="189"/>
      <c r="AL56" s="189"/>
      <c r="AM56" s="189"/>
      <c r="AN56" s="189"/>
      <c r="AO56" s="189"/>
      <c r="AP56" s="189"/>
      <c r="AQ56" s="189"/>
      <c r="AR56" s="189"/>
      <c r="AS56" s="189"/>
      <c r="AT56" s="189"/>
      <c r="AU56" s="189"/>
      <c r="AV56" s="189"/>
      <c r="AW56" s="189"/>
      <c r="AX56" s="189"/>
      <c r="AY56" s="189"/>
      <c r="AZ56" s="189"/>
      <c r="BA56" s="189"/>
      <c r="BB56" s="189"/>
      <c r="BC56" s="189"/>
      <c r="BD56" s="189"/>
      <c r="BE56" s="189"/>
      <c r="BF56" s="189"/>
      <c r="BG56" s="189"/>
      <c r="BH56" s="189"/>
      <c r="BI56" s="189"/>
      <c r="BJ56" s="189"/>
      <c r="BK56" s="189"/>
      <c r="BL56" s="189"/>
      <c r="BM56" s="189"/>
      <c r="BN56" s="189"/>
      <c r="BO56" s="189"/>
      <c r="BP56" s="189"/>
      <c r="BQ56" s="189"/>
      <c r="CD56"/>
    </row>
    <row r="57" spans="2:82">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189"/>
      <c r="AP57" s="189"/>
      <c r="AQ57" s="189"/>
      <c r="AR57" s="189"/>
      <c r="AS57" s="189"/>
      <c r="AT57" s="189"/>
      <c r="AU57" s="189"/>
      <c r="AV57" s="189"/>
      <c r="AW57" s="189"/>
      <c r="AX57" s="189"/>
      <c r="AY57" s="189"/>
      <c r="AZ57" s="189"/>
      <c r="BA57" s="189"/>
      <c r="BB57" s="189"/>
      <c r="BC57" s="189"/>
      <c r="BD57" s="189"/>
      <c r="BE57" s="189"/>
      <c r="BF57" s="189"/>
      <c r="BG57" s="189"/>
      <c r="BH57" s="189"/>
      <c r="BI57" s="189"/>
      <c r="BJ57" s="189"/>
      <c r="BK57" s="189"/>
      <c r="BL57" s="189"/>
      <c r="BM57" s="189"/>
      <c r="BN57" s="189"/>
      <c r="BO57" s="189"/>
      <c r="BP57" s="189"/>
      <c r="BQ57" s="189"/>
      <c r="CD57"/>
    </row>
    <row r="58" spans="2:82">
      <c r="S58" s="189"/>
      <c r="T58" s="189"/>
      <c r="U58" s="189"/>
      <c r="V58" s="189"/>
      <c r="W58" s="189"/>
      <c r="X58" s="189"/>
      <c r="Y58" s="189"/>
      <c r="Z58" s="189"/>
      <c r="AA58" s="189"/>
      <c r="AB58" s="189"/>
      <c r="AC58" s="189"/>
      <c r="AD58" s="189"/>
      <c r="AE58" s="189"/>
      <c r="AF58" s="189"/>
      <c r="AG58" s="189"/>
      <c r="AH58" s="189"/>
      <c r="AI58" s="189"/>
      <c r="AJ58" s="189"/>
      <c r="AK58" s="189"/>
      <c r="AL58" s="189"/>
      <c r="AM58" s="189"/>
      <c r="AN58" s="189"/>
      <c r="AO58" s="189"/>
      <c r="AP58" s="189"/>
      <c r="AQ58" s="189"/>
      <c r="AR58" s="189"/>
      <c r="AS58" s="189"/>
      <c r="AT58" s="189"/>
      <c r="AU58" s="189"/>
      <c r="AV58" s="189"/>
      <c r="AW58" s="189"/>
      <c r="AX58" s="189"/>
      <c r="AY58" s="189"/>
      <c r="AZ58" s="189"/>
      <c r="BA58" s="189"/>
      <c r="BB58" s="189"/>
      <c r="BC58" s="189"/>
      <c r="BD58" s="189"/>
      <c r="BE58" s="189"/>
      <c r="BF58" s="189"/>
      <c r="BG58" s="189"/>
      <c r="BH58" s="189"/>
      <c r="BI58" s="189"/>
      <c r="BJ58" s="189"/>
      <c r="BK58" s="189"/>
      <c r="BL58" s="189"/>
      <c r="BM58" s="189"/>
      <c r="BN58" s="189"/>
      <c r="BO58" s="189"/>
      <c r="BP58" s="189"/>
      <c r="BQ58" s="189"/>
      <c r="CD58"/>
    </row>
    <row r="59" spans="2:82">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c r="AV59" s="189"/>
      <c r="AW59" s="189"/>
      <c r="AX59" s="189"/>
      <c r="AY59" s="189"/>
      <c r="AZ59" s="189"/>
      <c r="BA59" s="189"/>
      <c r="BB59" s="189"/>
      <c r="BC59" s="189"/>
      <c r="BD59" s="189"/>
      <c r="BE59" s="189"/>
      <c r="BF59" s="189"/>
      <c r="BG59" s="189"/>
      <c r="BH59" s="189"/>
      <c r="BI59" s="189"/>
      <c r="BJ59" s="189"/>
      <c r="BK59" s="189"/>
      <c r="BL59" s="189"/>
      <c r="BM59" s="189"/>
      <c r="BN59" s="189"/>
      <c r="BO59" s="189"/>
      <c r="BP59" s="189"/>
      <c r="BQ59" s="189"/>
      <c r="CD59"/>
    </row>
    <row r="62" spans="2:82">
      <c r="N62" s="216"/>
    </row>
    <row r="101" spans="24:24">
      <c r="X101" s="135"/>
    </row>
  </sheetData>
  <autoFilter ref="B15:R49" xr:uid="{00000000-0009-0000-0000-000006000000}"/>
  <mergeCells count="3">
    <mergeCell ref="C13:J13"/>
    <mergeCell ref="C9:J9"/>
    <mergeCell ref="C11:J11"/>
  </mergeCells>
  <phoneticPr fontId="2"/>
  <dataValidations count="1">
    <dataValidation type="list" allowBlank="1" showInputMessage="1" showErrorMessage="1" sqref="C9" xr:uid="{00000000-0002-0000-06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3" t="s">
        <v>82</v>
      </c>
      <c r="C2" s="74">
        <f>MAX(B4:B28)</f>
        <v>20</v>
      </c>
      <c r="D2" s="74"/>
    </row>
    <row r="3" spans="2:4" ht="14.25" thickBot="1">
      <c r="B3" s="67" t="s">
        <v>82</v>
      </c>
      <c r="C3" s="75" t="s">
        <v>86</v>
      </c>
      <c r="D3" s="68" t="s">
        <v>83</v>
      </c>
    </row>
    <row r="4" spans="2:4" ht="14.25" thickTop="1">
      <c r="B4" s="12">
        <v>0</v>
      </c>
      <c r="C4" s="76" t="s">
        <v>87</v>
      </c>
      <c r="D4" s="13" t="s">
        <v>20</v>
      </c>
    </row>
    <row r="5" spans="2:4" ht="40.5">
      <c r="B5" s="2">
        <v>1</v>
      </c>
      <c r="C5" s="77" t="s">
        <v>87</v>
      </c>
      <c r="D5" s="79" t="s">
        <v>88</v>
      </c>
    </row>
    <row r="6" spans="2:4" ht="27">
      <c r="B6" s="2">
        <v>2</v>
      </c>
      <c r="C6" s="77" t="s">
        <v>89</v>
      </c>
      <c r="D6" s="79" t="s">
        <v>90</v>
      </c>
    </row>
    <row r="7" spans="2:4" ht="54">
      <c r="B7" s="2">
        <v>3</v>
      </c>
      <c r="C7" s="77" t="s">
        <v>87</v>
      </c>
      <c r="D7" s="79" t="s">
        <v>93</v>
      </c>
    </row>
    <row r="8" spans="2:4" ht="81">
      <c r="B8" s="2">
        <v>4</v>
      </c>
      <c r="C8" s="77" t="s">
        <v>101</v>
      </c>
      <c r="D8" s="79" t="s">
        <v>107</v>
      </c>
    </row>
    <row r="9" spans="2:4" ht="41.25" customHeight="1">
      <c r="B9" s="2">
        <v>5</v>
      </c>
      <c r="C9" s="77" t="s">
        <v>102</v>
      </c>
      <c r="D9" s="79" t="s">
        <v>103</v>
      </c>
    </row>
    <row r="10" spans="2:4" ht="27">
      <c r="B10" s="2">
        <v>6</v>
      </c>
      <c r="C10" s="77" t="s">
        <v>87</v>
      </c>
      <c r="D10" s="79" t="s">
        <v>106</v>
      </c>
    </row>
    <row r="11" spans="2:4" ht="27">
      <c r="B11" s="2">
        <v>7</v>
      </c>
      <c r="C11" s="77" t="s">
        <v>101</v>
      </c>
      <c r="D11" s="79" t="s">
        <v>105</v>
      </c>
    </row>
    <row r="12" spans="2:4" ht="27">
      <c r="B12" s="2">
        <v>8</v>
      </c>
      <c r="C12" s="77" t="s">
        <v>87</v>
      </c>
      <c r="D12" s="79" t="s">
        <v>108</v>
      </c>
    </row>
    <row r="13" spans="2:4" ht="27">
      <c r="B13" s="2">
        <v>9</v>
      </c>
      <c r="C13" s="77" t="s">
        <v>87</v>
      </c>
      <c r="D13" s="79" t="s">
        <v>109</v>
      </c>
    </row>
    <row r="14" spans="2:4" ht="27">
      <c r="B14" s="2">
        <v>10</v>
      </c>
      <c r="C14" s="77" t="s">
        <v>110</v>
      </c>
      <c r="D14" s="79" t="s">
        <v>111</v>
      </c>
    </row>
    <row r="15" spans="2:4" ht="135">
      <c r="B15" s="2">
        <v>11</v>
      </c>
      <c r="C15" s="77" t="s">
        <v>87</v>
      </c>
      <c r="D15" s="79" t="s">
        <v>123</v>
      </c>
    </row>
    <row r="16" spans="2:4" ht="191.25" customHeight="1">
      <c r="B16" s="2">
        <v>12</v>
      </c>
      <c r="C16" s="77" t="s">
        <v>151</v>
      </c>
      <c r="D16" s="79" t="s">
        <v>157</v>
      </c>
    </row>
    <row r="17" spans="2:4" ht="27">
      <c r="B17" s="2">
        <v>13</v>
      </c>
      <c r="C17" s="77" t="s">
        <v>89</v>
      </c>
      <c r="D17" s="79" t="s">
        <v>160</v>
      </c>
    </row>
    <row r="18" spans="2:4" ht="67.5">
      <c r="B18" s="2">
        <v>14</v>
      </c>
      <c r="C18" s="77" t="s">
        <v>89</v>
      </c>
      <c r="D18" s="79" t="s">
        <v>162</v>
      </c>
    </row>
    <row r="19" spans="2:4" ht="40.5">
      <c r="B19" s="2">
        <v>15</v>
      </c>
      <c r="C19" s="77" t="s">
        <v>102</v>
      </c>
      <c r="D19" s="79" t="s">
        <v>165</v>
      </c>
    </row>
    <row r="20" spans="2:4" ht="64.5" customHeight="1">
      <c r="B20" s="2">
        <v>16</v>
      </c>
      <c r="C20" s="77" t="s">
        <v>102</v>
      </c>
      <c r="D20" s="79" t="s">
        <v>169</v>
      </c>
    </row>
    <row r="21" spans="2:4" ht="66.75" customHeight="1">
      <c r="B21" s="2">
        <v>17</v>
      </c>
      <c r="C21" s="77" t="s">
        <v>101</v>
      </c>
      <c r="D21" s="79" t="s">
        <v>184</v>
      </c>
    </row>
    <row r="22" spans="2:4" ht="27">
      <c r="B22" s="2">
        <v>18</v>
      </c>
      <c r="C22" s="77" t="s">
        <v>326</v>
      </c>
      <c r="D22" s="79" t="s">
        <v>327</v>
      </c>
    </row>
    <row r="23" spans="2:4" ht="27">
      <c r="B23" s="2">
        <v>19</v>
      </c>
      <c r="C23" s="77" t="s">
        <v>326</v>
      </c>
      <c r="D23" s="79" t="s">
        <v>328</v>
      </c>
    </row>
    <row r="24" spans="2:4" ht="94.5">
      <c r="B24" s="2">
        <v>20</v>
      </c>
      <c r="C24" s="77" t="s">
        <v>334</v>
      </c>
      <c r="D24" s="79" t="s">
        <v>335</v>
      </c>
    </row>
    <row r="25" spans="2:4">
      <c r="B25" s="2"/>
      <c r="C25" s="77"/>
      <c r="D25" s="66"/>
    </row>
    <row r="26" spans="2:4">
      <c r="B26" s="2"/>
      <c r="C26" s="77"/>
      <c r="D26" s="66"/>
    </row>
    <row r="27" spans="2:4" ht="14.25" thickBot="1">
      <c r="B27" s="3"/>
      <c r="C27" s="7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H_TOWWAR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2025-06-02T07:30:44Z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1ff5ef9c-f2ce-44fb-9c45-8e1f6c31b6fc</vt:lpwstr>
  </property>
  <property fmtid="{D5CDD505-2E9C-101B-9397-08002B2CF9AE}" pid="8" name="MSIP_Label_7ed1414a-99f2-46f9-bbe5-740af8d1b502_ContentBits">
    <vt:lpwstr>1</vt:lpwstr>
  </property>
</Properties>
</file>