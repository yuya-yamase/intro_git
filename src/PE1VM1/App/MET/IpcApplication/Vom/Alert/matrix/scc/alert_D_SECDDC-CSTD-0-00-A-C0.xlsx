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Design\06.FF2\A1.要件\BEV3CDCMET-2604_D_SECDDC\01.パラメータ設計書\"/>
    </mc:Choice>
  </mc:AlternateContent>
  <xr:revisionPtr revIDLastSave="0" documentId="13_ncr:1_{2D901E58-18AF-47BB-9405-24E6BF482890}" xr6:coauthVersionLast="47" xr6:coauthVersionMax="47" xr10:uidLastSave="{00000000-0000-0000-0000-000000000000}"/>
  <bookViews>
    <workbookView xWindow="28680" yWindow="-120" windowWidth="29040" windowHeight="15720" activeTab="7"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D_SECDDC"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ADLSB">#REF!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G">#REF!</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01">#REF!</definedName>
    <definedName name="xlo02">#REF!</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シートMAX数">#REF!</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検査最大数">#REF!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出力範囲の最後のセル">#REF!</definedName>
    <definedName name="出力範囲最初のセル">#REF!</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74" i="8" l="1"/>
  <c r="AS44" i="8" s="1"/>
  <c r="AO189" i="8"/>
  <c r="AL182" i="8"/>
  <c r="AQ182" i="8" s="1"/>
  <c r="AS52" i="8" s="1"/>
  <c r="AM163" i="8"/>
  <c r="AM121" i="8"/>
  <c r="AN122" i="8"/>
  <c r="AO138" i="8"/>
  <c r="AM138" i="8"/>
  <c r="AM195" i="8"/>
  <c r="AM89" i="8"/>
  <c r="AN130" i="8"/>
  <c r="AN136" i="8"/>
  <c r="AN138" i="8"/>
  <c r="AL138" i="8"/>
  <c r="C110" i="8"/>
  <c r="AO196" i="8"/>
  <c r="AM196" i="8"/>
  <c r="AL196" i="8"/>
  <c r="AQ196" i="8" s="1"/>
  <c r="AO170" i="8"/>
  <c r="AN170" i="8"/>
  <c r="AM170" i="8"/>
  <c r="AL170" i="8"/>
  <c r="AQ170" i="8" s="1"/>
  <c r="AS40" i="8" s="1"/>
  <c r="AO78" i="8"/>
  <c r="AN104" i="8"/>
  <c r="AL192" i="8"/>
  <c r="AQ192" i="8" s="1"/>
  <c r="AS62" i="8" s="1"/>
  <c r="AN71" i="8"/>
  <c r="AM71" i="8"/>
  <c r="AM72" i="8"/>
  <c r="AO88" i="8"/>
  <c r="AO146" i="8"/>
  <c r="AN146" i="8"/>
  <c r="AM146" i="8"/>
  <c r="AL146" i="8"/>
  <c r="AO179" i="8"/>
  <c r="AN179" i="8"/>
  <c r="AM179" i="8"/>
  <c r="AL179" i="8"/>
  <c r="AQ179" i="8" s="1"/>
  <c r="AS49" i="8" s="1"/>
  <c r="AM78" i="8"/>
  <c r="AO104" i="8"/>
  <c r="AL104" i="8"/>
  <c r="AQ104" i="8" s="1"/>
  <c r="AR39" i="8" s="1"/>
  <c r="AM117" i="8"/>
  <c r="AN127" i="8"/>
  <c r="AL127" i="8"/>
  <c r="AQ127" i="8" s="1"/>
  <c r="AR62"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R52" i="8" s="1"/>
  <c r="AL122" i="8"/>
  <c r="AQ122" i="8" s="1"/>
  <c r="AR57" i="8" s="1"/>
  <c r="AM136" i="8"/>
  <c r="AO137" i="8"/>
  <c r="AN137" i="8"/>
  <c r="AM137" i="8"/>
  <c r="AN72" i="8"/>
  <c r="AO96" i="8"/>
  <c r="AN96" i="8"/>
  <c r="AM96" i="8"/>
  <c r="AL96" i="8"/>
  <c r="AO107" i="8"/>
  <c r="AO115" i="8"/>
  <c r="C118" i="8"/>
  <c r="AO148" i="8"/>
  <c r="AN148" i="8"/>
  <c r="AM148" i="8"/>
  <c r="AO178" i="8"/>
  <c r="AN178" i="8"/>
  <c r="AM178" i="8"/>
  <c r="AL178" i="8"/>
  <c r="AQ178" i="8" s="1"/>
  <c r="AS48" i="8" s="1"/>
  <c r="AO197" i="8"/>
  <c r="AN197" i="8"/>
  <c r="AM197" i="8"/>
  <c r="AL197" i="8"/>
  <c r="AQ19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Q184" i="8" s="1"/>
  <c r="AS54" i="8" s="1"/>
  <c r="AO79" i="8"/>
  <c r="AN79" i="8"/>
  <c r="AM79" i="8"/>
  <c r="AL79" i="8"/>
  <c r="AL83" i="8"/>
  <c r="AN87" i="8"/>
  <c r="AO91" i="8"/>
  <c r="AN97" i="8"/>
  <c r="AL97" i="8"/>
  <c r="AO105" i="8"/>
  <c r="AM105" i="8"/>
  <c r="AL106" i="8"/>
  <c r="AQ106" i="8" s="1"/>
  <c r="AR41" i="8" s="1"/>
  <c r="AM109" i="8"/>
  <c r="AO110" i="8"/>
  <c r="AL114" i="8"/>
  <c r="AQ114" i="8" s="1"/>
  <c r="AR49" i="8" s="1"/>
  <c r="AM118" i="8"/>
  <c r="AL118" i="8"/>
  <c r="AQ118" i="8" s="1"/>
  <c r="AR53" i="8" s="1"/>
  <c r="AN132" i="8"/>
  <c r="AL132" i="8"/>
  <c r="AQ132" i="8" s="1"/>
  <c r="AR67" i="8" s="1"/>
  <c r="AO139" i="8"/>
  <c r="AN139" i="8"/>
  <c r="AL139" i="8"/>
  <c r="AM147" i="8"/>
  <c r="AL148" i="8"/>
  <c r="AM151" i="8"/>
  <c r="AO162" i="8"/>
  <c r="AN162" i="8"/>
  <c r="AM162" i="8"/>
  <c r="AL162" i="8"/>
  <c r="AL166" i="8"/>
  <c r="AN189" i="8"/>
  <c r="AM189" i="8"/>
  <c r="AL189" i="8"/>
  <c r="AQ189" i="8" s="1"/>
  <c r="AS59" i="8" s="1"/>
  <c r="AN192" i="8"/>
  <c r="AM192" i="8"/>
  <c r="AO193" i="8"/>
  <c r="AN193" i="8"/>
  <c r="AM193" i="8"/>
  <c r="AL193" i="8"/>
  <c r="AQ193" i="8" s="1"/>
  <c r="AS63" i="8" s="1"/>
  <c r="AN196" i="8"/>
  <c r="AO81" i="8"/>
  <c r="AO84" i="8"/>
  <c r="AN84" i="8"/>
  <c r="AM84" i="8"/>
  <c r="AL84" i="8"/>
  <c r="AN92" i="8"/>
  <c r="AL92" i="8"/>
  <c r="AO102" i="8"/>
  <c r="AM110" i="8"/>
  <c r="AL110" i="8"/>
  <c r="AQ110" i="8" s="1"/>
  <c r="AR45" i="8" s="1"/>
  <c r="AO119" i="8"/>
  <c r="AN119" i="8"/>
  <c r="AM119" i="8"/>
  <c r="AL119" i="8"/>
  <c r="AQ119" i="8" s="1"/>
  <c r="AR54" i="8" s="1"/>
  <c r="AO128" i="8"/>
  <c r="AN128" i="8"/>
  <c r="AM128" i="8"/>
  <c r="AL128" i="8"/>
  <c r="AQ128" i="8" s="1"/>
  <c r="AR63" i="8" s="1"/>
  <c r="AO144" i="8"/>
  <c r="AO153" i="8"/>
  <c r="AN153" i="8"/>
  <c r="AM153" i="8"/>
  <c r="AL153" i="8"/>
  <c r="AO163" i="8"/>
  <c r="AN163" i="8"/>
  <c r="AL163" i="8"/>
  <c r="AQ163" i="8" s="1"/>
  <c r="AS33" i="8" s="1"/>
  <c r="AO167" i="8"/>
  <c r="AN167" i="8"/>
  <c r="AL167" i="8"/>
  <c r="AN184" i="8"/>
  <c r="AM184" i="8"/>
  <c r="AO185" i="8"/>
  <c r="AN185" i="8"/>
  <c r="AM185" i="8"/>
  <c r="AL185" i="8"/>
  <c r="AQ185" i="8" s="1"/>
  <c r="AS55" i="8" s="1"/>
  <c r="AN194" i="8"/>
  <c r="AM194" i="8"/>
  <c r="AN171" i="8"/>
  <c r="AL174" i="8"/>
  <c r="AO74" i="8"/>
  <c r="AN73" i="8"/>
  <c r="AL75" i="8"/>
  <c r="AO98" i="8"/>
  <c r="AL98" i="8"/>
  <c r="AM101" i="8"/>
  <c r="AM102" i="8"/>
  <c r="AL102" i="8"/>
  <c r="AQ102" i="8" s="1"/>
  <c r="AO111" i="8"/>
  <c r="AM111" i="8"/>
  <c r="AM143" i="8"/>
  <c r="AM144" i="8"/>
  <c r="AM149" i="8"/>
  <c r="AO165" i="8"/>
  <c r="AO172" i="8"/>
  <c r="AL172" i="8"/>
  <c r="AQ172" i="8" s="1"/>
  <c r="AS42" i="8" s="1"/>
  <c r="AN181" i="8"/>
  <c r="AL181" i="8"/>
  <c r="AQ181" i="8" s="1"/>
  <c r="AS51" i="8" s="1"/>
  <c r="AM186" i="8"/>
  <c r="AL194" i="8"/>
  <c r="AQ194" i="8" s="1"/>
  <c r="AS64" i="8" s="1"/>
  <c r="AN80" i="8"/>
  <c r="C81" i="8"/>
  <c r="AM85" i="8"/>
  <c r="AL85" i="8"/>
  <c r="AO103" i="8"/>
  <c r="AN103" i="8"/>
  <c r="AM103" i="8"/>
  <c r="AL103" i="8"/>
  <c r="AQ103" i="8" s="1"/>
  <c r="AO120" i="8"/>
  <c r="AN120" i="8"/>
  <c r="AM120" i="8"/>
  <c r="AL120" i="8"/>
  <c r="AQ120" i="8" s="1"/>
  <c r="AR55" i="8" s="1"/>
  <c r="AN124" i="8"/>
  <c r="AL124" i="8"/>
  <c r="AQ124" i="8" s="1"/>
  <c r="AR59" i="8" s="1"/>
  <c r="AO130" i="8"/>
  <c r="AM130" i="8"/>
  <c r="AO145" i="8"/>
  <c r="AN145" i="8"/>
  <c r="AM145" i="8"/>
  <c r="AL145" i="8"/>
  <c r="AO154" i="8"/>
  <c r="AN154" i="8"/>
  <c r="AM154" i="8"/>
  <c r="AL154" i="8"/>
  <c r="AQ154" i="8" s="1"/>
  <c r="AS24" i="8" s="1"/>
  <c r="AO159" i="8"/>
  <c r="AN159" i="8"/>
  <c r="AL159" i="8"/>
  <c r="AO164" i="8"/>
  <c r="AM164" i="8"/>
  <c r="AM167" i="8"/>
  <c r="AO177" i="8"/>
  <c r="AN177" i="8"/>
  <c r="AM177" i="8"/>
  <c r="AL177" i="8"/>
  <c r="AQ177" i="8" s="1"/>
  <c r="AS47" i="8" s="1"/>
  <c r="AO186" i="8"/>
  <c r="AL186" i="8"/>
  <c r="AQ186" i="8" s="1"/>
  <c r="AS56" i="8" s="1"/>
  <c r="AL171" i="8"/>
  <c r="AQ171" i="8" s="1"/>
  <c r="AS41" i="8" s="1"/>
  <c r="AO73" i="8"/>
  <c r="AN85" i="8"/>
  <c r="AM93" i="8"/>
  <c r="AN107" i="8"/>
  <c r="AM107" i="8"/>
  <c r="AL107" i="8"/>
  <c r="AQ107" i="8" s="1"/>
  <c r="AR42" i="8" s="1"/>
  <c r="AN111" i="8"/>
  <c r="AL111" i="8"/>
  <c r="AQ111" i="8" s="1"/>
  <c r="AR46" i="8" s="1"/>
  <c r="AN129" i="8"/>
  <c r="AL129" i="8"/>
  <c r="AQ129" i="8" s="1"/>
  <c r="AR64" i="8" s="1"/>
  <c r="AO131" i="8"/>
  <c r="AM139" i="8"/>
  <c r="AL140" i="8"/>
  <c r="AL144" i="8"/>
  <c r="AN149" i="8"/>
  <c r="AL149" i="8"/>
  <c r="AM172" i="8"/>
  <c r="AM181" i="8"/>
  <c r="AN186" i="8"/>
  <c r="AO194" i="8"/>
  <c r="AM76" i="8"/>
  <c r="AL76" i="8"/>
  <c r="AO80" i="8"/>
  <c r="AM80" i="8"/>
  <c r="AO86" i="8"/>
  <c r="AN86" i="8"/>
  <c r="AM86" i="8"/>
  <c r="AL86" i="8"/>
  <c r="AN94" i="8"/>
  <c r="AM94" i="8"/>
  <c r="AL94" i="8"/>
  <c r="AN99" i="8"/>
  <c r="AM99" i="8"/>
  <c r="AL99" i="8"/>
  <c r="AQ99" i="8" s="1"/>
  <c r="AR34" i="8" s="1"/>
  <c r="AN102" i="8"/>
  <c r="AO112" i="8"/>
  <c r="AN112" i="8"/>
  <c r="AM112" i="8"/>
  <c r="AL112" i="8"/>
  <c r="AQ112" i="8" s="1"/>
  <c r="AR47" i="8" s="1"/>
  <c r="AN121" i="8"/>
  <c r="AL121" i="8"/>
  <c r="AQ121" i="8" s="1"/>
  <c r="AR56" i="8" s="1"/>
  <c r="AO125" i="8"/>
  <c r="AN125" i="8"/>
  <c r="AL125" i="8"/>
  <c r="AQ125" i="8" s="1"/>
  <c r="AR60" i="8" s="1"/>
  <c r="AO129" i="8"/>
  <c r="AM129" i="8"/>
  <c r="AL130" i="8"/>
  <c r="AQ130" i="8" s="1"/>
  <c r="AR65" i="8" s="1"/>
  <c r="AN141" i="8"/>
  <c r="AM141" i="8"/>
  <c r="AL141" i="8"/>
  <c r="AN144" i="8"/>
  <c r="AO157" i="8"/>
  <c r="AL164" i="8"/>
  <c r="AO169" i="8"/>
  <c r="AN169" i="8"/>
  <c r="AM169" i="8"/>
  <c r="AL169" i="8"/>
  <c r="AQ169" i="8" s="1"/>
  <c r="AS3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Q133" i="8" s="1"/>
  <c r="AR68" i="8" s="1"/>
  <c r="AM152" i="8"/>
  <c r="AL152" i="8"/>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M175" i="8"/>
  <c r="AO176" i="8"/>
  <c r="AL176" i="8"/>
  <c r="AQ176" i="8" s="1"/>
  <c r="AS4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O97" i="8"/>
  <c r="AO101" i="8"/>
  <c r="AN101" i="8"/>
  <c r="AL101" i="8"/>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R44" i="8" s="1"/>
  <c r="AN113" i="8"/>
  <c r="AL113" i="8"/>
  <c r="AQ113" i="8" s="1"/>
  <c r="AR48" i="8" s="1"/>
  <c r="AN116" i="8"/>
  <c r="AL116" i="8"/>
  <c r="AQ116" i="8" s="1"/>
  <c r="AR51" i="8" s="1"/>
  <c r="AO124" i="8"/>
  <c r="AM124" i="8"/>
  <c r="AN134" i="8"/>
  <c r="AO136" i="8"/>
  <c r="AO140" i="8"/>
  <c r="AM140" i="8"/>
  <c r="AO151" i="8"/>
  <c r="AN151" i="8"/>
  <c r="AL151" i="8"/>
  <c r="AO155" i="8"/>
  <c r="AN155" i="8"/>
  <c r="AL155" i="8"/>
  <c r="AL158" i="8"/>
  <c r="AO166" i="8"/>
  <c r="AN166" i="8"/>
  <c r="AM166" i="8"/>
  <c r="AN173" i="8"/>
  <c r="AM173" i="8"/>
  <c r="AL173" i="8"/>
  <c r="AQ173" i="8" s="1"/>
  <c r="AS43" i="8" s="1"/>
  <c r="AM176" i="8"/>
  <c r="AL180" i="8"/>
  <c r="AQ180" i="8" s="1"/>
  <c r="AS50" i="8" s="1"/>
  <c r="AO188" i="8"/>
  <c r="AM188" i="8"/>
  <c r="AL188" i="8"/>
  <c r="AQ188" i="8" s="1"/>
  <c r="AS58" i="8" s="1"/>
  <c r="AO199" i="8"/>
  <c r="AN199" i="8"/>
  <c r="AM199" i="8"/>
  <c r="AL199" i="8"/>
  <c r="AQ199" i="8" s="1"/>
  <c r="AQ152" i="8" l="1"/>
  <c r="AQ87" i="8"/>
  <c r="AQ159" i="8"/>
  <c r="AS29" i="8" s="1"/>
  <c r="AQ156" i="8"/>
  <c r="AS26" i="8" s="1"/>
  <c r="AQ158" i="8"/>
  <c r="AS28" i="8" s="1"/>
  <c r="AQ164" i="8"/>
  <c r="AS34" i="8" s="1"/>
  <c r="AQ162" i="8"/>
  <c r="AS32" i="8" s="1"/>
  <c r="AQ161" i="8"/>
  <c r="AS31" i="8" s="1"/>
  <c r="AQ90" i="8"/>
  <c r="AR25" i="8" s="1"/>
  <c r="AQ167" i="8"/>
  <c r="AS37" i="8" s="1"/>
  <c r="AQ155" i="8"/>
  <c r="AS25" i="8" s="1"/>
  <c r="AQ143" i="8"/>
  <c r="AS13" i="8" s="1"/>
  <c r="AQ93" i="8"/>
  <c r="AR28" i="8" s="1"/>
  <c r="AQ98" i="8"/>
  <c r="AR33" i="8" s="1"/>
  <c r="AQ165" i="8"/>
  <c r="AS35" i="8" s="1"/>
  <c r="AQ96" i="8"/>
  <c r="AR31" i="8" s="1"/>
  <c r="AQ97" i="8"/>
  <c r="AR32" i="8" s="1"/>
  <c r="AQ100" i="8"/>
  <c r="AR35" i="8" s="1"/>
  <c r="AQ101" i="8"/>
  <c r="AR36" i="8" s="1"/>
  <c r="AQ89" i="8"/>
  <c r="AR24" i="8" s="1"/>
  <c r="AQ148" i="8"/>
  <c r="AQ147" i="8"/>
  <c r="AQ94" i="8"/>
  <c r="AR29" i="8" s="1"/>
  <c r="AQ92" i="8"/>
  <c r="AR27" i="8" s="1"/>
  <c r="AQ166" i="8"/>
  <c r="AS36" i="8" s="1"/>
  <c r="AS67" i="8"/>
  <c r="AS66" i="8"/>
  <c r="AS70" i="8"/>
  <c r="AS69" i="8"/>
  <c r="AR70" i="8"/>
  <c r="AR69" i="8"/>
  <c r="AR38" i="8"/>
  <c r="AR37" i="8"/>
  <c r="AS38" i="8"/>
  <c r="AQ153" i="8"/>
  <c r="AS23" i="8" s="1"/>
  <c r="AQ88" i="8"/>
  <c r="AR23" i="8" s="1"/>
  <c r="AQ149" i="8"/>
  <c r="AS19" i="8" s="1"/>
  <c r="AQ76" i="8"/>
  <c r="AR11" i="8" s="1"/>
  <c r="AQ150" i="8"/>
  <c r="AS20" i="8" s="1"/>
  <c r="AQ84" i="8"/>
  <c r="AQ145" i="8"/>
  <c r="AQ85" i="8"/>
  <c r="AQ140" i="8"/>
  <c r="AS10" i="8" s="1"/>
  <c r="AQ77" i="8"/>
  <c r="AR12" i="8" s="1"/>
  <c r="AQ75" i="8"/>
  <c r="AR10" i="8" s="1"/>
  <c r="AQ80" i="8"/>
  <c r="AR16" i="8" s="1"/>
  <c r="AQ141" i="8"/>
  <c r="AS11" i="8" s="1"/>
  <c r="AQ78" i="8"/>
  <c r="AR13" i="8" s="1"/>
  <c r="AQ86" i="8"/>
  <c r="AR21" i="8" s="1"/>
  <c r="AQ83" i="8"/>
  <c r="AR18" i="8" s="1"/>
  <c r="AQ151" i="8"/>
  <c r="AQ82" i="8"/>
  <c r="AR17" i="8" s="1"/>
  <c r="AQ146" i="8"/>
  <c r="AQ74" i="8"/>
  <c r="AR9" i="8" s="1"/>
  <c r="AQ139" i="8"/>
  <c r="AS9" i="8" s="1"/>
  <c r="AQ138" i="8"/>
  <c r="AS8" i="8" s="1"/>
  <c r="AQ73" i="8"/>
  <c r="AS18" i="8"/>
  <c r="AQ79" i="8"/>
  <c r="AQ144" i="8"/>
  <c r="AS14" i="8" s="1"/>
  <c r="AQ137" i="8"/>
  <c r="AS7" i="8" s="1"/>
  <c r="AQ72" i="8"/>
  <c r="AQ71" i="8"/>
  <c r="AR6" i="8" s="1"/>
  <c r="AQ136" i="8"/>
  <c r="AS6" i="8" s="1"/>
  <c r="B136" i="8"/>
  <c r="B71" i="8"/>
  <c r="D7" i="4"/>
  <c r="M13" i="4"/>
  <c r="N13" i="4" s="1"/>
  <c r="AS21" i="8" l="1"/>
  <c r="AR20" i="8"/>
  <c r="AR19" i="8"/>
  <c r="AR14" i="8"/>
  <c r="AS16" i="8"/>
  <c r="AS17" i="8"/>
  <c r="AS22" i="8"/>
  <c r="AR22"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l="1"/>
  <c r="AT66" i="8" s="1"/>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AE710478-94EB-413C-8332-4367E60A3B4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FD32B348-7BA1-42E2-BEB2-DBDF2C7F888B}">
      <text>
        <r>
          <rPr>
            <b/>
            <sz val="9"/>
            <color indexed="81"/>
            <rFont val="MS P ゴシック"/>
            <family val="3"/>
            <charset val="128"/>
          </rPr>
          <t xml:space="preserve">リモート送信条件成立：IG ON 且つ PTS ONが15[s]以上
</t>
        </r>
      </text>
    </comment>
    <comment ref="E10" authorId="1" shapeId="0" xr:uid="{06859296-B6B6-40C2-B8A3-27ACC05DF539}">
      <text>
        <r>
          <rPr>
            <b/>
            <sz val="9"/>
            <color indexed="81"/>
            <rFont val="MS P ゴシック"/>
            <family val="3"/>
            <charset val="128"/>
          </rPr>
          <t xml:space="preserve">IG ON 且つ ST OFF
</t>
        </r>
      </text>
    </comment>
    <comment ref="F10" authorId="1" shapeId="0" xr:uid="{26319A6A-18A0-4283-BF73-78B36095F559}">
      <text>
        <r>
          <rPr>
            <b/>
            <sz val="9"/>
            <color indexed="81"/>
            <rFont val="MS P ゴシック"/>
            <family val="3"/>
            <charset val="128"/>
          </rPr>
          <t>IG ON</t>
        </r>
      </text>
    </comment>
    <comment ref="G10" authorId="1" shapeId="0" xr:uid="{00C172BF-C3F5-41B3-8408-86FA17CB9CE7}">
      <text>
        <r>
          <rPr>
            <b/>
            <sz val="9"/>
            <color indexed="81"/>
            <rFont val="MS P ゴシック"/>
            <family val="3"/>
            <charset val="128"/>
          </rPr>
          <t xml:space="preserve">IG OFF 且つ IG OFF後25[m]未満
</t>
        </r>
      </text>
    </comment>
    <comment ref="H10" authorId="1" shapeId="0" xr:uid="{3BAF5D90-72AF-41F0-BD10-1194BB97F132}">
      <text>
        <r>
          <rPr>
            <b/>
            <sz val="9"/>
            <color indexed="81"/>
            <rFont val="MS P ゴシック"/>
            <family val="3"/>
            <charset val="128"/>
          </rPr>
          <t xml:space="preserve">IG OFF
</t>
        </r>
      </text>
    </comment>
    <comment ref="I10" authorId="1" shapeId="0" xr:uid="{0B46ED6C-F43B-49B2-9D9B-037CFAAD7859}">
      <text>
        <r>
          <rPr>
            <b/>
            <sz val="9"/>
            <color indexed="81"/>
            <rFont val="MS P ゴシック"/>
            <family val="3"/>
            <charset val="128"/>
          </rPr>
          <t xml:space="preserve">IG ON 又は IG OFF後25[m]未満
</t>
        </r>
      </text>
    </comment>
    <comment ref="J10" authorId="1" shapeId="0" xr:uid="{71425868-0DAA-4A95-8610-1618DA7DD5A4}">
      <text>
        <r>
          <rPr>
            <b/>
            <sz val="9"/>
            <color indexed="81"/>
            <rFont val="MS P ゴシック"/>
            <family val="3"/>
            <charset val="128"/>
          </rPr>
          <t>+B ON 又は ACC ON</t>
        </r>
      </text>
    </comment>
  </commentList>
</comments>
</file>

<file path=xl/sharedStrings.xml><?xml version="1.0" encoding="utf-8"?>
<sst xmlns="http://schemas.openxmlformats.org/spreadsheetml/2006/main" count="2266" uniqueCount="284">
  <si>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</si>
  <si>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</si>
  <si>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</si>
  <si>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</si>
  <si>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</si>
  <si>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</si>
  <si>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</si>
  <si>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</si>
  <si>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</si>
  <si>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</si>
  <si>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</si>
  <si>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</si>
  <si>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</si>
  <si>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</si>
  <si>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</si>
  <si>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</si>
  <si>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</si>
  <si>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</si>
  <si>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</si>
  <si>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</si>
  <si>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</si>
  <si>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</si>
  <si>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</si>
  <si>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</si>
  <si>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</si>
  <si>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</si>
  <si>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</si>
  <si>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</si>
  <si>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</si>
  <si>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</si>
  <si>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</si>
  <si>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</si>
  <si>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</si>
  <si>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</si>
  <si>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</si>
  <si>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</si>
  <si>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</si>
  <si>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</si>
  <si>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</si>
  <si>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</si>
  <si>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</si>
  <si>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</si>
  <si>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</si>
  <si>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</si>
  <si>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</si>
  <si>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</si>
  <si>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</si>
  <si>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</si>
  <si>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</si>
  <si>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</si>
  <si>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</si>
  <si>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</si>
  <si>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</si>
  <si>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</si>
  <si>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</si>
  <si>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</si>
  <si>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</si>
  <si>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</si>
  <si>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</si>
  <si>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</si>
  <si>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</si>
  <si>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</si>
  <si>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</si>
  <si>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</si>
  <si>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</si>
  <si>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</si>
  <si>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</si>
  <si>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</si>
  <si>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</si>
  <si>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</si>
  <si>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</si>
  <si>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</si>
  <si>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</si>
  <si>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</si>
  <si>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</si>
  <si>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</si>
  <si>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</si>
  <si>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</si>
  <si>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</si>
  <si>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</si>
  <si>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</si>
  <si>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</si>
  <si>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</si>
  <si>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</si>
  <si>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</si>
  <si>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</si>
  <si>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</si>
  <si>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</si>
  <si>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</si>
  <si>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</si>
  <si>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</si>
  <si>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</si>
  <si>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</si>
  <si>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</si>
  <si>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</si>
  <si>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</si>
  <si>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</si>
  <si>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</si>
  <si>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</si>
  <si>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</si>
  <si>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</si>
  <si>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</si>
  <si>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</si>
  <si>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</si>
  <si>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</si>
  <si>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</si>
  <si>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</si>
  <si>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</si>
  <si>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</si>
  <si>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</si>
  <si>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</si>
  <si>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</si>
  <si>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</si>
  <si>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</si>
  <si>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</si>
  <si>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</si>
  <si>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</si>
  <si>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</si>
  <si>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</si>
  <si>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</si>
  <si>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</si>
  <si>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</si>
  <si>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</si>
  <si>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</si>
  <si>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</si>
  <si>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</si>
  <si>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</si>
  <si>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</si>
  <si>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</si>
  <si>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</si>
  <si>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</si>
  <si>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</si>
  <si>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</si>
  <si>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</si>
  <si>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</si>
  <si>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</si>
  <si>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</si>
  <si>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</si>
  <si>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</si>
  <si>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</si>
  <si>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</si>
  <si>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</si>
  <si>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</si>
  <si>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</si>
  <si>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</si>
  <si>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</si>
  <si>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</si>
  <si>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</si>
  <si>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</si>
  <si>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</si>
  <si>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</si>
  <si>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</si>
  <si>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</si>
  <si>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</si>
  <si>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</si>
  <si>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</si>
  <si>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</si>
  <si>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</si>
  <si>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</si>
  <si>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</si>
  <si>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</si>
  <si>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</si>
  <si>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</si>
  <si>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</si>
  <si>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</si>
  <si>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</si>
  <si>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</si>
  <si>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</si>
  <si>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</si>
  <si>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</si>
  <si>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</si>
  <si>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</si>
  <si>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</si>
  <si>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</si>
  <si>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</si>
  <si>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</si>
  <si>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</si>
  <si>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</si>
  <si>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</si>
  <si>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</si>
  <si>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</si>
  <si>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</si>
  <si>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</si>
  <si>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</si>
  <si>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</si>
  <si>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</si>
  <si>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</si>
  <si>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</si>
  <si>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</si>
  <si>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</si>
  <si>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</si>
  <si>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</si>
  <si>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</si>
  <si>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</si>
  <si>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</si>
  <si>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MSE宮本</t>
    <rPh sb="3" eb="5">
      <t>ミヤモト</t>
    </rPh>
    <phoneticPr fontId="2"/>
  </si>
  <si>
    <t>Index</t>
  </si>
  <si>
    <t>－</t>
    <phoneticPr fontId="2"/>
  </si>
  <si>
    <t>制御仕様　→　TT</t>
    <rPh sb="0" eb="4">
      <t>セイギョシヨウ</t>
    </rPh>
    <phoneticPr fontId="2"/>
  </si>
  <si>
    <t>制御仕様　→　MID</t>
    <rPh sb="0" eb="4">
      <t>セイギョシヨウ</t>
    </rPh>
    <phoneticPr fontId="2"/>
  </si>
  <si>
    <t>-</t>
    <phoneticPr fontId="2"/>
  </si>
  <si>
    <t>入力</t>
    <phoneticPr fontId="2"/>
  </si>
  <si>
    <t>CAN</t>
    <phoneticPr fontId="2"/>
  </si>
  <si>
    <t>TT</t>
    <phoneticPr fontId="2"/>
  </si>
  <si>
    <t>BC</t>
    <phoneticPr fontId="2"/>
  </si>
  <si>
    <t>RW</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</si>
  <si>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</si>
  <si>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</si>
  <si>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</si>
  <si>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</si>
  <si>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</si>
  <si>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</si>
  <si>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</si>
  <si>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</si>
  <si>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MSE鈴木大</t>
    <rPh sb="3" eb="6">
      <t>スズキダイ</t>
    </rPh>
    <phoneticPr fontId="2"/>
  </si>
  <si>
    <t>MSE鈴木直行</t>
    <rPh sb="3" eb="7">
      <t>スズキナオユキ</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</si>
  <si>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</si>
  <si>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</si>
  <si>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</si>
  <si>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</si>
  <si>
    <t>承認欄 [DT]</t>
    <phoneticPr fontId="2"/>
  </si>
  <si>
    <t>承認者</t>
    <phoneticPr fontId="2"/>
  </si>
  <si>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</si>
  <si>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</si>
  <si>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</si>
  <si>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</si>
  <si>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</si>
  <si>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</si>
  <si>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</si>
  <si>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</si>
  <si>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</si>
  <si>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</si>
  <si>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</si>
  <si>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</si>
  <si>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</si>
  <si>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</si>
  <si>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</si>
  <si>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新規作成(alert_D_SECDDC-CSTD-0-00-A-C0.xlsx)</t>
    <rPh sb="0" eb="2">
      <t>シンキ</t>
    </rPh>
    <rPh sb="2" eb="4">
      <t>サクセイ</t>
    </rPh>
    <phoneticPr fontId="2"/>
  </si>
  <si>
    <t>https://svn.geniie.net/bevs3/bevs3cdc/%E4%BB%95%E6%A7%98%E6%9B%B8/MET/%231/tags/00.Product/v1.19/%e5%88%b6%e5%be%a1%e4%bb%95%e6%a7%98/</t>
    <phoneticPr fontId="2"/>
  </si>
  <si>
    <t>MET-D_SECDDC-CSTD-0-00-A-C0.xlsm</t>
    <phoneticPr fontId="2"/>
  </si>
  <si>
    <t>UNREGISTERED</t>
  </si>
  <si>
    <t>UNREGISTERED</t>
    <phoneticPr fontId="2"/>
  </si>
  <si>
    <t>D_SECDDC-CSTD-0-MEF01-REQ02-</t>
  </si>
  <si>
    <t>EHV1S97</t>
  </si>
  <si>
    <t>EHV1S97</t>
    <phoneticPr fontId="2"/>
  </si>
  <si>
    <t>D_SECDDC-CSTD-0-MEF01-REQ02/
-</t>
    <phoneticPr fontId="2"/>
  </si>
  <si>
    <t>UNKNOWN/
UNREGISTERD</t>
    <phoneticPr fontId="2"/>
  </si>
  <si>
    <t>0b</t>
  </si>
  <si>
    <t>正常(0b)/
DDCMAC未登録(1b)</t>
    <rPh sb="14" eb="17">
      <t>ミトウロク</t>
    </rPh>
    <phoneticPr fontId="2"/>
  </si>
  <si>
    <t>DDCMCUNR_SIG</t>
    <phoneticPr fontId="2"/>
  </si>
  <si>
    <t>D_SECDDC-CSTD-0-MEF01-REQ02</t>
  </si>
  <si>
    <t>制御仕様　→　BZR</t>
    <rPh sb="0" eb="4">
      <t>セイギョシヨウ</t>
    </rPh>
    <phoneticPr fontId="2"/>
  </si>
  <si>
    <t>制御仕様　→　VMID</t>
    <rPh sb="0" eb="4">
      <t>セイギョシヨウ</t>
    </rPh>
    <phoneticPr fontId="2"/>
  </si>
  <si>
    <t>制御仕様　→　SW</t>
    <rPh sb="0" eb="4">
      <t>セイギョシヨウ</t>
    </rPh>
    <phoneticPr fontId="2"/>
  </si>
  <si>
    <t>vd_g_AlertD_secddcInit</t>
    <phoneticPr fontId="2"/>
  </si>
  <si>
    <t>通常(00b)/
未受信(01b)/
通信途絶(10b)/
未受信通信途絶(11b)</t>
    <rPh sb="19" eb="23">
      <t>ツウシントゼツ</t>
    </rPh>
    <rPh sb="30" eb="35">
      <t>ミジュシンツウシン</t>
    </rPh>
    <rPh sb="35" eb="37">
      <t>トゼツ</t>
    </rPh>
    <phoneticPr fontId="2"/>
  </si>
  <si>
    <t>**b</t>
    <phoneticPr fontId="2"/>
  </si>
  <si>
    <t>*b</t>
    <phoneticPr fontId="2"/>
  </si>
  <si>
    <t>1b</t>
    <phoneticPr fontId="2"/>
  </si>
  <si>
    <t>0b</t>
    <phoneticPr fontId="2"/>
  </si>
  <si>
    <t>ALERT_CH_D_SECDDC</t>
    <phoneticPr fontId="2"/>
  </si>
  <si>
    <t>ACC_ON</t>
    <phoneticPr fontId="2"/>
  </si>
  <si>
    <t>D_SECDDC判定</t>
    <phoneticPr fontId="2"/>
  </si>
  <si>
    <t>IG_ON</t>
    <phoneticPr fontId="2"/>
  </si>
  <si>
    <t>ACC_ON,IG_ON</t>
    <phoneticPr fontId="2"/>
  </si>
  <si>
    <t>EHV1S97_ACC_STS</t>
    <phoneticPr fontId="2"/>
  </si>
  <si>
    <t>EHV1S97_IG_STS</t>
    <phoneticPr fontId="2"/>
  </si>
  <si>
    <t>*</t>
    <phoneticPr fontId="2"/>
  </si>
  <si>
    <t>00b</t>
  </si>
  <si>
    <t>01b</t>
  </si>
  <si>
    <t>10b</t>
  </si>
  <si>
    <t>11b</t>
  </si>
  <si>
    <t>判定結果</t>
    <phoneticPr fontId="2"/>
  </si>
  <si>
    <t>BAT_WT=0b + ACC=**b + IG=**b + *b</t>
    <phoneticPr fontId="2"/>
  </si>
  <si>
    <t xml:space="preserve">BAT_WT=1b + ACC=00b(通常) + 0b(正常) + IG=**b </t>
    <rPh sb="20" eb="22">
      <t>ツウジョウ</t>
    </rPh>
    <phoneticPr fontId="2"/>
  </si>
  <si>
    <t>BAT_WT=1b + ACC=00b(通常) + 1b(DDCMAC未登録) + IG=**b</t>
    <rPh sb="20" eb="22">
      <t>ツウジョウ</t>
    </rPh>
    <phoneticPr fontId="2"/>
  </si>
  <si>
    <t>BAT_WT=1b + ACC=01b(未受信) + *b + IG=**b</t>
    <phoneticPr fontId="2"/>
  </si>
  <si>
    <t>BAT_WT=1b + ACC=10b(通信途絶) + *b +IG=00b(通常)</t>
    <rPh sb="20" eb="24">
      <t>ツウシントゼツ</t>
    </rPh>
    <rPh sb="39" eb="41">
      <t>ツウジョウ</t>
    </rPh>
    <phoneticPr fontId="2"/>
  </si>
  <si>
    <t>BAT_WT=1b + ACC=10b(通信途絶) + *b +IG=01b(未受信)</t>
    <rPh sb="39" eb="42">
      <t>ミジュシン</t>
    </rPh>
    <phoneticPr fontId="2"/>
  </si>
  <si>
    <t>BAT_WT=1b + ACC=10b(通信途絶) + 0b +IG=10b(通信途絶)</t>
    <rPh sb="39" eb="41">
      <t>ツウシン</t>
    </rPh>
    <rPh sb="41" eb="43">
      <t>トゼツ</t>
    </rPh>
    <phoneticPr fontId="2"/>
  </si>
  <si>
    <t>BAT_WT=1b + ACC=10b(通信途絶) + 1b +IG=10b(通信途絶)</t>
    <rPh sb="39" eb="41">
      <t>ツウシン</t>
    </rPh>
    <rPh sb="41" eb="43">
      <t>トゼツ</t>
    </rPh>
    <phoneticPr fontId="2"/>
  </si>
  <si>
    <t>BAT_WT=1b + ACC=10b(通信途絶) + *b +IG=11b(未受信通信途絶)</t>
    <rPh sb="39" eb="42">
      <t>ミジュシン</t>
    </rPh>
    <rPh sb="42" eb="44">
      <t>ツウシン</t>
    </rPh>
    <rPh sb="44" eb="46">
      <t>トゼツ</t>
    </rPh>
    <phoneticPr fontId="2"/>
  </si>
  <si>
    <t>BAT_WT=1b + ACC=11b(未受信通信途絶) + *b +IG=**b</t>
    <rPh sb="20" eb="23">
      <t>ミジュシン</t>
    </rPh>
    <phoneticPr fontId="2"/>
  </si>
  <si>
    <t>VOM_BAT_WT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</si>
</sst>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right style="thin">
        <color indexed="64"/>
      </right>
      <top style="medium">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1" xfId="0" applyBorder="1">
      <alignment vertical="center"/>
    </xf>
    <xf numFmtId="0" fontId="0" fillId="14" borderId="31" xfId="0" applyFill="1" applyBorder="1">
      <alignment vertical="center"/>
    </xf>
    <xf numFmtId="0" fontId="0" fillId="0" borderId="32" xfId="0" applyBorder="1" applyAlignment="1">
      <alignment vertical="center" wrapText="1"/>
    </xf>
    <xf numFmtId="0" fontId="0" fillId="0" borderId="1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4"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5"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6"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5" xfId="0" applyFill="1" applyBorder="1">
      <alignment vertical="center"/>
    </xf>
    <xf numFmtId="0" fontId="0" fillId="21" borderId="38" xfId="0" applyFill="1" applyBorder="1">
      <alignment vertical="center"/>
    </xf>
    <xf numFmtId="0" fontId="1" fillId="19" borderId="43" xfId="0" applyFont="1" applyFill="1" applyBorder="1" applyAlignment="1">
      <alignment vertical="center"/>
    </xf>
    <xf numFmtId="0" fontId="1" fillId="19" borderId="49" xfId="0" applyFont="1" applyFill="1" applyBorder="1" applyAlignment="1">
      <alignment vertical="center"/>
    </xf>
    <xf numFmtId="0" fontId="1" fillId="19" borderId="44" xfId="0" applyFont="1" applyFill="1" applyBorder="1" applyAlignment="1">
      <alignment vertical="center"/>
    </xf>
    <xf numFmtId="0" fontId="0" fillId="17" borderId="50"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1" xfId="0" applyFill="1" applyBorder="1">
      <alignment vertical="center"/>
    </xf>
    <xf numFmtId="0" fontId="0" fillId="0" borderId="11" xfId="0" applyBorder="1">
      <alignment vertical="center"/>
    </xf>
    <xf numFmtId="0" fontId="0" fillId="0" borderId="12" xfId="0" applyBorder="1">
      <alignment vertical="center"/>
    </xf>
    <xf numFmtId="0" fontId="0" fillId="0" borderId="52"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3" xfId="0" applyBorder="1">
      <alignment vertical="center"/>
    </xf>
    <xf numFmtId="0" fontId="1" fillId="16" borderId="22" xfId="0" applyFont="1" applyFill="1" applyBorder="1">
      <alignment vertical="center"/>
    </xf>
    <xf numFmtId="0" fontId="14" fillId="12" borderId="41"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56" xfId="0" applyFont="1" applyFill="1" applyBorder="1">
      <alignment vertical="center"/>
    </xf>
    <xf numFmtId="0" fontId="5" fillId="19" borderId="36" xfId="0" applyFont="1" applyFill="1" applyBorder="1">
      <alignment vertical="center"/>
    </xf>
    <xf numFmtId="0" fontId="5" fillId="19" borderId="38" xfId="0" applyFont="1" applyFill="1" applyBorder="1">
      <alignment vertical="center"/>
    </xf>
    <xf numFmtId="0" fontId="5" fillId="19" borderId="47"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7"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8"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0" fillId="12" borderId="26" xfId="0" applyFill="1" applyBorder="1" applyProtection="1">
      <alignment vertical="center"/>
    </xf>
    <xf numFmtId="0" fontId="5" fillId="19" borderId="57" xfId="0" applyFont="1" applyFill="1" applyBorder="1" applyAlignment="1">
      <alignment horizontal="center" vertical="center"/>
    </xf>
    <xf numFmtId="0" fontId="0" fillId="17" borderId="58" xfId="0" applyFill="1" applyBorder="1">
      <alignment vertical="center"/>
    </xf>
    <xf numFmtId="0" fontId="0" fillId="17" borderId="48" xfId="0" applyFill="1" applyBorder="1">
      <alignment vertical="center"/>
    </xf>
    <xf numFmtId="0" fontId="0" fillId="17" borderId="59"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0" xfId="0" applyFill="1" applyBorder="1" applyAlignment="1">
      <alignment vertical="center" textRotation="90"/>
    </xf>
    <xf numFmtId="0" fontId="0" fillId="15" borderId="60" xfId="0" applyFill="1" applyBorder="1" applyAlignment="1">
      <alignment vertical="center" textRotation="90"/>
    </xf>
    <xf numFmtId="0" fontId="0" fillId="0" borderId="14" xfId="0" applyFill="1" applyBorder="1" applyAlignment="1">
      <alignment horizontal="center" vertical="center"/>
    </xf>
    <xf numFmtId="0" fontId="1" fillId="19" borderId="63" xfId="0" applyFont="1" applyFill="1" applyBorder="1">
      <alignment vertical="center"/>
    </xf>
    <xf numFmtId="0" fontId="1" fillId="19" borderId="24" xfId="0" applyFont="1" applyFill="1" applyBorder="1">
      <alignment vertical="center"/>
    </xf>
    <xf numFmtId="0" fontId="0" fillId="7" borderId="7" xfId="0" applyFill="1" applyBorder="1" applyAlignment="1">
      <alignment horizontal="left" vertical="center"/>
    </xf>
    <xf numFmtId="0" fontId="0" fillId="7" borderId="61" xfId="0" applyFill="1" applyBorder="1" applyAlignment="1">
      <alignment vertical="top"/>
    </xf>
    <xf numFmtId="0" fontId="0" fillId="7" borderId="14" xfId="0" applyFill="1" applyBorder="1" applyAlignment="1">
      <alignment vertical="top"/>
    </xf>
    <xf numFmtId="0" fontId="0" fillId="7" borderId="60" xfId="0" applyFill="1" applyBorder="1" applyAlignment="1">
      <alignment vertical="top"/>
    </xf>
    <xf numFmtId="0" fontId="1" fillId="19" borderId="64"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29" xfId="0" applyFill="1" applyBorder="1" applyAlignment="1">
      <alignment horizontal="left" vertical="center"/>
    </xf>
    <xf numFmtId="0" fontId="0" fillId="12" borderId="2" xfId="0" applyFill="1" applyBorder="1" applyAlignment="1">
      <alignment horizontal="left" vertical="center"/>
    </xf>
    <xf numFmtId="0" fontId="5" fillId="19" borderId="57" xfId="0" applyFont="1" applyFill="1" applyBorder="1">
      <alignment vertical="center"/>
    </xf>
    <xf numFmtId="0" fontId="0" fillId="7" borderId="58" xfId="0" applyFill="1" applyBorder="1">
      <alignment vertical="center"/>
    </xf>
    <xf numFmtId="0" fontId="0" fillId="7" borderId="48" xfId="0" applyFill="1" applyBorder="1">
      <alignment vertical="center"/>
    </xf>
    <xf numFmtId="0" fontId="0" fillId="7" borderId="59"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8"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5"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9" xfId="0" applyBorder="1" applyAlignment="1">
      <alignment horizontal="left" vertical="center"/>
    </xf>
    <xf numFmtId="0" fontId="3" fillId="0" borderId="70" xfId="1" applyBorder="1">
      <alignment vertical="center"/>
    </xf>
    <xf numFmtId="0" fontId="0" fillId="0" borderId="0" xfId="0" applyBorder="1" applyAlignment="1">
      <alignment vertical="center" wrapText="1"/>
    </xf>
    <xf numFmtId="0" fontId="0" fillId="18" borderId="29" xfId="0" quotePrefix="1" applyFill="1" applyBorder="1">
      <alignment vertical="center"/>
    </xf>
    <xf numFmtId="0" fontId="0" fillId="18" borderId="30" xfId="0" applyFill="1" applyBorder="1" applyAlignment="1">
      <alignment vertical="center" wrapText="1"/>
    </xf>
    <xf numFmtId="0" fontId="0" fillId="15" borderId="29" xfId="0" applyFill="1" applyBorder="1" applyAlignment="1">
      <alignment horizontal="center" vertical="center"/>
    </xf>
    <xf numFmtId="0" fontId="0" fillId="12" borderId="72" xfId="0" applyFill="1" applyBorder="1">
      <alignment vertical="center"/>
    </xf>
    <xf numFmtId="0" fontId="0" fillId="13" borderId="72" xfId="0" applyFill="1" applyBorder="1">
      <alignment vertical="center"/>
    </xf>
    <xf numFmtId="0" fontId="0" fillId="13" borderId="42" xfId="0" applyFill="1" applyBorder="1">
      <alignment vertical="center"/>
    </xf>
    <xf numFmtId="0" fontId="0" fillId="12" borderId="42"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4" xfId="0" applyFont="1" applyFill="1" applyBorder="1">
      <alignment vertical="center"/>
    </xf>
    <xf numFmtId="0" fontId="0" fillId="15" borderId="26" xfId="0" applyFill="1" applyBorder="1">
      <alignment vertical="center"/>
    </xf>
    <xf numFmtId="0" fontId="0" fillId="0" borderId="7" xfId="0" applyFill="1" applyBorder="1">
      <alignment vertical="center"/>
    </xf>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0" xfId="0" applyBorder="1">
      <alignment vertical="center"/>
    </xf>
    <xf numFmtId="0" fontId="0" fillId="15" borderId="25" xfId="0" applyFill="1" applyBorder="1" applyAlignment="1">
      <alignment horizontal="center" vertical="center"/>
    </xf>
    <xf numFmtId="0" fontId="0" fillId="0" borderId="0" xfId="0" applyFill="1">
      <alignment vertical="center"/>
    </xf>
    <xf numFmtId="0" fontId="0" fillId="24" borderId="2" xfId="0" applyFill="1" applyBorder="1">
      <alignment vertical="center"/>
    </xf>
    <xf numFmtId="0" fontId="0" fillId="25" borderId="2" xfId="0" applyFill="1" applyBorder="1">
      <alignment vertical="center"/>
    </xf>
    <xf numFmtId="0" fontId="0" fillId="18" borderId="29" xfId="0" applyFill="1" applyBorder="1" applyAlignment="1">
      <alignment vertical="center" textRotation="90"/>
    </xf>
    <xf numFmtId="0" fontId="0" fillId="24" borderId="16" xfId="0" quotePrefix="1" applyFill="1" applyBorder="1" applyAlignment="1">
      <alignment vertical="center" wrapText="1"/>
    </xf>
    <xf numFmtId="0" fontId="0" fillId="0" borderId="2" xfId="0" applyBorder="1" applyAlignment="1">
      <alignment horizontal="center" vertical="center" wrapText="1"/>
    </xf>
    <xf numFmtId="14" fontId="0" fillId="0" borderId="14" xfId="0" applyNumberFormat="1" applyBorder="1">
      <alignment vertical="center"/>
    </xf>
    <xf numFmtId="0" fontId="16" fillId="7" borderId="60"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4" borderId="17" xfId="0" applyFill="1" applyBorder="1">
      <alignment vertical="center"/>
    </xf>
    <xf numFmtId="0" fontId="0" fillId="4" borderId="30" xfId="0" applyFill="1" applyBorder="1">
      <alignment vertical="center"/>
    </xf>
    <xf numFmtId="0" fontId="0" fillId="0" borderId="29" xfId="0" applyBorder="1">
      <alignment vertical="center"/>
    </xf>
    <xf numFmtId="0" fontId="0" fillId="0" borderId="25" xfId="0" applyBorder="1">
      <alignment vertical="center"/>
    </xf>
    <xf numFmtId="14" fontId="0" fillId="0" borderId="2" xfId="0" applyNumberFormat="1" applyBorder="1">
      <alignment vertical="center"/>
    </xf>
    <xf numFmtId="0" fontId="0" fillId="0" borderId="77" xfId="0" applyBorder="1">
      <alignment vertical="center"/>
    </xf>
    <xf numFmtId="0" fontId="11" fillId="0" borderId="78" xfId="0" applyFont="1" applyBorder="1">
      <alignment vertical="center"/>
    </xf>
    <xf numFmtId="0" fontId="11" fillId="0" borderId="60" xfId="0" applyFont="1" applyBorder="1" applyAlignment="1">
      <alignment vertical="center" wrapText="1"/>
    </xf>
    <xf numFmtId="0" fontId="18" fillId="0" borderId="60" xfId="0" applyFont="1" applyBorder="1">
      <alignment vertical="center"/>
    </xf>
    <xf numFmtId="0" fontId="18" fillId="0" borderId="61" xfId="0" applyFont="1" applyBorder="1">
      <alignment vertical="center"/>
    </xf>
    <xf numFmtId="14" fontId="18" fillId="0" borderId="79" xfId="0" applyNumberFormat="1" applyFon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2" xfId="2" applyFont="1" applyBorder="1">
      <alignment vertical="center"/>
    </xf>
    <xf numFmtId="0" fontId="21" fillId="0" borderId="64" xfId="2" applyFont="1" applyBorder="1">
      <alignment vertical="center"/>
    </xf>
    <xf numFmtId="0" fontId="21" fillId="0" borderId="63"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7" xfId="2" applyFont="1" applyBorder="1">
      <alignment vertical="center"/>
    </xf>
    <xf numFmtId="0" fontId="21" fillId="0" borderId="11" xfId="2" applyFont="1" applyBorder="1">
      <alignment vertical="center"/>
    </xf>
    <xf numFmtId="0" fontId="21" fillId="0" borderId="24" xfId="2" applyFont="1" applyBorder="1">
      <alignment vertical="center"/>
    </xf>
    <xf numFmtId="0" fontId="0" fillId="15" borderId="7" xfId="0" applyFill="1" applyBorder="1" applyAlignment="1">
      <alignment vertical="center" wrapText="1"/>
    </xf>
    <xf numFmtId="0" fontId="0" fillId="15" borderId="17" xfId="0" applyFill="1" applyBorder="1" applyAlignment="1">
      <alignment vertical="center" wrapText="1"/>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0" fillId="15" borderId="16" xfId="0" quotePrefix="1" applyFill="1" applyBorder="1" applyAlignment="1">
      <alignment vertical="center" wrapText="1"/>
    </xf>
    <xf numFmtId="0" fontId="0" fillId="15" borderId="2" xfId="0" applyFill="1" applyBorder="1" applyAlignment="1">
      <alignment horizontal="center" vertical="center" wrapText="1"/>
    </xf>
    <xf numFmtId="0" fontId="0" fillId="22" borderId="26" xfId="0" applyFill="1" applyBorder="1" applyAlignment="1">
      <alignment vertical="center" textRotation="90"/>
    </xf>
    <xf numFmtId="0" fontId="0" fillId="15" borderId="9" xfId="0" applyFill="1" applyBorder="1" applyAlignment="1">
      <alignment horizontal="center" vertical="center" wrapText="1"/>
    </xf>
    <xf numFmtId="0" fontId="0" fillId="0" borderId="9" xfId="0" applyBorder="1" applyAlignment="1">
      <alignment horizontal="center" vertical="center" wrapText="1"/>
    </xf>
    <xf numFmtId="0" fontId="0" fillId="12" borderId="23" xfId="0" applyFill="1" applyBorder="1">
      <alignment vertical="center"/>
    </xf>
    <xf numFmtId="0" fontId="0" fillId="0" borderId="2" xfId="0" quotePrefix="1" applyBorder="1">
      <alignment vertical="center"/>
    </xf>
    <xf numFmtId="0" fontId="0" fillId="0" borderId="26" xfId="0" quotePrefix="1" applyBorder="1">
      <alignment vertical="center"/>
    </xf>
    <xf numFmtId="0" fontId="0" fillId="0" borderId="26" xfId="0" applyBorder="1">
      <alignment vertical="center"/>
    </xf>
    <xf numFmtId="0" fontId="0" fillId="0" borderId="16" xfId="0" applyBorder="1" applyAlignment="1">
      <alignment vertical="center" wrapText="1"/>
    </xf>
    <xf numFmtId="0" fontId="0" fillId="0" borderId="75" xfId="0" applyBorder="1" applyAlignment="1">
      <alignment vertical="center" wrapText="1"/>
    </xf>
    <xf numFmtId="0" fontId="0" fillId="0" borderId="82" xfId="0" applyBorder="1">
      <alignment vertical="center"/>
    </xf>
    <xf numFmtId="0" fontId="0" fillId="15" borderId="83" xfId="0" applyFill="1"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85"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86" xfId="0" applyBorder="1">
      <alignment vertical="center"/>
    </xf>
    <xf numFmtId="0" fontId="0" fillId="15" borderId="9" xfId="0" applyFill="1" applyBorder="1" applyAlignment="1">
      <alignment horizontal="center" vertical="center"/>
    </xf>
    <xf numFmtId="0" fontId="0" fillId="0" borderId="60" xfId="0" applyBorder="1" applyAlignment="1">
      <alignment vertical="center" textRotation="90"/>
    </xf>
    <xf numFmtId="0" fontId="21" fillId="0" borderId="26" xfId="2" applyFont="1" applyBorder="1" applyAlignment="1">
      <alignment horizontal="center" vertical="center"/>
    </xf>
    <xf numFmtId="0" fontId="21" fillId="0" borderId="12" xfId="2" applyFont="1" applyBorder="1" applyAlignment="1">
      <alignment horizontal="center" vertical="center"/>
    </xf>
    <xf numFmtId="0" fontId="21" fillId="0" borderId="29"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76" xfId="0" applyFill="1" applyBorder="1" applyAlignment="1">
      <alignment horizontal="center" vertical="center"/>
    </xf>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3"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4"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5"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6"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8" xfId="1" applyFill="1" applyBorder="1" applyAlignment="1" applyProtection="1">
      <alignment horizontal="left" vertical="center"/>
    </xf>
    <xf numFmtId="0" fontId="0" fillId="7" borderId="67" xfId="0" applyFill="1" applyBorder="1" applyAlignment="1">
      <alignment horizontal="left" vertical="center"/>
    </xf>
    <xf numFmtId="0" fontId="0" fillId="7" borderId="52" xfId="0" applyFill="1" applyBorder="1" applyAlignment="1">
      <alignment horizontal="left" vertical="center"/>
    </xf>
    <xf numFmtId="0" fontId="0" fillId="7" borderId="59" xfId="0" applyFill="1" applyBorder="1" applyAlignment="1">
      <alignment horizontal="left" vertical="center"/>
    </xf>
    <xf numFmtId="0" fontId="0" fillId="7" borderId="65"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6" xfId="0" applyFill="1" applyBorder="1" applyAlignment="1">
      <alignment horizontal="left" vertical="center"/>
    </xf>
    <xf numFmtId="0" fontId="0" fillId="7" borderId="12" xfId="0" applyFill="1" applyBorder="1" applyAlignment="1">
      <alignment horizontal="left" vertical="center"/>
    </xf>
    <xf numFmtId="0" fontId="0" fillId="7" borderId="48" xfId="0" applyFill="1" applyBorder="1" applyAlignment="1">
      <alignment horizontal="left" vertical="center"/>
    </xf>
    <xf numFmtId="0" fontId="0" fillId="12" borderId="66" xfId="0" applyFill="1" applyBorder="1" applyAlignment="1">
      <alignment horizontal="left" vertical="center"/>
    </xf>
    <xf numFmtId="0" fontId="0" fillId="12" borderId="12" xfId="0" applyFill="1" applyBorder="1" applyAlignment="1">
      <alignment horizontal="left" vertical="center"/>
    </xf>
    <xf numFmtId="0" fontId="0" fillId="12" borderId="48" xfId="0" applyFill="1" applyBorder="1" applyAlignment="1">
      <alignment horizontal="left" vertical="center"/>
    </xf>
    <xf numFmtId="0" fontId="0" fillId="12" borderId="67" xfId="0" applyFill="1" applyBorder="1" applyAlignment="1">
      <alignment horizontal="left" vertical="center"/>
    </xf>
    <xf numFmtId="0" fontId="0" fillId="12" borderId="52" xfId="0" applyFill="1" applyBorder="1" applyAlignment="1">
      <alignment horizontal="left" vertical="center"/>
    </xf>
    <xf numFmtId="0" fontId="0" fillId="12" borderId="59" xfId="0" applyFill="1" applyBorder="1" applyAlignment="1">
      <alignment horizontal="left" vertical="center"/>
    </xf>
    <xf numFmtId="0" fontId="0" fillId="0" borderId="2" xfId="0" applyBorder="1" applyAlignment="1">
      <alignment horizontal="center" vertical="center" textRotation="90"/>
    </xf>
    <xf numFmtId="0" fontId="0" fillId="0" borderId="60" xfId="0" applyBorder="1" applyAlignment="1">
      <alignment horizontal="center" vertical="center" textRotation="90"/>
    </xf>
    <xf numFmtId="0" fontId="0" fillId="0" borderId="2" xfId="0" applyBorder="1" applyAlignment="1">
      <alignment horizontal="center" vertical="center"/>
    </xf>
    <xf numFmtId="0" fontId="0" fillId="0" borderId="60" xfId="0" applyBorder="1" applyAlignment="1">
      <alignment horizontal="center" vertical="center"/>
    </xf>
    <xf numFmtId="0" fontId="1" fillId="19" borderId="62" xfId="0" applyFont="1" applyFill="1" applyBorder="1">
      <alignment vertical="center"/>
    </xf>
    <xf numFmtId="0" fontId="1" fillId="19" borderId="64" xfId="0" applyFont="1" applyFill="1" applyBorder="1">
      <alignment vertical="center"/>
    </xf>
    <xf numFmtId="0" fontId="1" fillId="19" borderId="27" xfId="0" applyFont="1" applyFill="1" applyBorder="1">
      <alignment vertical="center"/>
    </xf>
    <xf numFmtId="0" fontId="1" fillId="19" borderId="11" xfId="0" applyFont="1" applyFill="1" applyBorder="1">
      <alignment vertical="center"/>
    </xf>
    <xf numFmtId="0" fontId="0" fillId="22" borderId="26" xfId="0" applyFill="1" applyBorder="1" applyAlignment="1">
      <alignment horizontal="center" vertical="center" textRotation="90"/>
    </xf>
    <xf numFmtId="0" fontId="0" fillId="22" borderId="29" xfId="0" applyFill="1" applyBorder="1" applyAlignment="1">
      <alignment horizontal="center" vertical="center" textRotation="90"/>
    </xf>
    <xf numFmtId="0" fontId="0" fillId="18" borderId="26" xfId="0" applyFill="1" applyBorder="1" applyAlignment="1">
      <alignment horizontal="left" vertical="center"/>
    </xf>
    <xf numFmtId="0" fontId="0" fillId="18" borderId="12" xfId="0" applyFill="1" applyBorder="1" applyAlignment="1">
      <alignment horizontal="left" vertical="center"/>
    </xf>
    <xf numFmtId="0" fontId="0" fillId="18" borderId="29" xfId="0" applyFill="1" applyBorder="1" applyAlignment="1">
      <alignment horizontal="left" vertical="center"/>
    </xf>
    <xf numFmtId="0" fontId="0" fillId="18" borderId="66" xfId="0" applyFill="1" applyBorder="1" applyAlignment="1">
      <alignment horizontal="left"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cellXfs>
  <cellStyles count="3">
    <cellStyle name="ハイパーリンク" xfId="1" builtinId="8"/>
    <cellStyle name="標準" xfId="0" builtinId="0"/>
    <cellStyle name="標準 3 3 4 3" xfId="2" xr:uid="{84BD6AEF-516E-47C3-AE0B-98130056444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FEB0EDF-B535-4187-A871-A7E20DB7C057}"/>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FCFCAC2-24E9-4F5C-B137-79F7B25FB304}"/>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471B7576-C475-434E-8F4E-BEBA1778DDB1}"/>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2476498</xdr:colOff>
      <xdr:row>0</xdr:row>
      <xdr:rowOff>0</xdr:rowOff>
    </xdr:from>
    <xdr:to>
      <xdr:col>10</xdr:col>
      <xdr:colOff>54066</xdr:colOff>
      <xdr:row>2</xdr:row>
      <xdr:rowOff>183107</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3160057" y="0"/>
          <a:ext cx="3673568" cy="519283"/>
        </a:xfrm>
        <a:prstGeom prst="borderCallout1">
          <a:avLst>
            <a:gd name="adj1" fmla="val 38295"/>
            <a:gd name="adj2" fmla="val -1002"/>
            <a:gd name="adj3" fmla="val 111151"/>
            <a:gd name="adj4" fmla="val -231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100853</xdr:colOff>
      <xdr:row>23</xdr:row>
      <xdr:rowOff>190499</xdr:rowOff>
    </xdr:from>
    <xdr:to>
      <xdr:col>53</xdr:col>
      <xdr:colOff>1870</xdr:colOff>
      <xdr:row>53</xdr:row>
      <xdr:rowOff>29674</xdr:rowOff>
    </xdr:to>
    <xdr:pic>
      <xdr:nvPicPr>
        <xdr:cNvPr id="9" name="図 8">
          <a:extLst>
            <a:ext uri="{FF2B5EF4-FFF2-40B4-BE49-F238E27FC236}">
              <a16:creationId xmlns:a16="http://schemas.microsoft.com/office/drawing/2014/main" id="{48D05A49-F5EC-0E16-6D62-F47A7B88578C}"/>
            </a:ext>
          </a:extLst>
        </xdr:cNvPr>
        <xdr:cNvPicPr>
          <a:picLocks noChangeAspect="1"/>
        </xdr:cNvPicPr>
      </xdr:nvPicPr>
      <xdr:blipFill>
        <a:blip xmlns:r="http://schemas.openxmlformats.org/officeDocument/2006/relationships" r:embed="rId1"/>
        <a:stretch>
          <a:fillRect/>
        </a:stretch>
      </xdr:blipFill>
      <xdr:spPr>
        <a:xfrm>
          <a:off x="17615647" y="549087"/>
          <a:ext cx="21044648" cy="4904045"/>
        </a:xfrm>
        <a:prstGeom prst="rect">
          <a:avLst/>
        </a:prstGeom>
        <a:ln>
          <a:solidFill>
            <a:sysClr val="windowText" lastClr="000000"/>
          </a:solidFill>
        </a:ln>
      </xdr:spPr>
    </xdr:pic>
    <xdr:clientData/>
  </xdr:twoCellAnchor>
  <xdr:twoCellAnchor>
    <xdr:from>
      <xdr:col>34</xdr:col>
      <xdr:colOff>396927</xdr:colOff>
      <xdr:row>25</xdr:row>
      <xdr:rowOff>100853</xdr:rowOff>
    </xdr:from>
    <xdr:to>
      <xdr:col>36</xdr:col>
      <xdr:colOff>627529</xdr:colOff>
      <xdr:row>30</xdr:row>
      <xdr:rowOff>112059</xdr:rowOff>
    </xdr:to>
    <xdr:sp macro="" textlink="">
      <xdr:nvSpPr>
        <xdr:cNvPr id="10" name="線吹き出し 1 (枠付き) 51">
          <a:extLst>
            <a:ext uri="{FF2B5EF4-FFF2-40B4-BE49-F238E27FC236}">
              <a16:creationId xmlns:a16="http://schemas.microsoft.com/office/drawing/2014/main" id="{336C3DEE-DAB1-487E-BBFB-58F0D56C4F07}"/>
            </a:ext>
          </a:extLst>
        </xdr:cNvPr>
        <xdr:cNvSpPr/>
      </xdr:nvSpPr>
      <xdr:spPr>
        <a:xfrm>
          <a:off x="27884956" y="6084794"/>
          <a:ext cx="1597720" cy="851647"/>
        </a:xfrm>
        <a:prstGeom prst="borderCallout1">
          <a:avLst>
            <a:gd name="adj1" fmla="val 44823"/>
            <a:gd name="adj2" fmla="val -3207"/>
            <a:gd name="adj3" fmla="val 188662"/>
            <a:gd name="adj4" fmla="val -504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IG,ACC</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(ACC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フレームの為</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32</xdr:col>
      <xdr:colOff>291353</xdr:colOff>
      <xdr:row>35</xdr:row>
      <xdr:rowOff>87097</xdr:rowOff>
    </xdr:from>
    <xdr:to>
      <xdr:col>34</xdr:col>
      <xdr:colOff>190499</xdr:colOff>
      <xdr:row>44</xdr:row>
      <xdr:rowOff>67033</xdr:rowOff>
    </xdr:to>
    <xdr:sp macro="" textlink="">
      <xdr:nvSpPr>
        <xdr:cNvPr id="11" name="正方形/長方形 10">
          <a:extLst>
            <a:ext uri="{FF2B5EF4-FFF2-40B4-BE49-F238E27FC236}">
              <a16:creationId xmlns:a16="http://schemas.microsoft.com/office/drawing/2014/main" id="{3F812F13-7E74-4A98-A2E4-046C33D7E568}"/>
            </a:ext>
          </a:extLst>
        </xdr:cNvPr>
        <xdr:cNvSpPr/>
      </xdr:nvSpPr>
      <xdr:spPr>
        <a:xfrm>
          <a:off x="23618944" y="7343415"/>
          <a:ext cx="1284600" cy="15385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78683</xdr:colOff>
      <xdr:row>32</xdr:row>
      <xdr:rowOff>160545</xdr:rowOff>
    </xdr:from>
    <xdr:to>
      <xdr:col>39</xdr:col>
      <xdr:colOff>643093</xdr:colOff>
      <xdr:row>34</xdr:row>
      <xdr:rowOff>88645</xdr:rowOff>
    </xdr:to>
    <xdr:sp macro="" textlink="">
      <xdr:nvSpPr>
        <xdr:cNvPr id="12" name="線吹き出し 1 (枠付き) 51">
          <a:extLst>
            <a:ext uri="{FF2B5EF4-FFF2-40B4-BE49-F238E27FC236}">
              <a16:creationId xmlns:a16="http://schemas.microsoft.com/office/drawing/2014/main" id="{283200DF-7D79-446B-BADE-E1D214086C80}"/>
            </a:ext>
          </a:extLst>
        </xdr:cNvPr>
        <xdr:cNvSpPr/>
      </xdr:nvSpPr>
      <xdr:spPr>
        <a:xfrm>
          <a:off x="27562638" y="6897318"/>
          <a:ext cx="1257137" cy="274463"/>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678069</xdr:colOff>
      <xdr:row>35</xdr:row>
      <xdr:rowOff>82612</xdr:rowOff>
    </xdr:from>
    <xdr:to>
      <xdr:col>38</xdr:col>
      <xdr:colOff>399943</xdr:colOff>
      <xdr:row>44</xdr:row>
      <xdr:rowOff>62548</xdr:rowOff>
    </xdr:to>
    <xdr:sp macro="" textlink="">
      <xdr:nvSpPr>
        <xdr:cNvPr id="13" name="正方形/長方形 12">
          <a:extLst>
            <a:ext uri="{FF2B5EF4-FFF2-40B4-BE49-F238E27FC236}">
              <a16:creationId xmlns:a16="http://schemas.microsoft.com/office/drawing/2014/main" id="{BABD1E35-74E4-4854-A72C-7AB8950E6707}"/>
            </a:ext>
          </a:extLst>
        </xdr:cNvPr>
        <xdr:cNvSpPr/>
      </xdr:nvSpPr>
      <xdr:spPr>
        <a:xfrm>
          <a:off x="26776569" y="7338930"/>
          <a:ext cx="1107329" cy="15385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421591</xdr:colOff>
      <xdr:row>32</xdr:row>
      <xdr:rowOff>156063</xdr:rowOff>
    </xdr:from>
    <xdr:to>
      <xdr:col>49</xdr:col>
      <xdr:colOff>1</xdr:colOff>
      <xdr:row>34</xdr:row>
      <xdr:rowOff>84163</xdr:rowOff>
    </xdr:to>
    <xdr:sp macro="" textlink="">
      <xdr:nvSpPr>
        <xdr:cNvPr id="14" name="線吹き出し 1 (枠付き) 51">
          <a:extLst>
            <a:ext uri="{FF2B5EF4-FFF2-40B4-BE49-F238E27FC236}">
              <a16:creationId xmlns:a16="http://schemas.microsoft.com/office/drawing/2014/main" id="{A8165858-64F3-4836-BDA6-CE1C8EA1D316}"/>
            </a:ext>
          </a:extLst>
        </xdr:cNvPr>
        <xdr:cNvSpPr/>
      </xdr:nvSpPr>
      <xdr:spPr>
        <a:xfrm>
          <a:off x="33447364" y="6892836"/>
          <a:ext cx="1656592" cy="274463"/>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499162</xdr:colOff>
      <xdr:row>35</xdr:row>
      <xdr:rowOff>89336</xdr:rowOff>
    </xdr:from>
    <xdr:to>
      <xdr:col>46</xdr:col>
      <xdr:colOff>424223</xdr:colOff>
      <xdr:row>44</xdr:row>
      <xdr:rowOff>69272</xdr:rowOff>
    </xdr:to>
    <xdr:sp macro="" textlink="">
      <xdr:nvSpPr>
        <xdr:cNvPr id="15" name="正方形/長方形 14">
          <a:extLst>
            <a:ext uri="{FF2B5EF4-FFF2-40B4-BE49-F238E27FC236}">
              <a16:creationId xmlns:a16="http://schemas.microsoft.com/office/drawing/2014/main" id="{A1E7A732-2487-48FA-872F-B28C4D6E87CF}"/>
            </a:ext>
          </a:extLst>
        </xdr:cNvPr>
        <xdr:cNvSpPr/>
      </xdr:nvSpPr>
      <xdr:spPr>
        <a:xfrm>
          <a:off x="32832207" y="7345654"/>
          <a:ext cx="617789" cy="15385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287262</xdr:colOff>
      <xdr:row>51</xdr:row>
      <xdr:rowOff>27597</xdr:rowOff>
    </xdr:from>
    <xdr:to>
      <xdr:col>34</xdr:col>
      <xdr:colOff>199071</xdr:colOff>
      <xdr:row>52</xdr:row>
      <xdr:rowOff>108292</xdr:rowOff>
    </xdr:to>
    <xdr:sp macro="" textlink="">
      <xdr:nvSpPr>
        <xdr:cNvPr id="16" name="正方形/長方形 15">
          <a:extLst>
            <a:ext uri="{FF2B5EF4-FFF2-40B4-BE49-F238E27FC236}">
              <a16:creationId xmlns:a16="http://schemas.microsoft.com/office/drawing/2014/main" id="{6B32502B-4539-4014-992C-ED1DEBBF85B7}"/>
            </a:ext>
          </a:extLst>
        </xdr:cNvPr>
        <xdr:cNvSpPr/>
      </xdr:nvSpPr>
      <xdr:spPr>
        <a:xfrm>
          <a:off x="23614853" y="10054824"/>
          <a:ext cx="1297263" cy="2538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196981</xdr:colOff>
      <xdr:row>51</xdr:row>
      <xdr:rowOff>39413</xdr:rowOff>
    </xdr:from>
    <xdr:to>
      <xdr:col>37</xdr:col>
      <xdr:colOff>243</xdr:colOff>
      <xdr:row>52</xdr:row>
      <xdr:rowOff>115014</xdr:rowOff>
    </xdr:to>
    <xdr:sp macro="" textlink="">
      <xdr:nvSpPr>
        <xdr:cNvPr id="17" name="正方形/長方形 16">
          <a:extLst>
            <a:ext uri="{FF2B5EF4-FFF2-40B4-BE49-F238E27FC236}">
              <a16:creationId xmlns:a16="http://schemas.microsoft.com/office/drawing/2014/main" id="{E4753CBE-9FB6-496E-B038-47698F8618B4}"/>
            </a:ext>
          </a:extLst>
        </xdr:cNvPr>
        <xdr:cNvSpPr/>
      </xdr:nvSpPr>
      <xdr:spPr>
        <a:xfrm>
          <a:off x="24910026" y="10066640"/>
          <a:ext cx="1881444" cy="2487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481853</xdr:colOff>
      <xdr:row>54</xdr:row>
      <xdr:rowOff>34634</xdr:rowOff>
    </xdr:from>
    <xdr:to>
      <xdr:col>32</xdr:col>
      <xdr:colOff>423865</xdr:colOff>
      <xdr:row>56</xdr:row>
      <xdr:rowOff>129010</xdr:rowOff>
    </xdr:to>
    <xdr:sp macro="" textlink="">
      <xdr:nvSpPr>
        <xdr:cNvPr id="20" name="線吹き出し 1 (枠付き) 55">
          <a:extLst>
            <a:ext uri="{FF2B5EF4-FFF2-40B4-BE49-F238E27FC236}">
              <a16:creationId xmlns:a16="http://schemas.microsoft.com/office/drawing/2014/main" id="{512B8DC0-B207-403E-AB44-54FCB84F79A7}"/>
            </a:ext>
          </a:extLst>
        </xdr:cNvPr>
        <xdr:cNvSpPr/>
      </xdr:nvSpPr>
      <xdr:spPr>
        <a:xfrm>
          <a:off x="21731262" y="10581407"/>
          <a:ext cx="2020194" cy="440739"/>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2638212</xdr:colOff>
      <xdr:row>21</xdr:row>
      <xdr:rowOff>134472</xdr:rowOff>
    </xdr:from>
    <xdr:to>
      <xdr:col>6</xdr:col>
      <xdr:colOff>49238</xdr:colOff>
      <xdr:row>24</xdr:row>
      <xdr:rowOff>71964</xdr:rowOff>
    </xdr:to>
    <xdr:sp macro="" textlink="">
      <xdr:nvSpPr>
        <xdr:cNvPr id="21" name="線吹き出し 1 (枠付き) 55">
          <a:extLst>
            <a:ext uri="{FF2B5EF4-FFF2-40B4-BE49-F238E27FC236}">
              <a16:creationId xmlns:a16="http://schemas.microsoft.com/office/drawing/2014/main" id="{F2D4C94E-AADE-4DA1-A96B-4A825B89A706}"/>
            </a:ext>
          </a:extLst>
        </xdr:cNvPr>
        <xdr:cNvSpPr/>
      </xdr:nvSpPr>
      <xdr:spPr>
        <a:xfrm>
          <a:off x="3321771" y="6308913"/>
          <a:ext cx="2476085" cy="441757"/>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Index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に使用する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22</xdr:col>
      <xdr:colOff>0</xdr:colOff>
      <xdr:row>4</xdr:row>
      <xdr:rowOff>56017</xdr:rowOff>
    </xdr:from>
    <xdr:to>
      <xdr:col>26</xdr:col>
      <xdr:colOff>1254</xdr:colOff>
      <xdr:row>7</xdr:row>
      <xdr:rowOff>177911</xdr:rowOff>
    </xdr:to>
    <xdr:pic>
      <xdr:nvPicPr>
        <xdr:cNvPr id="22" name="図 21">
          <a:extLst>
            <a:ext uri="{FF2B5EF4-FFF2-40B4-BE49-F238E27FC236}">
              <a16:creationId xmlns:a16="http://schemas.microsoft.com/office/drawing/2014/main" id="{384E9D91-03CF-F501-1D0C-E41FCAA2C334}"/>
            </a:ext>
          </a:extLst>
        </xdr:cNvPr>
        <xdr:cNvPicPr>
          <a:picLocks noChangeAspect="1"/>
        </xdr:cNvPicPr>
      </xdr:nvPicPr>
      <xdr:blipFill>
        <a:blip xmlns:r="http://schemas.openxmlformats.org/officeDocument/2006/relationships" r:embed="rId2"/>
        <a:stretch>
          <a:fillRect/>
        </a:stretch>
      </xdr:blipFill>
      <xdr:spPr>
        <a:xfrm>
          <a:off x="16338176" y="605105"/>
          <a:ext cx="2735489" cy="632509"/>
        </a:xfrm>
        <a:prstGeom prst="rect">
          <a:avLst/>
        </a:prstGeom>
        <a:ln>
          <a:solidFill>
            <a:sysClr val="windowText" lastClr="000000"/>
          </a:solidFill>
        </a:ln>
      </xdr:spPr>
    </xdr:pic>
    <xdr:clientData/>
  </xdr:twoCellAnchor>
  <xdr:twoCellAnchor>
    <xdr:from>
      <xdr:col>25</xdr:col>
      <xdr:colOff>214569</xdr:colOff>
      <xdr:row>8</xdr:row>
      <xdr:rowOff>44812</xdr:rowOff>
    </xdr:from>
    <xdr:to>
      <xdr:col>27</xdr:col>
      <xdr:colOff>86251</xdr:colOff>
      <xdr:row>8</xdr:row>
      <xdr:rowOff>610527</xdr:rowOff>
    </xdr:to>
    <xdr:sp macro="" textlink="">
      <xdr:nvSpPr>
        <xdr:cNvPr id="24" name="線吹き出し 1 (枠付き) 51">
          <a:extLst>
            <a:ext uri="{FF2B5EF4-FFF2-40B4-BE49-F238E27FC236}">
              <a16:creationId xmlns:a16="http://schemas.microsoft.com/office/drawing/2014/main" id="{578A6233-A083-42D2-8463-B4B3BA1C1163}"/>
            </a:ext>
          </a:extLst>
        </xdr:cNvPr>
        <xdr:cNvSpPr/>
      </xdr:nvSpPr>
      <xdr:spPr>
        <a:xfrm>
          <a:off x="18603422" y="1445547"/>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0</xdr:colOff>
      <xdr:row>4</xdr:row>
      <xdr:rowOff>44810</xdr:rowOff>
    </xdr:from>
    <xdr:to>
      <xdr:col>25</xdr:col>
      <xdr:colOff>649940</xdr:colOff>
      <xdr:row>7</xdr:row>
      <xdr:rowOff>168076</xdr:rowOff>
    </xdr:to>
    <xdr:sp macro="" textlink="">
      <xdr:nvSpPr>
        <xdr:cNvPr id="27" name="正方形/長方形 26">
          <a:extLst>
            <a:ext uri="{FF2B5EF4-FFF2-40B4-BE49-F238E27FC236}">
              <a16:creationId xmlns:a16="http://schemas.microsoft.com/office/drawing/2014/main" id="{B5401060-88FD-4C23-B018-86C0AF6E0B7F}"/>
            </a:ext>
          </a:extLst>
        </xdr:cNvPr>
        <xdr:cNvSpPr/>
      </xdr:nvSpPr>
      <xdr:spPr>
        <a:xfrm>
          <a:off x="16338176" y="593898"/>
          <a:ext cx="2700617" cy="6275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0</xdr:colOff>
      <xdr:row>12</xdr:row>
      <xdr:rowOff>134468</xdr:rowOff>
    </xdr:from>
    <xdr:to>
      <xdr:col>25</xdr:col>
      <xdr:colOff>264222</xdr:colOff>
      <xdr:row>15</xdr:row>
      <xdr:rowOff>101875</xdr:rowOff>
    </xdr:to>
    <xdr:pic>
      <xdr:nvPicPr>
        <xdr:cNvPr id="28" name="図 27">
          <a:extLst>
            <a:ext uri="{FF2B5EF4-FFF2-40B4-BE49-F238E27FC236}">
              <a16:creationId xmlns:a16="http://schemas.microsoft.com/office/drawing/2014/main" id="{40CA3A81-329A-D040-796C-11049BF0BA29}"/>
            </a:ext>
          </a:extLst>
        </xdr:cNvPr>
        <xdr:cNvPicPr>
          <a:picLocks noChangeAspect="1"/>
        </xdr:cNvPicPr>
      </xdr:nvPicPr>
      <xdr:blipFill>
        <a:blip xmlns:r="http://schemas.openxmlformats.org/officeDocument/2006/relationships" r:embed="rId3"/>
        <a:stretch>
          <a:fillRect/>
        </a:stretch>
      </xdr:blipFill>
      <xdr:spPr>
        <a:xfrm>
          <a:off x="16338176" y="3227292"/>
          <a:ext cx="2314898" cy="657317"/>
        </a:xfrm>
        <a:prstGeom prst="rect">
          <a:avLst/>
        </a:prstGeom>
        <a:ln>
          <a:solidFill>
            <a:sysClr val="windowText" lastClr="000000"/>
          </a:solidFill>
        </a:ln>
      </xdr:spPr>
    </xdr:pic>
    <xdr:clientData/>
  </xdr:twoCellAnchor>
  <xdr:twoCellAnchor>
    <xdr:from>
      <xdr:col>25</xdr:col>
      <xdr:colOff>221291</xdr:colOff>
      <xdr:row>16</xdr:row>
      <xdr:rowOff>129978</xdr:rowOff>
    </xdr:from>
    <xdr:to>
      <xdr:col>27</xdr:col>
      <xdr:colOff>92973</xdr:colOff>
      <xdr:row>20</xdr:row>
      <xdr:rowOff>23340</xdr:rowOff>
    </xdr:to>
    <xdr:sp macro="" textlink="">
      <xdr:nvSpPr>
        <xdr:cNvPr id="32" name="線吹き出し 1 (枠付き) 51">
          <a:extLst>
            <a:ext uri="{FF2B5EF4-FFF2-40B4-BE49-F238E27FC236}">
              <a16:creationId xmlns:a16="http://schemas.microsoft.com/office/drawing/2014/main" id="{62E16B51-44BF-49C0-8FA0-29F89397A997}"/>
            </a:ext>
          </a:extLst>
        </xdr:cNvPr>
        <xdr:cNvSpPr/>
      </xdr:nvSpPr>
      <xdr:spPr>
        <a:xfrm>
          <a:off x="18610144" y="4085654"/>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6723</xdr:colOff>
      <xdr:row>12</xdr:row>
      <xdr:rowOff>141181</xdr:rowOff>
    </xdr:from>
    <xdr:to>
      <xdr:col>25</xdr:col>
      <xdr:colOff>268942</xdr:colOff>
      <xdr:row>15</xdr:row>
      <xdr:rowOff>73948</xdr:rowOff>
    </xdr:to>
    <xdr:sp macro="" textlink="">
      <xdr:nvSpPr>
        <xdr:cNvPr id="33" name="正方形/長方形 32">
          <a:extLst>
            <a:ext uri="{FF2B5EF4-FFF2-40B4-BE49-F238E27FC236}">
              <a16:creationId xmlns:a16="http://schemas.microsoft.com/office/drawing/2014/main" id="{79625418-35B9-42D3-92CB-015EEB40F7C5}"/>
            </a:ext>
          </a:extLst>
        </xdr:cNvPr>
        <xdr:cNvSpPr/>
      </xdr:nvSpPr>
      <xdr:spPr>
        <a:xfrm>
          <a:off x="16344899" y="3234005"/>
          <a:ext cx="2312896" cy="6275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257735</xdr:colOff>
      <xdr:row>84</xdr:row>
      <xdr:rowOff>0</xdr:rowOff>
    </xdr:from>
    <xdr:to>
      <xdr:col>25</xdr:col>
      <xdr:colOff>550536</xdr:colOff>
      <xdr:row>89</xdr:row>
      <xdr:rowOff>7399</xdr:rowOff>
    </xdr:to>
    <xdr:pic>
      <xdr:nvPicPr>
        <xdr:cNvPr id="34" name="図 33">
          <a:extLst>
            <a:ext uri="{FF2B5EF4-FFF2-40B4-BE49-F238E27FC236}">
              <a16:creationId xmlns:a16="http://schemas.microsoft.com/office/drawing/2014/main" id="{CB793A48-014D-F224-F487-186BF3457764}"/>
            </a:ext>
          </a:extLst>
        </xdr:cNvPr>
        <xdr:cNvPicPr>
          <a:picLocks noChangeAspect="1"/>
        </xdr:cNvPicPr>
      </xdr:nvPicPr>
      <xdr:blipFill>
        <a:blip xmlns:r="http://schemas.openxmlformats.org/officeDocument/2006/relationships" r:embed="rId4"/>
        <a:stretch>
          <a:fillRect/>
        </a:stretch>
      </xdr:blipFill>
      <xdr:spPr>
        <a:xfrm>
          <a:off x="16595911" y="13200529"/>
          <a:ext cx="2343477" cy="847843"/>
        </a:xfrm>
        <a:prstGeom prst="rect">
          <a:avLst/>
        </a:prstGeom>
        <a:ln>
          <a:solidFill>
            <a:sysClr val="windowText" lastClr="000000"/>
          </a:solidFill>
        </a:ln>
      </xdr:spPr>
    </xdr:pic>
    <xdr:clientData/>
  </xdr:twoCellAnchor>
  <xdr:twoCellAnchor>
    <xdr:from>
      <xdr:col>25</xdr:col>
      <xdr:colOff>573156</xdr:colOff>
      <xdr:row>90</xdr:row>
      <xdr:rowOff>67237</xdr:rowOff>
    </xdr:from>
    <xdr:to>
      <xdr:col>27</xdr:col>
      <xdr:colOff>444838</xdr:colOff>
      <xdr:row>93</xdr:row>
      <xdr:rowOff>128687</xdr:rowOff>
    </xdr:to>
    <xdr:sp macro="" textlink="">
      <xdr:nvSpPr>
        <xdr:cNvPr id="46" name="線吹き出し 1 (枠付き) 51">
          <a:extLst>
            <a:ext uri="{FF2B5EF4-FFF2-40B4-BE49-F238E27FC236}">
              <a16:creationId xmlns:a16="http://schemas.microsoft.com/office/drawing/2014/main" id="{E01AD620-9120-41A0-B610-FCE11FAD552F}"/>
            </a:ext>
          </a:extLst>
        </xdr:cNvPr>
        <xdr:cNvSpPr/>
      </xdr:nvSpPr>
      <xdr:spPr>
        <a:xfrm>
          <a:off x="18962009" y="14276296"/>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257735</xdr:colOff>
      <xdr:row>84</xdr:row>
      <xdr:rowOff>0</xdr:rowOff>
    </xdr:from>
    <xdr:to>
      <xdr:col>25</xdr:col>
      <xdr:colOff>519954</xdr:colOff>
      <xdr:row>89</xdr:row>
      <xdr:rowOff>0</xdr:rowOff>
    </xdr:to>
    <xdr:sp macro="" textlink="">
      <xdr:nvSpPr>
        <xdr:cNvPr id="51" name="正方形/長方形 50">
          <a:extLst>
            <a:ext uri="{FF2B5EF4-FFF2-40B4-BE49-F238E27FC236}">
              <a16:creationId xmlns:a16="http://schemas.microsoft.com/office/drawing/2014/main" id="{72C852C6-E47D-45B0-93CD-D93A15A96B00}"/>
            </a:ext>
          </a:extLst>
        </xdr:cNvPr>
        <xdr:cNvSpPr/>
      </xdr:nvSpPr>
      <xdr:spPr>
        <a:xfrm>
          <a:off x="16595911" y="13200529"/>
          <a:ext cx="2312896" cy="840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22</xdr:col>
      <xdr:colOff>100853</xdr:colOff>
      <xdr:row>99</xdr:row>
      <xdr:rowOff>0</xdr:rowOff>
    </xdr:from>
    <xdr:to>
      <xdr:col>25</xdr:col>
      <xdr:colOff>527023</xdr:colOff>
      <xdr:row>103</xdr:row>
      <xdr:rowOff>83402</xdr:rowOff>
    </xdr:to>
    <xdr:pic>
      <xdr:nvPicPr>
        <xdr:cNvPr id="55" name="図 54">
          <a:extLst>
            <a:ext uri="{FF2B5EF4-FFF2-40B4-BE49-F238E27FC236}">
              <a16:creationId xmlns:a16="http://schemas.microsoft.com/office/drawing/2014/main" id="{CDED7C03-09FA-9F93-39DF-0ACA8C93ABB8}"/>
            </a:ext>
          </a:extLst>
        </xdr:cNvPr>
        <xdr:cNvPicPr>
          <a:picLocks noChangeAspect="1"/>
        </xdr:cNvPicPr>
      </xdr:nvPicPr>
      <xdr:blipFill>
        <a:blip xmlns:r="http://schemas.openxmlformats.org/officeDocument/2006/relationships" r:embed="rId5"/>
        <a:stretch>
          <a:fillRect/>
        </a:stretch>
      </xdr:blipFill>
      <xdr:spPr>
        <a:xfrm>
          <a:off x="16439029" y="15721853"/>
          <a:ext cx="2476846" cy="762106"/>
        </a:xfrm>
        <a:prstGeom prst="rect">
          <a:avLst/>
        </a:prstGeom>
        <a:ln>
          <a:solidFill>
            <a:sysClr val="windowText" lastClr="000000"/>
          </a:solidFill>
        </a:ln>
      </xdr:spPr>
    </xdr:pic>
    <xdr:clientData/>
  </xdr:twoCellAnchor>
  <xdr:twoCellAnchor>
    <xdr:from>
      <xdr:col>25</xdr:col>
      <xdr:colOff>579878</xdr:colOff>
      <xdr:row>104</xdr:row>
      <xdr:rowOff>152406</xdr:rowOff>
    </xdr:from>
    <xdr:to>
      <xdr:col>27</xdr:col>
      <xdr:colOff>451560</xdr:colOff>
      <xdr:row>108</xdr:row>
      <xdr:rowOff>45768</xdr:rowOff>
    </xdr:to>
    <xdr:sp macro="" textlink="">
      <xdr:nvSpPr>
        <xdr:cNvPr id="56" name="線吹き出し 1 (枠付き) 51">
          <a:extLst>
            <a:ext uri="{FF2B5EF4-FFF2-40B4-BE49-F238E27FC236}">
              <a16:creationId xmlns:a16="http://schemas.microsoft.com/office/drawing/2014/main" id="{5CD0BF17-F5D3-4E55-BC01-B2D19BB4ACBE}"/>
            </a:ext>
          </a:extLst>
        </xdr:cNvPr>
        <xdr:cNvSpPr/>
      </xdr:nvSpPr>
      <xdr:spPr>
        <a:xfrm>
          <a:off x="18968731" y="16714700"/>
          <a:ext cx="1238800" cy="565715"/>
        </a:xfrm>
        <a:prstGeom prst="borderCallout1">
          <a:avLst>
            <a:gd name="adj1" fmla="val 44823"/>
            <a:gd name="adj2" fmla="val -3207"/>
            <a:gd name="adj3" fmla="val -35000"/>
            <a:gd name="adj4" fmla="val -517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89648</xdr:colOff>
      <xdr:row>99</xdr:row>
      <xdr:rowOff>0</xdr:rowOff>
    </xdr:from>
    <xdr:to>
      <xdr:col>25</xdr:col>
      <xdr:colOff>526676</xdr:colOff>
      <xdr:row>103</xdr:row>
      <xdr:rowOff>85169</xdr:rowOff>
    </xdr:to>
    <xdr:sp macro="" textlink="">
      <xdr:nvSpPr>
        <xdr:cNvPr id="57" name="正方形/長方形 56">
          <a:extLst>
            <a:ext uri="{FF2B5EF4-FFF2-40B4-BE49-F238E27FC236}">
              <a16:creationId xmlns:a16="http://schemas.microsoft.com/office/drawing/2014/main" id="{89697724-BEE3-439D-8DEB-CAF65992D5D1}"/>
            </a:ext>
          </a:extLst>
        </xdr:cNvPr>
        <xdr:cNvSpPr/>
      </xdr:nvSpPr>
      <xdr:spPr>
        <a:xfrm>
          <a:off x="16427824" y="15721853"/>
          <a:ext cx="2487705" cy="7575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54</xdr:col>
      <xdr:colOff>0</xdr:colOff>
      <xdr:row>24</xdr:row>
      <xdr:rowOff>0</xdr:rowOff>
    </xdr:from>
    <xdr:to>
      <xdr:col>79</xdr:col>
      <xdr:colOff>407278</xdr:colOff>
      <xdr:row>47</xdr:row>
      <xdr:rowOff>97388</xdr:rowOff>
    </xdr:to>
    <xdr:pic>
      <xdr:nvPicPr>
        <xdr:cNvPr id="2" name="図 1">
          <a:extLst>
            <a:ext uri="{FF2B5EF4-FFF2-40B4-BE49-F238E27FC236}">
              <a16:creationId xmlns:a16="http://schemas.microsoft.com/office/drawing/2014/main" id="{2A6E6B70-24C1-4B72-B1B4-EC6A04288EC1}"/>
            </a:ext>
          </a:extLst>
        </xdr:cNvPr>
        <xdr:cNvPicPr>
          <a:picLocks noChangeAspect="1"/>
        </xdr:cNvPicPr>
      </xdr:nvPicPr>
      <xdr:blipFill>
        <a:blip xmlns:r="http://schemas.openxmlformats.org/officeDocument/2006/relationships" r:embed="rId6"/>
        <a:stretch>
          <a:fillRect/>
        </a:stretch>
      </xdr:blipFill>
      <xdr:spPr>
        <a:xfrm>
          <a:off x="41159206" y="5827059"/>
          <a:ext cx="17496248" cy="3966592"/>
        </a:xfrm>
        <a:prstGeom prst="rect">
          <a:avLst/>
        </a:prstGeom>
        <a:ln>
          <a:solidFill>
            <a:sysClr val="windowText" lastClr="000000"/>
          </a:solidFill>
        </a:ln>
      </xdr:spPr>
    </xdr:pic>
    <xdr:clientData/>
  </xdr:twoCellAnchor>
  <xdr:twoCellAnchor>
    <xdr:from>
      <xdr:col>62</xdr:col>
      <xdr:colOff>318247</xdr:colOff>
      <xdr:row>40</xdr:row>
      <xdr:rowOff>155201</xdr:rowOff>
    </xdr:from>
    <xdr:to>
      <xdr:col>63</xdr:col>
      <xdr:colOff>381000</xdr:colOff>
      <xdr:row>42</xdr:row>
      <xdr:rowOff>44823</xdr:rowOff>
    </xdr:to>
    <xdr:sp macro="" textlink="">
      <xdr:nvSpPr>
        <xdr:cNvPr id="3" name="正方形/長方形 2">
          <a:extLst>
            <a:ext uri="{FF2B5EF4-FFF2-40B4-BE49-F238E27FC236}">
              <a16:creationId xmlns:a16="http://schemas.microsoft.com/office/drawing/2014/main" id="{DE77E883-C89D-40C4-8B1A-DBB4564C9D9E}"/>
            </a:ext>
          </a:extLst>
        </xdr:cNvPr>
        <xdr:cNvSpPr/>
      </xdr:nvSpPr>
      <xdr:spPr>
        <a:xfrm>
          <a:off x="46945923" y="8682877"/>
          <a:ext cx="746312" cy="2257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59</xdr:col>
      <xdr:colOff>151280</xdr:colOff>
      <xdr:row>46</xdr:row>
      <xdr:rowOff>74717</xdr:rowOff>
    </xdr:from>
    <xdr:to>
      <xdr:col>62</xdr:col>
      <xdr:colOff>87850</xdr:colOff>
      <xdr:row>51</xdr:row>
      <xdr:rowOff>69592</xdr:rowOff>
    </xdr:to>
    <xdr:sp macro="" textlink="">
      <xdr:nvSpPr>
        <xdr:cNvPr id="4" name="線吹き出し 1 (枠付き) 55">
          <a:extLst>
            <a:ext uri="{FF2B5EF4-FFF2-40B4-BE49-F238E27FC236}">
              <a16:creationId xmlns:a16="http://schemas.microsoft.com/office/drawing/2014/main" id="{1ACB56FC-A54F-48C0-8E88-A5D78DE5E7D6}"/>
            </a:ext>
          </a:extLst>
        </xdr:cNvPr>
        <xdr:cNvSpPr/>
      </xdr:nvSpPr>
      <xdr:spPr>
        <a:xfrm>
          <a:off x="44728280" y="9610923"/>
          <a:ext cx="1987246" cy="835316"/>
        </a:xfrm>
        <a:prstGeom prst="borderCallout1">
          <a:avLst>
            <a:gd name="adj1" fmla="val 27676"/>
            <a:gd name="adj2" fmla="val 101238"/>
            <a:gd name="adj3" fmla="val -73908"/>
            <a:gd name="adj4" fmla="val 1226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送信する電源状態は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 ON </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又は </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ACC</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156880</xdr:colOff>
      <xdr:row>23</xdr:row>
      <xdr:rowOff>100851</xdr:rowOff>
    </xdr:from>
    <xdr:to>
      <xdr:col>14</xdr:col>
      <xdr:colOff>336175</xdr:colOff>
      <xdr:row>40</xdr:row>
      <xdr:rowOff>78440</xdr:rowOff>
    </xdr:to>
    <xdr:sp macro="" textlink="">
      <xdr:nvSpPr>
        <xdr:cNvPr id="7" name="線吹き出し 1 (枠付き) 55">
          <a:extLst>
            <a:ext uri="{FF2B5EF4-FFF2-40B4-BE49-F238E27FC236}">
              <a16:creationId xmlns:a16="http://schemas.microsoft.com/office/drawing/2014/main" id="{1EAA1336-104F-4162-89BB-4C93B36B03A2}"/>
            </a:ext>
          </a:extLst>
        </xdr:cNvPr>
        <xdr:cNvSpPr/>
      </xdr:nvSpPr>
      <xdr:spPr>
        <a:xfrm>
          <a:off x="8639733" y="5748616"/>
          <a:ext cx="4560795" cy="2835089"/>
        </a:xfrm>
        <a:prstGeom prst="borderCallout1">
          <a:avLst>
            <a:gd name="adj1" fmla="val 38087"/>
            <a:gd name="adj2" fmla="val -1042"/>
            <a:gd name="adj3" fmla="val -20193"/>
            <a:gd name="adj4" fmla="val -20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IG-ON</a:t>
          </a:r>
          <a:r>
            <a:rPr lang="ja-JP" altLang="en-US" sz="1200" b="1">
              <a:solidFill>
                <a:sysClr val="windowText" lastClr="000000"/>
              </a:solidFill>
              <a:effectLst/>
              <a:latin typeface="Meiryo UI" panose="020B0604030504040204" pitchFamily="50" charset="-128"/>
              <a:ea typeface="Meiryo UI" panose="020B0604030504040204" pitchFamily="50" charset="-128"/>
            </a:rPr>
            <a:t>と</a:t>
          </a:r>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時のフレーム通信途絶時にセットする値が変わるため、</a:t>
          </a:r>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のフレームステータスと</a:t>
          </a:r>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のフレームステータスを分けて判定する。</a:t>
          </a:r>
          <a:r>
            <a:rPr lang="en-US" altLang="ja-JP" sz="1200" b="1">
              <a:solidFill>
                <a:sysClr val="windowText" lastClr="000000"/>
              </a:solidFill>
              <a:effectLst/>
              <a:latin typeface="Meiryo UI" panose="020B0604030504040204" pitchFamily="50" charset="-128"/>
              <a:ea typeface="Meiryo UI" panose="020B0604030504040204" pitchFamily="50" charset="-128"/>
            </a:rPr>
            <a:t>(IG-ON</a:t>
          </a:r>
          <a:r>
            <a:rPr lang="ja-JP" altLang="en-US" sz="1200" b="1">
              <a:solidFill>
                <a:sysClr val="windowText" lastClr="000000"/>
              </a:solidFill>
              <a:effectLst/>
              <a:latin typeface="Meiryo UI" panose="020B0604030504040204" pitchFamily="50" charset="-128"/>
              <a:ea typeface="Meiryo UI" panose="020B0604030504040204" pitchFamily="50" charset="-128"/>
            </a:rPr>
            <a:t>：前回値保持、</a:t>
          </a:r>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0)</a:t>
          </a: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IG-ON(</a:t>
          </a:r>
          <a:r>
            <a:rPr lang="ja-JP" altLang="en-US" sz="1200" b="1">
              <a:solidFill>
                <a:sysClr val="windowText" lastClr="000000"/>
              </a:solidFill>
              <a:effectLst/>
              <a:latin typeface="Meiryo UI" panose="020B0604030504040204" pitchFamily="50" charset="-128"/>
              <a:ea typeface="Meiryo UI" panose="020B0604030504040204" pitchFamily="50" charset="-128"/>
            </a:rPr>
            <a:t>前回値保持</a:t>
          </a:r>
          <a:r>
            <a:rPr lang="en-US" altLang="ja-JP" sz="1200" b="1">
              <a:solidFill>
                <a:sysClr val="windowText" lastClr="000000"/>
              </a:solidFill>
              <a:effectLst/>
              <a:latin typeface="Meiryo UI" panose="020B0604030504040204" pitchFamily="50" charset="-128"/>
              <a:ea typeface="Meiryo UI" panose="020B0604030504040204" pitchFamily="50" charset="-128"/>
            </a:rPr>
            <a:t>)</a:t>
          </a:r>
        </a:p>
        <a:p>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のフレームステータス：通信途絶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のフレームステータス：通信途絶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IG-OFF(0(</a:t>
          </a:r>
          <a:r>
            <a:rPr lang="ja-JP" altLang="en-US" sz="1200" b="1">
              <a:solidFill>
                <a:sysClr val="windowText" lastClr="000000"/>
              </a:solidFill>
              <a:effectLst/>
              <a:latin typeface="Meiryo UI" panose="020B0604030504040204" pitchFamily="50" charset="-128"/>
              <a:ea typeface="Meiryo UI" panose="020B0604030504040204" pitchFamily="50" charset="-128"/>
            </a:rPr>
            <a:t>非表示</a:t>
          </a:r>
          <a:r>
            <a:rPr lang="en-US" altLang="ja-JP" sz="1200" b="1">
              <a:solidFill>
                <a:sysClr val="windowText" lastClr="000000"/>
              </a:solidFill>
              <a:effectLst/>
              <a:latin typeface="Meiryo UI" panose="020B0604030504040204" pitchFamily="50" charset="-128"/>
              <a:ea typeface="Meiryo UI" panose="020B0604030504040204" pitchFamily="50" charset="-128"/>
            </a:rPr>
            <a:t>))</a:t>
          </a:r>
        </a:p>
        <a:p>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のフレームステータス：未受信</a:t>
          </a:r>
          <a:r>
            <a:rPr lang="en-US" altLang="ja-JP" sz="1200" b="1">
              <a:solidFill>
                <a:sysClr val="windowText" lastClr="000000"/>
              </a:solidFill>
              <a:effectLst/>
              <a:latin typeface="Meiryo UI" panose="020B0604030504040204" pitchFamily="50" charset="-128"/>
              <a:ea typeface="Meiryo UI" panose="020B0604030504040204" pitchFamily="50" charset="-128"/>
            </a:rPr>
            <a:t>or</a:t>
          </a:r>
          <a:r>
            <a:rPr lang="ja-JP" altLang="en-US" sz="1200" b="1">
              <a:solidFill>
                <a:sysClr val="windowText" lastClr="000000"/>
              </a:solidFill>
              <a:effectLst/>
              <a:latin typeface="Meiryo UI" panose="020B0604030504040204" pitchFamily="50" charset="-128"/>
              <a:ea typeface="Meiryo UI" panose="020B0604030504040204" pitchFamily="50" charset="-128"/>
            </a:rPr>
            <a:t>未受信途絶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896471</xdr:colOff>
      <xdr:row>20</xdr:row>
      <xdr:rowOff>33618</xdr:rowOff>
    </xdr:from>
    <xdr:to>
      <xdr:col>12</xdr:col>
      <xdr:colOff>1002925</xdr:colOff>
      <xdr:row>23</xdr:row>
      <xdr:rowOff>100851</xdr:rowOff>
    </xdr:to>
    <xdr:cxnSp macro="">
      <xdr:nvCxnSpPr>
        <xdr:cNvPr id="6" name="直線コネクタ 5">
          <a:extLst>
            <a:ext uri="{FF2B5EF4-FFF2-40B4-BE49-F238E27FC236}">
              <a16:creationId xmlns:a16="http://schemas.microsoft.com/office/drawing/2014/main" id="{5FDFF017-ADB8-0BC4-93BF-214748E7DE2F}"/>
            </a:ext>
          </a:extLst>
        </xdr:cNvPr>
        <xdr:cNvCxnSpPr>
          <a:stCxn id="7" idx="3"/>
        </xdr:cNvCxnSpPr>
      </xdr:nvCxnSpPr>
      <xdr:spPr>
        <a:xfrm flipH="1" flipV="1">
          <a:off x="9379324" y="5177118"/>
          <a:ext cx="1540807" cy="57149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44822</xdr:colOff>
      <xdr:row>56</xdr:row>
      <xdr:rowOff>56030</xdr:rowOff>
    </xdr:from>
    <xdr:to>
      <xdr:col>43</xdr:col>
      <xdr:colOff>504264</xdr:colOff>
      <xdr:row>73</xdr:row>
      <xdr:rowOff>33619</xdr:rowOff>
    </xdr:to>
    <xdr:sp macro="" textlink="">
      <xdr:nvSpPr>
        <xdr:cNvPr id="8" name="線吹き出し 1 (枠付き) 55">
          <a:extLst>
            <a:ext uri="{FF2B5EF4-FFF2-40B4-BE49-F238E27FC236}">
              <a16:creationId xmlns:a16="http://schemas.microsoft.com/office/drawing/2014/main" id="{090350DB-1A8F-4775-BEC2-F933F81DC80E}"/>
            </a:ext>
          </a:extLst>
        </xdr:cNvPr>
        <xdr:cNvSpPr/>
      </xdr:nvSpPr>
      <xdr:spPr>
        <a:xfrm>
          <a:off x="29583528" y="11250706"/>
          <a:ext cx="4560795" cy="2835089"/>
        </a:xfrm>
        <a:prstGeom prst="borderCallout1">
          <a:avLst>
            <a:gd name="adj1" fmla="val 38087"/>
            <a:gd name="adj2" fmla="val -1042"/>
            <a:gd name="adj3" fmla="val -20193"/>
            <a:gd name="adj4" fmla="val -20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ysClr val="windowText" lastClr="000000"/>
              </a:solidFill>
              <a:effectLst/>
              <a:latin typeface="Meiryo UI" panose="020B0604030504040204" pitchFamily="50" charset="-128"/>
              <a:ea typeface="Meiryo UI" panose="020B0604030504040204" pitchFamily="50" charset="-128"/>
            </a:rPr>
            <a:t>IG-ON</a:t>
          </a:r>
          <a:r>
            <a:rPr lang="ja-JP" altLang="en-US" sz="1200" b="1">
              <a:solidFill>
                <a:sysClr val="windowText" lastClr="000000"/>
              </a:solidFill>
              <a:effectLst/>
              <a:latin typeface="Meiryo UI" panose="020B0604030504040204" pitchFamily="50" charset="-128"/>
              <a:ea typeface="Meiryo UI" panose="020B0604030504040204" pitchFamily="50" charset="-128"/>
            </a:rPr>
            <a:t>と</a:t>
          </a:r>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時のフレーム通信途絶時にセットする値が変わるため、</a:t>
          </a:r>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のフレームステータスと</a:t>
          </a:r>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のフレームステータスを分けて判定する。</a:t>
          </a:r>
          <a:r>
            <a:rPr lang="en-US" altLang="ja-JP" sz="1200" b="1">
              <a:solidFill>
                <a:sysClr val="windowText" lastClr="000000"/>
              </a:solidFill>
              <a:effectLst/>
              <a:latin typeface="Meiryo UI" panose="020B0604030504040204" pitchFamily="50" charset="-128"/>
              <a:ea typeface="Meiryo UI" panose="020B0604030504040204" pitchFamily="50" charset="-128"/>
            </a:rPr>
            <a:t>(IG-ON</a:t>
          </a:r>
          <a:r>
            <a:rPr lang="ja-JP" altLang="en-US" sz="1200" b="1">
              <a:solidFill>
                <a:sysClr val="windowText" lastClr="000000"/>
              </a:solidFill>
              <a:effectLst/>
              <a:latin typeface="Meiryo UI" panose="020B0604030504040204" pitchFamily="50" charset="-128"/>
              <a:ea typeface="Meiryo UI" panose="020B0604030504040204" pitchFamily="50" charset="-128"/>
            </a:rPr>
            <a:t>：前回値保持、</a:t>
          </a:r>
          <a:r>
            <a:rPr lang="en-US" altLang="ja-JP" sz="1200" b="1">
              <a:solidFill>
                <a:sysClr val="windowText" lastClr="000000"/>
              </a:solidFill>
              <a:effectLst/>
              <a:latin typeface="Meiryo UI" panose="020B0604030504040204" pitchFamily="50" charset="-128"/>
              <a:ea typeface="Meiryo UI" panose="020B0604030504040204" pitchFamily="50" charset="-128"/>
            </a:rPr>
            <a:t>IG-OFF</a:t>
          </a:r>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0)</a:t>
          </a: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IG-ON(</a:t>
          </a:r>
          <a:r>
            <a:rPr lang="ja-JP" altLang="en-US" sz="1200" b="1">
              <a:solidFill>
                <a:sysClr val="windowText" lastClr="000000"/>
              </a:solidFill>
              <a:effectLst/>
              <a:latin typeface="Meiryo UI" panose="020B0604030504040204" pitchFamily="50" charset="-128"/>
              <a:ea typeface="Meiryo UI" panose="020B0604030504040204" pitchFamily="50" charset="-128"/>
            </a:rPr>
            <a:t>前回値保持</a:t>
          </a:r>
          <a:r>
            <a:rPr lang="en-US" altLang="ja-JP" sz="1200" b="1">
              <a:solidFill>
                <a:sysClr val="windowText" lastClr="000000"/>
              </a:solidFill>
              <a:effectLst/>
              <a:latin typeface="Meiryo UI" panose="020B0604030504040204" pitchFamily="50" charset="-128"/>
              <a:ea typeface="Meiryo UI" panose="020B0604030504040204" pitchFamily="50" charset="-128"/>
            </a:rPr>
            <a:t>)</a:t>
          </a:r>
        </a:p>
        <a:p>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のフレームステータス：通信途絶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のフレームステータス：通信途絶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ja-JP" altLang="en-US" sz="1200" b="1">
              <a:solidFill>
                <a:sysClr val="windowText" lastClr="000000"/>
              </a:solidFill>
              <a:effectLst/>
              <a:latin typeface="Meiryo UI" panose="020B0604030504040204" pitchFamily="50" charset="-128"/>
              <a:ea typeface="Meiryo UI" panose="020B0604030504040204" pitchFamily="50" charset="-128"/>
            </a:rPr>
            <a:t>■</a:t>
          </a:r>
          <a:r>
            <a:rPr lang="en-US" altLang="ja-JP" sz="1200" b="1">
              <a:solidFill>
                <a:sysClr val="windowText" lastClr="000000"/>
              </a:solidFill>
              <a:effectLst/>
              <a:latin typeface="Meiryo UI" panose="020B0604030504040204" pitchFamily="50" charset="-128"/>
              <a:ea typeface="Meiryo UI" panose="020B0604030504040204" pitchFamily="50" charset="-128"/>
            </a:rPr>
            <a:t>IG-OFF(0(</a:t>
          </a:r>
          <a:r>
            <a:rPr lang="ja-JP" altLang="en-US" sz="1200" b="1">
              <a:solidFill>
                <a:sysClr val="windowText" lastClr="000000"/>
              </a:solidFill>
              <a:effectLst/>
              <a:latin typeface="Meiryo UI" panose="020B0604030504040204" pitchFamily="50" charset="-128"/>
              <a:ea typeface="Meiryo UI" panose="020B0604030504040204" pitchFamily="50" charset="-128"/>
            </a:rPr>
            <a:t>非表示</a:t>
          </a:r>
          <a:r>
            <a:rPr lang="en-US" altLang="ja-JP" sz="1200" b="1">
              <a:solidFill>
                <a:sysClr val="windowText" lastClr="000000"/>
              </a:solidFill>
              <a:effectLst/>
              <a:latin typeface="Meiryo UI" panose="020B0604030504040204" pitchFamily="50" charset="-128"/>
              <a:ea typeface="Meiryo UI" panose="020B0604030504040204" pitchFamily="50" charset="-128"/>
            </a:rPr>
            <a:t>))</a:t>
          </a:r>
        </a:p>
        <a:p>
          <a:r>
            <a:rPr lang="en-US" altLang="ja-JP" sz="1200" b="1">
              <a:solidFill>
                <a:sysClr val="windowText" lastClr="000000"/>
              </a:solidFill>
              <a:effectLst/>
              <a:latin typeface="Meiryo UI" panose="020B0604030504040204" pitchFamily="50" charset="-128"/>
              <a:ea typeface="Meiryo UI" panose="020B0604030504040204" pitchFamily="50" charset="-128"/>
            </a:rPr>
            <a:t>ACC</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r>
            <a:rPr lang="en-US" altLang="ja-JP" sz="1200" b="1">
              <a:solidFill>
                <a:sysClr val="windowText" lastClr="000000"/>
              </a:solidFill>
              <a:effectLst/>
              <a:latin typeface="Meiryo UI" panose="020B0604030504040204" pitchFamily="50" charset="-128"/>
              <a:ea typeface="Meiryo UI" panose="020B0604030504040204" pitchFamily="50" charset="-128"/>
            </a:rPr>
            <a:t>IG</a:t>
          </a:r>
          <a:r>
            <a:rPr lang="ja-JP" altLang="en-US" sz="1200" b="1">
              <a:solidFill>
                <a:sysClr val="windowText" lastClr="000000"/>
              </a:solidFill>
              <a:effectLst/>
              <a:latin typeface="Meiryo UI" panose="020B0604030504040204" pitchFamily="50" charset="-128"/>
              <a:ea typeface="Meiryo UI" panose="020B0604030504040204" pitchFamily="50" charset="-128"/>
            </a:rPr>
            <a:t>のフレームステータス：未受信</a:t>
          </a:r>
          <a:r>
            <a:rPr lang="en-US" altLang="ja-JP" sz="1200" b="1">
              <a:solidFill>
                <a:sysClr val="windowText" lastClr="000000"/>
              </a:solidFill>
              <a:effectLst/>
              <a:latin typeface="Meiryo UI" panose="020B0604030504040204" pitchFamily="50" charset="-128"/>
              <a:ea typeface="Meiryo UI" panose="020B0604030504040204" pitchFamily="50" charset="-128"/>
            </a:rPr>
            <a:t>or</a:t>
          </a:r>
          <a:r>
            <a:rPr lang="ja-JP" altLang="en-US" sz="1200" b="1">
              <a:solidFill>
                <a:sysClr val="windowText" lastClr="000000"/>
              </a:solidFill>
              <a:effectLst/>
              <a:latin typeface="Meiryo UI" panose="020B0604030504040204" pitchFamily="50" charset="-128"/>
              <a:ea typeface="Meiryo UI" panose="020B0604030504040204" pitchFamily="50" charset="-128"/>
            </a:rPr>
            <a:t>未受信途絶</a:t>
          </a:r>
          <a:endParaRPr lang="en-US" altLang="ja-JP" sz="1200" b="1">
            <a:solidFill>
              <a:sysClr val="windowText" lastClr="000000"/>
            </a:solidFill>
            <a:effectLst/>
            <a:latin typeface="Meiryo UI" panose="020B0604030504040204" pitchFamily="50" charset="-128"/>
            <a:ea typeface="Meiryo UI" panose="020B0604030504040204" pitchFamily="50" charset="-128"/>
          </a:endParaRPr>
        </a:p>
        <a:p>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メイン"/>
      <sheetName val="一覧１"/>
      <sheetName val="MOTO"/>
      <sheetName val="ERRＩＤ90"/>
      <sheetName val="No.31"/>
      <sheetName val="Cover"/>
      <sheetName val="LS1 and LS2"/>
      <sheetName val="00"/>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6770T02"/>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Risk &amp; Opps"/>
      <sheetName val="長計対比"/>
      <sheetName val="Sheet2"/>
      <sheetName val="NAME"/>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_"/>
      <sheetName val="設品表01-3-23作成"/>
      <sheetName val="ﾌﾟﾙﾀﾞｳﾝﾒﾆｭｰ"/>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BUYERS"/>
      <sheetName val="Status"/>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本修正_DIFF "/>
      <sheetName val="Sector Assignment"/>
      <sheetName val="PROFILE"/>
      <sheetName val="CæÊ _x005f_x0015_ Op"/>
      <sheetName val="ƒƒCƒ“‰æ–Ê _x005f_x0015_ Op"/>
      <sheetName val="メイン画面 _x005f_x0015_ Op"/>
      <sheetName val="車両仕様_x005f_x0000__x005f_x0000_毛_x005f_x0000_利_x00"/>
      <sheetName val="車両仕様_x005f_x0000_ᵣ逰ᵣ邀ᵣ郰ᵣ"/>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同時加工品番"/>
      <sheetName val="F4301"/>
      <sheetName val="ｺﾝﾋﾞ"/>
      <sheetName val="Config - dspmgr"/>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IMV LIST 2003"/>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分类数据"/>
      <sheetName val="集計"/>
      <sheetName val="選定一覧"/>
      <sheetName val="階層一覧"/>
      <sheetName val="用語集"/>
      <sheetName val="【参考】AD計算"/>
      <sheetName val="リスト"/>
      <sheetName val="vocabulary"/>
      <sheetName val="Calibration"/>
      <sheetName val="CVBS"/>
      <sheetName val="RGB"/>
      <sheetName val="パラメータ設定表"/>
      <sheetName val="option"/>
      <sheetName val="追加検討（調光外部出力）"/>
      <sheetName val="Inf"/>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ListWork"/>
      <sheetName val="市販STD Mecha（PTM)"/>
      <sheetName val="#REF!"/>
      <sheetName val="Data Definition"/>
      <sheetName val="C-55227AB"/>
      <sheetName val="PAGE3"/>
      <sheetName val="Steuerung"/>
      <sheetName val="SUM"/>
      <sheetName val="ﾄﾗｯｸ"/>
      <sheetName val="00"/>
      <sheetName val="課題管理"/>
      <sheetName val="FMEA記載方法"/>
      <sheetName val="FC_まとめる"/>
      <sheetName val="車両仕様_4___x0011__x00"/>
      <sheetName val="ドメインリスト"/>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入力規則"/>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RAM_FMEA_CS（FMEA記載方法）"/>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XSSマイコン依存部 (基本設定)"/>
      <sheetName val="ハード"/>
      <sheetName val="DataList"/>
      <sheetName val="計画"/>
      <sheetName val="字段定义"/>
      <sheetName val="rom map"/>
      <sheetName val="議事・勧告一覧"/>
      <sheetName val="excludedmodels"/>
      <sheetName val="#入力規則"/>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ar"/>
      <sheetName val="Index"/>
      <sheetName val="Defined Layout Screen_Ver.0.6"/>
      <sheetName val="９ｘ"/>
      <sheetName val="Ｂｘ"/>
      <sheetName val="Ｃｘ"/>
      <sheetName val="Ｅｘ"/>
      <sheetName val="STEP1-Definition"/>
      <sheetName val="特、実まとめ"/>
      <sheetName val="config"/>
      <sheetName val="地点情報データ応答"/>
      <sheetName val="MIS REPORT "/>
      <sheetName val="（別紙5-1）PP02簡素化"/>
      <sheetName val="universal"/>
      <sheetName val="Cost Casting"/>
      <sheetName val="paint mtrl"/>
      <sheetName val="corolla_095W_"/>
      <sheetName val="dyna"/>
      <sheetName val="FC"/>
      <sheetName val="入力パラメータ"/>
      <sheetName val="改正履歴"/>
      <sheetName val="リスト選択用"/>
      <sheetName val="变更履历"/>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DetailSequence"/>
      <sheetName val="InterFace"/>
      <sheetName val="FBtbl"/>
      <sheetName val="リスト画面"/>
      <sheetName val="特殊画面"/>
      <sheetName val="入力画面"/>
      <sheetName val="メッセージ受信開始"/>
      <sheetName val="Mark"/>
      <sheetName val="Contents"/>
      <sheetName val="車両仕様4_ "/>
      <sheetName val="Menu List"/>
      <sheetName val="ドメイン一覧"/>
      <sheetName val="検査シート"/>
      <sheetName val="Cover"/>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需求与代码对比"/>
      <sheetName val="ドメイン"/>
      <sheetName val="tda30al"/>
      <sheetName val="ﾃﾞｰﾀﾍﾞｰｽ"/>
      <sheetName val="メニュー"/>
      <sheetName val="修正ﾌｧｲﾙ一覧"/>
      <sheetName val="HMI-004_Screen（old）"/>
      <sheetName val="メイン"/>
      <sheetName val="一覧１"/>
      <sheetName val="入力候補"/>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ow r="1">
          <cell r="B1" t="str">
            <v>1</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1">
          <cell r="B1" t="str">
            <v>1</v>
          </cell>
        </row>
      </sheetData>
      <sheetData sheetId="63">
        <row r="1">
          <cell r="B1" t="str">
            <v>1</v>
          </cell>
        </row>
      </sheetData>
      <sheetData sheetId="64">
        <row r="1">
          <cell r="B1" t="str">
            <v>1</v>
          </cell>
        </row>
      </sheetData>
      <sheetData sheetId="65">
        <row r="1">
          <cell r="B1" t="str">
            <v>1</v>
          </cell>
        </row>
      </sheetData>
      <sheetData sheetId="66" refreshError="1"/>
      <sheetData sheetId="67" refreshError="1"/>
      <sheetData sheetId="68" refreshError="1"/>
      <sheetData sheetId="69" refreshError="1"/>
      <sheetData sheetId="70">
        <row r="1">
          <cell r="B1" t="str">
            <v>1</v>
          </cell>
        </row>
      </sheetData>
      <sheetData sheetId="71">
        <row r="1">
          <cell r="B1" t="str">
            <v>1</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1">
          <cell r="B1" t="str">
            <v>1</v>
          </cell>
        </row>
      </sheetData>
      <sheetData sheetId="314">
        <row r="1">
          <cell r="B1" t="str">
            <v>1</v>
          </cell>
        </row>
      </sheetData>
      <sheetData sheetId="315">
        <row r="1">
          <cell r="B1" t="str">
            <v>1</v>
          </cell>
        </row>
      </sheetData>
      <sheetData sheetId="316">
        <row r="1">
          <cell r="B1" t="str">
            <v>1</v>
          </cell>
        </row>
      </sheetData>
      <sheetData sheetId="317">
        <row r="1">
          <cell r="B1" t="str">
            <v>1</v>
          </cell>
        </row>
      </sheetData>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A1" t="str">
            <v>ﾄﾖﾀ自動車株式会社　調達本部　</v>
          </cell>
        </row>
      </sheetData>
      <sheetData sheetId="459">
        <row r="1">
          <cell r="A1" t="str">
            <v>ﾄﾖﾀ自動車株式会社　調達本部　</v>
          </cell>
        </row>
      </sheetData>
      <sheetData sheetId="460">
        <row r="1">
          <cell r="A1" t="str">
            <v>ﾄﾖﾀ自動車株式会社　調達本部　</v>
          </cell>
        </row>
      </sheetData>
      <sheetData sheetId="461">
        <row r="1">
          <cell r="A1" t="str">
            <v>ﾄﾖﾀ自動車株式会社　調達本部　</v>
          </cell>
        </row>
      </sheetData>
      <sheetData sheetId="462">
        <row r="1">
          <cell r="A1" t="str">
            <v>ﾄﾖﾀ自動車株式会社　調達本部　</v>
          </cell>
        </row>
      </sheetData>
      <sheetData sheetId="463">
        <row r="1">
          <cell r="A1" t="str">
            <v>ﾄﾖﾀ自動車株式会社　調達本部　</v>
          </cell>
        </row>
      </sheetData>
      <sheetData sheetId="464">
        <row r="1">
          <cell r="A1" t="str">
            <v>ﾄﾖﾀ自動車株式会社　調達本部　</v>
          </cell>
        </row>
      </sheetData>
      <sheetData sheetId="465">
        <row r="1">
          <cell r="A1" t="str">
            <v>ﾄﾖﾀ自動車株式会社　調達本部　</v>
          </cell>
        </row>
      </sheetData>
      <sheetData sheetId="466">
        <row r="1">
          <cell r="A1" t="str">
            <v>ﾄﾖﾀ自動車株式会社　調達本部　</v>
          </cell>
        </row>
      </sheetData>
      <sheetData sheetId="467">
        <row r="1">
          <cell r="A1" t="str">
            <v>ﾄﾖﾀ自動車株式会社　調達本部　</v>
          </cell>
        </row>
      </sheetData>
      <sheetData sheetId="468">
        <row r="1">
          <cell r="A1" t="str">
            <v>ﾄﾖﾀ自動車株式会社　調達本部　</v>
          </cell>
        </row>
      </sheetData>
      <sheetData sheetId="469">
        <row r="1">
          <cell r="A1" t="str">
            <v>ﾄﾖﾀ自動車株式会社　調達本部　</v>
          </cell>
        </row>
      </sheetData>
      <sheetData sheetId="470">
        <row r="1">
          <cell r="A1" t="str">
            <v>ﾄﾖﾀ自動車株式会社　調達本部　</v>
          </cell>
        </row>
      </sheetData>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B1" t="str">
            <v>1</v>
          </cell>
        </row>
      </sheetData>
      <sheetData sheetId="499">
        <row r="1">
          <cell r="A1" t="str">
            <v>ﾄﾖﾀ自動車株式会社　調達本部　</v>
          </cell>
        </row>
      </sheetData>
      <sheetData sheetId="500">
        <row r="1">
          <cell r="A1" t="str">
            <v>ﾄﾖﾀ自動車株式会社　調達本部　</v>
          </cell>
        </row>
      </sheetData>
      <sheetData sheetId="501">
        <row r="1">
          <cell r="A1" t="str">
            <v>ﾄﾖﾀ自動車株式会社　調達本部　</v>
          </cell>
        </row>
      </sheetData>
      <sheetData sheetId="502">
        <row r="1">
          <cell r="A1" t="str">
            <v>ﾄﾖﾀ自動車株式会社　調達本部　</v>
          </cell>
        </row>
      </sheetData>
      <sheetData sheetId="503">
        <row r="1">
          <cell r="A1" t="str">
            <v>ﾄﾖﾀ自動車株式会社　調達本部　</v>
          </cell>
        </row>
      </sheetData>
      <sheetData sheetId="504">
        <row r="1">
          <cell r="A1" t="str">
            <v>ﾄﾖﾀ自動車株式会社　調達本部　</v>
          </cell>
        </row>
      </sheetData>
      <sheetData sheetId="505">
        <row r="1">
          <cell r="A1" t="str">
            <v>ﾄﾖﾀ自動車株式会社　調達本部　</v>
          </cell>
        </row>
      </sheetData>
      <sheetData sheetId="506">
        <row r="1">
          <cell r="A1" t="str">
            <v>ﾄﾖﾀ自動車株式会社　調達本部　</v>
          </cell>
        </row>
      </sheetData>
      <sheetData sheetId="507">
        <row r="1">
          <cell r="A1" t="str">
            <v>ﾄﾖﾀ自動車株式会社　調達本部　</v>
          </cell>
        </row>
      </sheetData>
      <sheetData sheetId="508">
        <row r="1">
          <cell r="A1" t="str">
            <v>ﾄﾖﾀ自動車株式会社　調達本部　</v>
          </cell>
        </row>
      </sheetData>
      <sheetData sheetId="509">
        <row r="1">
          <cell r="A1" t="str">
            <v>ﾄﾖﾀ自動車株式会社　調達本部　</v>
          </cell>
        </row>
      </sheetData>
      <sheetData sheetId="510">
        <row r="1">
          <cell r="A1" t="str">
            <v>ﾄﾖﾀ自動車株式会社　調達本部　</v>
          </cell>
        </row>
      </sheetData>
      <sheetData sheetId="511">
        <row r="1">
          <cell r="A1" t="str">
            <v>ﾄﾖﾀ自動車株式会社　調達本部　</v>
          </cell>
        </row>
      </sheetData>
      <sheetData sheetId="512">
        <row r="1">
          <cell r="A1" t="str">
            <v>ﾄﾖﾀ自動車株式会社　調達本部　</v>
          </cell>
        </row>
      </sheetData>
      <sheetData sheetId="513">
        <row r="1">
          <cell r="A1" t="str">
            <v>ﾄﾖﾀ自動車株式会社　調達本部　</v>
          </cell>
        </row>
      </sheetData>
      <sheetData sheetId="514">
        <row r="1">
          <cell r="A1" t="str">
            <v>ﾄﾖﾀ自動車株式会社　調達本部　</v>
          </cell>
        </row>
      </sheetData>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A1" t="str">
            <v>ﾄﾖﾀ自動車株式会社　調達本部　</v>
          </cell>
        </row>
      </sheetData>
      <sheetData sheetId="519">
        <row r="1">
          <cell r="A1" t="str">
            <v>ﾄﾖﾀ自動車株式会社　調達本部　</v>
          </cell>
        </row>
      </sheetData>
      <sheetData sheetId="520">
        <row r="1">
          <cell r="A1" t="str">
            <v>ﾄﾖﾀ自動車株式会社　調達本部　</v>
          </cell>
        </row>
      </sheetData>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ow r="1">
          <cell r="B1" t="str">
            <v>1</v>
          </cell>
        </row>
      </sheetData>
      <sheetData sheetId="1249">
        <row r="1">
          <cell r="B1" t="str">
            <v>1</v>
          </cell>
        </row>
      </sheetData>
      <sheetData sheetId="1250">
        <row r="1">
          <cell r="B1" t="str">
            <v>1</v>
          </cell>
        </row>
      </sheetData>
      <sheetData sheetId="1251">
        <row r="1">
          <cell r="B1" t="str">
            <v>1</v>
          </cell>
        </row>
      </sheetData>
      <sheetData sheetId="1252">
        <row r="1">
          <cell r="B1" t="str">
            <v>1</v>
          </cell>
        </row>
      </sheetData>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ow r="3">
          <cell r="C3" t="str">
            <v>2022年</v>
          </cell>
        </row>
      </sheetData>
      <sheetData sheetId="1298">
        <row r="1">
          <cell r="B1" t="str">
            <v>1</v>
          </cell>
        </row>
      </sheetData>
      <sheetData sheetId="1299">
        <row r="1">
          <cell r="B1" t="str">
            <v>1</v>
          </cell>
        </row>
      </sheetData>
      <sheetData sheetId="1300" refreshError="1"/>
      <sheetData sheetId="1301" refreshError="1"/>
      <sheetData sheetId="1302">
        <row r="1">
          <cell r="A1" t="str">
            <v>ﾄﾖﾀ自動車株式会社　調達本部　</v>
          </cell>
        </row>
      </sheetData>
      <sheetData sheetId="1303">
        <row r="1">
          <cell r="B1" t="str">
            <v>1</v>
          </cell>
        </row>
      </sheetData>
      <sheetData sheetId="1304">
        <row r="1">
          <cell r="A1" t="str">
            <v>ﾄﾖﾀ自動車株式会社　調達本部　</v>
          </cell>
        </row>
      </sheetData>
      <sheetData sheetId="1305">
        <row r="1">
          <cell r="B1" t="str">
            <v>1</v>
          </cell>
        </row>
      </sheetData>
      <sheetData sheetId="1306">
        <row r="1">
          <cell r="B1" t="str">
            <v>1</v>
          </cell>
        </row>
      </sheetData>
      <sheetData sheetId="1307">
        <row r="1">
          <cell r="B1" t="str">
            <v>1</v>
          </cell>
        </row>
      </sheetData>
      <sheetData sheetId="1308">
        <row r="1">
          <cell r="A1" t="str">
            <v>ﾄﾖﾀ自動車株式会社　調達本部　</v>
          </cell>
        </row>
      </sheetData>
      <sheetData sheetId="1309">
        <row r="1">
          <cell r="A1" t="str">
            <v>ﾄﾖﾀ自動車株式会社　調達本部　</v>
          </cell>
        </row>
      </sheetData>
      <sheetData sheetId="1310">
        <row r="1">
          <cell r="A1" t="str">
            <v>ﾄﾖﾀ自動車株式会社　調達本部　</v>
          </cell>
        </row>
      </sheetData>
      <sheetData sheetId="1311">
        <row r="1">
          <cell r="B1" t="str">
            <v>1</v>
          </cell>
        </row>
      </sheetData>
      <sheetData sheetId="1312" refreshError="1"/>
      <sheetData sheetId="1313" refreshError="1"/>
      <sheetData sheetId="1314" refreshError="1"/>
      <sheetData sheetId="1315" refreshError="1"/>
      <sheetData sheetId="1316" refreshError="1"/>
      <sheetData sheetId="1317" refreshError="1"/>
      <sheetData sheetId="1318" refreshError="1"/>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sheetData sheetId="1396"/>
      <sheetData sheetId="1397" refreshError="1"/>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sheetData sheetId="1543"/>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3">
          <cell r="B3" t="str">
            <v>TOYOTA   TSUSHO  PHILIPPINES CORPORATION</v>
          </cell>
        </row>
      </sheetData>
      <sheetData sheetId="1575">
        <row r="3">
          <cell r="B3" t="str">
            <v>TOYOTA   TSUSHO  PHILIPPINES CORPORATION</v>
          </cell>
        </row>
      </sheetData>
      <sheetData sheetId="1576">
        <row r="3">
          <cell r="B3" t="str">
            <v>TOYOTA   TSUSHO  PHILIPPINES CORPORATION</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refreshError="1"/>
      <sheetData sheetId="2976"/>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sheetData sheetId="5284" refreshError="1"/>
      <sheetData sheetId="5285" refreshError="1"/>
      <sheetData sheetId="52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aip/toyota/rd/spec/tags/800B/00.Product/v2.0.4/ECU/MET/" TargetMode="External"/><Relationship Id="rId1" Type="http://schemas.openxmlformats.org/officeDocument/2006/relationships/hyperlink" Target="https://aip01.dndev.net/svn/aip/toyota/rd/spec/tags/800B/00.Product/v2.0.4/ECU/MET/"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E3D6-4A6D-45CE-85A4-436986FC21F0}">
  <sheetPr>
    <tabColor theme="5"/>
  </sheetPr>
  <dimension ref="C1:AM57"/>
  <sheetViews>
    <sheetView showGridLines="0" view="pageBreakPreview" zoomScaleNormal="100" zoomScaleSheetLayoutView="100" workbookViewId="0"/>
  </sheetViews>
  <sheetFormatPr defaultColWidth="8.875" defaultRowHeight="15.75"/>
  <cols>
    <col min="1" max="52" width="2.25" style="201" customWidth="1"/>
    <col min="53" max="16384" width="8.875" style="20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2"/>
    </row>
    <row r="11" spans="6:20" ht="13.15" customHeight="1"/>
    <row r="12" spans="6:20" ht="13.15" customHeight="1"/>
    <row r="13" spans="6:20" ht="13.15" customHeight="1">
      <c r="T13" s="203" t="str">
        <f ca="1">MID(CELL("filename",A1),FIND("[",CELL("filename",A1))+1,FIND("]",CELL("filename",A1))-FIND("[",CELL("filename",A1))-1)</f>
        <v>alert_D_SECDDC-CSTD-0-00-A-C0.xlsx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4"/>
      <c r="V32" s="204"/>
    </row>
    <row r="33" spans="3:39" ht="13.15" customHeight="1">
      <c r="M33" s="205"/>
      <c r="N33" s="205"/>
      <c r="O33" s="205"/>
      <c r="P33" s="205"/>
      <c r="Q33" s="205"/>
      <c r="AF33" s="205"/>
      <c r="AG33" s="205"/>
      <c r="AH33" s="205"/>
      <c r="AI33" s="205"/>
      <c r="AJ33" s="205"/>
    </row>
    <row r="34" spans="3:39" ht="13.15" customHeight="1">
      <c r="Y34" s="139" t="s">
        <v>222</v>
      </c>
    </row>
    <row r="35" spans="3:39" ht="13.15" customHeight="1">
      <c r="Y35" s="247" t="s">
        <v>223</v>
      </c>
      <c r="Z35" s="248"/>
      <c r="AA35" s="248"/>
      <c r="AB35" s="248"/>
      <c r="AC35" s="249"/>
      <c r="AD35" s="247" t="s">
        <v>224</v>
      </c>
      <c r="AE35" s="248"/>
      <c r="AF35" s="248"/>
      <c r="AG35" s="248"/>
      <c r="AH35" s="249"/>
      <c r="AI35" s="247" t="s">
        <v>225</v>
      </c>
      <c r="AJ35" s="248"/>
      <c r="AK35" s="248"/>
      <c r="AL35" s="248"/>
      <c r="AM35" s="249"/>
    </row>
    <row r="36" spans="3:39" ht="13.15" customHeight="1">
      <c r="D36" s="205"/>
      <c r="E36" s="206"/>
      <c r="F36" s="205"/>
      <c r="G36" s="205"/>
      <c r="I36" s="205"/>
      <c r="J36" s="206"/>
      <c r="K36" s="205"/>
      <c r="L36" s="205"/>
      <c r="M36" s="205"/>
      <c r="N36" s="205"/>
      <c r="O36" s="206"/>
      <c r="P36" s="205"/>
      <c r="Q36" s="205"/>
      <c r="W36" s="205"/>
      <c r="X36" s="206"/>
      <c r="Y36" s="207"/>
      <c r="Z36" s="208"/>
      <c r="AA36" s="208"/>
      <c r="AB36" s="208"/>
      <c r="AC36" s="209"/>
      <c r="AD36" s="207"/>
      <c r="AE36" s="208"/>
      <c r="AF36" s="208"/>
      <c r="AG36" s="208"/>
      <c r="AH36" s="209"/>
      <c r="AI36" s="207"/>
      <c r="AJ36" s="208"/>
      <c r="AK36" s="208"/>
      <c r="AL36" s="208"/>
      <c r="AM36" s="209"/>
    </row>
    <row r="37" spans="3:39" ht="13.15" customHeight="1">
      <c r="Y37" s="210"/>
      <c r="AC37" s="211"/>
      <c r="AD37" s="210"/>
      <c r="AH37" s="211"/>
      <c r="AI37" s="210"/>
      <c r="AM37" s="211"/>
    </row>
    <row r="38" spans="3:39" ht="13.15" customHeight="1">
      <c r="Y38" s="210"/>
      <c r="Z38" s="205"/>
      <c r="AA38" s="206" t="s">
        <v>226</v>
      </c>
      <c r="AB38" s="205"/>
      <c r="AC38" s="212"/>
      <c r="AD38" s="210"/>
      <c r="AE38" s="205"/>
      <c r="AF38" s="206" t="s">
        <v>227</v>
      </c>
      <c r="AG38" s="205"/>
      <c r="AH38" s="212"/>
      <c r="AI38" s="213"/>
      <c r="AJ38" s="205"/>
      <c r="AK38" s="206" t="s">
        <v>228</v>
      </c>
      <c r="AL38" s="205"/>
      <c r="AM38" s="212"/>
    </row>
    <row r="39" spans="3:39" ht="13.15" customHeight="1">
      <c r="Y39" s="210"/>
      <c r="AC39" s="211"/>
      <c r="AD39" s="210"/>
      <c r="AH39" s="211"/>
      <c r="AI39" s="210"/>
      <c r="AM39" s="211"/>
    </row>
    <row r="40" spans="3:39" ht="13.15" customHeight="1">
      <c r="C40" s="204"/>
      <c r="V40" s="204"/>
      <c r="Y40" s="214"/>
      <c r="Z40" s="215"/>
      <c r="AA40" s="215"/>
      <c r="AB40" s="215"/>
      <c r="AC40" s="216"/>
      <c r="AD40" s="214"/>
      <c r="AE40" s="215"/>
      <c r="AF40" s="215"/>
      <c r="AG40" s="215"/>
      <c r="AH40" s="216"/>
      <c r="AI40" s="214"/>
      <c r="AJ40" s="215"/>
      <c r="AK40" s="215"/>
      <c r="AL40" s="215"/>
      <c r="AM40" s="216"/>
    </row>
    <row r="41" spans="3:39" ht="13.15" customHeight="1"/>
    <row r="42" spans="3:39" ht="13.15" customHeight="1">
      <c r="Y42" s="204" t="s">
        <v>229</v>
      </c>
    </row>
    <row r="43" spans="3:39" ht="13.15" customHeight="1">
      <c r="Y43" s="247" t="s">
        <v>223</v>
      </c>
      <c r="Z43" s="248"/>
      <c r="AA43" s="248"/>
      <c r="AB43" s="248"/>
      <c r="AC43" s="249"/>
      <c r="AD43" s="247" t="s">
        <v>224</v>
      </c>
      <c r="AE43" s="248"/>
      <c r="AF43" s="248"/>
      <c r="AG43" s="248"/>
      <c r="AH43" s="249"/>
      <c r="AI43" s="247" t="s">
        <v>225</v>
      </c>
      <c r="AJ43" s="248"/>
      <c r="AK43" s="248"/>
      <c r="AL43" s="248"/>
      <c r="AM43" s="249"/>
    </row>
    <row r="44" spans="3:39" ht="13.15" customHeight="1">
      <c r="D44" s="205"/>
      <c r="E44" s="206"/>
      <c r="F44" s="205"/>
      <c r="G44" s="205"/>
      <c r="H44" s="205"/>
      <c r="I44" s="205"/>
      <c r="J44" s="206"/>
      <c r="K44" s="205"/>
      <c r="L44" s="205"/>
      <c r="M44" s="205"/>
      <c r="N44" s="205"/>
      <c r="O44" s="206"/>
      <c r="P44" s="205"/>
      <c r="Q44" s="205"/>
      <c r="W44" s="205"/>
      <c r="X44" s="206"/>
      <c r="Y44" s="207"/>
      <c r="Z44" s="208"/>
      <c r="AA44" s="208"/>
      <c r="AB44" s="208"/>
      <c r="AC44" s="209"/>
      <c r="AD44" s="208"/>
      <c r="AE44" s="208"/>
      <c r="AF44" s="208"/>
      <c r="AG44" s="208"/>
      <c r="AH44" s="209"/>
      <c r="AI44" s="207"/>
      <c r="AJ44" s="208"/>
      <c r="AK44" s="208"/>
      <c r="AL44" s="208"/>
      <c r="AM44" s="209"/>
    </row>
    <row r="45" spans="3:39" ht="13.15" customHeight="1">
      <c r="Y45" s="210"/>
      <c r="AC45" s="211"/>
      <c r="AH45" s="211"/>
      <c r="AI45" s="210"/>
      <c r="AM45" s="211"/>
    </row>
    <row r="46" spans="3:39" ht="13.15" customHeight="1">
      <c r="Y46" s="210"/>
      <c r="Z46" s="205"/>
      <c r="AA46" s="206" t="s">
        <v>230</v>
      </c>
      <c r="AB46" s="205"/>
      <c r="AC46" s="212"/>
      <c r="AD46" s="205"/>
      <c r="AE46" s="205"/>
      <c r="AF46" s="206" t="s">
        <v>231</v>
      </c>
      <c r="AG46" s="205"/>
      <c r="AH46" s="212"/>
      <c r="AI46" s="213"/>
      <c r="AJ46" s="205"/>
      <c r="AK46" s="206" t="s">
        <v>232</v>
      </c>
      <c r="AL46" s="205"/>
      <c r="AM46" s="212"/>
    </row>
    <row r="47" spans="3:39" ht="13.15" customHeight="1">
      <c r="Y47" s="210"/>
      <c r="AC47" s="211"/>
      <c r="AH47" s="211"/>
      <c r="AI47" s="210"/>
      <c r="AM47" s="211"/>
    </row>
    <row r="48" spans="3:39" ht="13.15" customHeight="1">
      <c r="C48" s="204"/>
      <c r="V48" s="204"/>
      <c r="Y48" s="214"/>
      <c r="Z48" s="215"/>
      <c r="AA48" s="215"/>
      <c r="AB48" s="215"/>
      <c r="AC48" s="216"/>
      <c r="AD48" s="215"/>
      <c r="AE48" s="215"/>
      <c r="AF48" s="215"/>
      <c r="AG48" s="215"/>
      <c r="AH48" s="216"/>
      <c r="AI48" s="214"/>
      <c r="AJ48" s="215"/>
      <c r="AK48" s="215"/>
      <c r="AL48" s="215"/>
      <c r="AM48" s="216"/>
    </row>
    <row r="49" spans="4:39" ht="13.15" customHeight="1"/>
    <row r="50" spans="4:39" ht="13.15" customHeight="1">
      <c r="Y50" s="204" t="s">
        <v>233</v>
      </c>
    </row>
    <row r="51" spans="4:39" ht="13.15" customHeight="1">
      <c r="Y51" s="247" t="s">
        <v>223</v>
      </c>
      <c r="Z51" s="248"/>
      <c r="AA51" s="248"/>
      <c r="AB51" s="248"/>
      <c r="AC51" s="249"/>
      <c r="AD51" s="247" t="s">
        <v>224</v>
      </c>
      <c r="AE51" s="248"/>
      <c r="AF51" s="248"/>
      <c r="AG51" s="248"/>
      <c r="AH51" s="249"/>
      <c r="AI51" s="247" t="s">
        <v>225</v>
      </c>
      <c r="AJ51" s="248"/>
      <c r="AK51" s="248"/>
      <c r="AL51" s="248"/>
      <c r="AM51" s="249"/>
    </row>
    <row r="52" spans="4:39" ht="13.15" customHeight="1">
      <c r="D52" s="205"/>
      <c r="E52" s="206"/>
      <c r="F52" s="205"/>
      <c r="G52" s="205"/>
      <c r="H52" s="205"/>
      <c r="I52" s="205"/>
      <c r="J52" s="206"/>
      <c r="K52" s="205"/>
      <c r="L52" s="205"/>
      <c r="M52" s="205"/>
      <c r="N52" s="205"/>
      <c r="O52" s="206"/>
      <c r="P52" s="205"/>
      <c r="Q52" s="205"/>
      <c r="W52" s="205"/>
      <c r="X52" s="206"/>
      <c r="Y52" s="207"/>
      <c r="Z52" s="208"/>
      <c r="AA52" s="208"/>
      <c r="AB52" s="208"/>
      <c r="AC52" s="209"/>
      <c r="AD52" s="208"/>
      <c r="AE52" s="208"/>
      <c r="AF52" s="208"/>
      <c r="AG52" s="208"/>
      <c r="AH52" s="209"/>
      <c r="AI52" s="207"/>
      <c r="AJ52" s="208"/>
      <c r="AK52" s="208"/>
      <c r="AL52" s="208"/>
      <c r="AM52" s="209"/>
    </row>
    <row r="53" spans="4:39" ht="13.15" customHeight="1">
      <c r="Y53" s="210"/>
      <c r="AC53" s="211"/>
      <c r="AH53" s="211"/>
      <c r="AI53" s="210"/>
      <c r="AM53" s="211"/>
    </row>
    <row r="54" spans="4:39" ht="13.15" customHeight="1">
      <c r="Y54" s="210"/>
      <c r="Z54" s="205"/>
      <c r="AA54" s="206" t="s">
        <v>234</v>
      </c>
      <c r="AB54" s="205"/>
      <c r="AC54" s="212"/>
      <c r="AD54" s="205"/>
      <c r="AE54" s="205"/>
      <c r="AF54" s="206" t="s">
        <v>235</v>
      </c>
      <c r="AG54" s="205"/>
      <c r="AH54" s="212"/>
      <c r="AI54" s="213"/>
      <c r="AJ54" s="205"/>
      <c r="AK54" s="206" t="s">
        <v>228</v>
      </c>
      <c r="AL54" s="205"/>
      <c r="AM54" s="212"/>
    </row>
    <row r="55" spans="4:39" ht="13.15" customHeight="1">
      <c r="Y55" s="210"/>
      <c r="AC55" s="211"/>
      <c r="AH55" s="211"/>
      <c r="AI55" s="210"/>
      <c r="AM55" s="211"/>
    </row>
    <row r="56" spans="4:39" ht="13.15" customHeight="1">
      <c r="Y56" s="214"/>
      <c r="Z56" s="215"/>
      <c r="AA56" s="215"/>
      <c r="AB56" s="215"/>
      <c r="AC56" s="216"/>
      <c r="AD56" s="215"/>
      <c r="AE56" s="215"/>
      <c r="AF56" s="215"/>
      <c r="AG56" s="215"/>
      <c r="AH56" s="216"/>
      <c r="AI56" s="214"/>
      <c r="AJ56" s="215"/>
      <c r="AK56" s="215"/>
      <c r="AL56" s="215"/>
      <c r="AM56" s="216"/>
    </row>
    <row r="57" spans="4:39" ht="13.15" customHeight="1">
      <c r="AK57" s="201" t="s">
        <v>236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election activeCell="D10" sqref="D10"/>
    </sheetView>
  </sheetViews>
  <sheetFormatPr defaultRowHeight="13.5"/>
  <cols>
    <col min="1" max="1" width="4.5" customWidth="1"/>
    <col min="2" max="2" width="9" style="9" hidden="1" customWidth="1"/>
    <col min="4" max="4" width="69.5" customWidth="1"/>
    <col min="5" max="6" width="12.75" customWidth="1"/>
    <col min="7" max="18" width="13.125" hidden="1" customWidth="1"/>
    <col min="19" max="19" width="13" hidden="1" customWidth="1"/>
    <col min="20" max="20" width="10.75" hidden="1" customWidth="1"/>
    <col min="21" max="21" width="12" hidden="1" customWidth="1"/>
    <col min="22" max="22" width="10.875" hidden="1" customWidth="1"/>
    <col min="23" max="23" width="12.5" customWidth="1"/>
    <col min="24" max="24" width="12.375" customWidth="1"/>
  </cols>
  <sheetData>
    <row r="2" spans="2:24" ht="25.5" customHeight="1">
      <c r="C2" s="6"/>
      <c r="D2" s="6"/>
      <c r="E2" s="6"/>
      <c r="F2" s="6"/>
      <c r="H2" s="7" t="s">
        <v>13</v>
      </c>
      <c r="I2" s="250" t="s">
        <v>14</v>
      </c>
      <c r="J2" s="250"/>
      <c r="K2" s="250"/>
      <c r="L2" s="250"/>
      <c r="M2" s="250"/>
      <c r="N2" s="250"/>
      <c r="O2" s="250"/>
      <c r="P2" s="250"/>
      <c r="Q2" s="250"/>
      <c r="R2" s="250"/>
    </row>
    <row r="3" spans="2:24" ht="25.5" customHeight="1">
      <c r="C3" s="6"/>
      <c r="D3" s="10" t="str">
        <f ca="1">REPLACE(LEFT(CELL("filename",$B$1),FIND(".xls",CELL("filename",$B$1))-1),1,FIND("[",CELL("filename",$B$1)),)</f>
        <v>alert_D_SECDDC-CSTD-0-00-A-C0</v>
      </c>
      <c r="E3" s="6"/>
      <c r="F3" s="6"/>
      <c r="H3" s="8" t="s">
        <v>171</v>
      </c>
      <c r="I3" s="251" t="s">
        <v>194</v>
      </c>
      <c r="J3" s="252"/>
      <c r="K3" s="252"/>
      <c r="L3" s="252"/>
      <c r="M3" s="252"/>
      <c r="N3" s="252"/>
      <c r="O3" s="252"/>
      <c r="P3" s="252"/>
      <c r="Q3" s="252"/>
      <c r="R3" s="252"/>
    </row>
    <row r="4" spans="2:24" ht="25.5" customHeight="1">
      <c r="C4" s="6"/>
      <c r="D4" s="6"/>
      <c r="E4" s="22" t="str">
        <f>DGET(B8:C14,"Ver.",H4:H5)</f>
        <v>1.0.0</v>
      </c>
      <c r="F4" s="6"/>
      <c r="H4" s="9" t="s">
        <v>16</v>
      </c>
    </row>
    <row r="5" spans="2:24" ht="25.5" customHeight="1">
      <c r="C5" s="6"/>
      <c r="D5" s="6"/>
      <c r="E5" s="6"/>
      <c r="F5" s="6"/>
      <c r="H5" s="11">
        <f>MAX(B9:B14)</f>
        <v>1</v>
      </c>
    </row>
    <row r="6" spans="2:24" ht="14.25" thickBot="1"/>
    <row r="7" spans="2:24">
      <c r="C7" s="256" t="s">
        <v>0</v>
      </c>
      <c r="D7" s="257"/>
      <c r="E7" s="258" t="s">
        <v>2</v>
      </c>
      <c r="F7" s="258"/>
      <c r="G7" s="259" t="s">
        <v>5</v>
      </c>
      <c r="H7" s="259"/>
      <c r="I7" s="259"/>
      <c r="J7" s="259"/>
      <c r="K7" s="259"/>
      <c r="L7" s="259"/>
      <c r="M7" s="260" t="s">
        <v>12</v>
      </c>
      <c r="N7" s="260"/>
      <c r="O7" s="260"/>
      <c r="P7" s="260"/>
      <c r="Q7" s="260"/>
      <c r="R7" s="260"/>
      <c r="S7" s="253" t="s">
        <v>220</v>
      </c>
      <c r="T7" s="254"/>
      <c r="U7" s="254"/>
      <c r="V7" s="254"/>
      <c r="W7" s="254"/>
      <c r="X7" s="255"/>
    </row>
    <row r="8" spans="2:24" ht="27.75" thickBot="1">
      <c r="B8" s="9" t="s">
        <v>91</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 t="s">
        <v>11</v>
      </c>
      <c r="S8" s="191" t="s">
        <v>221</v>
      </c>
      <c r="T8" s="16" t="s">
        <v>7</v>
      </c>
      <c r="U8" s="16" t="s">
        <v>8</v>
      </c>
      <c r="V8" s="16" t="s">
        <v>9</v>
      </c>
      <c r="W8" s="16" t="s">
        <v>10</v>
      </c>
      <c r="X8" s="190" t="s">
        <v>11</v>
      </c>
    </row>
    <row r="9" spans="2:24" ht="14.25" thickTop="1">
      <c r="B9" s="9">
        <f>IF(C9=0,0,ROW()-ROW($B$8))</f>
        <v>1</v>
      </c>
      <c r="C9" s="12" t="s">
        <v>15</v>
      </c>
      <c r="D9" s="13" t="s">
        <v>237</v>
      </c>
      <c r="E9" s="13" t="s">
        <v>30</v>
      </c>
      <c r="F9" s="13"/>
      <c r="G9" s="13" t="s">
        <v>30</v>
      </c>
      <c r="H9" s="13" t="s">
        <v>30</v>
      </c>
      <c r="I9" s="13" t="s">
        <v>30</v>
      </c>
      <c r="J9" s="13" t="s">
        <v>30</v>
      </c>
      <c r="K9" s="13" t="s">
        <v>30</v>
      </c>
      <c r="L9" s="13" t="s">
        <v>30</v>
      </c>
      <c r="M9" s="13" t="s">
        <v>215</v>
      </c>
      <c r="N9" s="186">
        <v>43943</v>
      </c>
      <c r="O9" s="13" t="s">
        <v>214</v>
      </c>
      <c r="P9" s="186">
        <v>43943</v>
      </c>
      <c r="Q9" s="13" t="s">
        <v>195</v>
      </c>
      <c r="R9" s="186">
        <v>43923</v>
      </c>
      <c r="S9" s="192" t="s">
        <v>30</v>
      </c>
      <c r="T9" s="1" t="s">
        <v>30</v>
      </c>
      <c r="U9" s="1" t="s">
        <v>30</v>
      </c>
      <c r="V9" s="1" t="s">
        <v>30</v>
      </c>
      <c r="W9" s="1" t="s">
        <v>30</v>
      </c>
      <c r="X9" s="195" t="s">
        <v>30</v>
      </c>
    </row>
    <row r="10" spans="2:24">
      <c r="B10" s="9">
        <f t="shared" ref="B10:B13" si="0">IF(C10=0,0,ROW()-ROW($B$8))</f>
        <v>0</v>
      </c>
      <c r="C10" s="2"/>
      <c r="D10" s="188"/>
      <c r="E10" s="1"/>
      <c r="F10" s="1"/>
      <c r="G10" s="1"/>
      <c r="H10" s="1"/>
      <c r="I10" s="1"/>
      <c r="J10" s="1"/>
      <c r="K10" s="1"/>
      <c r="L10" s="1"/>
      <c r="M10" s="1"/>
      <c r="N10" s="1"/>
      <c r="O10" s="1"/>
      <c r="P10" s="1"/>
      <c r="Q10" s="1"/>
      <c r="R10" s="194"/>
      <c r="S10" s="192"/>
      <c r="T10" s="1"/>
      <c r="U10" s="1"/>
      <c r="V10" s="1"/>
      <c r="W10" s="1"/>
      <c r="X10" s="64"/>
    </row>
    <row r="11" spans="2:24">
      <c r="B11" s="9">
        <f t="shared" si="0"/>
        <v>0</v>
      </c>
      <c r="C11" s="2"/>
      <c r="D11" s="188"/>
      <c r="E11" s="1"/>
      <c r="F11" s="1"/>
      <c r="G11" s="1"/>
      <c r="H11" s="1"/>
      <c r="I11" s="1"/>
      <c r="J11" s="1"/>
      <c r="K11" s="1"/>
      <c r="L11" s="1"/>
      <c r="M11" s="1"/>
      <c r="N11" s="1"/>
      <c r="O11" s="1"/>
      <c r="P11" s="1"/>
      <c r="Q11" s="1"/>
      <c r="R11" s="1"/>
      <c r="S11" s="192"/>
      <c r="T11" s="1"/>
      <c r="U11" s="1"/>
      <c r="V11" s="1"/>
      <c r="W11" s="1"/>
      <c r="X11" s="189"/>
    </row>
    <row r="12" spans="2:24">
      <c r="B12" s="9">
        <f t="shared" si="0"/>
        <v>0</v>
      </c>
      <c r="C12" s="196"/>
      <c r="D12" s="197"/>
      <c r="E12" s="198"/>
      <c r="F12" s="198"/>
      <c r="G12" s="1"/>
      <c r="H12" s="1"/>
      <c r="I12" s="1"/>
      <c r="J12" s="1"/>
      <c r="K12" s="1"/>
      <c r="L12" s="1"/>
      <c r="M12" s="1"/>
      <c r="N12" s="1"/>
      <c r="O12" s="1"/>
      <c r="P12" s="1"/>
      <c r="Q12" s="1"/>
      <c r="R12" s="1"/>
      <c r="S12" s="192"/>
      <c r="T12" s="1"/>
      <c r="U12" s="1"/>
      <c r="V12" s="1"/>
      <c r="W12" s="199"/>
      <c r="X12" s="200"/>
    </row>
    <row r="13" spans="2:24" ht="14.25" thickBot="1">
      <c r="B13" s="9">
        <f t="shared" si="0"/>
        <v>0</v>
      </c>
      <c r="C13" s="3"/>
      <c r="D13" s="4"/>
      <c r="E13" s="4"/>
      <c r="F13" s="4"/>
      <c r="G13" s="4"/>
      <c r="H13" s="4"/>
      <c r="I13" s="4"/>
      <c r="J13" s="4"/>
      <c r="K13" s="4"/>
      <c r="L13" s="4"/>
      <c r="M13" s="4"/>
      <c r="N13" s="4"/>
      <c r="O13" s="4"/>
      <c r="P13" s="4"/>
      <c r="Q13" s="4"/>
      <c r="R13" s="4"/>
      <c r="S13" s="193"/>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9" t="s">
        <v>127</v>
      </c>
    </row>
    <row r="3" spans="2:5">
      <c r="C3" t="s">
        <v>137</v>
      </c>
    </row>
    <row r="6" spans="2:5" ht="14.25" thickBot="1">
      <c r="B6" s="139" t="s">
        <v>128</v>
      </c>
      <c r="C6" s="139"/>
    </row>
    <row r="7" spans="2:5" ht="14.25" thickBot="1">
      <c r="C7" s="68" t="s">
        <v>130</v>
      </c>
      <c r="D7" s="76"/>
      <c r="E7" s="69" t="s">
        <v>138</v>
      </c>
    </row>
    <row r="8" spans="2:5" ht="20.25" customHeight="1" thickTop="1">
      <c r="C8" s="143">
        <v>0</v>
      </c>
      <c r="D8" s="77" t="s">
        <v>139</v>
      </c>
      <c r="E8" s="142" t="s">
        <v>140</v>
      </c>
    </row>
    <row r="9" spans="2:5" ht="27">
      <c r="C9" s="149">
        <v>1</v>
      </c>
      <c r="D9" s="151" t="s">
        <v>159</v>
      </c>
      <c r="E9" s="150" t="s">
        <v>158</v>
      </c>
    </row>
    <row r="10" spans="2:5" ht="14.25" thickBot="1">
      <c r="C10" s="147"/>
      <c r="D10" s="79"/>
      <c r="E10" s="5"/>
    </row>
    <row r="11" spans="2:5">
      <c r="C11" s="145"/>
    </row>
    <row r="12" spans="2:5" ht="14.25" thickBot="1">
      <c r="B12" s="140" t="s">
        <v>129</v>
      </c>
      <c r="C12" s="75"/>
      <c r="D12" s="75"/>
    </row>
    <row r="13" spans="2:5" ht="14.25" thickBot="1">
      <c r="B13" s="141"/>
      <c r="C13" s="146" t="s">
        <v>130</v>
      </c>
      <c r="D13" s="76" t="s">
        <v>131</v>
      </c>
      <c r="E13" s="69" t="s">
        <v>132</v>
      </c>
    </row>
    <row r="14" spans="2:5" ht="14.25" thickTop="1">
      <c r="C14" s="143">
        <v>0</v>
      </c>
      <c r="D14" s="77" t="s">
        <v>145</v>
      </c>
      <c r="E14" s="148" t="s">
        <v>146</v>
      </c>
    </row>
    <row r="15" spans="2:5">
      <c r="C15" s="144">
        <v>1</v>
      </c>
      <c r="D15" s="78" t="s">
        <v>23</v>
      </c>
      <c r="E15" s="64" t="s">
        <v>133</v>
      </c>
    </row>
    <row r="16" spans="2:5">
      <c r="C16" s="144">
        <v>2</v>
      </c>
      <c r="D16" s="78" t="s">
        <v>24</v>
      </c>
      <c r="E16" s="64" t="s">
        <v>134</v>
      </c>
    </row>
    <row r="17" spans="2:5">
      <c r="C17" s="144">
        <v>3</v>
      </c>
      <c r="D17" s="78" t="s">
        <v>25</v>
      </c>
      <c r="E17" s="64" t="s">
        <v>135</v>
      </c>
    </row>
    <row r="18" spans="2:5">
      <c r="C18" s="144">
        <v>4</v>
      </c>
      <c r="D18" s="78" t="s">
        <v>26</v>
      </c>
      <c r="E18" s="64" t="s">
        <v>136</v>
      </c>
    </row>
    <row r="19" spans="2:5">
      <c r="C19" s="144">
        <v>5</v>
      </c>
      <c r="D19" s="78" t="s">
        <v>147</v>
      </c>
      <c r="E19" s="64" t="s">
        <v>149</v>
      </c>
    </row>
    <row r="20" spans="2:5">
      <c r="C20" s="144">
        <v>6</v>
      </c>
      <c r="D20" s="78" t="s">
        <v>153</v>
      </c>
      <c r="E20" s="64" t="s">
        <v>166</v>
      </c>
    </row>
    <row r="21" spans="2:5" ht="14.25" thickBot="1">
      <c r="C21" s="147"/>
      <c r="D21" s="79"/>
      <c r="E21" s="5"/>
    </row>
    <row r="24" spans="2:5" ht="14.25" thickBot="1">
      <c r="B24" s="139" t="s">
        <v>141</v>
      </c>
    </row>
    <row r="25" spans="2:5" ht="14.25" thickBot="1">
      <c r="C25" s="146" t="s">
        <v>130</v>
      </c>
      <c r="D25" s="76" t="s">
        <v>131</v>
      </c>
      <c r="E25" s="69" t="s">
        <v>132</v>
      </c>
    </row>
    <row r="26" spans="2:5" ht="30.75" customHeight="1" thickTop="1">
      <c r="C26" s="143">
        <v>0</v>
      </c>
      <c r="D26" s="77" t="s">
        <v>142</v>
      </c>
      <c r="E26" s="148" t="s">
        <v>150</v>
      </c>
    </row>
    <row r="27" spans="2:5" ht="120.2" customHeight="1">
      <c r="C27" s="144">
        <v>1</v>
      </c>
      <c r="D27" s="78" t="s">
        <v>168</v>
      </c>
      <c r="E27" s="80" t="s">
        <v>170</v>
      </c>
    </row>
    <row r="28" spans="2:5" ht="81" customHeight="1">
      <c r="C28" s="144">
        <v>2</v>
      </c>
      <c r="D28" s="78" t="s">
        <v>165</v>
      </c>
      <c r="E28" s="80" t="s">
        <v>175</v>
      </c>
    </row>
    <row r="29" spans="2:5" ht="45" customHeight="1">
      <c r="C29" s="144">
        <v>3</v>
      </c>
      <c r="D29" s="78" t="s">
        <v>148</v>
      </c>
      <c r="E29" s="80" t="s">
        <v>151</v>
      </c>
    </row>
    <row r="30" spans="2:5" ht="16.5" customHeight="1">
      <c r="C30" s="144">
        <v>4</v>
      </c>
      <c r="D30" s="78" t="s">
        <v>143</v>
      </c>
      <c r="E30" s="64" t="s">
        <v>157</v>
      </c>
    </row>
    <row r="31" spans="2:5" ht="16.5" customHeight="1">
      <c r="C31" s="144">
        <v>5</v>
      </c>
      <c r="D31" s="78" t="s">
        <v>144</v>
      </c>
      <c r="E31" s="64" t="s">
        <v>152</v>
      </c>
    </row>
    <row r="32" spans="2:5">
      <c r="C32" s="144"/>
      <c r="D32" s="78"/>
      <c r="E32" s="64"/>
    </row>
    <row r="33" spans="2:5">
      <c r="C33" s="144"/>
      <c r="D33" s="78"/>
      <c r="E33" s="64"/>
    </row>
    <row r="34" spans="2:5" ht="14.25" thickBot="1">
      <c r="C34" s="147"/>
      <c r="D34" s="79"/>
      <c r="E34" s="5"/>
    </row>
    <row r="37" spans="2:5" ht="14.25" thickBot="1">
      <c r="B37" s="139" t="s">
        <v>162</v>
      </c>
    </row>
    <row r="38" spans="2:5">
      <c r="C38" s="261"/>
      <c r="D38" s="262"/>
      <c r="E38" s="104" t="s">
        <v>117</v>
      </c>
    </row>
    <row r="39" spans="2:5" ht="14.25" thickBot="1">
      <c r="C39" s="263"/>
      <c r="D39" s="264"/>
      <c r="E39" s="5" t="s">
        <v>118</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E25" sqref="E25"/>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5" t="s">
        <v>19</v>
      </c>
      <c r="C2" s="266"/>
      <c r="D2" s="271" t="s">
        <v>239</v>
      </c>
      <c r="E2" s="272"/>
      <c r="F2" s="272"/>
      <c r="G2" s="272"/>
      <c r="H2" s="273"/>
    </row>
    <row r="3" spans="2:14">
      <c r="B3" s="267" t="s">
        <v>115</v>
      </c>
      <c r="C3" s="268"/>
      <c r="D3" s="274" t="s">
        <v>238</v>
      </c>
      <c r="E3" s="275"/>
      <c r="F3" s="275"/>
      <c r="G3" s="275"/>
      <c r="H3" s="276"/>
    </row>
    <row r="4" spans="2:14" ht="14.25" thickBot="1">
      <c r="B4" s="269" t="s">
        <v>18</v>
      </c>
      <c r="C4" s="270"/>
      <c r="D4" s="277" t="str">
        <f ca="1">表紙!D3&amp;".c"</f>
        <v>alert_D_SECDDC-CSTD-0-00-A-C0.c</v>
      </c>
      <c r="E4" s="278"/>
      <c r="F4" s="278"/>
      <c r="G4" s="278"/>
      <c r="H4" s="27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5" t="s">
        <v>35</v>
      </c>
      <c r="C6" s="266"/>
      <c r="D6" s="280" t="str">
        <f ca="1">MID(D4, LEN("alert_") + 1, FIND("-",D4,1) - LEN("alert_") - 1)</f>
        <v>D_SECDDC</v>
      </c>
      <c r="E6" s="281"/>
      <c r="F6" s="281"/>
      <c r="G6" s="281"/>
      <c r="H6" s="282"/>
    </row>
    <row r="7" spans="2:14">
      <c r="B7" s="267" t="s">
        <v>36</v>
      </c>
      <c r="C7" s="268"/>
      <c r="D7" s="283">
        <f>COUNTA($D$13:$D$37)</f>
        <v>1</v>
      </c>
      <c r="E7" s="284"/>
      <c r="F7" s="284"/>
      <c r="G7" s="284"/>
      <c r="H7" s="285"/>
    </row>
    <row r="8" spans="2:14">
      <c r="B8" s="267" t="s">
        <v>94</v>
      </c>
      <c r="C8" s="268"/>
      <c r="D8" s="283" t="str">
        <f ca="1">"st_gp_ALERT_"&amp;UPPER(D6)&amp;"_MTRX"</f>
        <v>st_gp_ALERT_D_SECDDC_MTRX</v>
      </c>
      <c r="E8" s="284"/>
      <c r="F8" s="284"/>
      <c r="G8" s="284"/>
      <c r="H8" s="285"/>
    </row>
    <row r="9" spans="2:14">
      <c r="B9" s="267" t="s">
        <v>37</v>
      </c>
      <c r="C9" s="268"/>
      <c r="D9" s="286" t="s">
        <v>254</v>
      </c>
      <c r="E9" s="287"/>
      <c r="F9" s="287"/>
      <c r="G9" s="287"/>
      <c r="H9" s="288"/>
    </row>
    <row r="10" spans="2:14" ht="14.25" thickBot="1">
      <c r="B10" s="269" t="s">
        <v>43</v>
      </c>
      <c r="C10" s="270"/>
      <c r="D10" s="289"/>
      <c r="E10" s="290"/>
      <c r="F10" s="290"/>
      <c r="G10" s="290"/>
      <c r="H10" s="291"/>
    </row>
    <row r="11" spans="2:14" ht="14.25" thickBot="1"/>
    <row r="12" spans="2:14" ht="14.25" thickBot="1">
      <c r="B12" s="130" t="s">
        <v>33</v>
      </c>
      <c r="C12" s="94" t="s">
        <v>42</v>
      </c>
      <c r="D12" s="95" t="s">
        <v>34</v>
      </c>
      <c r="E12" s="95" t="s">
        <v>38</v>
      </c>
      <c r="F12" s="95" t="s">
        <v>39</v>
      </c>
      <c r="G12" s="95" t="s">
        <v>40</v>
      </c>
      <c r="H12" s="96" t="s">
        <v>41</v>
      </c>
      <c r="I12" s="135" t="s">
        <v>50</v>
      </c>
      <c r="K12" s="36" t="s">
        <v>44</v>
      </c>
      <c r="L12" s="36" t="s">
        <v>37</v>
      </c>
      <c r="M12" t="s">
        <v>86</v>
      </c>
    </row>
    <row r="13" spans="2:14" ht="14.25" thickTop="1">
      <c r="B13" s="97">
        <v>1</v>
      </c>
      <c r="C13" s="102" t="s">
        <v>197</v>
      </c>
      <c r="D13" s="103" t="s">
        <v>46</v>
      </c>
      <c r="E13" s="103" t="s">
        <v>219</v>
      </c>
      <c r="F13" s="42" t="str">
        <f t="shared" ref="F13:F37" ca="1" si="0">IF($D13&lt;&gt;"","u4_s_Alert"&amp;UPPER(LEFT($D$6,1))&amp;LOWER(MID($D$6,2,100))&amp;IF($D$7=1,"",N13)&amp;"Srcchk","")</f>
        <v>u4_s_AlertD_secddcSrcchk</v>
      </c>
      <c r="G13" s="42" t="str">
        <f t="shared" ref="G13:G37" si="1">IF($D13&lt;&gt;"",IF($E13="○","vd_s_Alert"&amp;UPPER(LEFT($D$6,1))&amp;LOWER(MID($D$6,2,100))&amp;IF($D$7=1,"",N13)&amp;"RwTx","NULL"),"")</f>
        <v>NULL</v>
      </c>
      <c r="H13" s="101" t="str">
        <f ca="1">IF($D13&lt;&gt;"","ALERT_CH_"&amp;UPPER($D$6)&amp;IF($D$7=1,"","_"&amp;UPPER($C13)),"")</f>
        <v>ALERT_CH_D_SECDDC</v>
      </c>
      <c r="I13" s="136" t="str">
        <f ca="1">IF($D13&lt;&gt;"","ALERT_REQ_"&amp;UPPER($D$6)&amp;IF($D$7=1,"","_"&amp;UPPER($C13)),"")</f>
        <v>ALERT_REQ_D_SECDDC</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7">
        <v>2</v>
      </c>
      <c r="C14" s="133"/>
      <c r="D14" s="134"/>
      <c r="E14" s="134"/>
      <c r="F14" s="37" t="str">
        <f t="shared" si="0"/>
        <v/>
      </c>
      <c r="G14" s="37" t="str">
        <f t="shared" si="1"/>
        <v/>
      </c>
      <c r="H14" s="58" t="str">
        <f t="shared" ref="H14:H37" si="4">IF($D14&lt;&gt;"","ALERT_CH_"&amp;UPPER($D$6)&amp;IF($D$7=1,"","_"&amp;UPPER($C14)),"")</f>
        <v/>
      </c>
      <c r="I14" s="137" t="str">
        <f t="shared" ref="I14:I37" si="5">IF($D14&lt;&gt;"","ALERT_REQ_"&amp;UPPER($D$6)&amp;IF($D$7=1,"","_"&amp;UPPER($C14)),"")</f>
        <v/>
      </c>
      <c r="K14" t="s">
        <v>46</v>
      </c>
      <c r="L14" t="str">
        <f ca="1">"vd_g_Alert"&amp;UPPER(LEFT(D6,1))&amp;LOWER(MID(D6,2,100))&amp;"Init"</f>
        <v>vd_g_AlertD_secddcInit</v>
      </c>
      <c r="M14" t="e">
        <f t="shared" si="2"/>
        <v>#VALUE!</v>
      </c>
      <c r="N14" t="str">
        <f t="shared" si="3"/>
        <v/>
      </c>
    </row>
    <row r="15" spans="2:14">
      <c r="B15" s="87">
        <v>3</v>
      </c>
      <c r="C15" s="133"/>
      <c r="D15" s="134"/>
      <c r="E15" s="134"/>
      <c r="F15" s="37" t="str">
        <f t="shared" si="0"/>
        <v/>
      </c>
      <c r="G15" s="37" t="str">
        <f t="shared" si="1"/>
        <v/>
      </c>
      <c r="H15" s="58" t="str">
        <f t="shared" si="4"/>
        <v/>
      </c>
      <c r="I15" s="137" t="str">
        <f t="shared" si="5"/>
        <v/>
      </c>
      <c r="K15" t="s">
        <v>119</v>
      </c>
      <c r="M15" t="e">
        <f t="shared" si="2"/>
        <v>#VALUE!</v>
      </c>
      <c r="N15" t="str">
        <f t="shared" si="3"/>
        <v/>
      </c>
    </row>
    <row r="16" spans="2:14">
      <c r="B16" s="87">
        <v>4</v>
      </c>
      <c r="C16" s="133"/>
      <c r="D16" s="134"/>
      <c r="E16" s="134"/>
      <c r="F16" s="37" t="str">
        <f t="shared" si="0"/>
        <v/>
      </c>
      <c r="G16" s="37" t="str">
        <f t="shared" si="1"/>
        <v/>
      </c>
      <c r="H16" s="58" t="str">
        <f t="shared" si="4"/>
        <v/>
      </c>
      <c r="I16" s="137" t="str">
        <f t="shared" si="5"/>
        <v/>
      </c>
      <c r="K16" t="s">
        <v>120</v>
      </c>
      <c r="M16" t="e">
        <f t="shared" si="2"/>
        <v>#VALUE!</v>
      </c>
      <c r="N16" t="str">
        <f t="shared" si="3"/>
        <v/>
      </c>
    </row>
    <row r="17" spans="2:14">
      <c r="B17" s="87">
        <v>5</v>
      </c>
      <c r="C17" s="133"/>
      <c r="D17" s="134"/>
      <c r="E17" s="134"/>
      <c r="F17" s="37" t="str">
        <f t="shared" si="0"/>
        <v/>
      </c>
      <c r="G17" s="37" t="str">
        <f t="shared" si="1"/>
        <v/>
      </c>
      <c r="H17" s="58" t="str">
        <f t="shared" si="4"/>
        <v/>
      </c>
      <c r="I17" s="137" t="str">
        <f t="shared" si="5"/>
        <v/>
      </c>
      <c r="K17" t="s">
        <v>47</v>
      </c>
      <c r="M17" t="e">
        <f t="shared" si="2"/>
        <v>#VALUE!</v>
      </c>
      <c r="N17" t="str">
        <f t="shared" si="3"/>
        <v/>
      </c>
    </row>
    <row r="18" spans="2:14">
      <c r="B18" s="87">
        <v>6</v>
      </c>
      <c r="C18" s="133"/>
      <c r="D18" s="134"/>
      <c r="E18" s="134"/>
      <c r="F18" s="37" t="str">
        <f t="shared" si="0"/>
        <v/>
      </c>
      <c r="G18" s="37" t="str">
        <f t="shared" si="1"/>
        <v/>
      </c>
      <c r="H18" s="58" t="str">
        <f t="shared" si="4"/>
        <v/>
      </c>
      <c r="I18" s="137" t="str">
        <f t="shared" si="5"/>
        <v/>
      </c>
      <c r="K18" t="s">
        <v>48</v>
      </c>
      <c r="M18" t="e">
        <f t="shared" si="2"/>
        <v>#VALUE!</v>
      </c>
      <c r="N18" t="str">
        <f t="shared" si="3"/>
        <v/>
      </c>
    </row>
    <row r="19" spans="2:14">
      <c r="B19" s="87">
        <v>7</v>
      </c>
      <c r="C19" s="133"/>
      <c r="D19" s="134"/>
      <c r="E19" s="134"/>
      <c r="F19" s="37" t="str">
        <f t="shared" si="0"/>
        <v/>
      </c>
      <c r="G19" s="37" t="str">
        <f t="shared" si="1"/>
        <v/>
      </c>
      <c r="H19" s="58" t="str">
        <f t="shared" si="4"/>
        <v/>
      </c>
      <c r="I19" s="137" t="str">
        <f t="shared" si="5"/>
        <v/>
      </c>
      <c r="K19" t="s">
        <v>48</v>
      </c>
      <c r="M19" t="e">
        <f t="shared" si="2"/>
        <v>#VALUE!</v>
      </c>
      <c r="N19" t="str">
        <f t="shared" si="3"/>
        <v/>
      </c>
    </row>
    <row r="20" spans="2:14">
      <c r="B20" s="87">
        <v>8</v>
      </c>
      <c r="C20" s="133"/>
      <c r="D20" s="134"/>
      <c r="E20" s="134"/>
      <c r="F20" s="37" t="str">
        <f t="shared" si="0"/>
        <v/>
      </c>
      <c r="G20" s="37" t="str">
        <f t="shared" si="1"/>
        <v/>
      </c>
      <c r="H20" s="58" t="str">
        <f t="shared" si="4"/>
        <v/>
      </c>
      <c r="I20" s="137" t="str">
        <f t="shared" si="5"/>
        <v/>
      </c>
      <c r="K20" t="s">
        <v>48</v>
      </c>
      <c r="M20" t="e">
        <f t="shared" si="2"/>
        <v>#VALUE!</v>
      </c>
      <c r="N20" t="str">
        <f t="shared" si="3"/>
        <v/>
      </c>
    </row>
    <row r="21" spans="2:14">
      <c r="B21" s="87">
        <v>9</v>
      </c>
      <c r="C21" s="133"/>
      <c r="D21" s="134"/>
      <c r="E21" s="134"/>
      <c r="F21" s="37" t="str">
        <f t="shared" si="0"/>
        <v/>
      </c>
      <c r="G21" s="37" t="str">
        <f t="shared" si="1"/>
        <v/>
      </c>
      <c r="H21" s="58" t="str">
        <f t="shared" si="4"/>
        <v/>
      </c>
      <c r="I21" s="137" t="str">
        <f t="shared" si="5"/>
        <v/>
      </c>
      <c r="K21" t="s">
        <v>48</v>
      </c>
      <c r="M21" t="e">
        <f t="shared" si="2"/>
        <v>#VALUE!</v>
      </c>
      <c r="N21" t="str">
        <f t="shared" si="3"/>
        <v/>
      </c>
    </row>
    <row r="22" spans="2:14">
      <c r="B22" s="87">
        <v>10</v>
      </c>
      <c r="C22" s="133"/>
      <c r="D22" s="134"/>
      <c r="E22" s="134"/>
      <c r="F22" s="37" t="str">
        <f t="shared" si="0"/>
        <v/>
      </c>
      <c r="G22" s="37" t="str">
        <f t="shared" si="1"/>
        <v/>
      </c>
      <c r="H22" s="58" t="str">
        <f t="shared" si="4"/>
        <v/>
      </c>
      <c r="I22" s="137" t="str">
        <f t="shared" si="5"/>
        <v/>
      </c>
      <c r="K22" t="s">
        <v>48</v>
      </c>
      <c r="M22" t="e">
        <f t="shared" si="2"/>
        <v>#VALUE!</v>
      </c>
      <c r="N22" t="str">
        <f t="shared" si="3"/>
        <v/>
      </c>
    </row>
    <row r="23" spans="2:14">
      <c r="B23" s="87">
        <v>11</v>
      </c>
      <c r="C23" s="133"/>
      <c r="D23" s="134"/>
      <c r="E23" s="134"/>
      <c r="F23" s="37" t="str">
        <f t="shared" si="0"/>
        <v/>
      </c>
      <c r="G23" s="37" t="str">
        <f t="shared" si="1"/>
        <v/>
      </c>
      <c r="H23" s="58" t="str">
        <f t="shared" si="4"/>
        <v/>
      </c>
      <c r="I23" s="137" t="str">
        <f t="shared" si="5"/>
        <v/>
      </c>
      <c r="K23" t="s">
        <v>48</v>
      </c>
      <c r="M23" t="e">
        <f t="shared" si="2"/>
        <v>#VALUE!</v>
      </c>
      <c r="N23" t="str">
        <f t="shared" si="3"/>
        <v/>
      </c>
    </row>
    <row r="24" spans="2:14">
      <c r="B24" s="87">
        <v>12</v>
      </c>
      <c r="C24" s="133"/>
      <c r="D24" s="134"/>
      <c r="E24" s="134"/>
      <c r="F24" s="37" t="str">
        <f t="shared" si="0"/>
        <v/>
      </c>
      <c r="G24" s="37" t="str">
        <f t="shared" si="1"/>
        <v/>
      </c>
      <c r="H24" s="58" t="str">
        <f t="shared" si="4"/>
        <v/>
      </c>
      <c r="I24" s="137" t="str">
        <f t="shared" si="5"/>
        <v/>
      </c>
      <c r="K24" t="s">
        <v>48</v>
      </c>
      <c r="M24" t="e">
        <f t="shared" si="2"/>
        <v>#VALUE!</v>
      </c>
      <c r="N24" t="str">
        <f t="shared" si="3"/>
        <v/>
      </c>
    </row>
    <row r="25" spans="2:14">
      <c r="B25" s="87">
        <v>13</v>
      </c>
      <c r="C25" s="133"/>
      <c r="D25" s="134"/>
      <c r="E25" s="134"/>
      <c r="F25" s="37" t="str">
        <f t="shared" si="0"/>
        <v/>
      </c>
      <c r="G25" s="37" t="str">
        <f t="shared" si="1"/>
        <v/>
      </c>
      <c r="H25" s="58" t="str">
        <f t="shared" si="4"/>
        <v/>
      </c>
      <c r="I25" s="137" t="str">
        <f t="shared" si="5"/>
        <v/>
      </c>
      <c r="K25" t="s">
        <v>48</v>
      </c>
      <c r="M25" t="e">
        <f t="shared" si="2"/>
        <v>#VALUE!</v>
      </c>
      <c r="N25" t="str">
        <f t="shared" si="3"/>
        <v/>
      </c>
    </row>
    <row r="26" spans="2:14">
      <c r="B26" s="87">
        <v>14</v>
      </c>
      <c r="C26" s="133"/>
      <c r="D26" s="134"/>
      <c r="E26" s="134"/>
      <c r="F26" s="37" t="str">
        <f t="shared" si="0"/>
        <v/>
      </c>
      <c r="G26" s="37" t="str">
        <f t="shared" si="1"/>
        <v/>
      </c>
      <c r="H26" s="58" t="str">
        <f t="shared" si="4"/>
        <v/>
      </c>
      <c r="I26" s="137" t="str">
        <f t="shared" si="5"/>
        <v/>
      </c>
      <c r="K26" t="s">
        <v>48</v>
      </c>
      <c r="M26" t="e">
        <f t="shared" si="2"/>
        <v>#VALUE!</v>
      </c>
      <c r="N26" t="str">
        <f t="shared" si="3"/>
        <v/>
      </c>
    </row>
    <row r="27" spans="2:14">
      <c r="B27" s="87">
        <v>15</v>
      </c>
      <c r="C27" s="133"/>
      <c r="D27" s="134"/>
      <c r="E27" s="134"/>
      <c r="F27" s="37" t="str">
        <f t="shared" si="0"/>
        <v/>
      </c>
      <c r="G27" s="37" t="str">
        <f t="shared" si="1"/>
        <v/>
      </c>
      <c r="H27" s="58" t="str">
        <f t="shared" si="4"/>
        <v/>
      </c>
      <c r="I27" s="137" t="str">
        <f t="shared" si="5"/>
        <v/>
      </c>
      <c r="K27" t="s">
        <v>48</v>
      </c>
      <c r="M27" t="e">
        <f t="shared" si="2"/>
        <v>#VALUE!</v>
      </c>
      <c r="N27" t="str">
        <f t="shared" si="3"/>
        <v/>
      </c>
    </row>
    <row r="28" spans="2:14">
      <c r="B28" s="87">
        <v>16</v>
      </c>
      <c r="C28" s="133"/>
      <c r="D28" s="134"/>
      <c r="E28" s="134"/>
      <c r="F28" s="37" t="str">
        <f t="shared" si="0"/>
        <v/>
      </c>
      <c r="G28" s="37" t="str">
        <f t="shared" si="1"/>
        <v/>
      </c>
      <c r="H28" s="58" t="str">
        <f t="shared" si="4"/>
        <v/>
      </c>
      <c r="I28" s="137" t="str">
        <f t="shared" si="5"/>
        <v/>
      </c>
      <c r="K28" t="s">
        <v>48</v>
      </c>
      <c r="M28" t="e">
        <f t="shared" si="2"/>
        <v>#VALUE!</v>
      </c>
      <c r="N28" t="str">
        <f t="shared" si="3"/>
        <v/>
      </c>
    </row>
    <row r="29" spans="2:14">
      <c r="B29" s="87">
        <v>17</v>
      </c>
      <c r="C29" s="133"/>
      <c r="D29" s="134"/>
      <c r="E29" s="134"/>
      <c r="F29" s="37" t="str">
        <f t="shared" si="0"/>
        <v/>
      </c>
      <c r="G29" s="37" t="str">
        <f t="shared" si="1"/>
        <v/>
      </c>
      <c r="H29" s="58" t="str">
        <f t="shared" si="4"/>
        <v/>
      </c>
      <c r="I29" s="137" t="str">
        <f t="shared" si="5"/>
        <v/>
      </c>
      <c r="K29" t="s">
        <v>48</v>
      </c>
      <c r="M29" t="e">
        <f t="shared" si="2"/>
        <v>#VALUE!</v>
      </c>
      <c r="N29" t="str">
        <f t="shared" si="3"/>
        <v/>
      </c>
    </row>
    <row r="30" spans="2:14">
      <c r="B30" s="87">
        <v>18</v>
      </c>
      <c r="C30" s="133"/>
      <c r="D30" s="134"/>
      <c r="E30" s="134"/>
      <c r="F30" s="37" t="str">
        <f t="shared" si="0"/>
        <v/>
      </c>
      <c r="G30" s="37" t="str">
        <f t="shared" si="1"/>
        <v/>
      </c>
      <c r="H30" s="58" t="str">
        <f t="shared" si="4"/>
        <v/>
      </c>
      <c r="I30" s="137" t="str">
        <f t="shared" si="5"/>
        <v/>
      </c>
      <c r="K30" t="s">
        <v>48</v>
      </c>
      <c r="M30" t="e">
        <f t="shared" si="2"/>
        <v>#VALUE!</v>
      </c>
      <c r="N30" t="str">
        <f t="shared" si="3"/>
        <v/>
      </c>
    </row>
    <row r="31" spans="2:14">
      <c r="B31" s="87">
        <v>19</v>
      </c>
      <c r="C31" s="133"/>
      <c r="D31" s="134"/>
      <c r="E31" s="134"/>
      <c r="F31" s="37" t="str">
        <f t="shared" si="0"/>
        <v/>
      </c>
      <c r="G31" s="37" t="str">
        <f t="shared" si="1"/>
        <v/>
      </c>
      <c r="H31" s="58" t="str">
        <f t="shared" si="4"/>
        <v/>
      </c>
      <c r="I31" s="137" t="str">
        <f t="shared" si="5"/>
        <v/>
      </c>
      <c r="K31" t="s">
        <v>48</v>
      </c>
      <c r="M31" t="e">
        <f t="shared" si="2"/>
        <v>#VALUE!</v>
      </c>
      <c r="N31" t="str">
        <f t="shared" si="3"/>
        <v/>
      </c>
    </row>
    <row r="32" spans="2:14">
      <c r="B32" s="87">
        <v>20</v>
      </c>
      <c r="C32" s="133"/>
      <c r="D32" s="134"/>
      <c r="E32" s="134"/>
      <c r="F32" s="37" t="str">
        <f t="shared" si="0"/>
        <v/>
      </c>
      <c r="G32" s="37" t="str">
        <f t="shared" si="1"/>
        <v/>
      </c>
      <c r="H32" s="58" t="str">
        <f t="shared" si="4"/>
        <v/>
      </c>
      <c r="I32" s="137" t="str">
        <f t="shared" si="5"/>
        <v/>
      </c>
      <c r="K32" t="s">
        <v>48</v>
      </c>
      <c r="M32" t="e">
        <f t="shared" si="2"/>
        <v>#VALUE!</v>
      </c>
      <c r="N32" t="str">
        <f t="shared" si="3"/>
        <v/>
      </c>
    </row>
    <row r="33" spans="2:14">
      <c r="B33" s="87">
        <v>21</v>
      </c>
      <c r="C33" s="133"/>
      <c r="D33" s="134"/>
      <c r="E33" s="134"/>
      <c r="F33" s="37" t="str">
        <f t="shared" si="0"/>
        <v/>
      </c>
      <c r="G33" s="37" t="str">
        <f t="shared" si="1"/>
        <v/>
      </c>
      <c r="H33" s="58" t="str">
        <f t="shared" si="4"/>
        <v/>
      </c>
      <c r="I33" s="137" t="str">
        <f t="shared" si="5"/>
        <v/>
      </c>
      <c r="K33" t="s">
        <v>48</v>
      </c>
      <c r="M33" t="e">
        <f t="shared" si="2"/>
        <v>#VALUE!</v>
      </c>
      <c r="N33" t="str">
        <f t="shared" si="3"/>
        <v/>
      </c>
    </row>
    <row r="34" spans="2:14">
      <c r="B34" s="87">
        <v>22</v>
      </c>
      <c r="C34" s="133"/>
      <c r="D34" s="134"/>
      <c r="E34" s="134"/>
      <c r="F34" s="37" t="str">
        <f t="shared" si="0"/>
        <v/>
      </c>
      <c r="G34" s="37" t="str">
        <f t="shared" si="1"/>
        <v/>
      </c>
      <c r="H34" s="58" t="str">
        <f t="shared" si="4"/>
        <v/>
      </c>
      <c r="I34" s="137" t="str">
        <f t="shared" si="5"/>
        <v/>
      </c>
      <c r="K34" t="s">
        <v>48</v>
      </c>
      <c r="M34" t="e">
        <f t="shared" si="2"/>
        <v>#VALUE!</v>
      </c>
      <c r="N34" t="str">
        <f t="shared" si="3"/>
        <v/>
      </c>
    </row>
    <row r="35" spans="2:14">
      <c r="B35" s="87">
        <v>23</v>
      </c>
      <c r="C35" s="133"/>
      <c r="D35" s="134"/>
      <c r="E35" s="134"/>
      <c r="F35" s="37" t="str">
        <f t="shared" si="0"/>
        <v/>
      </c>
      <c r="G35" s="37" t="str">
        <f t="shared" si="1"/>
        <v/>
      </c>
      <c r="H35" s="58" t="str">
        <f t="shared" si="4"/>
        <v/>
      </c>
      <c r="I35" s="137" t="str">
        <f t="shared" si="5"/>
        <v/>
      </c>
      <c r="K35" t="s">
        <v>48</v>
      </c>
      <c r="M35" t="e">
        <f t="shared" si="2"/>
        <v>#VALUE!</v>
      </c>
      <c r="N35" t="str">
        <f t="shared" si="3"/>
        <v/>
      </c>
    </row>
    <row r="36" spans="2:14">
      <c r="B36" s="87">
        <v>24</v>
      </c>
      <c r="C36" s="133"/>
      <c r="D36" s="134"/>
      <c r="E36" s="134"/>
      <c r="F36" s="37" t="str">
        <f t="shared" si="0"/>
        <v/>
      </c>
      <c r="G36" s="37" t="str">
        <f t="shared" si="1"/>
        <v/>
      </c>
      <c r="H36" s="58" t="str">
        <f t="shared" si="4"/>
        <v/>
      </c>
      <c r="I36" s="137" t="str">
        <f t="shared" si="5"/>
        <v/>
      </c>
      <c r="K36" t="s">
        <v>48</v>
      </c>
      <c r="M36" t="e">
        <f t="shared" si="2"/>
        <v>#VALUE!</v>
      </c>
      <c r="N36" t="str">
        <f t="shared" si="3"/>
        <v/>
      </c>
    </row>
    <row r="37" spans="2:14" ht="14.25" thickBot="1">
      <c r="B37" s="88">
        <v>25</v>
      </c>
      <c r="C37" s="131"/>
      <c r="D37" s="132"/>
      <c r="E37" s="132"/>
      <c r="F37" s="45" t="str">
        <f t="shared" si="0"/>
        <v/>
      </c>
      <c r="G37" s="45" t="str">
        <f t="shared" si="1"/>
        <v/>
      </c>
      <c r="H37" s="59" t="str">
        <f t="shared" si="4"/>
        <v/>
      </c>
      <c r="I37" s="13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aip01.dndev.net/svn/aip/toyota/rd/spec/tags/800B/00.Product/v2.0.4/ECU/MET/" xr:uid="{00000000-0004-0000-0200-000000000000}"/>
    <hyperlink ref="D3:H3" r:id="rId2" display="https://aip01.dndev.net/svn/aip/toyota/rd/spec/tags/800B/00.Product/v2.0.4/ECU/MET/" xr:uid="{00000000-0004-0000-0200-000001000000}"/>
  </hyperlinks>
  <pageMargins left="0.7" right="0.7" top="0.75" bottom="0.75" header="0.3" footer="0.3"/>
  <headerFooter>
    <oddHeader>&amp;C&amp;"Calibri"&amp;10&amp;KFF0000 CONFIDENTIAL&amp;1#_x000D_</oddHead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30" t="s">
        <v>33</v>
      </c>
      <c r="C3" s="95" t="s">
        <v>177</v>
      </c>
      <c r="D3" s="95" t="s">
        <v>183</v>
      </c>
      <c r="E3" s="96" t="s">
        <v>184</v>
      </c>
      <c r="F3" s="171" t="s">
        <v>179</v>
      </c>
      <c r="G3" s="168" t="s">
        <v>192</v>
      </c>
      <c r="H3" s="36"/>
      <c r="I3" s="36"/>
      <c r="J3" s="36"/>
      <c r="K3" s="36"/>
      <c r="L3" s="36"/>
      <c r="M3" s="36"/>
      <c r="O3" s="130" t="s">
        <v>33</v>
      </c>
      <c r="P3" s="167" t="s">
        <v>173</v>
      </c>
      <c r="Q3" s="167" t="s">
        <v>186</v>
      </c>
      <c r="R3" s="168" t="s">
        <v>179</v>
      </c>
    </row>
    <row r="4" spans="2:18" ht="14.25" hidden="1" thickTop="1">
      <c r="B4" s="159">
        <v>0</v>
      </c>
      <c r="C4" s="160" t="s">
        <v>163</v>
      </c>
      <c r="D4" s="160"/>
      <c r="E4" s="161"/>
      <c r="F4" s="172"/>
      <c r="G4" s="173"/>
      <c r="H4" s="36"/>
      <c r="I4" s="36"/>
      <c r="J4" s="36"/>
      <c r="K4" s="36"/>
      <c r="L4" s="36"/>
      <c r="M4" s="36"/>
      <c r="O4" s="169">
        <v>0</v>
      </c>
      <c r="P4" s="166" t="s">
        <v>163</v>
      </c>
      <c r="Q4" s="166" t="s">
        <v>163</v>
      </c>
      <c r="R4" s="129"/>
    </row>
    <row r="5" spans="2:18" ht="14.25" thickTop="1">
      <c r="B5" s="162">
        <v>1</v>
      </c>
      <c r="C5" s="134"/>
      <c r="D5" s="23"/>
      <c r="E5" s="58" t="str">
        <f>IF($C5&lt;&gt;"","ALERT_" &amp; D5 &amp; "_ID_"&amp;UPPER(Matrix!$D$6) &amp; "_" &amp; $C5,"")</f>
        <v/>
      </c>
      <c r="F5" s="106"/>
      <c r="G5" s="58" t="str">
        <f>IF(E5&lt;&gt;"",LEN(E5),"")</f>
        <v/>
      </c>
      <c r="O5" s="162">
        <v>1</v>
      </c>
      <c r="P5" s="134"/>
      <c r="Q5" s="134"/>
      <c r="R5" s="107"/>
    </row>
    <row r="6" spans="2:18">
      <c r="B6" s="162">
        <v>2</v>
      </c>
      <c r="C6" s="134"/>
      <c r="D6" s="23"/>
      <c r="E6" s="58" t="str">
        <f>IF($C6&lt;&gt;"","ALERT_" &amp; D6 &amp; "_ID_"&amp;UPPER(Matrix!$D$6) &amp; "_" &amp; $C6,"")</f>
        <v/>
      </c>
      <c r="F6" s="106"/>
      <c r="G6" s="58" t="str">
        <f t="shared" ref="G6:G29" si="0">IF(E6&lt;&gt;"",LEN(E6),"")</f>
        <v/>
      </c>
      <c r="O6" s="162">
        <v>2</v>
      </c>
      <c r="P6" s="134"/>
      <c r="Q6" s="134"/>
      <c r="R6" s="107"/>
    </row>
    <row r="7" spans="2:18">
      <c r="B7" s="162">
        <v>3</v>
      </c>
      <c r="C7" s="134"/>
      <c r="D7" s="23"/>
      <c r="E7" s="58" t="str">
        <f>IF($C7&lt;&gt;"","ALERT_" &amp; D7 &amp; "_ID_"&amp;UPPER(Matrix!$D$6) &amp; "_" &amp; $C7,"")</f>
        <v/>
      </c>
      <c r="F7" s="106"/>
      <c r="G7" s="58" t="str">
        <f t="shared" si="0"/>
        <v/>
      </c>
      <c r="O7" s="162">
        <v>3</v>
      </c>
      <c r="P7" s="134"/>
      <c r="Q7" s="134"/>
      <c r="R7" s="107"/>
    </row>
    <row r="8" spans="2:18">
      <c r="B8" s="162">
        <v>4</v>
      </c>
      <c r="C8" s="134"/>
      <c r="D8" s="23"/>
      <c r="E8" s="58" t="str">
        <f>IF($C8&lt;&gt;"","ALERT_" &amp; D8 &amp; "_ID_"&amp;UPPER(Matrix!$D$6) &amp; "_" &amp; $C8,"")</f>
        <v/>
      </c>
      <c r="F8" s="106"/>
      <c r="G8" s="58" t="str">
        <f t="shared" si="0"/>
        <v/>
      </c>
      <c r="O8" s="162">
        <v>4</v>
      </c>
      <c r="P8" s="134"/>
      <c r="Q8" s="134"/>
      <c r="R8" s="107"/>
    </row>
    <row r="9" spans="2:18">
      <c r="B9" s="162">
        <v>5</v>
      </c>
      <c r="C9" s="134"/>
      <c r="D9" s="23"/>
      <c r="E9" s="58" t="str">
        <f>IF($C9&lt;&gt;"","ALERT_" &amp; D9 &amp; "_ID_"&amp;UPPER(Matrix!$D$6) &amp; "_" &amp; $C9,"")</f>
        <v/>
      </c>
      <c r="F9" s="106"/>
      <c r="G9" s="58" t="str">
        <f t="shared" si="0"/>
        <v/>
      </c>
      <c r="O9" s="162">
        <v>5</v>
      </c>
      <c r="P9" s="134"/>
      <c r="Q9" s="134"/>
      <c r="R9" s="107"/>
    </row>
    <row r="10" spans="2:18">
      <c r="B10" s="162">
        <v>6</v>
      </c>
      <c r="C10" s="134"/>
      <c r="D10" s="23"/>
      <c r="E10" s="58" t="str">
        <f>IF($C10&lt;&gt;"","ALERT_" &amp; D10 &amp; "_ID_"&amp;UPPER(Matrix!$D$6) &amp; "_" &amp; $C10,"")</f>
        <v/>
      </c>
      <c r="F10" s="106"/>
      <c r="G10" s="58" t="str">
        <f t="shared" si="0"/>
        <v/>
      </c>
      <c r="O10" s="162">
        <v>6</v>
      </c>
      <c r="P10" s="134"/>
      <c r="Q10" s="134"/>
      <c r="R10" s="107"/>
    </row>
    <row r="11" spans="2:18">
      <c r="B11" s="162">
        <v>7</v>
      </c>
      <c r="C11" s="134"/>
      <c r="D11" s="23"/>
      <c r="E11" s="58" t="str">
        <f>IF($C11&lt;&gt;"","ALERT_" &amp; D11 &amp; "_ID_"&amp;UPPER(Matrix!$D$6) &amp; "_" &amp; $C11,"")</f>
        <v/>
      </c>
      <c r="F11" s="106"/>
      <c r="G11" s="58" t="str">
        <f t="shared" si="0"/>
        <v/>
      </c>
      <c r="O11" s="162">
        <v>7</v>
      </c>
      <c r="P11" s="134"/>
      <c r="Q11" s="134"/>
      <c r="R11" s="107"/>
    </row>
    <row r="12" spans="2:18">
      <c r="B12" s="162">
        <v>8</v>
      </c>
      <c r="C12" s="134"/>
      <c r="D12" s="23"/>
      <c r="E12" s="58" t="str">
        <f>IF($C12&lt;&gt;"","ALERT_" &amp; D12 &amp; "_ID_"&amp;UPPER(Matrix!$D$6) &amp; "_" &amp; $C12,"")</f>
        <v/>
      </c>
      <c r="F12" s="106"/>
      <c r="G12" s="58" t="str">
        <f t="shared" si="0"/>
        <v/>
      </c>
      <c r="O12" s="162">
        <v>8</v>
      </c>
      <c r="P12" s="134"/>
      <c r="Q12" s="134"/>
      <c r="R12" s="107"/>
    </row>
    <row r="13" spans="2:18">
      <c r="B13" s="162">
        <v>9</v>
      </c>
      <c r="C13" s="134"/>
      <c r="D13" s="23"/>
      <c r="E13" s="58" t="str">
        <f>IF($C13&lt;&gt;"","ALERT_" &amp; D13 &amp; "_ID_"&amp;UPPER(Matrix!$D$6) &amp; "_" &amp; $C13,"")</f>
        <v/>
      </c>
      <c r="F13" s="106"/>
      <c r="G13" s="58" t="str">
        <f t="shared" si="0"/>
        <v/>
      </c>
      <c r="O13" s="162">
        <v>9</v>
      </c>
      <c r="P13" s="134"/>
      <c r="Q13" s="134"/>
      <c r="R13" s="107"/>
    </row>
    <row r="14" spans="2:18">
      <c r="B14" s="162">
        <v>10</v>
      </c>
      <c r="C14" s="134"/>
      <c r="D14" s="23"/>
      <c r="E14" s="58" t="str">
        <f>IF($C14&lt;&gt;"","ALERT_" &amp; D14 &amp; "_ID_"&amp;UPPER(Matrix!$D$6) &amp; "_" &amp; $C14,"")</f>
        <v/>
      </c>
      <c r="F14" s="106"/>
      <c r="G14" s="58" t="str">
        <f t="shared" si="0"/>
        <v/>
      </c>
      <c r="O14" s="162">
        <v>10</v>
      </c>
      <c r="P14" s="134"/>
      <c r="Q14" s="134"/>
      <c r="R14" s="107"/>
    </row>
    <row r="15" spans="2:18">
      <c r="B15" s="162">
        <v>11</v>
      </c>
      <c r="C15" s="134"/>
      <c r="D15" s="23"/>
      <c r="E15" s="58" t="str">
        <f>IF($C15&lt;&gt;"","ALERT_" &amp; D15 &amp; "_ID_"&amp;UPPER(Matrix!$D$6) &amp; "_" &amp; $C15,"")</f>
        <v/>
      </c>
      <c r="F15" s="106"/>
      <c r="G15" s="58" t="str">
        <f t="shared" si="0"/>
        <v/>
      </c>
      <c r="O15" s="162">
        <v>11</v>
      </c>
      <c r="P15" s="134"/>
      <c r="Q15" s="134"/>
      <c r="R15" s="107"/>
    </row>
    <row r="16" spans="2:18">
      <c r="B16" s="162">
        <v>12</v>
      </c>
      <c r="C16" s="134"/>
      <c r="D16" s="23"/>
      <c r="E16" s="58" t="str">
        <f>IF($C16&lt;&gt;"","ALERT_" &amp; D16 &amp; "_ID_"&amp;UPPER(Matrix!$D$6) &amp; "_" &amp; $C16,"")</f>
        <v/>
      </c>
      <c r="F16" s="106"/>
      <c r="G16" s="58" t="str">
        <f t="shared" si="0"/>
        <v/>
      </c>
      <c r="O16" s="162">
        <v>12</v>
      </c>
      <c r="P16" s="134"/>
      <c r="Q16" s="134"/>
      <c r="R16" s="107"/>
    </row>
    <row r="17" spans="2:18">
      <c r="B17" s="162">
        <v>13</v>
      </c>
      <c r="C17" s="134"/>
      <c r="D17" s="23"/>
      <c r="E17" s="58" t="str">
        <f>IF($C17&lt;&gt;"","ALERT_" &amp; D17 &amp; "_ID_"&amp;UPPER(Matrix!$D$6) &amp; "_" &amp; $C17,"")</f>
        <v/>
      </c>
      <c r="F17" s="106"/>
      <c r="G17" s="58" t="str">
        <f t="shared" si="0"/>
        <v/>
      </c>
      <c r="O17" s="162">
        <v>13</v>
      </c>
      <c r="P17" s="134"/>
      <c r="Q17" s="134"/>
      <c r="R17" s="107"/>
    </row>
    <row r="18" spans="2:18">
      <c r="B18" s="162">
        <v>14</v>
      </c>
      <c r="C18" s="134"/>
      <c r="D18" s="23"/>
      <c r="E18" s="58" t="str">
        <f>IF($C18&lt;&gt;"","ALERT_" &amp; D18 &amp; "_ID_"&amp;UPPER(Matrix!$D$6) &amp; "_" &amp; $C18,"")</f>
        <v/>
      </c>
      <c r="F18" s="106"/>
      <c r="G18" s="58" t="str">
        <f t="shared" si="0"/>
        <v/>
      </c>
      <c r="O18" s="162">
        <v>14</v>
      </c>
      <c r="P18" s="134"/>
      <c r="Q18" s="134"/>
      <c r="R18" s="107"/>
    </row>
    <row r="19" spans="2:18">
      <c r="B19" s="162">
        <v>15</v>
      </c>
      <c r="C19" s="134"/>
      <c r="D19" s="23"/>
      <c r="E19" s="58" t="str">
        <f>IF($C19&lt;&gt;"","ALERT_" &amp; D19 &amp; "_ID_"&amp;UPPER(Matrix!$D$6) &amp; "_" &amp; $C19,"")</f>
        <v/>
      </c>
      <c r="F19" s="106"/>
      <c r="G19" s="58" t="str">
        <f t="shared" si="0"/>
        <v/>
      </c>
      <c r="O19" s="162">
        <v>15</v>
      </c>
      <c r="P19" s="134"/>
      <c r="Q19" s="134"/>
      <c r="R19" s="107"/>
    </row>
    <row r="20" spans="2:18">
      <c r="B20" s="162">
        <v>16</v>
      </c>
      <c r="C20" s="134"/>
      <c r="D20" s="23"/>
      <c r="E20" s="58" t="str">
        <f>IF($C20&lt;&gt;"","ALERT_" &amp; D20 &amp; "_ID_"&amp;UPPER(Matrix!$D$6) &amp; "_" &amp; $C20,"")</f>
        <v/>
      </c>
      <c r="F20" s="106"/>
      <c r="G20" s="58" t="str">
        <f t="shared" si="0"/>
        <v/>
      </c>
      <c r="O20" s="162">
        <v>16</v>
      </c>
      <c r="P20" s="134"/>
      <c r="Q20" s="134"/>
      <c r="R20" s="107"/>
    </row>
    <row r="21" spans="2:18">
      <c r="B21" s="162">
        <v>17</v>
      </c>
      <c r="C21" s="134"/>
      <c r="D21" s="23"/>
      <c r="E21" s="58" t="str">
        <f>IF($C21&lt;&gt;"","ALERT_" &amp; D21 &amp; "_ID_"&amp;UPPER(Matrix!$D$6) &amp; "_" &amp; $C21,"")</f>
        <v/>
      </c>
      <c r="F21" s="106"/>
      <c r="G21" s="58" t="str">
        <f t="shared" si="0"/>
        <v/>
      </c>
      <c r="O21" s="162">
        <v>17</v>
      </c>
      <c r="P21" s="134"/>
      <c r="Q21" s="134"/>
      <c r="R21" s="107"/>
    </row>
    <row r="22" spans="2:18">
      <c r="B22" s="162">
        <v>18</v>
      </c>
      <c r="C22" s="134"/>
      <c r="D22" s="23"/>
      <c r="E22" s="58" t="str">
        <f>IF($C22&lt;&gt;"","ALERT_" &amp; D22 &amp; "_ID_"&amp;UPPER(Matrix!$D$6) &amp; "_" &amp; $C22,"")</f>
        <v/>
      </c>
      <c r="F22" s="106"/>
      <c r="G22" s="58" t="str">
        <f t="shared" si="0"/>
        <v/>
      </c>
      <c r="O22" s="162">
        <v>18</v>
      </c>
      <c r="P22" s="134"/>
      <c r="Q22" s="134"/>
      <c r="R22" s="107"/>
    </row>
    <row r="23" spans="2:18">
      <c r="B23" s="162">
        <v>19</v>
      </c>
      <c r="C23" s="134"/>
      <c r="D23" s="23"/>
      <c r="E23" s="58" t="str">
        <f>IF($C23&lt;&gt;"","ALERT_" &amp; D23 &amp; "_ID_"&amp;UPPER(Matrix!$D$6) &amp; "_" &amp; $C23,"")</f>
        <v/>
      </c>
      <c r="F23" s="106"/>
      <c r="G23" s="58" t="str">
        <f t="shared" si="0"/>
        <v/>
      </c>
      <c r="O23" s="162">
        <v>19</v>
      </c>
      <c r="P23" s="134"/>
      <c r="Q23" s="134"/>
      <c r="R23" s="107"/>
    </row>
    <row r="24" spans="2:18">
      <c r="B24" s="162">
        <v>20</v>
      </c>
      <c r="C24" s="134"/>
      <c r="D24" s="23"/>
      <c r="E24" s="58" t="str">
        <f>IF($C24&lt;&gt;"","ALERT_" &amp; D24 &amp; "_ID_"&amp;UPPER(Matrix!$D$6) &amp; "_" &amp; $C24,"")</f>
        <v/>
      </c>
      <c r="F24" s="106"/>
      <c r="G24" s="58" t="str">
        <f t="shared" si="0"/>
        <v/>
      </c>
      <c r="O24" s="162">
        <v>20</v>
      </c>
      <c r="P24" s="134"/>
      <c r="Q24" s="134"/>
      <c r="R24" s="107"/>
    </row>
    <row r="25" spans="2:18">
      <c r="B25" s="162">
        <v>21</v>
      </c>
      <c r="C25" s="134"/>
      <c r="D25" s="23"/>
      <c r="E25" s="58" t="str">
        <f>IF($C25&lt;&gt;"","ALERT_" &amp; D25 &amp; "_ID_"&amp;UPPER(Matrix!$D$6) &amp; "_" &amp; $C25,"")</f>
        <v/>
      </c>
      <c r="F25" s="106"/>
      <c r="G25" s="58" t="str">
        <f t="shared" si="0"/>
        <v/>
      </c>
      <c r="O25" s="162">
        <v>21</v>
      </c>
      <c r="P25" s="134"/>
      <c r="Q25" s="134"/>
      <c r="R25" s="107"/>
    </row>
    <row r="26" spans="2:18">
      <c r="B26" s="162">
        <v>22</v>
      </c>
      <c r="C26" s="134"/>
      <c r="D26" s="23"/>
      <c r="E26" s="58" t="str">
        <f>IF($C26&lt;&gt;"","ALERT_" &amp; D26 &amp; "_ID_"&amp;UPPER(Matrix!$D$6) &amp; "_" &amp; $C26,"")</f>
        <v/>
      </c>
      <c r="F26" s="106"/>
      <c r="G26" s="58" t="str">
        <f t="shared" si="0"/>
        <v/>
      </c>
      <c r="O26" s="162">
        <v>22</v>
      </c>
      <c r="P26" s="134"/>
      <c r="Q26" s="134"/>
      <c r="R26" s="107"/>
    </row>
    <row r="27" spans="2:18">
      <c r="B27" s="162">
        <v>23</v>
      </c>
      <c r="C27" s="134"/>
      <c r="D27" s="23"/>
      <c r="E27" s="58" t="str">
        <f>IF($C27&lt;&gt;"","ALERT_" &amp; D27 &amp; "_ID_"&amp;UPPER(Matrix!$D$6) &amp; "_" &amp; $C27,"")</f>
        <v/>
      </c>
      <c r="F27" s="106"/>
      <c r="G27" s="58" t="str">
        <f t="shared" si="0"/>
        <v/>
      </c>
      <c r="O27" s="162">
        <v>23</v>
      </c>
      <c r="P27" s="134"/>
      <c r="Q27" s="134"/>
      <c r="R27" s="107"/>
    </row>
    <row r="28" spans="2:18">
      <c r="B28" s="162">
        <v>24</v>
      </c>
      <c r="C28" s="134"/>
      <c r="D28" s="23"/>
      <c r="E28" s="58" t="str">
        <f>IF($C28&lt;&gt;"","ALERT_" &amp; D28 &amp; "_ID_"&amp;UPPER(Matrix!$D$6) &amp; "_" &amp; $C28,"")</f>
        <v/>
      </c>
      <c r="F28" s="106"/>
      <c r="G28" s="58" t="str">
        <f t="shared" si="0"/>
        <v/>
      </c>
      <c r="O28" s="162">
        <v>24</v>
      </c>
      <c r="P28" s="134"/>
      <c r="Q28" s="134"/>
      <c r="R28" s="107"/>
    </row>
    <row r="29" spans="2:18" ht="14.25" thickBot="1">
      <c r="B29" s="163">
        <v>25</v>
      </c>
      <c r="C29" s="132"/>
      <c r="D29" s="44"/>
      <c r="E29" s="59" t="str">
        <f>IF($C29&lt;&gt;"","ALERT_" &amp; D29 &amp; "_ID_"&amp;UPPER(Matrix!$D$6) &amp; "_" &amp; $C29,"")</f>
        <v/>
      </c>
      <c r="F29" s="108"/>
      <c r="G29" s="59" t="str">
        <f t="shared" si="0"/>
        <v/>
      </c>
      <c r="O29" s="163">
        <v>25</v>
      </c>
      <c r="P29" s="132"/>
      <c r="Q29" s="132"/>
      <c r="R29" s="109"/>
    </row>
    <row r="32" spans="2:18" ht="14.25" thickBot="1">
      <c r="B32" t="s">
        <v>188</v>
      </c>
      <c r="O32" t="s">
        <v>185</v>
      </c>
    </row>
    <row r="33" spans="2:18" ht="14.25" thickBot="1">
      <c r="B33" s="130" t="s">
        <v>33</v>
      </c>
      <c r="C33" s="95" t="s">
        <v>177</v>
      </c>
      <c r="D33" s="95" t="s">
        <v>182</v>
      </c>
      <c r="E33" s="96" t="s">
        <v>180</v>
      </c>
      <c r="F33" s="168" t="s">
        <v>181</v>
      </c>
      <c r="G33" s="168" t="s">
        <v>192</v>
      </c>
      <c r="O33" s="130" t="s">
        <v>33</v>
      </c>
      <c r="P33" s="167" t="s">
        <v>174</v>
      </c>
      <c r="Q33" s="167" t="s">
        <v>190</v>
      </c>
      <c r="R33" s="168" t="s">
        <v>178</v>
      </c>
    </row>
    <row r="34" spans="2:18" ht="14.25" hidden="1" thickTop="1">
      <c r="B34" s="159">
        <v>0</v>
      </c>
      <c r="C34" s="160" t="s">
        <v>163</v>
      </c>
      <c r="D34" s="160"/>
      <c r="E34" s="161"/>
      <c r="F34" s="170" t="s">
        <v>163</v>
      </c>
      <c r="G34" s="173"/>
      <c r="O34" s="169">
        <v>0</v>
      </c>
      <c r="P34" s="166" t="s">
        <v>163</v>
      </c>
      <c r="Q34" s="166" t="s">
        <v>163</v>
      </c>
      <c r="R34" s="170" t="s">
        <v>163</v>
      </c>
    </row>
    <row r="35" spans="2:18" ht="14.25" thickTop="1">
      <c r="B35" s="162">
        <v>1</v>
      </c>
      <c r="C35" s="134"/>
      <c r="D35" s="23"/>
      <c r="E35" s="58" t="str">
        <f>IF($C35&lt;&gt;"","ALERT_" &amp; UPPER(Matrix!$D$6) &amp; "_" &amp; $C35,"")</f>
        <v/>
      </c>
      <c r="F35" s="164"/>
      <c r="G35" s="58" t="str">
        <f>IF(E35&lt;&gt;"",LEN(E35),"")</f>
        <v/>
      </c>
      <c r="O35" s="162">
        <v>1</v>
      </c>
      <c r="P35" s="134"/>
      <c r="Q35" s="134"/>
      <c r="R35" s="164"/>
    </row>
    <row r="36" spans="2:18">
      <c r="B36" s="162">
        <v>2</v>
      </c>
      <c r="C36" s="134"/>
      <c r="D36" s="23"/>
      <c r="E36" s="58" t="str">
        <f>IF($C36&lt;&gt;"","ALERT_" &amp; UPPER(Matrix!$D$6) &amp; "_" &amp; $C36,"")</f>
        <v/>
      </c>
      <c r="F36" s="164"/>
      <c r="G36" s="58" t="str">
        <f>IF(E36&lt;&gt;"",LEN(E36),"")</f>
        <v/>
      </c>
      <c r="O36" s="162">
        <v>2</v>
      </c>
      <c r="P36" s="134"/>
      <c r="Q36" s="134"/>
      <c r="R36" s="164"/>
    </row>
    <row r="37" spans="2:18">
      <c r="B37" s="162">
        <v>3</v>
      </c>
      <c r="C37" s="134"/>
      <c r="D37" s="23"/>
      <c r="E37" s="58" t="str">
        <f>IF($C37&lt;&gt;"","ALERT_" &amp; UPPER(Matrix!$D$6) &amp; "_" &amp; $C37,"")</f>
        <v/>
      </c>
      <c r="F37" s="164"/>
      <c r="G37" s="58" t="str">
        <f>IF(E37&lt;&gt;"",LEN(E37),"")</f>
        <v/>
      </c>
      <c r="O37" s="162">
        <v>3</v>
      </c>
      <c r="P37" s="134"/>
      <c r="Q37" s="134"/>
      <c r="R37" s="164"/>
    </row>
    <row r="38" spans="2:18">
      <c r="B38" s="162">
        <v>4</v>
      </c>
      <c r="C38" s="134"/>
      <c r="D38" s="23"/>
      <c r="E38" s="58" t="str">
        <f>IF($C38&lt;&gt;"","ALERT_" &amp; UPPER(Matrix!$D$6) &amp; "_" &amp; $C38,"")</f>
        <v/>
      </c>
      <c r="F38" s="164"/>
      <c r="G38" s="58" t="str">
        <f t="shared" ref="G38:G59" si="1">IF(E38&lt;&gt;"",LEN(E38),"")</f>
        <v/>
      </c>
      <c r="O38" s="162">
        <v>4</v>
      </c>
      <c r="P38" s="134"/>
      <c r="Q38" s="134"/>
      <c r="R38" s="164"/>
    </row>
    <row r="39" spans="2:18">
      <c r="B39" s="162">
        <v>5</v>
      </c>
      <c r="C39" s="134"/>
      <c r="D39" s="23"/>
      <c r="E39" s="58" t="str">
        <f>IF($C39&lt;&gt;"","ALERT_" &amp; UPPER(Matrix!$D$6) &amp; "_" &amp; $C39,"")</f>
        <v/>
      </c>
      <c r="F39" s="164"/>
      <c r="G39" s="58" t="str">
        <f t="shared" si="1"/>
        <v/>
      </c>
      <c r="O39" s="162">
        <v>5</v>
      </c>
      <c r="P39" s="134"/>
      <c r="Q39" s="134"/>
      <c r="R39" s="164"/>
    </row>
    <row r="40" spans="2:18">
      <c r="B40" s="162">
        <v>6</v>
      </c>
      <c r="C40" s="134"/>
      <c r="D40" s="23"/>
      <c r="E40" s="58" t="str">
        <f>IF($C40&lt;&gt;"","ALERT_" &amp; UPPER(Matrix!$D$6) &amp; "_" &amp; $C40,"")</f>
        <v/>
      </c>
      <c r="F40" s="164"/>
      <c r="G40" s="58" t="str">
        <f t="shared" si="1"/>
        <v/>
      </c>
      <c r="O40" s="162">
        <v>6</v>
      </c>
      <c r="P40" s="134"/>
      <c r="Q40" s="134"/>
      <c r="R40" s="164"/>
    </row>
    <row r="41" spans="2:18">
      <c r="B41" s="162">
        <v>7</v>
      </c>
      <c r="C41" s="134"/>
      <c r="D41" s="23"/>
      <c r="E41" s="58" t="str">
        <f>IF($C41&lt;&gt;"","ALERT_" &amp; UPPER(Matrix!$D$6) &amp; "_" &amp; $C41,"")</f>
        <v/>
      </c>
      <c r="F41" s="164"/>
      <c r="G41" s="58" t="str">
        <f t="shared" si="1"/>
        <v/>
      </c>
      <c r="O41" s="162">
        <v>7</v>
      </c>
      <c r="P41" s="134"/>
      <c r="Q41" s="134"/>
      <c r="R41" s="164"/>
    </row>
    <row r="42" spans="2:18">
      <c r="B42" s="162">
        <v>8</v>
      </c>
      <c r="C42" s="134"/>
      <c r="D42" s="23"/>
      <c r="E42" s="58" t="str">
        <f>IF($C42&lt;&gt;"","ALERT_" &amp; UPPER(Matrix!$D$6) &amp; "_" &amp; $C42,"")</f>
        <v/>
      </c>
      <c r="F42" s="164"/>
      <c r="G42" s="58" t="str">
        <f t="shared" si="1"/>
        <v/>
      </c>
      <c r="O42" s="162">
        <v>8</v>
      </c>
      <c r="P42" s="134"/>
      <c r="Q42" s="134"/>
      <c r="R42" s="164"/>
    </row>
    <row r="43" spans="2:18">
      <c r="B43" s="162">
        <v>9</v>
      </c>
      <c r="C43" s="134"/>
      <c r="D43" s="23"/>
      <c r="E43" s="58" t="str">
        <f>IF($C43&lt;&gt;"","ALERT_" &amp; UPPER(Matrix!$D$6) &amp; "_" &amp; $C43,"")</f>
        <v/>
      </c>
      <c r="F43" s="164"/>
      <c r="G43" s="58" t="str">
        <f t="shared" si="1"/>
        <v/>
      </c>
      <c r="O43" s="162">
        <v>9</v>
      </c>
      <c r="P43" s="134"/>
      <c r="Q43" s="134"/>
      <c r="R43" s="164"/>
    </row>
    <row r="44" spans="2:18">
      <c r="B44" s="162">
        <v>10</v>
      </c>
      <c r="C44" s="134"/>
      <c r="D44" s="23"/>
      <c r="E44" s="58" t="str">
        <f>IF($C44&lt;&gt;"","ALERT_" &amp; UPPER(Matrix!$D$6) &amp; "_" &amp; $C44,"")</f>
        <v/>
      </c>
      <c r="F44" s="164"/>
      <c r="G44" s="58" t="str">
        <f t="shared" si="1"/>
        <v/>
      </c>
      <c r="O44" s="162">
        <v>10</v>
      </c>
      <c r="P44" s="134"/>
      <c r="Q44" s="134"/>
      <c r="R44" s="164"/>
    </row>
    <row r="45" spans="2:18">
      <c r="B45" s="162">
        <v>11</v>
      </c>
      <c r="C45" s="134"/>
      <c r="D45" s="23"/>
      <c r="E45" s="58" t="str">
        <f>IF($C45&lt;&gt;"","ALERT_" &amp; UPPER(Matrix!$D$6) &amp; "_" &amp; $C45,"")</f>
        <v/>
      </c>
      <c r="F45" s="164"/>
      <c r="G45" s="58" t="str">
        <f t="shared" si="1"/>
        <v/>
      </c>
      <c r="O45" s="162">
        <v>11</v>
      </c>
      <c r="P45" s="134"/>
      <c r="Q45" s="134"/>
      <c r="R45" s="164"/>
    </row>
    <row r="46" spans="2:18">
      <c r="B46" s="162">
        <v>12</v>
      </c>
      <c r="C46" s="134"/>
      <c r="D46" s="23"/>
      <c r="E46" s="58" t="str">
        <f>IF($C46&lt;&gt;"","ALERT_" &amp; UPPER(Matrix!$D$6) &amp; "_" &amp; $C46,"")</f>
        <v/>
      </c>
      <c r="F46" s="164"/>
      <c r="G46" s="58" t="str">
        <f t="shared" si="1"/>
        <v/>
      </c>
      <c r="O46" s="162">
        <v>12</v>
      </c>
      <c r="P46" s="134"/>
      <c r="Q46" s="134"/>
      <c r="R46" s="164"/>
    </row>
    <row r="47" spans="2:18">
      <c r="B47" s="162">
        <v>13</v>
      </c>
      <c r="C47" s="134"/>
      <c r="D47" s="23"/>
      <c r="E47" s="58" t="str">
        <f>IF($C47&lt;&gt;"","ALERT_" &amp; UPPER(Matrix!$D$6) &amp; "_" &amp; $C47,"")</f>
        <v/>
      </c>
      <c r="F47" s="164"/>
      <c r="G47" s="58" t="str">
        <f t="shared" si="1"/>
        <v/>
      </c>
      <c r="O47" s="162">
        <v>13</v>
      </c>
      <c r="P47" s="134"/>
      <c r="Q47" s="134"/>
      <c r="R47" s="164"/>
    </row>
    <row r="48" spans="2:18">
      <c r="B48" s="162">
        <v>14</v>
      </c>
      <c r="C48" s="134"/>
      <c r="D48" s="23"/>
      <c r="E48" s="58" t="str">
        <f>IF($C48&lt;&gt;"","ALERT_" &amp; UPPER(Matrix!$D$6) &amp; "_" &amp; $C48,"")</f>
        <v/>
      </c>
      <c r="F48" s="164"/>
      <c r="G48" s="58" t="str">
        <f t="shared" si="1"/>
        <v/>
      </c>
      <c r="O48" s="162">
        <v>14</v>
      </c>
      <c r="P48" s="134"/>
      <c r="Q48" s="134"/>
      <c r="R48" s="164"/>
    </row>
    <row r="49" spans="2:18">
      <c r="B49" s="162">
        <v>15</v>
      </c>
      <c r="C49" s="134"/>
      <c r="D49" s="23"/>
      <c r="E49" s="58" t="str">
        <f>IF($C49&lt;&gt;"","ALERT_" &amp; UPPER(Matrix!$D$6) &amp; "_" &amp; $C49,"")</f>
        <v/>
      </c>
      <c r="F49" s="164"/>
      <c r="G49" s="58" t="str">
        <f t="shared" si="1"/>
        <v/>
      </c>
      <c r="O49" s="162">
        <v>15</v>
      </c>
      <c r="P49" s="134"/>
      <c r="Q49" s="134"/>
      <c r="R49" s="164"/>
    </row>
    <row r="50" spans="2:18">
      <c r="B50" s="162">
        <v>16</v>
      </c>
      <c r="C50" s="134"/>
      <c r="D50" s="23"/>
      <c r="E50" s="58" t="str">
        <f>IF($C50&lt;&gt;"","ALERT_" &amp; UPPER(Matrix!$D$6) &amp; "_" &amp; $C50,"")</f>
        <v/>
      </c>
      <c r="F50" s="164"/>
      <c r="G50" s="58" t="str">
        <f t="shared" si="1"/>
        <v/>
      </c>
      <c r="O50" s="162">
        <v>16</v>
      </c>
      <c r="P50" s="134"/>
      <c r="Q50" s="134"/>
      <c r="R50" s="164"/>
    </row>
    <row r="51" spans="2:18">
      <c r="B51" s="162">
        <v>17</v>
      </c>
      <c r="C51" s="134"/>
      <c r="D51" s="23"/>
      <c r="E51" s="58" t="str">
        <f>IF($C51&lt;&gt;"","ALERT_" &amp; UPPER(Matrix!$D$6) &amp; "_" &amp; $C51,"")</f>
        <v/>
      </c>
      <c r="F51" s="164"/>
      <c r="G51" s="58" t="str">
        <f t="shared" si="1"/>
        <v/>
      </c>
      <c r="O51" s="162">
        <v>17</v>
      </c>
      <c r="P51" s="134"/>
      <c r="Q51" s="134"/>
      <c r="R51" s="164"/>
    </row>
    <row r="52" spans="2:18">
      <c r="B52" s="162">
        <v>18</v>
      </c>
      <c r="C52" s="134"/>
      <c r="D52" s="23"/>
      <c r="E52" s="58" t="str">
        <f>IF($C52&lt;&gt;"","ALERT_" &amp; UPPER(Matrix!$D$6) &amp; "_" &amp; $C52,"")</f>
        <v/>
      </c>
      <c r="F52" s="164"/>
      <c r="G52" s="58" t="str">
        <f t="shared" si="1"/>
        <v/>
      </c>
      <c r="O52" s="162">
        <v>18</v>
      </c>
      <c r="P52" s="134"/>
      <c r="Q52" s="134"/>
      <c r="R52" s="164"/>
    </row>
    <row r="53" spans="2:18">
      <c r="B53" s="162">
        <v>19</v>
      </c>
      <c r="C53" s="134"/>
      <c r="D53" s="23"/>
      <c r="E53" s="58" t="str">
        <f>IF($C53&lt;&gt;"","ALERT_" &amp; UPPER(Matrix!$D$6) &amp; "_" &amp; $C53,"")</f>
        <v/>
      </c>
      <c r="F53" s="164"/>
      <c r="G53" s="58" t="str">
        <f t="shared" si="1"/>
        <v/>
      </c>
      <c r="O53" s="162">
        <v>19</v>
      </c>
      <c r="P53" s="134"/>
      <c r="Q53" s="134"/>
      <c r="R53" s="164"/>
    </row>
    <row r="54" spans="2:18">
      <c r="B54" s="162">
        <v>20</v>
      </c>
      <c r="C54" s="134"/>
      <c r="D54" s="23"/>
      <c r="E54" s="58" t="str">
        <f>IF($C54&lt;&gt;"","ALERT_" &amp; UPPER(Matrix!$D$6) &amp; "_" &amp; $C54,"")</f>
        <v/>
      </c>
      <c r="F54" s="164"/>
      <c r="G54" s="58" t="str">
        <f t="shared" si="1"/>
        <v/>
      </c>
      <c r="O54" s="162">
        <v>20</v>
      </c>
      <c r="P54" s="134"/>
      <c r="Q54" s="134"/>
      <c r="R54" s="164"/>
    </row>
    <row r="55" spans="2:18">
      <c r="B55" s="162">
        <v>21</v>
      </c>
      <c r="C55" s="134"/>
      <c r="D55" s="23"/>
      <c r="E55" s="58" t="str">
        <f>IF($C55&lt;&gt;"","ALERT_" &amp; UPPER(Matrix!$D$6) &amp; "_" &amp; $C55,"")</f>
        <v/>
      </c>
      <c r="F55" s="164"/>
      <c r="G55" s="58" t="str">
        <f t="shared" si="1"/>
        <v/>
      </c>
      <c r="O55" s="162">
        <v>21</v>
      </c>
      <c r="P55" s="134"/>
      <c r="Q55" s="134"/>
      <c r="R55" s="164"/>
    </row>
    <row r="56" spans="2:18">
      <c r="B56" s="162">
        <v>22</v>
      </c>
      <c r="C56" s="134"/>
      <c r="D56" s="23"/>
      <c r="E56" s="58" t="str">
        <f>IF($C56&lt;&gt;"","ALERT_" &amp; UPPER(Matrix!$D$6) &amp; "_" &amp; $C56,"")</f>
        <v/>
      </c>
      <c r="F56" s="164"/>
      <c r="G56" s="58" t="str">
        <f t="shared" si="1"/>
        <v/>
      </c>
      <c r="O56" s="162">
        <v>22</v>
      </c>
      <c r="P56" s="134"/>
      <c r="Q56" s="134"/>
      <c r="R56" s="164"/>
    </row>
    <row r="57" spans="2:18">
      <c r="B57" s="162">
        <v>23</v>
      </c>
      <c r="C57" s="134"/>
      <c r="D57" s="23"/>
      <c r="E57" s="58" t="str">
        <f>IF($C57&lt;&gt;"","ALERT_" &amp; UPPER(Matrix!$D$6) &amp; "_" &amp; $C57,"")</f>
        <v/>
      </c>
      <c r="F57" s="164"/>
      <c r="G57" s="58" t="str">
        <f t="shared" si="1"/>
        <v/>
      </c>
      <c r="O57" s="162">
        <v>23</v>
      </c>
      <c r="P57" s="134"/>
      <c r="Q57" s="134"/>
      <c r="R57" s="164"/>
    </row>
    <row r="58" spans="2:18">
      <c r="B58" s="162">
        <v>24</v>
      </c>
      <c r="C58" s="134"/>
      <c r="D58" s="23"/>
      <c r="E58" s="58" t="str">
        <f>IF($C58&lt;&gt;"","ALERT_" &amp; UPPER(Matrix!$D$6) &amp; "_" &amp; $C58,"")</f>
        <v/>
      </c>
      <c r="F58" s="164"/>
      <c r="G58" s="58" t="str">
        <f t="shared" si="1"/>
        <v/>
      </c>
      <c r="O58" s="162">
        <v>24</v>
      </c>
      <c r="P58" s="134"/>
      <c r="Q58" s="134"/>
      <c r="R58" s="164"/>
    </row>
    <row r="59" spans="2:18" ht="14.25" thickBot="1">
      <c r="B59" s="163">
        <v>25</v>
      </c>
      <c r="C59" s="132"/>
      <c r="D59" s="44"/>
      <c r="E59" s="59" t="str">
        <f>IF($C59&lt;&gt;"","ALERT_" &amp; UPPER(Matrix!$D$6) &amp; "_" &amp; $C59,"")</f>
        <v/>
      </c>
      <c r="F59" s="165"/>
      <c r="G59" s="59" t="str">
        <f t="shared" si="1"/>
        <v/>
      </c>
      <c r="O59" s="163">
        <v>25</v>
      </c>
      <c r="P59" s="132"/>
      <c r="Q59" s="132"/>
      <c r="R59" s="16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C42" sqref="C42"/>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1" t="s">
        <v>103</v>
      </c>
    </row>
    <row r="2" spans="2:21" ht="14.25" thickBot="1">
      <c r="B2" s="89" t="s">
        <v>57</v>
      </c>
      <c r="C2" s="90" t="s">
        <v>121</v>
      </c>
      <c r="D2" s="91" t="s">
        <v>51</v>
      </c>
      <c r="E2" s="92" t="s">
        <v>52</v>
      </c>
      <c r="F2" s="93" t="s">
        <v>23</v>
      </c>
      <c r="G2" s="92" t="s">
        <v>53</v>
      </c>
      <c r="H2" s="93" t="s">
        <v>25</v>
      </c>
      <c r="I2" s="92" t="s">
        <v>54</v>
      </c>
      <c r="J2" s="93" t="s">
        <v>161</v>
      </c>
      <c r="K2" s="92" t="s">
        <v>55</v>
      </c>
      <c r="L2" s="93" t="s">
        <v>26</v>
      </c>
      <c r="M2" s="90" t="s">
        <v>56</v>
      </c>
      <c r="N2" s="93" t="s">
        <v>116</v>
      </c>
      <c r="O2" s="112" t="s">
        <v>82</v>
      </c>
    </row>
    <row r="3" spans="2:21" ht="15" hidden="1" thickTop="1" thickBot="1">
      <c r="B3" s="24"/>
      <c r="C3" s="41" t="s">
        <v>107</v>
      </c>
      <c r="D3" s="105"/>
      <c r="E3" s="12"/>
      <c r="F3" s="14"/>
      <c r="G3" s="12"/>
      <c r="H3" s="14"/>
      <c r="I3" s="12"/>
      <c r="J3" s="14"/>
      <c r="K3" s="12"/>
      <c r="L3" s="14"/>
      <c r="M3" s="42"/>
      <c r="N3" s="101"/>
      <c r="O3" s="113"/>
      <c r="U3" s="85" t="s">
        <v>97</v>
      </c>
    </row>
    <row r="4" spans="2:21" ht="14.25" thickTop="1">
      <c r="B4" s="24" t="s">
        <v>260</v>
      </c>
      <c r="C4" s="98" t="s">
        <v>241</v>
      </c>
      <c r="D4" s="110">
        <v>0</v>
      </c>
      <c r="E4" s="175" t="s">
        <v>125</v>
      </c>
      <c r="F4" s="176" t="s">
        <v>200</v>
      </c>
      <c r="G4" s="175" t="s">
        <v>125</v>
      </c>
      <c r="H4" s="176" t="s">
        <v>30</v>
      </c>
      <c r="I4" s="175" t="s">
        <v>125</v>
      </c>
      <c r="J4" s="176" t="s">
        <v>242</v>
      </c>
      <c r="K4" s="175" t="s">
        <v>125</v>
      </c>
      <c r="L4" s="176" t="s">
        <v>30</v>
      </c>
      <c r="M4" s="42">
        <f ca="1">LEN(N4)</f>
        <v>31</v>
      </c>
      <c r="N4" s="101" t="str">
        <f ca="1">VLOOKUP($B4,Matrix!$H$13:$I$37,2,FALSE)&amp;"_"&amp;C4</f>
        <v>ALERT_REQ_D_SECDDC_UNREGISTERED</v>
      </c>
      <c r="O4" s="113" t="str">
        <f t="shared" ref="O4:O35" ca="1" si="0">"#define "&amp;N4&amp;REPT(" ",48-M4)&amp;"("&amp;D4&amp;"U)"</f>
        <v>#define ALERT_REQ_D_SECDDC_UNREGISTERED                 (0U)</v>
      </c>
      <c r="U4" s="85" t="s">
        <v>97</v>
      </c>
    </row>
    <row r="5" spans="2:21">
      <c r="B5" s="24"/>
      <c r="C5" s="99"/>
      <c r="D5" s="111"/>
      <c r="E5" s="100"/>
      <c r="F5" s="177"/>
      <c r="G5" s="100"/>
      <c r="H5" s="177"/>
      <c r="I5" s="175"/>
      <c r="J5" s="176"/>
      <c r="K5" s="175"/>
      <c r="L5" s="176"/>
      <c r="M5" s="37" t="e">
        <f t="shared" ref="M5:M68" ca="1" si="1">LEN(N5)</f>
        <v>#N/A</v>
      </c>
      <c r="N5" s="101" t="e">
        <f ca="1">VLOOKUP($B5,Matrix!$H$13:$I$37,2,FALSE)&amp;"_"&amp;C5</f>
        <v>#N/A</v>
      </c>
      <c r="O5" s="114" t="e">
        <f t="shared" ca="1" si="0"/>
        <v>#N/A</v>
      </c>
      <c r="U5" s="83" t="s">
        <v>98</v>
      </c>
    </row>
    <row r="6" spans="2:21">
      <c r="B6" s="24"/>
      <c r="C6" s="98"/>
      <c r="D6" s="110"/>
      <c r="E6" s="100"/>
      <c r="F6" s="177"/>
      <c r="G6" s="100"/>
      <c r="H6" s="177"/>
      <c r="I6" s="100"/>
      <c r="J6" s="177"/>
      <c r="K6" s="100"/>
      <c r="L6" s="177"/>
      <c r="M6" s="37" t="e">
        <f t="shared" ca="1" si="1"/>
        <v>#N/A</v>
      </c>
      <c r="N6" s="101" t="e">
        <f ca="1">VLOOKUP($B6,Matrix!$H$13:$I$37,2,FALSE)&amp;"_"&amp;C6</f>
        <v>#N/A</v>
      </c>
      <c r="O6" s="114" t="e">
        <f t="shared" ca="1" si="0"/>
        <v>#N/A</v>
      </c>
      <c r="U6" s="27" t="s">
        <v>99</v>
      </c>
    </row>
    <row r="7" spans="2:21">
      <c r="B7" s="100"/>
      <c r="C7" s="99"/>
      <c r="D7" s="111"/>
      <c r="E7" s="24"/>
      <c r="F7" s="107"/>
      <c r="G7" s="24"/>
      <c r="H7" s="107"/>
      <c r="I7" s="24"/>
      <c r="J7" s="107"/>
      <c r="K7" s="24"/>
      <c r="L7" s="107"/>
      <c r="M7" s="37" t="e">
        <f t="shared" ca="1" si="1"/>
        <v>#N/A</v>
      </c>
      <c r="N7" s="101" t="e">
        <f ca="1">VLOOKUP($B7,Matrix!$H$13:$I$37,2,FALSE)&amp;"_"&amp;C7</f>
        <v>#N/A</v>
      </c>
      <c r="O7" s="114" t="e">
        <f t="shared" ca="1" si="0"/>
        <v>#N/A</v>
      </c>
      <c r="U7" s="27" t="s">
        <v>100</v>
      </c>
    </row>
    <row r="8" spans="2:21">
      <c r="B8" s="100"/>
      <c r="C8" s="99"/>
      <c r="D8" s="111"/>
      <c r="E8" s="24"/>
      <c r="F8" s="107"/>
      <c r="G8" s="24"/>
      <c r="H8" s="107"/>
      <c r="I8" s="24"/>
      <c r="J8" s="107"/>
      <c r="K8" s="24"/>
      <c r="L8" s="107"/>
      <c r="M8" s="37" t="e">
        <f t="shared" ca="1" si="1"/>
        <v>#N/A</v>
      </c>
      <c r="N8" s="101" t="e">
        <f ca="1">VLOOKUP($B8,Matrix!$H$13:$I$37,2,FALSE)&amp;"_"&amp;C8</f>
        <v>#N/A</v>
      </c>
      <c r="O8" s="114" t="e">
        <f t="shared" ca="1" si="0"/>
        <v>#N/A</v>
      </c>
      <c r="U8" s="27" t="s">
        <v>101</v>
      </c>
    </row>
    <row r="9" spans="2:21">
      <c r="B9" s="24"/>
      <c r="C9" s="23"/>
      <c r="D9" s="106"/>
      <c r="E9" s="24"/>
      <c r="F9" s="107"/>
      <c r="G9" s="24"/>
      <c r="H9" s="107"/>
      <c r="I9" s="24"/>
      <c r="J9" s="107"/>
      <c r="K9" s="24"/>
      <c r="L9" s="107"/>
      <c r="M9" s="37" t="e">
        <f t="shared" ca="1" si="1"/>
        <v>#N/A</v>
      </c>
      <c r="N9" s="101" t="e">
        <f ca="1">VLOOKUP($B9,Matrix!$H$13:$I$37,2,FALSE)&amp;"_"&amp;C9</f>
        <v>#N/A</v>
      </c>
      <c r="O9" s="114" t="e">
        <f t="shared" ca="1" si="0"/>
        <v>#N/A</v>
      </c>
      <c r="U9" s="27" t="s">
        <v>102</v>
      </c>
    </row>
    <row r="10" spans="2:21">
      <c r="B10" s="24"/>
      <c r="C10" s="23"/>
      <c r="D10" s="106"/>
      <c r="E10" s="24"/>
      <c r="F10" s="107"/>
      <c r="G10" s="24"/>
      <c r="H10" s="107"/>
      <c r="I10" s="24"/>
      <c r="J10" s="107"/>
      <c r="K10" s="24"/>
      <c r="L10" s="107"/>
      <c r="M10" s="37" t="e">
        <f t="shared" ca="1" si="1"/>
        <v>#N/A</v>
      </c>
      <c r="N10" s="101" t="e">
        <f ca="1">VLOOKUP($B10,Matrix!$H$13:$I$37,2,FALSE)&amp;"_"&amp;C10</f>
        <v>#N/A</v>
      </c>
      <c r="O10" s="114" t="e">
        <f t="shared" ca="1" si="0"/>
        <v>#N/A</v>
      </c>
      <c r="U10" s="27"/>
    </row>
    <row r="11" spans="2:21">
      <c r="B11" s="24"/>
      <c r="C11" s="23"/>
      <c r="D11" s="106"/>
      <c r="E11" s="24"/>
      <c r="F11" s="107"/>
      <c r="G11" s="24"/>
      <c r="H11" s="107"/>
      <c r="I11" s="24"/>
      <c r="J11" s="107"/>
      <c r="K11" s="24"/>
      <c r="L11" s="107"/>
      <c r="M11" s="37" t="e">
        <f t="shared" ca="1" si="1"/>
        <v>#N/A</v>
      </c>
      <c r="N11" s="101" t="e">
        <f ca="1">VLOOKUP($B11,Matrix!$H$13:$I$37,2,FALSE)&amp;"_"&amp;C11</f>
        <v>#N/A</v>
      </c>
      <c r="O11" s="114" t="e">
        <f t="shared" ca="1" si="0"/>
        <v>#N/A</v>
      </c>
      <c r="U11" s="27"/>
    </row>
    <row r="12" spans="2:21">
      <c r="B12" s="24"/>
      <c r="C12" s="23"/>
      <c r="D12" s="106"/>
      <c r="E12" s="24"/>
      <c r="F12" s="107"/>
      <c r="G12" s="24"/>
      <c r="H12" s="107"/>
      <c r="I12" s="24"/>
      <c r="J12" s="107"/>
      <c r="K12" s="24"/>
      <c r="L12" s="107"/>
      <c r="M12" s="37" t="e">
        <f t="shared" ca="1" si="1"/>
        <v>#N/A</v>
      </c>
      <c r="N12" s="101" t="e">
        <f ca="1">VLOOKUP($B12,Matrix!$H$13:$I$37,2,FALSE)&amp;"_"&amp;C12</f>
        <v>#N/A</v>
      </c>
      <c r="O12" s="114" t="e">
        <f t="shared" ca="1" si="0"/>
        <v>#N/A</v>
      </c>
      <c r="U12" s="27"/>
    </row>
    <row r="13" spans="2:21" ht="14.25" thickBot="1">
      <c r="B13" s="24"/>
      <c r="C13" s="23"/>
      <c r="D13" s="106"/>
      <c r="E13" s="24"/>
      <c r="F13" s="107"/>
      <c r="G13" s="24"/>
      <c r="H13" s="107"/>
      <c r="I13" s="24"/>
      <c r="J13" s="107"/>
      <c r="K13" s="24"/>
      <c r="L13" s="107"/>
      <c r="M13" s="37" t="e">
        <f t="shared" ca="1" si="1"/>
        <v>#N/A</v>
      </c>
      <c r="N13" s="101" t="e">
        <f ca="1">VLOOKUP($B13,Matrix!$H$13:$I$37,2,FALSE)&amp;"_"&amp;C13</f>
        <v>#N/A</v>
      </c>
      <c r="O13" s="114" t="e">
        <f t="shared" ca="1" si="0"/>
        <v>#N/A</v>
      </c>
      <c r="U13" s="84"/>
    </row>
    <row r="14" spans="2:21">
      <c r="B14" s="24"/>
      <c r="C14" s="23"/>
      <c r="D14" s="106"/>
      <c r="E14" s="24"/>
      <c r="F14" s="107"/>
      <c r="G14" s="24"/>
      <c r="H14" s="107"/>
      <c r="I14" s="24"/>
      <c r="J14" s="107"/>
      <c r="K14" s="24"/>
      <c r="L14" s="107"/>
      <c r="M14" s="37" t="e">
        <f t="shared" ca="1" si="1"/>
        <v>#N/A</v>
      </c>
      <c r="N14" s="101" t="e">
        <f ca="1">VLOOKUP($B14,Matrix!$H$13:$I$37,2,FALSE)&amp;"_"&amp;C14</f>
        <v>#N/A</v>
      </c>
      <c r="O14" s="114" t="e">
        <f t="shared" ca="1" si="0"/>
        <v>#N/A</v>
      </c>
    </row>
    <row r="15" spans="2:21">
      <c r="B15" s="24"/>
      <c r="C15" s="23"/>
      <c r="D15" s="106"/>
      <c r="E15" s="24"/>
      <c r="F15" s="107"/>
      <c r="G15" s="24"/>
      <c r="H15" s="107"/>
      <c r="I15" s="24"/>
      <c r="J15" s="107"/>
      <c r="K15" s="24"/>
      <c r="L15" s="107"/>
      <c r="M15" s="37" t="e">
        <f t="shared" ca="1" si="1"/>
        <v>#N/A</v>
      </c>
      <c r="N15" s="101" t="e">
        <f ca="1">VLOOKUP($B15,Matrix!$H$13:$I$37,2,FALSE)&amp;"_"&amp;C15</f>
        <v>#N/A</v>
      </c>
      <c r="O15" s="114" t="e">
        <f t="shared" ca="1" si="0"/>
        <v>#N/A</v>
      </c>
    </row>
    <row r="16" spans="2:21">
      <c r="B16" s="24"/>
      <c r="C16" s="23"/>
      <c r="D16" s="106"/>
      <c r="E16" s="24"/>
      <c r="F16" s="107"/>
      <c r="G16" s="24"/>
      <c r="H16" s="107"/>
      <c r="I16" s="24"/>
      <c r="J16" s="107"/>
      <c r="K16" s="24"/>
      <c r="L16" s="107"/>
      <c r="M16" s="37" t="e">
        <f t="shared" ca="1" si="1"/>
        <v>#N/A</v>
      </c>
      <c r="N16" s="101" t="e">
        <f ca="1">VLOOKUP($B16,Matrix!$H$13:$I$37,2,FALSE)&amp;"_"&amp;C16</f>
        <v>#N/A</v>
      </c>
      <c r="O16" s="114" t="e">
        <f t="shared" ca="1" si="0"/>
        <v>#N/A</v>
      </c>
    </row>
    <row r="17" spans="2:15">
      <c r="B17" s="24"/>
      <c r="C17" s="23"/>
      <c r="D17" s="106"/>
      <c r="E17" s="24"/>
      <c r="F17" s="107"/>
      <c r="G17" s="24"/>
      <c r="H17" s="107"/>
      <c r="I17" s="24"/>
      <c r="J17" s="107"/>
      <c r="K17" s="24"/>
      <c r="L17" s="107"/>
      <c r="M17" s="37" t="e">
        <f t="shared" ca="1" si="1"/>
        <v>#N/A</v>
      </c>
      <c r="N17" s="101" t="e">
        <f ca="1">VLOOKUP($B17,Matrix!$H$13:$I$37,2,FALSE)&amp;"_"&amp;C17</f>
        <v>#N/A</v>
      </c>
      <c r="O17" s="114" t="e">
        <f t="shared" ca="1" si="0"/>
        <v>#N/A</v>
      </c>
    </row>
    <row r="18" spans="2:15">
      <c r="B18" s="24"/>
      <c r="C18" s="23"/>
      <c r="D18" s="106"/>
      <c r="E18" s="24"/>
      <c r="F18" s="107"/>
      <c r="G18" s="24"/>
      <c r="H18" s="107"/>
      <c r="I18" s="24"/>
      <c r="J18" s="107"/>
      <c r="K18" s="24"/>
      <c r="L18" s="107"/>
      <c r="M18" s="37" t="e">
        <f t="shared" ca="1" si="1"/>
        <v>#N/A</v>
      </c>
      <c r="N18" s="101" t="e">
        <f ca="1">VLOOKUP($B18,Matrix!$H$13:$I$37,2,FALSE)&amp;"_"&amp;C18</f>
        <v>#N/A</v>
      </c>
      <c r="O18" s="114" t="e">
        <f t="shared" ca="1" si="0"/>
        <v>#N/A</v>
      </c>
    </row>
    <row r="19" spans="2:15">
      <c r="B19" s="24"/>
      <c r="C19" s="23"/>
      <c r="D19" s="106"/>
      <c r="E19" s="24"/>
      <c r="F19" s="107"/>
      <c r="G19" s="24"/>
      <c r="H19" s="107"/>
      <c r="I19" s="24"/>
      <c r="J19" s="107"/>
      <c r="K19" s="24"/>
      <c r="L19" s="107"/>
      <c r="M19" s="37" t="e">
        <f t="shared" ca="1" si="1"/>
        <v>#N/A</v>
      </c>
      <c r="N19" s="101" t="e">
        <f ca="1">VLOOKUP($B19,Matrix!$H$13:$I$37,2,FALSE)&amp;"_"&amp;C19</f>
        <v>#N/A</v>
      </c>
      <c r="O19" s="114" t="e">
        <f t="shared" ca="1" si="0"/>
        <v>#N/A</v>
      </c>
    </row>
    <row r="20" spans="2:15">
      <c r="B20" s="24"/>
      <c r="C20" s="23"/>
      <c r="D20" s="106"/>
      <c r="E20" s="24"/>
      <c r="F20" s="107"/>
      <c r="G20" s="24"/>
      <c r="H20" s="107"/>
      <c r="I20" s="24"/>
      <c r="J20" s="107"/>
      <c r="K20" s="24"/>
      <c r="L20" s="107"/>
      <c r="M20" s="37" t="e">
        <f t="shared" ca="1" si="1"/>
        <v>#N/A</v>
      </c>
      <c r="N20" s="101" t="e">
        <f ca="1">VLOOKUP($B20,Matrix!$H$13:$I$37,2,FALSE)&amp;"_"&amp;C20</f>
        <v>#N/A</v>
      </c>
      <c r="O20" s="114" t="e">
        <f t="shared" ca="1" si="0"/>
        <v>#N/A</v>
      </c>
    </row>
    <row r="21" spans="2:15">
      <c r="B21" s="24"/>
      <c r="C21" s="23"/>
      <c r="D21" s="106"/>
      <c r="E21" s="24"/>
      <c r="F21" s="107"/>
      <c r="G21" s="24"/>
      <c r="H21" s="107"/>
      <c r="I21" s="24"/>
      <c r="J21" s="107"/>
      <c r="K21" s="24"/>
      <c r="L21" s="107"/>
      <c r="M21" s="37" t="e">
        <f t="shared" ca="1" si="1"/>
        <v>#N/A</v>
      </c>
      <c r="N21" s="101" t="e">
        <f ca="1">VLOOKUP($B21,Matrix!$H$13:$I$37,2,FALSE)&amp;"_"&amp;C21</f>
        <v>#N/A</v>
      </c>
      <c r="O21" s="114" t="e">
        <f t="shared" ca="1" si="0"/>
        <v>#N/A</v>
      </c>
    </row>
    <row r="22" spans="2:15">
      <c r="B22" s="24"/>
      <c r="C22" s="23"/>
      <c r="D22" s="106"/>
      <c r="E22" s="24"/>
      <c r="F22" s="107"/>
      <c r="G22" s="24"/>
      <c r="H22" s="107"/>
      <c r="I22" s="24"/>
      <c r="J22" s="107"/>
      <c r="K22" s="24"/>
      <c r="L22" s="107"/>
      <c r="M22" s="37" t="e">
        <f t="shared" ca="1" si="1"/>
        <v>#N/A</v>
      </c>
      <c r="N22" s="101" t="e">
        <f ca="1">VLOOKUP($B22,Matrix!$H$13:$I$37,2,FALSE)&amp;"_"&amp;C22</f>
        <v>#N/A</v>
      </c>
      <c r="O22" s="114" t="e">
        <f t="shared" ca="1" si="0"/>
        <v>#N/A</v>
      </c>
    </row>
    <row r="23" spans="2:15">
      <c r="B23" s="24"/>
      <c r="C23" s="23"/>
      <c r="D23" s="106"/>
      <c r="E23" s="24"/>
      <c r="F23" s="107"/>
      <c r="G23" s="24"/>
      <c r="H23" s="107"/>
      <c r="I23" s="24"/>
      <c r="J23" s="107"/>
      <c r="K23" s="24"/>
      <c r="L23" s="107"/>
      <c r="M23" s="37" t="e">
        <f t="shared" ca="1" si="1"/>
        <v>#N/A</v>
      </c>
      <c r="N23" s="101" t="e">
        <f ca="1">VLOOKUP($B23,Matrix!$H$13:$I$37,2,FALSE)&amp;"_"&amp;C23</f>
        <v>#N/A</v>
      </c>
      <c r="O23" s="114" t="e">
        <f t="shared" ca="1" si="0"/>
        <v>#N/A</v>
      </c>
    </row>
    <row r="24" spans="2:15">
      <c r="B24" s="24"/>
      <c r="C24" s="23"/>
      <c r="D24" s="106"/>
      <c r="E24" s="24"/>
      <c r="F24" s="107"/>
      <c r="G24" s="24"/>
      <c r="H24" s="107"/>
      <c r="I24" s="24"/>
      <c r="J24" s="107"/>
      <c r="K24" s="24"/>
      <c r="L24" s="107"/>
      <c r="M24" s="37" t="e">
        <f t="shared" ca="1" si="1"/>
        <v>#N/A</v>
      </c>
      <c r="N24" s="101" t="e">
        <f ca="1">VLOOKUP($B24,Matrix!$H$13:$I$37,2,FALSE)&amp;"_"&amp;C24</f>
        <v>#N/A</v>
      </c>
      <c r="O24" s="114" t="e">
        <f t="shared" ca="1" si="0"/>
        <v>#N/A</v>
      </c>
    </row>
    <row r="25" spans="2:15">
      <c r="B25" s="24"/>
      <c r="C25" s="23"/>
      <c r="D25" s="106"/>
      <c r="E25" s="24"/>
      <c r="F25" s="107"/>
      <c r="G25" s="24"/>
      <c r="H25" s="107"/>
      <c r="I25" s="24"/>
      <c r="J25" s="107"/>
      <c r="K25" s="24"/>
      <c r="L25" s="107"/>
      <c r="M25" s="37" t="e">
        <f t="shared" ca="1" si="1"/>
        <v>#N/A</v>
      </c>
      <c r="N25" s="101" t="e">
        <f ca="1">VLOOKUP($B25,Matrix!$H$13:$I$37,2,FALSE)&amp;"_"&amp;C25</f>
        <v>#N/A</v>
      </c>
      <c r="O25" s="114" t="e">
        <f t="shared" ca="1" si="0"/>
        <v>#N/A</v>
      </c>
    </row>
    <row r="26" spans="2:15">
      <c r="B26" s="24"/>
      <c r="C26" s="23"/>
      <c r="D26" s="106"/>
      <c r="E26" s="24"/>
      <c r="F26" s="107"/>
      <c r="G26" s="24"/>
      <c r="H26" s="107"/>
      <c r="I26" s="24"/>
      <c r="J26" s="107"/>
      <c r="K26" s="24"/>
      <c r="L26" s="107"/>
      <c r="M26" s="37" t="e">
        <f t="shared" ca="1" si="1"/>
        <v>#N/A</v>
      </c>
      <c r="N26" s="101" t="e">
        <f ca="1">VLOOKUP($B26,Matrix!$H$13:$I$37,2,FALSE)&amp;"_"&amp;C26</f>
        <v>#N/A</v>
      </c>
      <c r="O26" s="114" t="e">
        <f t="shared" ca="1" si="0"/>
        <v>#N/A</v>
      </c>
    </row>
    <row r="27" spans="2:15">
      <c r="B27" s="24"/>
      <c r="C27" s="23"/>
      <c r="D27" s="106"/>
      <c r="E27" s="24"/>
      <c r="F27" s="107"/>
      <c r="G27" s="24"/>
      <c r="H27" s="107"/>
      <c r="I27" s="24"/>
      <c r="J27" s="107"/>
      <c r="K27" s="24"/>
      <c r="L27" s="107"/>
      <c r="M27" s="37" t="e">
        <f t="shared" ca="1" si="1"/>
        <v>#N/A</v>
      </c>
      <c r="N27" s="101" t="e">
        <f ca="1">VLOOKUP($B27,Matrix!$H$13:$I$37,2,FALSE)&amp;"_"&amp;C27</f>
        <v>#N/A</v>
      </c>
      <c r="O27" s="114" t="e">
        <f t="shared" ca="1" si="0"/>
        <v>#N/A</v>
      </c>
    </row>
    <row r="28" spans="2:15">
      <c r="B28" s="24"/>
      <c r="C28" s="23"/>
      <c r="D28" s="106"/>
      <c r="E28" s="24"/>
      <c r="F28" s="107"/>
      <c r="G28" s="24"/>
      <c r="H28" s="107"/>
      <c r="I28" s="24"/>
      <c r="J28" s="107"/>
      <c r="K28" s="24"/>
      <c r="L28" s="107"/>
      <c r="M28" s="37" t="e">
        <f t="shared" ca="1" si="1"/>
        <v>#N/A</v>
      </c>
      <c r="N28" s="101" t="e">
        <f ca="1">VLOOKUP($B28,Matrix!$H$13:$I$37,2,FALSE)&amp;"_"&amp;C28</f>
        <v>#N/A</v>
      </c>
      <c r="O28" s="114" t="e">
        <f t="shared" ca="1" si="0"/>
        <v>#N/A</v>
      </c>
    </row>
    <row r="29" spans="2:15">
      <c r="B29" s="24"/>
      <c r="C29" s="23"/>
      <c r="D29" s="106"/>
      <c r="E29" s="24"/>
      <c r="F29" s="107"/>
      <c r="G29" s="24"/>
      <c r="H29" s="107"/>
      <c r="I29" s="24"/>
      <c r="J29" s="107"/>
      <c r="K29" s="24"/>
      <c r="L29" s="107"/>
      <c r="M29" s="37" t="e">
        <f t="shared" ca="1" si="1"/>
        <v>#N/A</v>
      </c>
      <c r="N29" s="101" t="e">
        <f ca="1">VLOOKUP($B29,Matrix!$H$13:$I$37,2,FALSE)&amp;"_"&amp;C29</f>
        <v>#N/A</v>
      </c>
      <c r="O29" s="114" t="e">
        <f t="shared" ca="1" si="0"/>
        <v>#N/A</v>
      </c>
    </row>
    <row r="30" spans="2:15">
      <c r="B30" s="24"/>
      <c r="C30" s="23"/>
      <c r="D30" s="106"/>
      <c r="E30" s="24"/>
      <c r="F30" s="107"/>
      <c r="G30" s="24"/>
      <c r="H30" s="107"/>
      <c r="I30" s="24"/>
      <c r="J30" s="107"/>
      <c r="K30" s="24"/>
      <c r="L30" s="107"/>
      <c r="M30" s="37" t="e">
        <f t="shared" ca="1" si="1"/>
        <v>#N/A</v>
      </c>
      <c r="N30" s="101" t="e">
        <f ca="1">VLOOKUP($B30,Matrix!$H$13:$I$37,2,FALSE)&amp;"_"&amp;C30</f>
        <v>#N/A</v>
      </c>
      <c r="O30" s="114" t="e">
        <f t="shared" ca="1" si="0"/>
        <v>#N/A</v>
      </c>
    </row>
    <row r="31" spans="2:15">
      <c r="B31" s="24"/>
      <c r="C31" s="23"/>
      <c r="D31" s="106"/>
      <c r="E31" s="24"/>
      <c r="F31" s="107"/>
      <c r="G31" s="24"/>
      <c r="H31" s="107"/>
      <c r="I31" s="24"/>
      <c r="J31" s="107"/>
      <c r="K31" s="24"/>
      <c r="L31" s="107"/>
      <c r="M31" s="37" t="e">
        <f t="shared" ca="1" si="1"/>
        <v>#N/A</v>
      </c>
      <c r="N31" s="101" t="e">
        <f ca="1">VLOOKUP($B31,Matrix!$H$13:$I$37,2,FALSE)&amp;"_"&amp;C31</f>
        <v>#N/A</v>
      </c>
      <c r="O31" s="114" t="e">
        <f t="shared" ca="1" si="0"/>
        <v>#N/A</v>
      </c>
    </row>
    <row r="32" spans="2:15">
      <c r="B32" s="24"/>
      <c r="C32" s="23"/>
      <c r="D32" s="106"/>
      <c r="E32" s="24"/>
      <c r="F32" s="107"/>
      <c r="G32" s="24"/>
      <c r="H32" s="107"/>
      <c r="I32" s="24"/>
      <c r="J32" s="107"/>
      <c r="K32" s="24"/>
      <c r="L32" s="107"/>
      <c r="M32" s="37" t="e">
        <f t="shared" ca="1" si="1"/>
        <v>#N/A</v>
      </c>
      <c r="N32" s="101" t="e">
        <f ca="1">VLOOKUP($B32,Matrix!$H$13:$I$37,2,FALSE)&amp;"_"&amp;C32</f>
        <v>#N/A</v>
      </c>
      <c r="O32" s="114" t="e">
        <f t="shared" ca="1" si="0"/>
        <v>#N/A</v>
      </c>
    </row>
    <row r="33" spans="2:15">
      <c r="B33" s="24"/>
      <c r="C33" s="23"/>
      <c r="D33" s="106"/>
      <c r="E33" s="24"/>
      <c r="F33" s="107"/>
      <c r="G33" s="24"/>
      <c r="H33" s="107"/>
      <c r="I33" s="24"/>
      <c r="J33" s="107"/>
      <c r="K33" s="24"/>
      <c r="L33" s="107"/>
      <c r="M33" s="37" t="e">
        <f t="shared" ca="1" si="1"/>
        <v>#N/A</v>
      </c>
      <c r="N33" s="101" t="e">
        <f ca="1">VLOOKUP($B33,Matrix!$H$13:$I$37,2,FALSE)&amp;"_"&amp;C33</f>
        <v>#N/A</v>
      </c>
      <c r="O33" s="114" t="e">
        <f t="shared" ca="1" si="0"/>
        <v>#N/A</v>
      </c>
    </row>
    <row r="34" spans="2:15">
      <c r="B34" s="24"/>
      <c r="C34" s="23"/>
      <c r="D34" s="106"/>
      <c r="E34" s="24"/>
      <c r="F34" s="107"/>
      <c r="G34" s="24"/>
      <c r="H34" s="107"/>
      <c r="I34" s="24"/>
      <c r="J34" s="107"/>
      <c r="K34" s="24"/>
      <c r="L34" s="107"/>
      <c r="M34" s="37" t="e">
        <f t="shared" ca="1" si="1"/>
        <v>#N/A</v>
      </c>
      <c r="N34" s="101" t="e">
        <f ca="1">VLOOKUP($B34,Matrix!$H$13:$I$37,2,FALSE)&amp;"_"&amp;C34</f>
        <v>#N/A</v>
      </c>
      <c r="O34" s="114" t="e">
        <f t="shared" ca="1" si="0"/>
        <v>#N/A</v>
      </c>
    </row>
    <row r="35" spans="2:15">
      <c r="B35" s="24"/>
      <c r="C35" s="23"/>
      <c r="D35" s="106"/>
      <c r="E35" s="24"/>
      <c r="F35" s="107"/>
      <c r="G35" s="24"/>
      <c r="H35" s="107"/>
      <c r="I35" s="24"/>
      <c r="J35" s="107"/>
      <c r="K35" s="24"/>
      <c r="L35" s="107"/>
      <c r="M35" s="37" t="e">
        <f t="shared" ca="1" si="1"/>
        <v>#N/A</v>
      </c>
      <c r="N35" s="101" t="e">
        <f ca="1">VLOOKUP($B35,Matrix!$H$13:$I$37,2,FALSE)&amp;"_"&amp;C35</f>
        <v>#N/A</v>
      </c>
      <c r="O35" s="114" t="e">
        <f t="shared" ca="1" si="0"/>
        <v>#N/A</v>
      </c>
    </row>
    <row r="36" spans="2:15">
      <c r="B36" s="24"/>
      <c r="C36" s="23"/>
      <c r="D36" s="106"/>
      <c r="E36" s="24"/>
      <c r="F36" s="107"/>
      <c r="G36" s="24"/>
      <c r="H36" s="107"/>
      <c r="I36" s="24"/>
      <c r="J36" s="107"/>
      <c r="K36" s="24"/>
      <c r="L36" s="107"/>
      <c r="M36" s="37" t="e">
        <f t="shared" ca="1" si="1"/>
        <v>#N/A</v>
      </c>
      <c r="N36" s="101" t="e">
        <f ca="1">VLOOKUP($B36,Matrix!$H$13:$I$37,2,FALSE)&amp;"_"&amp;C36</f>
        <v>#N/A</v>
      </c>
      <c r="O36" s="114" t="e">
        <f t="shared" ref="O36:O67" ca="1" si="2">"#define "&amp;N36&amp;REPT(" ",48-M36)&amp;"("&amp;D36&amp;"U)"</f>
        <v>#N/A</v>
      </c>
    </row>
    <row r="37" spans="2:15">
      <c r="B37" s="24"/>
      <c r="C37" s="23"/>
      <c r="D37" s="106"/>
      <c r="E37" s="24"/>
      <c r="F37" s="107"/>
      <c r="G37" s="24"/>
      <c r="H37" s="107"/>
      <c r="I37" s="24"/>
      <c r="J37" s="107"/>
      <c r="K37" s="24"/>
      <c r="L37" s="107"/>
      <c r="M37" s="37" t="e">
        <f t="shared" ca="1" si="1"/>
        <v>#N/A</v>
      </c>
      <c r="N37" s="101" t="e">
        <f ca="1">VLOOKUP($B37,Matrix!$H$13:$I$37,2,FALSE)&amp;"_"&amp;C37</f>
        <v>#N/A</v>
      </c>
      <c r="O37" s="114" t="e">
        <f t="shared" ca="1" si="2"/>
        <v>#N/A</v>
      </c>
    </row>
    <row r="38" spans="2:15">
      <c r="B38" s="24"/>
      <c r="C38" s="23"/>
      <c r="D38" s="106"/>
      <c r="E38" s="24"/>
      <c r="F38" s="107"/>
      <c r="G38" s="24"/>
      <c r="H38" s="107"/>
      <c r="I38" s="24"/>
      <c r="J38" s="107"/>
      <c r="K38" s="24"/>
      <c r="L38" s="107"/>
      <c r="M38" s="37" t="e">
        <f t="shared" ca="1" si="1"/>
        <v>#N/A</v>
      </c>
      <c r="N38" s="101" t="e">
        <f ca="1">VLOOKUP($B38,Matrix!$H$13:$I$37,2,FALSE)&amp;"_"&amp;C38</f>
        <v>#N/A</v>
      </c>
      <c r="O38" s="114" t="e">
        <f t="shared" ca="1" si="2"/>
        <v>#N/A</v>
      </c>
    </row>
    <row r="39" spans="2:15">
      <c r="B39" s="24"/>
      <c r="C39" s="23"/>
      <c r="D39" s="106"/>
      <c r="E39" s="24"/>
      <c r="F39" s="107"/>
      <c r="G39" s="24"/>
      <c r="H39" s="107"/>
      <c r="I39" s="24"/>
      <c r="J39" s="107"/>
      <c r="K39" s="24"/>
      <c r="L39" s="107"/>
      <c r="M39" s="37" t="e">
        <f t="shared" ca="1" si="1"/>
        <v>#N/A</v>
      </c>
      <c r="N39" s="101" t="e">
        <f ca="1">VLOOKUP($B39,Matrix!$H$13:$I$37,2,FALSE)&amp;"_"&amp;C39</f>
        <v>#N/A</v>
      </c>
      <c r="O39" s="114" t="e">
        <f t="shared" ca="1" si="2"/>
        <v>#N/A</v>
      </c>
    </row>
    <row r="40" spans="2:15">
      <c r="B40" s="24"/>
      <c r="C40" s="23"/>
      <c r="D40" s="106"/>
      <c r="E40" s="24"/>
      <c r="F40" s="107"/>
      <c r="G40" s="24"/>
      <c r="H40" s="107"/>
      <c r="I40" s="24"/>
      <c r="J40" s="107"/>
      <c r="K40" s="24"/>
      <c r="L40" s="107"/>
      <c r="M40" s="37" t="e">
        <f t="shared" ca="1" si="1"/>
        <v>#N/A</v>
      </c>
      <c r="N40" s="101" t="e">
        <f ca="1">VLOOKUP($B40,Matrix!$H$13:$I$37,2,FALSE)&amp;"_"&amp;C40</f>
        <v>#N/A</v>
      </c>
      <c r="O40" s="114" t="e">
        <f t="shared" ca="1" si="2"/>
        <v>#N/A</v>
      </c>
    </row>
    <row r="41" spans="2:15">
      <c r="B41" s="24"/>
      <c r="C41" s="23"/>
      <c r="D41" s="106"/>
      <c r="E41" s="24"/>
      <c r="F41" s="107"/>
      <c r="G41" s="24"/>
      <c r="H41" s="107"/>
      <c r="I41" s="24"/>
      <c r="J41" s="107"/>
      <c r="K41" s="24"/>
      <c r="L41" s="107"/>
      <c r="M41" s="37" t="e">
        <f t="shared" ca="1" si="1"/>
        <v>#N/A</v>
      </c>
      <c r="N41" s="101" t="e">
        <f ca="1">VLOOKUP($B41,Matrix!$H$13:$I$37,2,FALSE)&amp;"_"&amp;C41</f>
        <v>#N/A</v>
      </c>
      <c r="O41" s="114" t="e">
        <f t="shared" ca="1" si="2"/>
        <v>#N/A</v>
      </c>
    </row>
    <row r="42" spans="2:15">
      <c r="B42" s="24"/>
      <c r="C42" s="23"/>
      <c r="D42" s="106"/>
      <c r="E42" s="24"/>
      <c r="F42" s="107"/>
      <c r="G42" s="24"/>
      <c r="H42" s="107"/>
      <c r="I42" s="24"/>
      <c r="J42" s="107"/>
      <c r="K42" s="24"/>
      <c r="L42" s="107"/>
      <c r="M42" s="37" t="e">
        <f t="shared" ca="1" si="1"/>
        <v>#N/A</v>
      </c>
      <c r="N42" s="101" t="e">
        <f ca="1">VLOOKUP($B42,Matrix!$H$13:$I$37,2,FALSE)&amp;"_"&amp;C42</f>
        <v>#N/A</v>
      </c>
      <c r="O42" s="114" t="e">
        <f t="shared" ca="1" si="2"/>
        <v>#N/A</v>
      </c>
    </row>
    <row r="43" spans="2:15">
      <c r="B43" s="24"/>
      <c r="C43" s="23"/>
      <c r="D43" s="106"/>
      <c r="E43" s="24"/>
      <c r="F43" s="107"/>
      <c r="G43" s="24"/>
      <c r="H43" s="107"/>
      <c r="I43" s="24"/>
      <c r="J43" s="107"/>
      <c r="K43" s="24"/>
      <c r="L43" s="107"/>
      <c r="M43" s="37" t="e">
        <f t="shared" ca="1" si="1"/>
        <v>#N/A</v>
      </c>
      <c r="N43" s="101" t="e">
        <f ca="1">VLOOKUP($B43,Matrix!$H$13:$I$37,2,FALSE)&amp;"_"&amp;C43</f>
        <v>#N/A</v>
      </c>
      <c r="O43" s="114" t="e">
        <f t="shared" ca="1" si="2"/>
        <v>#N/A</v>
      </c>
    </row>
    <row r="44" spans="2:15">
      <c r="B44" s="24"/>
      <c r="C44" s="23"/>
      <c r="D44" s="106"/>
      <c r="E44" s="24"/>
      <c r="F44" s="107"/>
      <c r="G44" s="24"/>
      <c r="H44" s="107"/>
      <c r="I44" s="24"/>
      <c r="J44" s="107"/>
      <c r="K44" s="24"/>
      <c r="L44" s="107"/>
      <c r="M44" s="37" t="e">
        <f t="shared" ca="1" si="1"/>
        <v>#N/A</v>
      </c>
      <c r="N44" s="101" t="e">
        <f ca="1">VLOOKUP($B44,Matrix!$H$13:$I$37,2,FALSE)&amp;"_"&amp;C44</f>
        <v>#N/A</v>
      </c>
      <c r="O44" s="114" t="e">
        <f t="shared" ca="1" si="2"/>
        <v>#N/A</v>
      </c>
    </row>
    <row r="45" spans="2:15">
      <c r="B45" s="24"/>
      <c r="C45" s="23"/>
      <c r="D45" s="106"/>
      <c r="E45" s="24"/>
      <c r="F45" s="107"/>
      <c r="G45" s="24"/>
      <c r="H45" s="107"/>
      <c r="I45" s="24"/>
      <c r="J45" s="107"/>
      <c r="K45" s="24"/>
      <c r="L45" s="107"/>
      <c r="M45" s="37" t="e">
        <f t="shared" ca="1" si="1"/>
        <v>#N/A</v>
      </c>
      <c r="N45" s="101" t="e">
        <f ca="1">VLOOKUP($B45,Matrix!$H$13:$I$37,2,FALSE)&amp;"_"&amp;C45</f>
        <v>#N/A</v>
      </c>
      <c r="O45" s="114" t="e">
        <f t="shared" ca="1" si="2"/>
        <v>#N/A</v>
      </c>
    </row>
    <row r="46" spans="2:15">
      <c r="B46" s="24"/>
      <c r="C46" s="23"/>
      <c r="D46" s="106"/>
      <c r="E46" s="24"/>
      <c r="F46" s="107"/>
      <c r="G46" s="24"/>
      <c r="H46" s="107"/>
      <c r="I46" s="24"/>
      <c r="J46" s="107"/>
      <c r="K46" s="24"/>
      <c r="L46" s="107"/>
      <c r="M46" s="37" t="e">
        <f t="shared" ca="1" si="1"/>
        <v>#N/A</v>
      </c>
      <c r="N46" s="101" t="e">
        <f ca="1">VLOOKUP($B46,Matrix!$H$13:$I$37,2,FALSE)&amp;"_"&amp;C46</f>
        <v>#N/A</v>
      </c>
      <c r="O46" s="114" t="e">
        <f t="shared" ca="1" si="2"/>
        <v>#N/A</v>
      </c>
    </row>
    <row r="47" spans="2:15">
      <c r="B47" s="24"/>
      <c r="C47" s="23"/>
      <c r="D47" s="106"/>
      <c r="E47" s="24"/>
      <c r="F47" s="107"/>
      <c r="G47" s="24"/>
      <c r="H47" s="107"/>
      <c r="I47" s="24"/>
      <c r="J47" s="107"/>
      <c r="K47" s="24"/>
      <c r="L47" s="107"/>
      <c r="M47" s="37" t="e">
        <f t="shared" ca="1" si="1"/>
        <v>#N/A</v>
      </c>
      <c r="N47" s="101" t="e">
        <f ca="1">VLOOKUP($B47,Matrix!$H$13:$I$37,2,FALSE)&amp;"_"&amp;C47</f>
        <v>#N/A</v>
      </c>
      <c r="O47" s="114" t="e">
        <f t="shared" ca="1" si="2"/>
        <v>#N/A</v>
      </c>
    </row>
    <row r="48" spans="2:15">
      <c r="B48" s="24"/>
      <c r="C48" s="23"/>
      <c r="D48" s="106"/>
      <c r="E48" s="24"/>
      <c r="F48" s="107"/>
      <c r="G48" s="24"/>
      <c r="H48" s="107"/>
      <c r="I48" s="24"/>
      <c r="J48" s="107"/>
      <c r="K48" s="24"/>
      <c r="L48" s="107"/>
      <c r="M48" s="37" t="e">
        <f t="shared" ca="1" si="1"/>
        <v>#N/A</v>
      </c>
      <c r="N48" s="101" t="e">
        <f ca="1">VLOOKUP($B48,Matrix!$H$13:$I$37,2,FALSE)&amp;"_"&amp;C48</f>
        <v>#N/A</v>
      </c>
      <c r="O48" s="114" t="e">
        <f t="shared" ca="1" si="2"/>
        <v>#N/A</v>
      </c>
    </row>
    <row r="49" spans="2:15">
      <c r="B49" s="24"/>
      <c r="C49" s="23"/>
      <c r="D49" s="106"/>
      <c r="E49" s="24"/>
      <c r="F49" s="107"/>
      <c r="G49" s="24"/>
      <c r="H49" s="107"/>
      <c r="I49" s="24"/>
      <c r="J49" s="107"/>
      <c r="K49" s="24"/>
      <c r="L49" s="107"/>
      <c r="M49" s="37" t="e">
        <f t="shared" ca="1" si="1"/>
        <v>#N/A</v>
      </c>
      <c r="N49" s="101" t="e">
        <f ca="1">VLOOKUP($B49,Matrix!$H$13:$I$37,2,FALSE)&amp;"_"&amp;C49</f>
        <v>#N/A</v>
      </c>
      <c r="O49" s="114" t="e">
        <f t="shared" ca="1" si="2"/>
        <v>#N/A</v>
      </c>
    </row>
    <row r="50" spans="2:15">
      <c r="B50" s="24"/>
      <c r="C50" s="23"/>
      <c r="D50" s="106"/>
      <c r="E50" s="24"/>
      <c r="F50" s="107"/>
      <c r="G50" s="24"/>
      <c r="H50" s="107"/>
      <c r="I50" s="24"/>
      <c r="J50" s="107"/>
      <c r="K50" s="24"/>
      <c r="L50" s="107"/>
      <c r="M50" s="37" t="e">
        <f t="shared" ca="1" si="1"/>
        <v>#N/A</v>
      </c>
      <c r="N50" s="101" t="e">
        <f ca="1">VLOOKUP($B50,Matrix!$H$13:$I$37,2,FALSE)&amp;"_"&amp;C50</f>
        <v>#N/A</v>
      </c>
      <c r="O50" s="114" t="e">
        <f t="shared" ca="1" si="2"/>
        <v>#N/A</v>
      </c>
    </row>
    <row r="51" spans="2:15">
      <c r="B51" s="24"/>
      <c r="C51" s="23"/>
      <c r="D51" s="106"/>
      <c r="E51" s="24"/>
      <c r="F51" s="107"/>
      <c r="G51" s="24"/>
      <c r="H51" s="107"/>
      <c r="I51" s="24"/>
      <c r="J51" s="107"/>
      <c r="K51" s="24"/>
      <c r="L51" s="107"/>
      <c r="M51" s="37" t="e">
        <f t="shared" ca="1" si="1"/>
        <v>#N/A</v>
      </c>
      <c r="N51" s="101" t="e">
        <f ca="1">VLOOKUP($B51,Matrix!$H$13:$I$37,2,FALSE)&amp;"_"&amp;C51</f>
        <v>#N/A</v>
      </c>
      <c r="O51" s="114" t="e">
        <f t="shared" ca="1" si="2"/>
        <v>#N/A</v>
      </c>
    </row>
    <row r="52" spans="2:15">
      <c r="B52" s="24"/>
      <c r="C52" s="23"/>
      <c r="D52" s="106"/>
      <c r="E52" s="24"/>
      <c r="F52" s="107"/>
      <c r="G52" s="24"/>
      <c r="H52" s="107"/>
      <c r="I52" s="24"/>
      <c r="J52" s="107"/>
      <c r="K52" s="24"/>
      <c r="L52" s="107"/>
      <c r="M52" s="37" t="e">
        <f t="shared" ca="1" si="1"/>
        <v>#N/A</v>
      </c>
      <c r="N52" s="101" t="e">
        <f ca="1">VLOOKUP($B52,Matrix!$H$13:$I$37,2,FALSE)&amp;"_"&amp;C52</f>
        <v>#N/A</v>
      </c>
      <c r="O52" s="114" t="e">
        <f t="shared" ca="1" si="2"/>
        <v>#N/A</v>
      </c>
    </row>
    <row r="53" spans="2:15">
      <c r="B53" s="24"/>
      <c r="C53" s="23"/>
      <c r="D53" s="106"/>
      <c r="E53" s="24"/>
      <c r="F53" s="107"/>
      <c r="G53" s="24"/>
      <c r="H53" s="107"/>
      <c r="I53" s="24"/>
      <c r="J53" s="107"/>
      <c r="K53" s="24"/>
      <c r="L53" s="107"/>
      <c r="M53" s="37" t="e">
        <f t="shared" ca="1" si="1"/>
        <v>#N/A</v>
      </c>
      <c r="N53" s="101" t="e">
        <f ca="1">VLOOKUP($B53,Matrix!$H$13:$I$37,2,FALSE)&amp;"_"&amp;C53</f>
        <v>#N/A</v>
      </c>
      <c r="O53" s="114" t="e">
        <f t="shared" ca="1" si="2"/>
        <v>#N/A</v>
      </c>
    </row>
    <row r="54" spans="2:15">
      <c r="B54" s="24"/>
      <c r="C54" s="23"/>
      <c r="D54" s="106"/>
      <c r="E54" s="24"/>
      <c r="F54" s="107"/>
      <c r="G54" s="24"/>
      <c r="H54" s="107"/>
      <c r="I54" s="24"/>
      <c r="J54" s="107"/>
      <c r="K54" s="24"/>
      <c r="L54" s="107"/>
      <c r="M54" s="37" t="e">
        <f t="shared" ca="1" si="1"/>
        <v>#N/A</v>
      </c>
      <c r="N54" s="101" t="e">
        <f ca="1">VLOOKUP($B54,Matrix!$H$13:$I$37,2,FALSE)&amp;"_"&amp;C54</f>
        <v>#N/A</v>
      </c>
      <c r="O54" s="114" t="e">
        <f t="shared" ca="1" si="2"/>
        <v>#N/A</v>
      </c>
    </row>
    <row r="55" spans="2:15">
      <c r="B55" s="24"/>
      <c r="C55" s="23"/>
      <c r="D55" s="106"/>
      <c r="E55" s="24"/>
      <c r="F55" s="107"/>
      <c r="G55" s="24"/>
      <c r="H55" s="107"/>
      <c r="I55" s="24"/>
      <c r="J55" s="107"/>
      <c r="K55" s="24"/>
      <c r="L55" s="107"/>
      <c r="M55" s="37" t="e">
        <f t="shared" ca="1" si="1"/>
        <v>#N/A</v>
      </c>
      <c r="N55" s="101" t="e">
        <f ca="1">VLOOKUP($B55,Matrix!$H$13:$I$37,2,FALSE)&amp;"_"&amp;C55</f>
        <v>#N/A</v>
      </c>
      <c r="O55" s="114" t="e">
        <f t="shared" ca="1" si="2"/>
        <v>#N/A</v>
      </c>
    </row>
    <row r="56" spans="2:15">
      <c r="B56" s="24"/>
      <c r="C56" s="23"/>
      <c r="D56" s="106"/>
      <c r="E56" s="24"/>
      <c r="F56" s="107"/>
      <c r="G56" s="24"/>
      <c r="H56" s="107"/>
      <c r="I56" s="24"/>
      <c r="J56" s="107"/>
      <c r="K56" s="24"/>
      <c r="L56" s="107"/>
      <c r="M56" s="37" t="e">
        <f t="shared" ca="1" si="1"/>
        <v>#N/A</v>
      </c>
      <c r="N56" s="101" t="e">
        <f ca="1">VLOOKUP($B56,Matrix!$H$13:$I$37,2,FALSE)&amp;"_"&amp;C56</f>
        <v>#N/A</v>
      </c>
      <c r="O56" s="114" t="e">
        <f t="shared" ca="1" si="2"/>
        <v>#N/A</v>
      </c>
    </row>
    <row r="57" spans="2:15">
      <c r="B57" s="24"/>
      <c r="C57" s="23"/>
      <c r="D57" s="106"/>
      <c r="E57" s="24"/>
      <c r="F57" s="107"/>
      <c r="G57" s="24"/>
      <c r="H57" s="107"/>
      <c r="I57" s="24"/>
      <c r="J57" s="107"/>
      <c r="K57" s="24"/>
      <c r="L57" s="107"/>
      <c r="M57" s="37" t="e">
        <f t="shared" ca="1" si="1"/>
        <v>#N/A</v>
      </c>
      <c r="N57" s="101" t="e">
        <f ca="1">VLOOKUP($B57,Matrix!$H$13:$I$37,2,FALSE)&amp;"_"&amp;C57</f>
        <v>#N/A</v>
      </c>
      <c r="O57" s="114" t="e">
        <f t="shared" ca="1" si="2"/>
        <v>#N/A</v>
      </c>
    </row>
    <row r="58" spans="2:15">
      <c r="B58" s="24"/>
      <c r="C58" s="23"/>
      <c r="D58" s="106"/>
      <c r="E58" s="24"/>
      <c r="F58" s="107"/>
      <c r="G58" s="24"/>
      <c r="H58" s="107"/>
      <c r="I58" s="24"/>
      <c r="J58" s="107"/>
      <c r="K58" s="24"/>
      <c r="L58" s="107"/>
      <c r="M58" s="37" t="e">
        <f t="shared" ca="1" si="1"/>
        <v>#N/A</v>
      </c>
      <c r="N58" s="101" t="e">
        <f ca="1">VLOOKUP($B58,Matrix!$H$13:$I$37,2,FALSE)&amp;"_"&amp;C58</f>
        <v>#N/A</v>
      </c>
      <c r="O58" s="114" t="e">
        <f t="shared" ca="1" si="2"/>
        <v>#N/A</v>
      </c>
    </row>
    <row r="59" spans="2:15">
      <c r="B59" s="24"/>
      <c r="C59" s="23"/>
      <c r="D59" s="106"/>
      <c r="E59" s="24"/>
      <c r="F59" s="107"/>
      <c r="G59" s="24"/>
      <c r="H59" s="107"/>
      <c r="I59" s="24"/>
      <c r="J59" s="107"/>
      <c r="K59" s="24"/>
      <c r="L59" s="107"/>
      <c r="M59" s="37" t="e">
        <f t="shared" ca="1" si="1"/>
        <v>#N/A</v>
      </c>
      <c r="N59" s="101" t="e">
        <f ca="1">VLOOKUP($B59,Matrix!$H$13:$I$37,2,FALSE)&amp;"_"&amp;C59</f>
        <v>#N/A</v>
      </c>
      <c r="O59" s="114" t="e">
        <f t="shared" ca="1" si="2"/>
        <v>#N/A</v>
      </c>
    </row>
    <row r="60" spans="2:15">
      <c r="B60" s="24"/>
      <c r="C60" s="23"/>
      <c r="D60" s="106"/>
      <c r="E60" s="24"/>
      <c r="F60" s="107"/>
      <c r="G60" s="24"/>
      <c r="H60" s="107"/>
      <c r="I60" s="24"/>
      <c r="J60" s="107"/>
      <c r="K60" s="24"/>
      <c r="L60" s="107"/>
      <c r="M60" s="37" t="e">
        <f t="shared" ca="1" si="1"/>
        <v>#N/A</v>
      </c>
      <c r="N60" s="101" t="e">
        <f ca="1">VLOOKUP($B60,Matrix!$H$13:$I$37,2,FALSE)&amp;"_"&amp;C60</f>
        <v>#N/A</v>
      </c>
      <c r="O60" s="114" t="e">
        <f t="shared" ca="1" si="2"/>
        <v>#N/A</v>
      </c>
    </row>
    <row r="61" spans="2:15">
      <c r="B61" s="24"/>
      <c r="C61" s="23"/>
      <c r="D61" s="106"/>
      <c r="E61" s="24"/>
      <c r="F61" s="107"/>
      <c r="G61" s="24"/>
      <c r="H61" s="107"/>
      <c r="I61" s="24"/>
      <c r="J61" s="107"/>
      <c r="K61" s="24"/>
      <c r="L61" s="107"/>
      <c r="M61" s="37" t="e">
        <f t="shared" ca="1" si="1"/>
        <v>#N/A</v>
      </c>
      <c r="N61" s="101" t="e">
        <f ca="1">VLOOKUP($B61,Matrix!$H$13:$I$37,2,FALSE)&amp;"_"&amp;C61</f>
        <v>#N/A</v>
      </c>
      <c r="O61" s="114" t="e">
        <f t="shared" ca="1" si="2"/>
        <v>#N/A</v>
      </c>
    </row>
    <row r="62" spans="2:15">
      <c r="B62" s="24"/>
      <c r="C62" s="23"/>
      <c r="D62" s="106"/>
      <c r="E62" s="24"/>
      <c r="F62" s="107"/>
      <c r="G62" s="24"/>
      <c r="H62" s="107"/>
      <c r="I62" s="24"/>
      <c r="J62" s="107"/>
      <c r="K62" s="24"/>
      <c r="L62" s="107"/>
      <c r="M62" s="37" t="e">
        <f t="shared" ca="1" si="1"/>
        <v>#N/A</v>
      </c>
      <c r="N62" s="101" t="e">
        <f ca="1">VLOOKUP($B62,Matrix!$H$13:$I$37,2,FALSE)&amp;"_"&amp;C62</f>
        <v>#N/A</v>
      </c>
      <c r="O62" s="114" t="e">
        <f t="shared" ca="1" si="2"/>
        <v>#N/A</v>
      </c>
    </row>
    <row r="63" spans="2:15">
      <c r="B63" s="24"/>
      <c r="C63" s="23"/>
      <c r="D63" s="106"/>
      <c r="E63" s="24"/>
      <c r="F63" s="107"/>
      <c r="G63" s="24"/>
      <c r="H63" s="107"/>
      <c r="I63" s="24"/>
      <c r="J63" s="107"/>
      <c r="K63" s="24"/>
      <c r="L63" s="107"/>
      <c r="M63" s="37" t="e">
        <f t="shared" ca="1" si="1"/>
        <v>#N/A</v>
      </c>
      <c r="N63" s="101" t="e">
        <f ca="1">VLOOKUP($B63,Matrix!$H$13:$I$37,2,FALSE)&amp;"_"&amp;C63</f>
        <v>#N/A</v>
      </c>
      <c r="O63" s="114" t="e">
        <f t="shared" ca="1" si="2"/>
        <v>#N/A</v>
      </c>
    </row>
    <row r="64" spans="2:15">
      <c r="B64" s="24"/>
      <c r="C64" s="23"/>
      <c r="D64" s="106"/>
      <c r="E64" s="24"/>
      <c r="F64" s="107"/>
      <c r="G64" s="24"/>
      <c r="H64" s="107"/>
      <c r="I64" s="24"/>
      <c r="J64" s="107"/>
      <c r="K64" s="24"/>
      <c r="L64" s="107"/>
      <c r="M64" s="37" t="e">
        <f t="shared" ca="1" si="1"/>
        <v>#N/A</v>
      </c>
      <c r="N64" s="101" t="e">
        <f ca="1">VLOOKUP($B64,Matrix!$H$13:$I$37,2,FALSE)&amp;"_"&amp;C64</f>
        <v>#N/A</v>
      </c>
      <c r="O64" s="114" t="e">
        <f t="shared" ca="1" si="2"/>
        <v>#N/A</v>
      </c>
    </row>
    <row r="65" spans="2:15">
      <c r="B65" s="24"/>
      <c r="C65" s="23"/>
      <c r="D65" s="106"/>
      <c r="E65" s="24"/>
      <c r="F65" s="107"/>
      <c r="G65" s="24"/>
      <c r="H65" s="107"/>
      <c r="I65" s="24"/>
      <c r="J65" s="107"/>
      <c r="K65" s="24"/>
      <c r="L65" s="107"/>
      <c r="M65" s="37" t="e">
        <f t="shared" ca="1" si="1"/>
        <v>#N/A</v>
      </c>
      <c r="N65" s="101" t="e">
        <f ca="1">VLOOKUP($B65,Matrix!$H$13:$I$37,2,FALSE)&amp;"_"&amp;C65</f>
        <v>#N/A</v>
      </c>
      <c r="O65" s="114" t="e">
        <f t="shared" ca="1" si="2"/>
        <v>#N/A</v>
      </c>
    </row>
    <row r="66" spans="2:15">
      <c r="B66" s="24"/>
      <c r="C66" s="23"/>
      <c r="D66" s="106"/>
      <c r="E66" s="24"/>
      <c r="F66" s="107"/>
      <c r="G66" s="24"/>
      <c r="H66" s="107"/>
      <c r="I66" s="24"/>
      <c r="J66" s="107"/>
      <c r="K66" s="24"/>
      <c r="L66" s="107"/>
      <c r="M66" s="37" t="e">
        <f t="shared" ca="1" si="1"/>
        <v>#N/A</v>
      </c>
      <c r="N66" s="101" t="e">
        <f ca="1">VLOOKUP($B66,Matrix!$H$13:$I$37,2,FALSE)&amp;"_"&amp;C66</f>
        <v>#N/A</v>
      </c>
      <c r="O66" s="114" t="e">
        <f t="shared" ca="1" si="2"/>
        <v>#N/A</v>
      </c>
    </row>
    <row r="67" spans="2:15">
      <c r="B67" s="24"/>
      <c r="C67" s="23"/>
      <c r="D67" s="106"/>
      <c r="E67" s="24"/>
      <c r="F67" s="107"/>
      <c r="G67" s="24"/>
      <c r="H67" s="107"/>
      <c r="I67" s="24"/>
      <c r="J67" s="107"/>
      <c r="K67" s="24"/>
      <c r="L67" s="107"/>
      <c r="M67" s="37" t="e">
        <f t="shared" ca="1" si="1"/>
        <v>#N/A</v>
      </c>
      <c r="N67" s="101" t="e">
        <f ca="1">VLOOKUP($B67,Matrix!$H$13:$I$37,2,FALSE)&amp;"_"&amp;C67</f>
        <v>#N/A</v>
      </c>
      <c r="O67" s="114" t="e">
        <f t="shared" ca="1" si="2"/>
        <v>#N/A</v>
      </c>
    </row>
    <row r="68" spans="2:15">
      <c r="B68" s="24"/>
      <c r="C68" s="23"/>
      <c r="D68" s="106"/>
      <c r="E68" s="24"/>
      <c r="F68" s="107"/>
      <c r="G68" s="24"/>
      <c r="H68" s="107"/>
      <c r="I68" s="24"/>
      <c r="J68" s="107"/>
      <c r="K68" s="24"/>
      <c r="L68" s="107"/>
      <c r="M68" s="37" t="e">
        <f t="shared" ca="1" si="1"/>
        <v>#N/A</v>
      </c>
      <c r="N68" s="101" t="e">
        <f ca="1">VLOOKUP($B68,Matrix!$H$13:$I$37,2,FALSE)&amp;"_"&amp;C68</f>
        <v>#N/A</v>
      </c>
      <c r="O68" s="114" t="e">
        <f t="shared" ref="O68:O99" ca="1" si="3">"#define "&amp;N68&amp;REPT(" ",48-M68)&amp;"("&amp;D68&amp;"U)"</f>
        <v>#N/A</v>
      </c>
    </row>
    <row r="69" spans="2:15">
      <c r="B69" s="24"/>
      <c r="C69" s="23"/>
      <c r="D69" s="106"/>
      <c r="E69" s="24"/>
      <c r="F69" s="107"/>
      <c r="G69" s="24"/>
      <c r="H69" s="107"/>
      <c r="I69" s="24"/>
      <c r="J69" s="107"/>
      <c r="K69" s="24"/>
      <c r="L69" s="107"/>
      <c r="M69" s="37" t="e">
        <f t="shared" ref="M69:M103" ca="1" si="4">LEN(N69)</f>
        <v>#N/A</v>
      </c>
      <c r="N69" s="101" t="e">
        <f ca="1">VLOOKUP($B69,Matrix!$H$13:$I$37,2,FALSE)&amp;"_"&amp;C69</f>
        <v>#N/A</v>
      </c>
      <c r="O69" s="114" t="e">
        <f t="shared" ca="1" si="3"/>
        <v>#N/A</v>
      </c>
    </row>
    <row r="70" spans="2:15">
      <c r="B70" s="24"/>
      <c r="C70" s="23"/>
      <c r="D70" s="106"/>
      <c r="E70" s="24"/>
      <c r="F70" s="107"/>
      <c r="G70" s="24"/>
      <c r="H70" s="107"/>
      <c r="I70" s="24"/>
      <c r="J70" s="107"/>
      <c r="K70" s="24"/>
      <c r="L70" s="107"/>
      <c r="M70" s="37" t="e">
        <f t="shared" ca="1" si="4"/>
        <v>#N/A</v>
      </c>
      <c r="N70" s="101" t="e">
        <f ca="1">VLOOKUP($B70,Matrix!$H$13:$I$37,2,FALSE)&amp;"_"&amp;C70</f>
        <v>#N/A</v>
      </c>
      <c r="O70" s="114" t="e">
        <f t="shared" ca="1" si="3"/>
        <v>#N/A</v>
      </c>
    </row>
    <row r="71" spans="2:15">
      <c r="B71" s="24"/>
      <c r="C71" s="23"/>
      <c r="D71" s="106"/>
      <c r="E71" s="24"/>
      <c r="F71" s="107"/>
      <c r="G71" s="24"/>
      <c r="H71" s="107"/>
      <c r="I71" s="24"/>
      <c r="J71" s="107"/>
      <c r="K71" s="24"/>
      <c r="L71" s="107"/>
      <c r="M71" s="37" t="e">
        <f t="shared" ca="1" si="4"/>
        <v>#N/A</v>
      </c>
      <c r="N71" s="101" t="e">
        <f ca="1">VLOOKUP($B71,Matrix!$H$13:$I$37,2,FALSE)&amp;"_"&amp;C71</f>
        <v>#N/A</v>
      </c>
      <c r="O71" s="114" t="e">
        <f t="shared" ca="1" si="3"/>
        <v>#N/A</v>
      </c>
    </row>
    <row r="72" spans="2:15">
      <c r="B72" s="24"/>
      <c r="C72" s="23"/>
      <c r="D72" s="106"/>
      <c r="E72" s="24"/>
      <c r="F72" s="107"/>
      <c r="G72" s="24"/>
      <c r="H72" s="107"/>
      <c r="I72" s="24"/>
      <c r="J72" s="107"/>
      <c r="K72" s="24"/>
      <c r="L72" s="107"/>
      <c r="M72" s="37" t="e">
        <f t="shared" ca="1" si="4"/>
        <v>#N/A</v>
      </c>
      <c r="N72" s="101" t="e">
        <f ca="1">VLOOKUP($B72,Matrix!$H$13:$I$37,2,FALSE)&amp;"_"&amp;C72</f>
        <v>#N/A</v>
      </c>
      <c r="O72" s="114" t="e">
        <f t="shared" ca="1" si="3"/>
        <v>#N/A</v>
      </c>
    </row>
    <row r="73" spans="2:15">
      <c r="B73" s="24"/>
      <c r="C73" s="23"/>
      <c r="D73" s="106"/>
      <c r="E73" s="24"/>
      <c r="F73" s="107"/>
      <c r="G73" s="24"/>
      <c r="H73" s="107"/>
      <c r="I73" s="24"/>
      <c r="J73" s="107"/>
      <c r="K73" s="24"/>
      <c r="L73" s="107"/>
      <c r="M73" s="37" t="e">
        <f t="shared" ca="1" si="4"/>
        <v>#N/A</v>
      </c>
      <c r="N73" s="101" t="e">
        <f ca="1">VLOOKUP($B73,Matrix!$H$13:$I$37,2,FALSE)&amp;"_"&amp;C73</f>
        <v>#N/A</v>
      </c>
      <c r="O73" s="114" t="e">
        <f t="shared" ca="1" si="3"/>
        <v>#N/A</v>
      </c>
    </row>
    <row r="74" spans="2:15">
      <c r="B74" s="24"/>
      <c r="C74" s="23"/>
      <c r="D74" s="106"/>
      <c r="E74" s="24"/>
      <c r="F74" s="107"/>
      <c r="G74" s="24"/>
      <c r="H74" s="107"/>
      <c r="I74" s="24"/>
      <c r="J74" s="107"/>
      <c r="K74" s="24"/>
      <c r="L74" s="107"/>
      <c r="M74" s="37" t="e">
        <f t="shared" ca="1" si="4"/>
        <v>#N/A</v>
      </c>
      <c r="N74" s="101" t="e">
        <f ca="1">VLOOKUP($B74,Matrix!$H$13:$I$37,2,FALSE)&amp;"_"&amp;C74</f>
        <v>#N/A</v>
      </c>
      <c r="O74" s="114" t="e">
        <f t="shared" ca="1" si="3"/>
        <v>#N/A</v>
      </c>
    </row>
    <row r="75" spans="2:15">
      <c r="B75" s="24"/>
      <c r="C75" s="23"/>
      <c r="D75" s="106"/>
      <c r="E75" s="24"/>
      <c r="F75" s="107"/>
      <c r="G75" s="24"/>
      <c r="H75" s="107"/>
      <c r="I75" s="24"/>
      <c r="J75" s="107"/>
      <c r="K75" s="24"/>
      <c r="L75" s="107"/>
      <c r="M75" s="37" t="e">
        <f t="shared" ca="1" si="4"/>
        <v>#N/A</v>
      </c>
      <c r="N75" s="101" t="e">
        <f ca="1">VLOOKUP($B75,Matrix!$H$13:$I$37,2,FALSE)&amp;"_"&amp;C75</f>
        <v>#N/A</v>
      </c>
      <c r="O75" s="114" t="e">
        <f t="shared" ca="1" si="3"/>
        <v>#N/A</v>
      </c>
    </row>
    <row r="76" spans="2:15">
      <c r="B76" s="24"/>
      <c r="C76" s="23"/>
      <c r="D76" s="106"/>
      <c r="E76" s="24"/>
      <c r="F76" s="107"/>
      <c r="G76" s="24"/>
      <c r="H76" s="107"/>
      <c r="I76" s="24"/>
      <c r="J76" s="107"/>
      <c r="K76" s="24"/>
      <c r="L76" s="107"/>
      <c r="M76" s="37" t="e">
        <f t="shared" ca="1" si="4"/>
        <v>#N/A</v>
      </c>
      <c r="N76" s="101" t="e">
        <f ca="1">VLOOKUP($B76,Matrix!$H$13:$I$37,2,FALSE)&amp;"_"&amp;C76</f>
        <v>#N/A</v>
      </c>
      <c r="O76" s="114" t="e">
        <f t="shared" ca="1" si="3"/>
        <v>#N/A</v>
      </c>
    </row>
    <row r="77" spans="2:15">
      <c r="B77" s="24"/>
      <c r="C77" s="23"/>
      <c r="D77" s="106"/>
      <c r="E77" s="24"/>
      <c r="F77" s="107"/>
      <c r="G77" s="24"/>
      <c r="H77" s="107"/>
      <c r="I77" s="24"/>
      <c r="J77" s="107"/>
      <c r="K77" s="24"/>
      <c r="L77" s="107"/>
      <c r="M77" s="37" t="e">
        <f t="shared" ca="1" si="4"/>
        <v>#N/A</v>
      </c>
      <c r="N77" s="101" t="e">
        <f ca="1">VLOOKUP($B77,Matrix!$H$13:$I$37,2,FALSE)&amp;"_"&amp;C77</f>
        <v>#N/A</v>
      </c>
      <c r="O77" s="114" t="e">
        <f t="shared" ca="1" si="3"/>
        <v>#N/A</v>
      </c>
    </row>
    <row r="78" spans="2:15">
      <c r="B78" s="24"/>
      <c r="C78" s="23"/>
      <c r="D78" s="106"/>
      <c r="E78" s="24"/>
      <c r="F78" s="107"/>
      <c r="G78" s="24"/>
      <c r="H78" s="107"/>
      <c r="I78" s="24"/>
      <c r="J78" s="107"/>
      <c r="K78" s="24"/>
      <c r="L78" s="107"/>
      <c r="M78" s="37" t="e">
        <f t="shared" ca="1" si="4"/>
        <v>#N/A</v>
      </c>
      <c r="N78" s="101" t="e">
        <f ca="1">VLOOKUP($B78,Matrix!$H$13:$I$37,2,FALSE)&amp;"_"&amp;C78</f>
        <v>#N/A</v>
      </c>
      <c r="O78" s="114" t="e">
        <f t="shared" ca="1" si="3"/>
        <v>#N/A</v>
      </c>
    </row>
    <row r="79" spans="2:15">
      <c r="B79" s="24"/>
      <c r="C79" s="23"/>
      <c r="D79" s="106"/>
      <c r="E79" s="24"/>
      <c r="F79" s="107"/>
      <c r="G79" s="24"/>
      <c r="H79" s="107"/>
      <c r="I79" s="24"/>
      <c r="J79" s="107"/>
      <c r="K79" s="24"/>
      <c r="L79" s="107"/>
      <c r="M79" s="37" t="e">
        <f t="shared" ca="1" si="4"/>
        <v>#N/A</v>
      </c>
      <c r="N79" s="101" t="e">
        <f ca="1">VLOOKUP($B79,Matrix!$H$13:$I$37,2,FALSE)&amp;"_"&amp;C79</f>
        <v>#N/A</v>
      </c>
      <c r="O79" s="114" t="e">
        <f t="shared" ca="1" si="3"/>
        <v>#N/A</v>
      </c>
    </row>
    <row r="80" spans="2:15">
      <c r="B80" s="24"/>
      <c r="C80" s="23"/>
      <c r="D80" s="106"/>
      <c r="E80" s="24"/>
      <c r="F80" s="107"/>
      <c r="G80" s="24"/>
      <c r="H80" s="107"/>
      <c r="I80" s="24"/>
      <c r="J80" s="107"/>
      <c r="K80" s="24"/>
      <c r="L80" s="107"/>
      <c r="M80" s="37" t="e">
        <f t="shared" ca="1" si="4"/>
        <v>#N/A</v>
      </c>
      <c r="N80" s="101" t="e">
        <f ca="1">VLOOKUP($B80,Matrix!$H$13:$I$37,2,FALSE)&amp;"_"&amp;C80</f>
        <v>#N/A</v>
      </c>
      <c r="O80" s="114" t="e">
        <f t="shared" ca="1" si="3"/>
        <v>#N/A</v>
      </c>
    </row>
    <row r="81" spans="2:15">
      <c r="B81" s="24"/>
      <c r="C81" s="23"/>
      <c r="D81" s="106"/>
      <c r="E81" s="24"/>
      <c r="F81" s="107"/>
      <c r="G81" s="24"/>
      <c r="H81" s="107"/>
      <c r="I81" s="24"/>
      <c r="J81" s="107"/>
      <c r="K81" s="24"/>
      <c r="L81" s="107"/>
      <c r="M81" s="37" t="e">
        <f t="shared" ca="1" si="4"/>
        <v>#N/A</v>
      </c>
      <c r="N81" s="101" t="e">
        <f ca="1">VLOOKUP($B81,Matrix!$H$13:$I$37,2,FALSE)&amp;"_"&amp;C81</f>
        <v>#N/A</v>
      </c>
      <c r="O81" s="114" t="e">
        <f t="shared" ca="1" si="3"/>
        <v>#N/A</v>
      </c>
    </row>
    <row r="82" spans="2:15">
      <c r="B82" s="24"/>
      <c r="C82" s="23"/>
      <c r="D82" s="106"/>
      <c r="E82" s="24"/>
      <c r="F82" s="107"/>
      <c r="G82" s="24"/>
      <c r="H82" s="107"/>
      <c r="I82" s="24"/>
      <c r="J82" s="107"/>
      <c r="K82" s="24"/>
      <c r="L82" s="107"/>
      <c r="M82" s="37" t="e">
        <f t="shared" ca="1" si="4"/>
        <v>#N/A</v>
      </c>
      <c r="N82" s="101" t="e">
        <f ca="1">VLOOKUP($B82,Matrix!$H$13:$I$37,2,FALSE)&amp;"_"&amp;C82</f>
        <v>#N/A</v>
      </c>
      <c r="O82" s="114" t="e">
        <f t="shared" ca="1" si="3"/>
        <v>#N/A</v>
      </c>
    </row>
    <row r="83" spans="2:15">
      <c r="B83" s="24"/>
      <c r="C83" s="23"/>
      <c r="D83" s="106"/>
      <c r="E83" s="24"/>
      <c r="F83" s="107"/>
      <c r="G83" s="24"/>
      <c r="H83" s="107"/>
      <c r="I83" s="24"/>
      <c r="J83" s="107"/>
      <c r="K83" s="24"/>
      <c r="L83" s="107"/>
      <c r="M83" s="37" t="e">
        <f t="shared" ca="1" si="4"/>
        <v>#N/A</v>
      </c>
      <c r="N83" s="101" t="e">
        <f ca="1">VLOOKUP($B83,Matrix!$H$13:$I$37,2,FALSE)&amp;"_"&amp;C83</f>
        <v>#N/A</v>
      </c>
      <c r="O83" s="114" t="e">
        <f t="shared" ca="1" si="3"/>
        <v>#N/A</v>
      </c>
    </row>
    <row r="84" spans="2:15">
      <c r="B84" s="24"/>
      <c r="C84" s="23"/>
      <c r="D84" s="106"/>
      <c r="E84" s="24"/>
      <c r="F84" s="107"/>
      <c r="G84" s="24"/>
      <c r="H84" s="107"/>
      <c r="I84" s="24"/>
      <c r="J84" s="107"/>
      <c r="K84" s="24"/>
      <c r="L84" s="107"/>
      <c r="M84" s="37" t="e">
        <f t="shared" ca="1" si="4"/>
        <v>#N/A</v>
      </c>
      <c r="N84" s="101" t="e">
        <f ca="1">VLOOKUP($B84,Matrix!$H$13:$I$37,2,FALSE)&amp;"_"&amp;C84</f>
        <v>#N/A</v>
      </c>
      <c r="O84" s="114" t="e">
        <f t="shared" ca="1" si="3"/>
        <v>#N/A</v>
      </c>
    </row>
    <row r="85" spans="2:15">
      <c r="B85" s="24"/>
      <c r="C85" s="23"/>
      <c r="D85" s="106"/>
      <c r="E85" s="24"/>
      <c r="F85" s="107"/>
      <c r="G85" s="24"/>
      <c r="H85" s="107"/>
      <c r="I85" s="24"/>
      <c r="J85" s="107"/>
      <c r="K85" s="24"/>
      <c r="L85" s="107"/>
      <c r="M85" s="37" t="e">
        <f t="shared" ca="1" si="4"/>
        <v>#N/A</v>
      </c>
      <c r="N85" s="101" t="e">
        <f ca="1">VLOOKUP($B85,Matrix!$H$13:$I$37,2,FALSE)&amp;"_"&amp;C85</f>
        <v>#N/A</v>
      </c>
      <c r="O85" s="114" t="e">
        <f t="shared" ca="1" si="3"/>
        <v>#N/A</v>
      </c>
    </row>
    <row r="86" spans="2:15">
      <c r="B86" s="24"/>
      <c r="C86" s="23"/>
      <c r="D86" s="106"/>
      <c r="E86" s="24"/>
      <c r="F86" s="107"/>
      <c r="G86" s="24"/>
      <c r="H86" s="107"/>
      <c r="I86" s="24"/>
      <c r="J86" s="107"/>
      <c r="K86" s="24"/>
      <c r="L86" s="107"/>
      <c r="M86" s="37" t="e">
        <f t="shared" ca="1" si="4"/>
        <v>#N/A</v>
      </c>
      <c r="N86" s="101" t="e">
        <f ca="1">VLOOKUP($B86,Matrix!$H$13:$I$37,2,FALSE)&amp;"_"&amp;C86</f>
        <v>#N/A</v>
      </c>
      <c r="O86" s="114" t="e">
        <f t="shared" ca="1" si="3"/>
        <v>#N/A</v>
      </c>
    </row>
    <row r="87" spans="2:15">
      <c r="B87" s="24"/>
      <c r="C87" s="23"/>
      <c r="D87" s="106"/>
      <c r="E87" s="24"/>
      <c r="F87" s="107"/>
      <c r="G87" s="24"/>
      <c r="H87" s="107"/>
      <c r="I87" s="24"/>
      <c r="J87" s="107"/>
      <c r="K87" s="24"/>
      <c r="L87" s="107"/>
      <c r="M87" s="37" t="e">
        <f t="shared" ca="1" si="4"/>
        <v>#N/A</v>
      </c>
      <c r="N87" s="58" t="e">
        <f ca="1">VLOOKUP($B87,Matrix!$H$13:$I$37,2,FALSE)&amp;"_"&amp;C87</f>
        <v>#N/A</v>
      </c>
      <c r="O87" s="114" t="e">
        <f t="shared" ca="1" si="3"/>
        <v>#N/A</v>
      </c>
    </row>
    <row r="88" spans="2:15">
      <c r="B88" s="24"/>
      <c r="C88" s="23"/>
      <c r="D88" s="106"/>
      <c r="E88" s="24"/>
      <c r="F88" s="107"/>
      <c r="G88" s="24"/>
      <c r="H88" s="107"/>
      <c r="I88" s="24"/>
      <c r="J88" s="107"/>
      <c r="K88" s="24"/>
      <c r="L88" s="107"/>
      <c r="M88" s="37" t="e">
        <f t="shared" ca="1" si="4"/>
        <v>#N/A</v>
      </c>
      <c r="N88" s="58" t="e">
        <f ca="1">VLOOKUP($B88,Matrix!$H$13:$I$37,2,FALSE)&amp;"_"&amp;C88</f>
        <v>#N/A</v>
      </c>
      <c r="O88" s="114" t="e">
        <f t="shared" ca="1" si="3"/>
        <v>#N/A</v>
      </c>
    </row>
    <row r="89" spans="2:15">
      <c r="B89" s="24"/>
      <c r="C89" s="23"/>
      <c r="D89" s="106"/>
      <c r="E89" s="24"/>
      <c r="F89" s="107"/>
      <c r="G89" s="24"/>
      <c r="H89" s="107"/>
      <c r="I89" s="24"/>
      <c r="J89" s="107"/>
      <c r="K89" s="24"/>
      <c r="L89" s="107"/>
      <c r="M89" s="37" t="e">
        <f t="shared" ca="1" si="4"/>
        <v>#N/A</v>
      </c>
      <c r="N89" s="58" t="e">
        <f ca="1">VLOOKUP($B89,Matrix!$H$13:$I$37,2,FALSE)&amp;"_"&amp;C89</f>
        <v>#N/A</v>
      </c>
      <c r="O89" s="114" t="e">
        <f t="shared" ca="1" si="3"/>
        <v>#N/A</v>
      </c>
    </row>
    <row r="90" spans="2:15">
      <c r="B90" s="24"/>
      <c r="C90" s="23"/>
      <c r="D90" s="106"/>
      <c r="E90" s="24"/>
      <c r="F90" s="107"/>
      <c r="G90" s="24"/>
      <c r="H90" s="107"/>
      <c r="I90" s="24"/>
      <c r="J90" s="107"/>
      <c r="K90" s="24"/>
      <c r="L90" s="107"/>
      <c r="M90" s="37" t="e">
        <f t="shared" ca="1" si="4"/>
        <v>#N/A</v>
      </c>
      <c r="N90" s="58" t="e">
        <f ca="1">VLOOKUP($B90,Matrix!$H$13:$I$37,2,FALSE)&amp;"_"&amp;C90</f>
        <v>#N/A</v>
      </c>
      <c r="O90" s="114" t="e">
        <f t="shared" ca="1" si="3"/>
        <v>#N/A</v>
      </c>
    </row>
    <row r="91" spans="2:15">
      <c r="B91" s="24"/>
      <c r="C91" s="23"/>
      <c r="D91" s="106"/>
      <c r="E91" s="24"/>
      <c r="F91" s="107"/>
      <c r="G91" s="24"/>
      <c r="H91" s="107"/>
      <c r="I91" s="24"/>
      <c r="J91" s="107"/>
      <c r="K91" s="24"/>
      <c r="L91" s="107"/>
      <c r="M91" s="37" t="e">
        <f t="shared" ca="1" si="4"/>
        <v>#N/A</v>
      </c>
      <c r="N91" s="58" t="e">
        <f ca="1">VLOOKUP($B91,Matrix!$H$13:$I$37,2,FALSE)&amp;"_"&amp;C91</f>
        <v>#N/A</v>
      </c>
      <c r="O91" s="114" t="e">
        <f t="shared" ca="1" si="3"/>
        <v>#N/A</v>
      </c>
    </row>
    <row r="92" spans="2:15">
      <c r="B92" s="24"/>
      <c r="C92" s="23"/>
      <c r="D92" s="106"/>
      <c r="E92" s="24"/>
      <c r="F92" s="107"/>
      <c r="G92" s="24"/>
      <c r="H92" s="107"/>
      <c r="I92" s="24"/>
      <c r="J92" s="107"/>
      <c r="K92" s="24"/>
      <c r="L92" s="107"/>
      <c r="M92" s="37" t="e">
        <f t="shared" ca="1" si="4"/>
        <v>#N/A</v>
      </c>
      <c r="N92" s="58" t="e">
        <f ca="1">VLOOKUP($B92,Matrix!$H$13:$I$37,2,FALSE)&amp;"_"&amp;C92</f>
        <v>#N/A</v>
      </c>
      <c r="O92" s="114" t="e">
        <f t="shared" ca="1" si="3"/>
        <v>#N/A</v>
      </c>
    </row>
    <row r="93" spans="2:15">
      <c r="B93" s="24"/>
      <c r="C93" s="23"/>
      <c r="D93" s="106"/>
      <c r="E93" s="24"/>
      <c r="F93" s="107"/>
      <c r="G93" s="24"/>
      <c r="H93" s="107"/>
      <c r="I93" s="24"/>
      <c r="J93" s="107"/>
      <c r="K93" s="24"/>
      <c r="L93" s="107"/>
      <c r="M93" s="37" t="e">
        <f t="shared" ca="1" si="4"/>
        <v>#N/A</v>
      </c>
      <c r="N93" s="58" t="e">
        <f ca="1">VLOOKUP($B93,Matrix!$H$13:$I$37,2,FALSE)&amp;"_"&amp;C93</f>
        <v>#N/A</v>
      </c>
      <c r="O93" s="114" t="e">
        <f t="shared" ca="1" si="3"/>
        <v>#N/A</v>
      </c>
    </row>
    <row r="94" spans="2:15">
      <c r="B94" s="24"/>
      <c r="C94" s="23"/>
      <c r="D94" s="106"/>
      <c r="E94" s="24"/>
      <c r="F94" s="107"/>
      <c r="G94" s="24"/>
      <c r="H94" s="107"/>
      <c r="I94" s="24"/>
      <c r="J94" s="107"/>
      <c r="K94" s="24"/>
      <c r="L94" s="107"/>
      <c r="M94" s="37" t="e">
        <f t="shared" ca="1" si="4"/>
        <v>#N/A</v>
      </c>
      <c r="N94" s="58" t="e">
        <f ca="1">VLOOKUP($B94,Matrix!$H$13:$I$37,2,FALSE)&amp;"_"&amp;C94</f>
        <v>#N/A</v>
      </c>
      <c r="O94" s="114" t="e">
        <f t="shared" ca="1" si="3"/>
        <v>#N/A</v>
      </c>
    </row>
    <row r="95" spans="2:15">
      <c r="B95" s="24"/>
      <c r="C95" s="23"/>
      <c r="D95" s="106"/>
      <c r="E95" s="24"/>
      <c r="F95" s="107"/>
      <c r="G95" s="24"/>
      <c r="H95" s="107"/>
      <c r="I95" s="24"/>
      <c r="J95" s="107"/>
      <c r="K95" s="24"/>
      <c r="L95" s="107"/>
      <c r="M95" s="37" t="e">
        <f t="shared" ca="1" si="4"/>
        <v>#N/A</v>
      </c>
      <c r="N95" s="58" t="e">
        <f ca="1">VLOOKUP($B95,Matrix!$H$13:$I$37,2,FALSE)&amp;"_"&amp;C95</f>
        <v>#N/A</v>
      </c>
      <c r="O95" s="114" t="e">
        <f t="shared" ca="1" si="3"/>
        <v>#N/A</v>
      </c>
    </row>
    <row r="96" spans="2:15">
      <c r="B96" s="24"/>
      <c r="C96" s="23"/>
      <c r="D96" s="106"/>
      <c r="E96" s="24"/>
      <c r="F96" s="107"/>
      <c r="G96" s="24"/>
      <c r="H96" s="107"/>
      <c r="I96" s="24"/>
      <c r="J96" s="107"/>
      <c r="K96" s="24"/>
      <c r="L96" s="107"/>
      <c r="M96" s="37" t="e">
        <f t="shared" ca="1" si="4"/>
        <v>#N/A</v>
      </c>
      <c r="N96" s="58" t="e">
        <f ca="1">VLOOKUP($B96,Matrix!$H$13:$I$37,2,FALSE)&amp;"_"&amp;C96</f>
        <v>#N/A</v>
      </c>
      <c r="O96" s="114" t="e">
        <f t="shared" ca="1" si="3"/>
        <v>#N/A</v>
      </c>
    </row>
    <row r="97" spans="2:15">
      <c r="B97" s="24"/>
      <c r="C97" s="23"/>
      <c r="D97" s="106"/>
      <c r="E97" s="24"/>
      <c r="F97" s="107"/>
      <c r="G97" s="24"/>
      <c r="H97" s="107"/>
      <c r="I97" s="24"/>
      <c r="J97" s="107"/>
      <c r="K97" s="24"/>
      <c r="L97" s="107"/>
      <c r="M97" s="37" t="e">
        <f t="shared" ca="1" si="4"/>
        <v>#N/A</v>
      </c>
      <c r="N97" s="58" t="e">
        <f ca="1">VLOOKUP($B97,Matrix!$H$13:$I$37,2,FALSE)&amp;"_"&amp;C97</f>
        <v>#N/A</v>
      </c>
      <c r="O97" s="114" t="e">
        <f t="shared" ca="1" si="3"/>
        <v>#N/A</v>
      </c>
    </row>
    <row r="98" spans="2:15">
      <c r="B98" s="24"/>
      <c r="C98" s="23"/>
      <c r="D98" s="106"/>
      <c r="E98" s="24"/>
      <c r="F98" s="107"/>
      <c r="G98" s="24"/>
      <c r="H98" s="107"/>
      <c r="I98" s="24"/>
      <c r="J98" s="107"/>
      <c r="K98" s="24"/>
      <c r="L98" s="107"/>
      <c r="M98" s="37" t="e">
        <f t="shared" ca="1" si="4"/>
        <v>#N/A</v>
      </c>
      <c r="N98" s="58" t="e">
        <f ca="1">VLOOKUP($B98,Matrix!$H$13:$I$37,2,FALSE)&amp;"_"&amp;C98</f>
        <v>#N/A</v>
      </c>
      <c r="O98" s="114" t="e">
        <f t="shared" ca="1" si="3"/>
        <v>#N/A</v>
      </c>
    </row>
    <row r="99" spans="2:15">
      <c r="B99" s="24"/>
      <c r="C99" s="23"/>
      <c r="D99" s="106"/>
      <c r="E99" s="24"/>
      <c r="F99" s="107"/>
      <c r="G99" s="24"/>
      <c r="H99" s="107"/>
      <c r="I99" s="24"/>
      <c r="J99" s="107"/>
      <c r="K99" s="24"/>
      <c r="L99" s="107"/>
      <c r="M99" s="37" t="e">
        <f t="shared" ca="1" si="4"/>
        <v>#N/A</v>
      </c>
      <c r="N99" s="58" t="e">
        <f ca="1">VLOOKUP($B99,Matrix!$H$13:$I$37,2,FALSE)&amp;"_"&amp;C99</f>
        <v>#N/A</v>
      </c>
      <c r="O99" s="114" t="e">
        <f t="shared" ca="1" si="3"/>
        <v>#N/A</v>
      </c>
    </row>
    <row r="100" spans="2:15">
      <c r="B100" s="24"/>
      <c r="C100" s="23"/>
      <c r="D100" s="106"/>
      <c r="E100" s="24"/>
      <c r="F100" s="107"/>
      <c r="G100" s="24"/>
      <c r="H100" s="107"/>
      <c r="I100" s="24"/>
      <c r="J100" s="107"/>
      <c r="K100" s="24"/>
      <c r="L100" s="107"/>
      <c r="M100" s="37" t="e">
        <f t="shared" ca="1" si="4"/>
        <v>#N/A</v>
      </c>
      <c r="N100" s="58" t="e">
        <f ca="1">VLOOKUP($B100,Matrix!$H$13:$I$37,2,FALSE)&amp;"_"&amp;C100</f>
        <v>#N/A</v>
      </c>
      <c r="O100" s="114" t="e">
        <f t="shared" ref="O100:O103" ca="1" si="5">"#define "&amp;N100&amp;REPT(" ",48-M100)&amp;"("&amp;D100&amp;"U)"</f>
        <v>#N/A</v>
      </c>
    </row>
    <row r="101" spans="2:15">
      <c r="B101" s="24"/>
      <c r="C101" s="23"/>
      <c r="D101" s="106"/>
      <c r="E101" s="24"/>
      <c r="F101" s="107"/>
      <c r="G101" s="24"/>
      <c r="H101" s="107"/>
      <c r="I101" s="24"/>
      <c r="J101" s="107"/>
      <c r="K101" s="24"/>
      <c r="L101" s="107"/>
      <c r="M101" s="37" t="e">
        <f t="shared" ca="1" si="4"/>
        <v>#N/A</v>
      </c>
      <c r="N101" s="58" t="e">
        <f ca="1">VLOOKUP($B101,Matrix!$H$13:$I$37,2,FALSE)&amp;"_"&amp;C101</f>
        <v>#N/A</v>
      </c>
      <c r="O101" s="114" t="e">
        <f t="shared" ca="1" si="5"/>
        <v>#N/A</v>
      </c>
    </row>
    <row r="102" spans="2:15">
      <c r="B102" s="24"/>
      <c r="C102" s="23"/>
      <c r="D102" s="106"/>
      <c r="E102" s="24"/>
      <c r="F102" s="107"/>
      <c r="G102" s="24"/>
      <c r="H102" s="107"/>
      <c r="I102" s="24"/>
      <c r="J102" s="107"/>
      <c r="K102" s="24"/>
      <c r="L102" s="107"/>
      <c r="M102" s="37" t="e">
        <f t="shared" ca="1" si="4"/>
        <v>#N/A</v>
      </c>
      <c r="N102" s="58" t="e">
        <f ca="1">VLOOKUP($B102,Matrix!$H$13:$I$37,2,FALSE)&amp;"_"&amp;C102</f>
        <v>#N/A</v>
      </c>
      <c r="O102" s="114" t="e">
        <f t="shared" ca="1" si="5"/>
        <v>#N/A</v>
      </c>
    </row>
    <row r="103" spans="2:15" ht="14.25" thickBot="1">
      <c r="B103" s="43"/>
      <c r="C103" s="44"/>
      <c r="D103" s="108"/>
      <c r="E103" s="43"/>
      <c r="F103" s="109"/>
      <c r="G103" s="43"/>
      <c r="H103" s="109"/>
      <c r="I103" s="43"/>
      <c r="J103" s="109"/>
      <c r="K103" s="43"/>
      <c r="L103" s="109"/>
      <c r="M103" s="45" t="e">
        <f t="shared" ca="1" si="4"/>
        <v>#N/A</v>
      </c>
      <c r="N103" s="59" t="e">
        <f ca="1">VLOOKUP($B103,Matrix!$H$13:$I$37,2,FALSE)&amp;"_"&amp;C103</f>
        <v>#N/A</v>
      </c>
      <c r="O103" s="115"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E13" zoomScale="85" zoomScaleNormal="85" workbookViewId="0">
      <selection activeCell="L17" sqref="L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122</v>
      </c>
      <c r="C2" s="292"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294" t="s">
        <v>154</v>
      </c>
    </row>
    <row r="3" spans="1:49" ht="213" customHeight="1" thickBot="1">
      <c r="B3" s="187" t="str">
        <f>IF(OR(IF(COUNTIF(D6:AC69,"0")&lt;&gt;0,TRUE,FALSE),IF(COUNTIF(D6:AC69,"1")&lt;&gt;0,TRUE,FALSE)),"Search Table","Index Table")</f>
        <v>Index Table</v>
      </c>
      <c r="C3" s="293"/>
      <c r="D3" s="118" t="s">
        <v>60</v>
      </c>
      <c r="E3" s="118" t="s">
        <v>65</v>
      </c>
      <c r="F3" s="118" t="s">
        <v>48</v>
      </c>
      <c r="G3" s="118" t="s">
        <v>47</v>
      </c>
      <c r="H3" s="118" t="s">
        <v>120</v>
      </c>
      <c r="I3" s="118" t="s">
        <v>119</v>
      </c>
      <c r="J3" s="118" t="s">
        <v>124</v>
      </c>
      <c r="K3" s="118" t="s">
        <v>123</v>
      </c>
      <c r="L3" s="119" t="s">
        <v>65</v>
      </c>
      <c r="M3" s="119" t="s">
        <v>61</v>
      </c>
      <c r="N3" s="119" t="s">
        <v>61</v>
      </c>
      <c r="O3" s="119" t="s">
        <v>61</v>
      </c>
      <c r="P3" s="119" t="s">
        <v>61</v>
      </c>
      <c r="Q3" s="119" t="s">
        <v>61</v>
      </c>
      <c r="R3" s="119" t="s">
        <v>61</v>
      </c>
      <c r="S3" s="119" t="s">
        <v>61</v>
      </c>
      <c r="T3" s="119" t="s">
        <v>61</v>
      </c>
      <c r="U3" s="119" t="s">
        <v>61</v>
      </c>
      <c r="V3" s="119" t="s">
        <v>61</v>
      </c>
      <c r="W3" s="119" t="s">
        <v>61</v>
      </c>
      <c r="X3" s="119" t="s">
        <v>61</v>
      </c>
      <c r="Y3" s="119" t="s">
        <v>61</v>
      </c>
      <c r="Z3" s="119" t="s">
        <v>61</v>
      </c>
      <c r="AA3" s="119" t="s">
        <v>61</v>
      </c>
      <c r="AB3" s="119" t="s">
        <v>156</v>
      </c>
      <c r="AC3" s="119" t="s">
        <v>61</v>
      </c>
      <c r="AD3" s="246" t="s">
        <v>283</v>
      </c>
      <c r="AE3" s="300" t="s">
        <v>265</v>
      </c>
      <c r="AF3" s="301"/>
      <c r="AG3" s="300" t="s">
        <v>266</v>
      </c>
      <c r="AH3" s="301"/>
      <c r="AI3" s="224" t="s">
        <v>249</v>
      </c>
      <c r="AJ3" s="295"/>
      <c r="AR3" s="82" t="s">
        <v>95</v>
      </c>
    </row>
    <row r="4" spans="1:49" ht="14.25" thickBot="1">
      <c r="A4" s="296" t="s">
        <v>62</v>
      </c>
      <c r="B4" s="29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1"/>
      <c r="AR4" s="70" t="s">
        <v>81</v>
      </c>
      <c r="AS4" s="71"/>
      <c r="AT4" s="71"/>
      <c r="AU4" s="71"/>
      <c r="AV4" s="71"/>
      <c r="AW4" s="72"/>
    </row>
    <row r="5" spans="1:49" ht="14.25" thickBot="1">
      <c r="A5" s="298"/>
      <c r="B5" s="299"/>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2"/>
      <c r="AR5" s="73" t="str">
        <f ca="1">"static const U4  "&amp;AW8&amp;"["&amp;AW10&amp;"]"&amp;" = {"</f>
        <v>static const U4  u4_sp_ALERT_D_SECDDC_CRIT[ALERT_D_SECDDC_NUM_DST] = {</v>
      </c>
      <c r="AS5" s="73" t="str">
        <f ca="1">"static const U4  "&amp;$AW$9&amp;"["&amp;$AW$10&amp;"] = {"</f>
        <v>static const U4  u4_sp_ALERT_D_SECDDC_MASK[ALERT_D_SECDDC_NUM_DST] = {</v>
      </c>
      <c r="AT5" s="73" t="str">
        <f ca="1">"static const U1  "&amp;$AW$11&amp;"["&amp;$AW$10&amp;"] = {"</f>
        <v>static const U1  u1_sp_ALERT_D_SECDDC_DST[ALERT_D_SECDDC_NUM_DST] = {</v>
      </c>
      <c r="AU5" s="73" t="str">
        <f ca="1">"const ST_ALERT_MTRX "&amp;$AW$12&amp;" = {"</f>
        <v>const ST_ALERT_MTRX st_gp_ALERT_D_SECDDC_MTRX[1] = {</v>
      </c>
      <c r="AV5" s="55" t="str">
        <f ca="1">"#define "&amp;AW10&amp;REPT(" ",41-LEN(AW10))&amp;"("&amp;AW13&amp;"U)"</f>
        <v>#define ALERT_D_SECDDC_NUM_DST                   (64U)</v>
      </c>
      <c r="AW5" s="56"/>
    </row>
    <row r="6" spans="1:49">
      <c r="B6" s="124" t="str">
        <f ca="1">"Table "&amp;$AW$6</f>
        <v>Table D_SECDDC</v>
      </c>
      <c r="C6" s="42">
        <f>ROW()-ROW($C$6)</f>
        <v>0</v>
      </c>
      <c r="D6" s="120" t="s">
        <v>66</v>
      </c>
      <c r="E6" s="120" t="s">
        <v>66</v>
      </c>
      <c r="F6" s="120" t="s">
        <v>66</v>
      </c>
      <c r="G6" s="120" t="s">
        <v>66</v>
      </c>
      <c r="H6" s="120" t="s">
        <v>66</v>
      </c>
      <c r="I6" s="120" t="s">
        <v>66</v>
      </c>
      <c r="J6" s="51" t="s">
        <v>66</v>
      </c>
      <c r="K6" s="51" t="s">
        <v>66</v>
      </c>
      <c r="L6" s="120" t="s">
        <v>66</v>
      </c>
      <c r="M6" s="120" t="s">
        <v>66</v>
      </c>
      <c r="N6" s="120" t="s">
        <v>66</v>
      </c>
      <c r="O6" s="120" t="s">
        <v>66</v>
      </c>
      <c r="P6" s="120" t="s">
        <v>66</v>
      </c>
      <c r="Q6" s="120" t="s">
        <v>66</v>
      </c>
      <c r="R6" s="120" t="s">
        <v>66</v>
      </c>
      <c r="S6" s="120" t="s">
        <v>66</v>
      </c>
      <c r="T6" s="120" t="s">
        <v>66</v>
      </c>
      <c r="U6" s="120" t="s">
        <v>66</v>
      </c>
      <c r="V6" s="120" t="s">
        <v>66</v>
      </c>
      <c r="W6" s="120" t="s">
        <v>66</v>
      </c>
      <c r="X6" s="120" t="s">
        <v>66</v>
      </c>
      <c r="Y6" s="120" t="s">
        <v>66</v>
      </c>
      <c r="Z6" s="120" t="s">
        <v>66</v>
      </c>
      <c r="AA6" s="120" t="s">
        <v>66</v>
      </c>
      <c r="AB6" s="120" t="s">
        <v>66</v>
      </c>
      <c r="AC6" s="120" t="s">
        <v>66</v>
      </c>
      <c r="AD6" s="51">
        <v>0</v>
      </c>
      <c r="AE6" s="51">
        <v>0</v>
      </c>
      <c r="AF6" s="51">
        <v>0</v>
      </c>
      <c r="AG6" s="51">
        <v>0</v>
      </c>
      <c r="AH6" s="51">
        <v>0</v>
      </c>
      <c r="AI6" s="51">
        <v>0</v>
      </c>
      <c r="AJ6" s="23" t="s">
        <v>31</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(U4)0x0000003FU,                                                           /* 00 UNKNOWN                                         */</v>
      </c>
      <c r="AT6" s="53" t="str">
        <f t="shared" ref="AT6:AT69" si="1">IF(AJ6&lt;&gt;"",AL6&amp;IF(AJ7&lt;&gt;"",","," ")&amp;REPT(" ",78-LEN(AL6))&amp;"/* "&amp;IF(C6&lt;10,"0"&amp;C6,C6)&amp;" "&amp;AJ6&amp;REPT(" ",48-LEN(AJ6))&amp;"*/",IF(AJ5&lt;&gt;"","};",""))</f>
        <v xml:space="preserve">    (U1)ALERT_REQ_UNKNOWN,                                                     /* 00 UNKNOWN                                         */</v>
      </c>
      <c r="AU6" s="53" t="s">
        <v>67</v>
      </c>
      <c r="AV6" s="38" t="s">
        <v>69</v>
      </c>
      <c r="AW6" s="57" t="str">
        <f ca="1">UPPER(RIGHT(CELL("filename",A1),LEN(CELL("filename",A1))-FIND("]",CELL("filename",A1))))</f>
        <v>D_SECDDC</v>
      </c>
    </row>
    <row r="7" spans="1:49">
      <c r="B7" s="124"/>
      <c r="C7" s="37">
        <f t="shared" ref="C7:C69" si="2">ROW()-ROW($C$6)</f>
        <v>1</v>
      </c>
      <c r="D7" s="51" t="s">
        <v>66</v>
      </c>
      <c r="E7" s="51" t="s">
        <v>66</v>
      </c>
      <c r="F7" s="51" t="s">
        <v>66</v>
      </c>
      <c r="G7" s="120" t="s">
        <v>66</v>
      </c>
      <c r="H7" s="51" t="s">
        <v>66</v>
      </c>
      <c r="I7" s="51" t="s">
        <v>66</v>
      </c>
      <c r="J7" s="51" t="s">
        <v>66</v>
      </c>
      <c r="K7" s="51" t="s">
        <v>66</v>
      </c>
      <c r="L7" s="51" t="s">
        <v>66</v>
      </c>
      <c r="M7" s="51" t="s">
        <v>66</v>
      </c>
      <c r="N7" s="51" t="s">
        <v>66</v>
      </c>
      <c r="O7" s="51" t="s">
        <v>66</v>
      </c>
      <c r="P7" s="51" t="s">
        <v>66</v>
      </c>
      <c r="Q7" s="51" t="s">
        <v>66</v>
      </c>
      <c r="R7" s="51" t="s">
        <v>66</v>
      </c>
      <c r="S7" s="51" t="s">
        <v>66</v>
      </c>
      <c r="T7" s="51" t="s">
        <v>66</v>
      </c>
      <c r="U7" s="51" t="s">
        <v>66</v>
      </c>
      <c r="V7" s="51" t="s">
        <v>66</v>
      </c>
      <c r="W7" s="51" t="s">
        <v>66</v>
      </c>
      <c r="X7" s="51" t="s">
        <v>66</v>
      </c>
      <c r="Y7" s="51" t="s">
        <v>66</v>
      </c>
      <c r="Z7" s="51" t="s">
        <v>66</v>
      </c>
      <c r="AA7" s="51" t="s">
        <v>66</v>
      </c>
      <c r="AB7" s="51" t="s">
        <v>66</v>
      </c>
      <c r="AC7" s="51" t="s">
        <v>66</v>
      </c>
      <c r="AD7" s="51">
        <v>0</v>
      </c>
      <c r="AE7" s="51">
        <v>0</v>
      </c>
      <c r="AF7" s="51">
        <v>0</v>
      </c>
      <c r="AG7" s="51">
        <v>0</v>
      </c>
      <c r="AH7" s="51">
        <v>0</v>
      </c>
      <c r="AI7" s="51">
        <v>1</v>
      </c>
      <c r="AJ7" s="23" t="s">
        <v>31</v>
      </c>
      <c r="AL7" t="str">
        <f t="shared" si="0"/>
        <v xml:space="preserve">    (U1)ALERT_REQ_UNKNOWN</v>
      </c>
      <c r="AR7" s="53" t="str">
        <f t="shared" ref="AR7:AR70" si="3">IF(AQ72&lt;&gt;"",AQ72,IF(AQ71&lt;&gt;"","};",""))</f>
        <v xml:space="preserve">    (U4)0x00000001U,                                                           /* 01 UNKNOWN                                         */</v>
      </c>
      <c r="AS7" s="53" t="str">
        <f t="shared" ref="AS7:AS70" si="4">IF(AQ137&lt;&gt;"",AQ137,IF(AQ136&lt;&gt;"","};",""))</f>
        <v xml:space="preserve">    (U4)0x0000003FU,                                                           /* 01 UNKNOWN                                         */</v>
      </c>
      <c r="AT7" s="53" t="str">
        <f t="shared" si="1"/>
        <v xml:space="preserve">    (U1)ALERT_REQ_UNKNOWN,                                                     /* 01 UNKNOWN                                         */</v>
      </c>
      <c r="AU7" s="53" t="str">
        <f ca="1">"        &amp;"&amp;$AW$14&amp;","&amp;REPT(" ",69-LEN($AW$14))&amp;"/* fp_u4_SRC_CHK                                      */"</f>
        <v xml:space="preserve">        &amp;u4_s_AlertD_secddcSrcchk,                                             /* fp_u4_SRC_CHK                                      */</v>
      </c>
      <c r="AV7" s="39" t="s">
        <v>70</v>
      </c>
      <c r="AW7" s="123">
        <f>IF(B3="Search Table",1,0)</f>
        <v>0</v>
      </c>
    </row>
    <row r="8" spans="1:49">
      <c r="B8" s="124"/>
      <c r="C8" s="37">
        <f t="shared" si="2"/>
        <v>2</v>
      </c>
      <c r="D8" s="51" t="s">
        <v>66</v>
      </c>
      <c r="E8" s="51" t="s">
        <v>66</v>
      </c>
      <c r="F8" s="51" t="s">
        <v>66</v>
      </c>
      <c r="G8" s="120" t="s">
        <v>66</v>
      </c>
      <c r="H8" s="51" t="s">
        <v>66</v>
      </c>
      <c r="I8" s="51" t="s">
        <v>66</v>
      </c>
      <c r="J8" s="51" t="s">
        <v>66</v>
      </c>
      <c r="K8" s="51" t="s">
        <v>66</v>
      </c>
      <c r="L8" s="51" t="s">
        <v>66</v>
      </c>
      <c r="M8" s="51" t="s">
        <v>66</v>
      </c>
      <c r="N8" s="51" t="s">
        <v>66</v>
      </c>
      <c r="O8" s="51" t="s">
        <v>66</v>
      </c>
      <c r="P8" s="51" t="s">
        <v>66</v>
      </c>
      <c r="Q8" s="51" t="s">
        <v>66</v>
      </c>
      <c r="R8" s="51" t="s">
        <v>66</v>
      </c>
      <c r="S8" s="51" t="s">
        <v>66</v>
      </c>
      <c r="T8" s="51" t="s">
        <v>66</v>
      </c>
      <c r="U8" s="51" t="s">
        <v>66</v>
      </c>
      <c r="V8" s="51" t="s">
        <v>66</v>
      </c>
      <c r="W8" s="51" t="s">
        <v>66</v>
      </c>
      <c r="X8" s="51" t="s">
        <v>66</v>
      </c>
      <c r="Y8" s="51" t="s">
        <v>66</v>
      </c>
      <c r="Z8" s="51" t="s">
        <v>66</v>
      </c>
      <c r="AA8" s="51" t="s">
        <v>66</v>
      </c>
      <c r="AB8" s="51" t="s">
        <v>66</v>
      </c>
      <c r="AC8" s="51" t="s">
        <v>66</v>
      </c>
      <c r="AD8" s="51">
        <v>0</v>
      </c>
      <c r="AE8" s="51">
        <v>0</v>
      </c>
      <c r="AF8" s="51">
        <v>0</v>
      </c>
      <c r="AG8" s="51">
        <v>0</v>
      </c>
      <c r="AH8" s="51">
        <v>1</v>
      </c>
      <c r="AI8" s="51">
        <v>0</v>
      </c>
      <c r="AJ8" s="23" t="s">
        <v>31</v>
      </c>
      <c r="AL8" t="str">
        <f t="shared" si="0"/>
        <v xml:space="preserve">    (U1)ALERT_REQ_UNKNOWN</v>
      </c>
      <c r="AR8" s="53" t="str">
        <f t="shared" si="3"/>
        <v xml:space="preserve">    (U4)0x00000002U,                                                           /* 02 UNKNOWN                                         */</v>
      </c>
      <c r="AS8" s="53" t="str">
        <f t="shared" si="4"/>
        <v xml:space="preserve">    (U4)0x0000003FU,                                                           /* 02 UNKNOWN                                         */</v>
      </c>
      <c r="AT8" s="53" t="str">
        <f>IF(AJ8&lt;&gt;"",AL8&amp;IF(AJ9&lt;&gt;"",","," ")&amp;REPT(" ",78-LEN(AL8))&amp;"/* "&amp;IF(C8&lt;10,"0"&amp;C8,C8)&amp;" "&amp;AJ8&amp;REPT(" ",48-LEN(AJ8))&amp;"*/",IF(AJ7&lt;&gt;"","};",""))</f>
        <v xml:space="preserve">    (U1)ALERT_REQ_UNKNOWN,                                                     /* 02 UNKNOWN                                         */</v>
      </c>
      <c r="AU8" s="53" t="str">
        <f ca="1">IF($AW$15&lt;&gt;"NULL","        &amp;"&amp;$AW$15&amp;","&amp;REPT(" ",69-LEN($AW$15))&amp;"/* fp_vd_XDST                                         */","        vdp_PTR_NA,                                                            /* fp_vd_XDST                                         */")</f>
        <v xml:space="preserve">        vdp_PTR_NA,                                                            /* fp_vd_XDST                                         */</v>
      </c>
      <c r="AV8" s="39" t="s">
        <v>71</v>
      </c>
      <c r="AW8" s="58" t="str">
        <f ca="1">"u4_sp_ALERT_"&amp;IF(AW6&lt;&gt;AW17,$AW$17&amp;"_"&amp;$AW$6,AW17)&amp;"_CRIT"</f>
        <v>u4_sp_ALERT_D_SECDDC_CRIT</v>
      </c>
    </row>
    <row r="9" spans="1:49">
      <c r="B9" s="124"/>
      <c r="C9" s="37">
        <f t="shared" si="2"/>
        <v>3</v>
      </c>
      <c r="D9" s="51" t="s">
        <v>66</v>
      </c>
      <c r="E9" s="51" t="s">
        <v>66</v>
      </c>
      <c r="F9" s="51" t="s">
        <v>66</v>
      </c>
      <c r="G9" s="120" t="s">
        <v>66</v>
      </c>
      <c r="H9" s="51" t="s">
        <v>66</v>
      </c>
      <c r="I9" s="51" t="s">
        <v>66</v>
      </c>
      <c r="J9" s="51" t="s">
        <v>66</v>
      </c>
      <c r="K9" s="51" t="s">
        <v>66</v>
      </c>
      <c r="L9" s="51" t="s">
        <v>66</v>
      </c>
      <c r="M9" s="51" t="s">
        <v>66</v>
      </c>
      <c r="N9" s="51" t="s">
        <v>66</v>
      </c>
      <c r="O9" s="51" t="s">
        <v>66</v>
      </c>
      <c r="P9" s="51" t="s">
        <v>66</v>
      </c>
      <c r="Q9" s="51" t="s">
        <v>66</v>
      </c>
      <c r="R9" s="51" t="s">
        <v>66</v>
      </c>
      <c r="S9" s="51" t="s">
        <v>66</v>
      </c>
      <c r="T9" s="51" t="s">
        <v>66</v>
      </c>
      <c r="U9" s="51" t="s">
        <v>66</v>
      </c>
      <c r="V9" s="51" t="s">
        <v>66</v>
      </c>
      <c r="W9" s="51" t="s">
        <v>66</v>
      </c>
      <c r="X9" s="51" t="s">
        <v>66</v>
      </c>
      <c r="Y9" s="51" t="s">
        <v>66</v>
      </c>
      <c r="Z9" s="51" t="s">
        <v>66</v>
      </c>
      <c r="AA9" s="51" t="s">
        <v>66</v>
      </c>
      <c r="AB9" s="51" t="s">
        <v>66</v>
      </c>
      <c r="AC9" s="51" t="s">
        <v>66</v>
      </c>
      <c r="AD9" s="51">
        <v>0</v>
      </c>
      <c r="AE9" s="51">
        <v>0</v>
      </c>
      <c r="AF9" s="51">
        <v>0</v>
      </c>
      <c r="AG9" s="51">
        <v>0</v>
      </c>
      <c r="AH9" s="51">
        <v>1</v>
      </c>
      <c r="AI9" s="51">
        <v>1</v>
      </c>
      <c r="AJ9" s="23" t="s">
        <v>31</v>
      </c>
      <c r="AL9" t="str">
        <f t="shared" si="0"/>
        <v xml:space="preserve">    (U1)ALERT_REQ_UNKNOWN</v>
      </c>
      <c r="AR9" s="53" t="str">
        <f t="shared" si="3"/>
        <v xml:space="preserve">    (U4)0x00000003U,                                                           /* 03 UNKNOWN                                         */</v>
      </c>
      <c r="AS9" s="53" t="str">
        <f t="shared" si="4"/>
        <v xml:space="preserve">    (U4)0x0000003FU,                                                           /* 03 UNKNOWN                                         */</v>
      </c>
      <c r="AT9" s="53" t="str">
        <f t="shared" si="1"/>
        <v xml:space="preserve">    (U1)ALERT_REQ_UNKNOWN,                                                     /* 03 UNKNOWN                                         */</v>
      </c>
      <c r="AU9" s="53"/>
      <c r="AV9" s="39" t="s">
        <v>72</v>
      </c>
      <c r="AW9" s="58" t="str">
        <f ca="1">"u4_sp_ALERT_"&amp;IF(AW6&lt;&gt;AW17,$AW$17&amp;"_"&amp;$AW$6,AW17)&amp;"_MASK"</f>
        <v>u4_sp_ALERT_D_SECDDC_MASK</v>
      </c>
    </row>
    <row r="10" spans="1:49">
      <c r="B10" s="124"/>
      <c r="C10" s="37">
        <f t="shared" si="2"/>
        <v>4</v>
      </c>
      <c r="D10" s="51" t="s">
        <v>66</v>
      </c>
      <c r="E10" s="51" t="s">
        <v>66</v>
      </c>
      <c r="F10" s="51" t="s">
        <v>66</v>
      </c>
      <c r="G10" s="51" t="s">
        <v>66</v>
      </c>
      <c r="H10" s="51" t="s">
        <v>66</v>
      </c>
      <c r="I10" s="51" t="s">
        <v>66</v>
      </c>
      <c r="J10" s="51" t="s">
        <v>66</v>
      </c>
      <c r="K10" s="51" t="s">
        <v>66</v>
      </c>
      <c r="L10" s="51" t="s">
        <v>66</v>
      </c>
      <c r="M10" s="51" t="s">
        <v>66</v>
      </c>
      <c r="N10" s="51" t="s">
        <v>66</v>
      </c>
      <c r="O10" s="51" t="s">
        <v>66</v>
      </c>
      <c r="P10" s="51" t="s">
        <v>66</v>
      </c>
      <c r="Q10" s="51" t="s">
        <v>66</v>
      </c>
      <c r="R10" s="51" t="s">
        <v>66</v>
      </c>
      <c r="S10" s="51" t="s">
        <v>66</v>
      </c>
      <c r="T10" s="51" t="s">
        <v>66</v>
      </c>
      <c r="U10" s="51" t="s">
        <v>66</v>
      </c>
      <c r="V10" s="51" t="s">
        <v>66</v>
      </c>
      <c r="W10" s="51" t="s">
        <v>66</v>
      </c>
      <c r="X10" s="51" t="s">
        <v>66</v>
      </c>
      <c r="Y10" s="51" t="s">
        <v>66</v>
      </c>
      <c r="Z10" s="51" t="s">
        <v>66</v>
      </c>
      <c r="AA10" s="51" t="s">
        <v>66</v>
      </c>
      <c r="AB10" s="51" t="s">
        <v>66</v>
      </c>
      <c r="AC10" s="51" t="s">
        <v>66</v>
      </c>
      <c r="AD10" s="51">
        <v>0</v>
      </c>
      <c r="AE10" s="51">
        <v>0</v>
      </c>
      <c r="AF10" s="51">
        <v>0</v>
      </c>
      <c r="AG10" s="51">
        <v>1</v>
      </c>
      <c r="AH10" s="51">
        <v>0</v>
      </c>
      <c r="AI10" s="51">
        <v>0</v>
      </c>
      <c r="AJ10" s="23" t="s">
        <v>31</v>
      </c>
      <c r="AL10" t="str">
        <f t="shared" si="0"/>
        <v xml:space="preserve">    (U1)ALERT_REQ_UNKNOWN</v>
      </c>
      <c r="AR10" s="53" t="str">
        <f t="shared" si="3"/>
        <v xml:space="preserve">    (U4)0x00000004U,                                                           /* 04 UNKNOWN                                         */</v>
      </c>
      <c r="AS10" s="53" t="str">
        <f t="shared" si="4"/>
        <v xml:space="preserve">    (U4)0x0000003FU,                                                           /* 04 UNKNOWN                                         */</v>
      </c>
      <c r="AT10" s="53" t="str">
        <f t="shared" si="1"/>
        <v xml:space="preserve">    (U1)ALERT_REQ_UNKNOWN,                                                     /* 04 UNKNOWN                                         */</v>
      </c>
      <c r="AU10" s="53" t="str">
        <f>IF($AW$7=1,"        &amp;"&amp;$AW$9&amp;"[0],"&amp;REPT(" ",66-LEN($AW$9))&amp;"/* u4p_MASK                                           */","        (const U4 *)vdp_PTR_NA,                                                /* u4p_MASK                                           */")</f>
        <v xml:space="preserve">        (const U4 *)vdp_PTR_NA,                                                /* u4p_MASK                                           */</v>
      </c>
      <c r="AV10" s="39" t="s">
        <v>73</v>
      </c>
      <c r="AW10" s="58" t="str">
        <f ca="1">"ALERT_"&amp;IF(AW6&lt;&gt;AW17,$AW$17&amp;"_"&amp;$AW$6,AW17)&amp;"_NUM_DST"</f>
        <v>ALERT_D_SECDDC_NUM_DST</v>
      </c>
    </row>
    <row r="11" spans="1:49">
      <c r="B11" s="124"/>
      <c r="C11" s="37">
        <f t="shared" si="2"/>
        <v>5</v>
      </c>
      <c r="D11" s="51" t="s">
        <v>66</v>
      </c>
      <c r="E11" s="51" t="s">
        <v>66</v>
      </c>
      <c r="F11" s="51" t="s">
        <v>66</v>
      </c>
      <c r="G11" s="51" t="s">
        <v>66</v>
      </c>
      <c r="H11" s="51" t="s">
        <v>66</v>
      </c>
      <c r="I11" s="51" t="s">
        <v>66</v>
      </c>
      <c r="J11" s="51" t="s">
        <v>66</v>
      </c>
      <c r="K11" s="51" t="s">
        <v>66</v>
      </c>
      <c r="L11" s="51" t="s">
        <v>66</v>
      </c>
      <c r="M11" s="51" t="s">
        <v>66</v>
      </c>
      <c r="N11" s="51" t="s">
        <v>66</v>
      </c>
      <c r="O11" s="51" t="s">
        <v>66</v>
      </c>
      <c r="P11" s="51" t="s">
        <v>66</v>
      </c>
      <c r="Q11" s="51" t="s">
        <v>66</v>
      </c>
      <c r="R11" s="51" t="s">
        <v>66</v>
      </c>
      <c r="S11" s="51" t="s">
        <v>66</v>
      </c>
      <c r="T11" s="51" t="s">
        <v>66</v>
      </c>
      <c r="U11" s="51" t="s">
        <v>66</v>
      </c>
      <c r="V11" s="51" t="s">
        <v>66</v>
      </c>
      <c r="W11" s="51" t="s">
        <v>66</v>
      </c>
      <c r="X11" s="51" t="s">
        <v>66</v>
      </c>
      <c r="Y11" s="51" t="s">
        <v>66</v>
      </c>
      <c r="Z11" s="51" t="s">
        <v>66</v>
      </c>
      <c r="AA11" s="51" t="s">
        <v>66</v>
      </c>
      <c r="AB11" s="51" t="s">
        <v>66</v>
      </c>
      <c r="AC11" s="51" t="s">
        <v>66</v>
      </c>
      <c r="AD11" s="51">
        <v>0</v>
      </c>
      <c r="AE11" s="51">
        <v>0</v>
      </c>
      <c r="AF11" s="51">
        <v>0</v>
      </c>
      <c r="AG11" s="51">
        <v>1</v>
      </c>
      <c r="AH11" s="51">
        <v>0</v>
      </c>
      <c r="AI11" s="51">
        <v>1</v>
      </c>
      <c r="AJ11" s="23" t="s">
        <v>31</v>
      </c>
      <c r="AL11" t="str">
        <f t="shared" si="0"/>
        <v xml:space="preserve">    (U1)ALERT_REQ_UNKNOWN</v>
      </c>
      <c r="AR11" s="53" t="str">
        <f t="shared" si="3"/>
        <v xml:space="preserve">    (U4)0x00000005U,                                                           /* 05 UNKNOWN                                         */</v>
      </c>
      <c r="AS11" s="53" t="str">
        <f t="shared" si="4"/>
        <v xml:space="preserve">    (U4)0x0000003FU,                                                           /* 05 UNKNOWN                                         */</v>
      </c>
      <c r="AT11" s="53" t="str">
        <f t="shared" si="1"/>
        <v xml:space="preserve">    (U1)ALERT_REQ_UNKNOWN,                                                     /* 05 UNKNOWN                                         */</v>
      </c>
      <c r="AU11" s="53" t="str">
        <f>IF($AW$7=1,"        &amp;"&amp;$AW$8&amp;"[0],"&amp;REPT(" ",66-LEN($AW$8))&amp;"/* u4p_CRIT                                           */","        (const U4 *)vdp_PTR_NA,                                                /* u4p_CRIT                                           */")</f>
        <v xml:space="preserve">        (const U4 *)vdp_PTR_NA,                                                /* u4p_CRIT                                           */</v>
      </c>
      <c r="AV11" s="39" t="s">
        <v>74</v>
      </c>
      <c r="AW11" s="58" t="str">
        <f ca="1">"u1_sp_ALERT_"&amp;IF(AW6&lt;&gt;AW17,$AW$17&amp;"_"&amp;$AW$6,AW17)&amp;"_DST"</f>
        <v>u1_sp_ALERT_D_SECDDC_DST</v>
      </c>
    </row>
    <row r="12" spans="1:49">
      <c r="B12" s="124"/>
      <c r="C12" s="37">
        <f t="shared" si="2"/>
        <v>6</v>
      </c>
      <c r="D12" s="51" t="s">
        <v>66</v>
      </c>
      <c r="E12" s="51" t="s">
        <v>66</v>
      </c>
      <c r="F12" s="51" t="s">
        <v>66</v>
      </c>
      <c r="G12" s="51" t="s">
        <v>66</v>
      </c>
      <c r="H12" s="51" t="s">
        <v>66</v>
      </c>
      <c r="I12" s="51" t="s">
        <v>66</v>
      </c>
      <c r="J12" s="51" t="s">
        <v>66</v>
      </c>
      <c r="K12" s="51" t="s">
        <v>66</v>
      </c>
      <c r="L12" s="51" t="s">
        <v>66</v>
      </c>
      <c r="M12" s="51" t="s">
        <v>66</v>
      </c>
      <c r="N12" s="51" t="s">
        <v>66</v>
      </c>
      <c r="O12" s="51" t="s">
        <v>66</v>
      </c>
      <c r="P12" s="51" t="s">
        <v>66</v>
      </c>
      <c r="Q12" s="51" t="s">
        <v>66</v>
      </c>
      <c r="R12" s="51" t="s">
        <v>66</v>
      </c>
      <c r="S12" s="51" t="s">
        <v>66</v>
      </c>
      <c r="T12" s="51" t="s">
        <v>66</v>
      </c>
      <c r="U12" s="51" t="s">
        <v>66</v>
      </c>
      <c r="V12" s="51" t="s">
        <v>66</v>
      </c>
      <c r="W12" s="51" t="s">
        <v>66</v>
      </c>
      <c r="X12" s="51" t="s">
        <v>66</v>
      </c>
      <c r="Y12" s="51" t="s">
        <v>66</v>
      </c>
      <c r="Z12" s="51" t="s">
        <v>66</v>
      </c>
      <c r="AA12" s="51" t="s">
        <v>66</v>
      </c>
      <c r="AB12" s="51" t="s">
        <v>66</v>
      </c>
      <c r="AC12" s="51" t="s">
        <v>66</v>
      </c>
      <c r="AD12" s="51">
        <v>0</v>
      </c>
      <c r="AE12" s="51">
        <v>0</v>
      </c>
      <c r="AF12" s="51">
        <v>0</v>
      </c>
      <c r="AG12" s="51">
        <v>1</v>
      </c>
      <c r="AH12" s="51">
        <v>1</v>
      </c>
      <c r="AI12" s="51">
        <v>0</v>
      </c>
      <c r="AJ12" s="23" t="s">
        <v>31</v>
      </c>
      <c r="AL12" t="str">
        <f t="shared" si="0"/>
        <v xml:space="preserve">    (U1)ALERT_REQ_UNKNOWN</v>
      </c>
      <c r="AR12" s="53" t="str">
        <f t="shared" si="3"/>
        <v xml:space="preserve">    (U4)0x00000006U,                                                           /* 06 UNKNOWN                                         */</v>
      </c>
      <c r="AS12" s="53" t="str">
        <f t="shared" si="4"/>
        <v xml:space="preserve">    (U4)0x0000003FU,                                                           /* 06 UNKNOWN                                         */</v>
      </c>
      <c r="AT12" s="53" t="str">
        <f t="shared" si="1"/>
        <v xml:space="preserve">    (U1)ALERT_REQ_UNKNOWN,                                                     /* 06 UNKNOWN                                         */</v>
      </c>
      <c r="AU12" s="53"/>
      <c r="AV12" s="39" t="s">
        <v>87</v>
      </c>
      <c r="AW12" s="58" t="str">
        <f ca="1">Matrix!D8&amp;"["&amp;Matrix!D7&amp;"]"</f>
        <v>st_gp_ALERT_D_SECDDC_MTRX[1]</v>
      </c>
    </row>
    <row r="13" spans="1:49">
      <c r="B13" s="124"/>
      <c r="C13" s="37">
        <f t="shared" si="2"/>
        <v>7</v>
      </c>
      <c r="D13" s="51" t="s">
        <v>66</v>
      </c>
      <c r="E13" s="51" t="s">
        <v>66</v>
      </c>
      <c r="F13" s="51" t="s">
        <v>66</v>
      </c>
      <c r="G13" s="51" t="s">
        <v>66</v>
      </c>
      <c r="H13" s="51" t="s">
        <v>66</v>
      </c>
      <c r="I13" s="51" t="s">
        <v>66</v>
      </c>
      <c r="J13" s="51" t="s">
        <v>66</v>
      </c>
      <c r="K13" s="51" t="s">
        <v>66</v>
      </c>
      <c r="L13" s="51" t="s">
        <v>66</v>
      </c>
      <c r="M13" s="51" t="s">
        <v>66</v>
      </c>
      <c r="N13" s="51" t="s">
        <v>66</v>
      </c>
      <c r="O13" s="51" t="s">
        <v>66</v>
      </c>
      <c r="P13" s="51" t="s">
        <v>66</v>
      </c>
      <c r="Q13" s="51" t="s">
        <v>66</v>
      </c>
      <c r="R13" s="51" t="s">
        <v>66</v>
      </c>
      <c r="S13" s="51" t="s">
        <v>66</v>
      </c>
      <c r="T13" s="51" t="s">
        <v>66</v>
      </c>
      <c r="U13" s="51" t="s">
        <v>66</v>
      </c>
      <c r="V13" s="51" t="s">
        <v>66</v>
      </c>
      <c r="W13" s="51" t="s">
        <v>66</v>
      </c>
      <c r="X13" s="51" t="s">
        <v>66</v>
      </c>
      <c r="Y13" s="51" t="s">
        <v>66</v>
      </c>
      <c r="Z13" s="51" t="s">
        <v>66</v>
      </c>
      <c r="AA13" s="51" t="s">
        <v>66</v>
      </c>
      <c r="AB13" s="51" t="s">
        <v>66</v>
      </c>
      <c r="AC13" s="51" t="s">
        <v>66</v>
      </c>
      <c r="AD13" s="51">
        <v>0</v>
      </c>
      <c r="AE13" s="51">
        <v>0</v>
      </c>
      <c r="AF13" s="51">
        <v>0</v>
      </c>
      <c r="AG13" s="51">
        <v>1</v>
      </c>
      <c r="AH13" s="51">
        <v>1</v>
      </c>
      <c r="AI13" s="51">
        <v>1</v>
      </c>
      <c r="AJ13" s="23" t="s">
        <v>31</v>
      </c>
      <c r="AL13" t="str">
        <f t="shared" si="0"/>
        <v xml:space="preserve">    (U1)ALERT_REQ_UNKNOWN</v>
      </c>
      <c r="AR13" s="53" t="str">
        <f t="shared" si="3"/>
        <v xml:space="preserve">    (U4)0x00000007U,                                                           /* 07 UNKNOWN                                         */</v>
      </c>
      <c r="AS13" s="53" t="str">
        <f t="shared" si="4"/>
        <v xml:space="preserve">    (U4)0x0000003FU,                                                           /* 07 UNKNOWN                                         */</v>
      </c>
      <c r="AT13" s="53" t="str">
        <f t="shared" si="1"/>
        <v xml:space="preserve">    (U1)ALERT_REQ_UNKNOWN,                                                     /* 07 UNKNOWN                                         */</v>
      </c>
      <c r="AU13" s="53" t="str">
        <f ca="1">"        &amp;"&amp;$AW$11&amp;"[0],"&amp;REPT(" ",66-LEN($AW$11))&amp;"/* u1p_DST                                            */"</f>
        <v xml:space="preserve">        &amp;u1_sp_ALERT_D_SECDDC_DST[0],                                          /* u1p_DST                                            */</v>
      </c>
      <c r="AV13" s="39" t="s">
        <v>75</v>
      </c>
      <c r="AW13" s="123">
        <f>COUNTA($AJ$6:$AJ$69)</f>
        <v>64</v>
      </c>
    </row>
    <row r="14" spans="1:49">
      <c r="B14" s="124"/>
      <c r="C14" s="37">
        <f t="shared" si="2"/>
        <v>8</v>
      </c>
      <c r="D14" s="51" t="s">
        <v>66</v>
      </c>
      <c r="E14" s="51" t="s">
        <v>66</v>
      </c>
      <c r="F14" s="51" t="s">
        <v>66</v>
      </c>
      <c r="G14" s="51" t="s">
        <v>66</v>
      </c>
      <c r="H14" s="51" t="s">
        <v>66</v>
      </c>
      <c r="I14" s="51" t="s">
        <v>66</v>
      </c>
      <c r="J14" s="51" t="s">
        <v>66</v>
      </c>
      <c r="K14" s="51" t="s">
        <v>193</v>
      </c>
      <c r="L14" s="51" t="s">
        <v>66</v>
      </c>
      <c r="M14" s="51" t="s">
        <v>66</v>
      </c>
      <c r="N14" s="51" t="s">
        <v>66</v>
      </c>
      <c r="O14" s="51" t="s">
        <v>66</v>
      </c>
      <c r="P14" s="51" t="s">
        <v>66</v>
      </c>
      <c r="Q14" s="51" t="s">
        <v>66</v>
      </c>
      <c r="R14" s="51" t="s">
        <v>66</v>
      </c>
      <c r="S14" s="51" t="s">
        <v>66</v>
      </c>
      <c r="T14" s="51" t="s">
        <v>66</v>
      </c>
      <c r="U14" s="51" t="s">
        <v>66</v>
      </c>
      <c r="V14" s="51" t="s">
        <v>66</v>
      </c>
      <c r="W14" s="51" t="s">
        <v>66</v>
      </c>
      <c r="X14" s="51" t="s">
        <v>66</v>
      </c>
      <c r="Y14" s="51" t="s">
        <v>66</v>
      </c>
      <c r="Z14" s="51" t="s">
        <v>66</v>
      </c>
      <c r="AA14" s="51" t="s">
        <v>66</v>
      </c>
      <c r="AB14" s="51" t="s">
        <v>66</v>
      </c>
      <c r="AC14" s="51" t="s">
        <v>66</v>
      </c>
      <c r="AD14" s="51">
        <v>0</v>
      </c>
      <c r="AE14" s="51">
        <v>0</v>
      </c>
      <c r="AF14" s="51">
        <v>1</v>
      </c>
      <c r="AG14" s="51">
        <v>0</v>
      </c>
      <c r="AH14" s="51">
        <v>0</v>
      </c>
      <c r="AI14" s="51">
        <v>0</v>
      </c>
      <c r="AJ14" s="23" t="s">
        <v>31</v>
      </c>
      <c r="AL14" t="str">
        <f t="shared" si="0"/>
        <v xml:space="preserve">    (U1)ALERT_REQ_UNKNOWN</v>
      </c>
      <c r="AR14" s="53" t="str">
        <f t="shared" si="3"/>
        <v xml:space="preserve">    (U4)0x00000008U,                                                           /* 08 UNKNOWN                                         */</v>
      </c>
      <c r="AS14" s="53" t="str">
        <f t="shared" si="4"/>
        <v xml:space="preserve">    (U4)0x0000003FU,                                                           /* 08 UNKNOWN                                         */</v>
      </c>
      <c r="AT14" s="53" t="str">
        <f t="shared" si="1"/>
        <v xml:space="preserve">    (U1)ALERT_REQ_UNKNOWN,                                                     /* 08 UNKNOWN                                         */</v>
      </c>
      <c r="AU14" s="53" t="str">
        <f ca="1">"        (U2)"&amp;$AW$10&amp;","&amp;REPT(" ",66-LEN($AW$10))&amp;"/* u2_num_srch                                        */"</f>
        <v xml:space="preserve">        (U2)ALERT_D_SECDDC_NUM_DST,                                            /* u2_num_srch                                        */</v>
      </c>
      <c r="AV14" s="39" t="s">
        <v>76</v>
      </c>
      <c r="AW14" s="58" t="str">
        <f ca="1">IF(AW6&lt;&gt;AW17,VLOOKUP(AW6,Matrix!$C$13:$G$37,4,FALSE),Matrix!F13)</f>
        <v>u4_s_AlertD_secddcSrcchk</v>
      </c>
    </row>
    <row r="15" spans="1:49">
      <c r="B15" s="124"/>
      <c r="C15" s="37">
        <f t="shared" si="2"/>
        <v>9</v>
      </c>
      <c r="D15" s="51" t="s">
        <v>66</v>
      </c>
      <c r="E15" s="51" t="s">
        <v>66</v>
      </c>
      <c r="F15" s="51" t="s">
        <v>66</v>
      </c>
      <c r="G15" s="51" t="s">
        <v>66</v>
      </c>
      <c r="H15" s="51" t="s">
        <v>66</v>
      </c>
      <c r="I15" s="51" t="s">
        <v>66</v>
      </c>
      <c r="J15" s="51" t="s">
        <v>66</v>
      </c>
      <c r="K15" s="51" t="s">
        <v>66</v>
      </c>
      <c r="L15" s="51" t="s">
        <v>66</v>
      </c>
      <c r="M15" s="51" t="s">
        <v>66</v>
      </c>
      <c r="N15" s="51" t="s">
        <v>66</v>
      </c>
      <c r="O15" s="51" t="s">
        <v>66</v>
      </c>
      <c r="P15" s="51" t="s">
        <v>66</v>
      </c>
      <c r="Q15" s="51" t="s">
        <v>66</v>
      </c>
      <c r="R15" s="51" t="s">
        <v>66</v>
      </c>
      <c r="S15" s="51" t="s">
        <v>66</v>
      </c>
      <c r="T15" s="51" t="s">
        <v>66</v>
      </c>
      <c r="U15" s="51" t="s">
        <v>66</v>
      </c>
      <c r="V15" s="51" t="s">
        <v>66</v>
      </c>
      <c r="W15" s="51" t="s">
        <v>66</v>
      </c>
      <c r="X15" s="51" t="s">
        <v>66</v>
      </c>
      <c r="Y15" s="51" t="s">
        <v>66</v>
      </c>
      <c r="Z15" s="51" t="s">
        <v>66</v>
      </c>
      <c r="AA15" s="51" t="s">
        <v>66</v>
      </c>
      <c r="AB15" s="51" t="s">
        <v>66</v>
      </c>
      <c r="AC15" s="51" t="s">
        <v>66</v>
      </c>
      <c r="AD15" s="51">
        <v>0</v>
      </c>
      <c r="AE15" s="51">
        <v>0</v>
      </c>
      <c r="AF15" s="51">
        <v>1</v>
      </c>
      <c r="AG15" s="51">
        <v>0</v>
      </c>
      <c r="AH15" s="51">
        <v>0</v>
      </c>
      <c r="AI15" s="51">
        <v>1</v>
      </c>
      <c r="AJ15" s="23" t="s">
        <v>31</v>
      </c>
      <c r="AL15" t="str">
        <f t="shared" si="0"/>
        <v xml:space="preserve">    (U1)ALERT_REQ_UNKNOWN</v>
      </c>
      <c r="AR15" s="53" t="str">
        <f t="shared" si="3"/>
        <v xml:space="preserve">    (U4)0x00000009U,                                                           /* 09 UNKNOWN                                         */</v>
      </c>
      <c r="AS15" s="53" t="str">
        <f t="shared" si="4"/>
        <v xml:space="preserve">    (U4)0x0000003FU,                                                           /* 09 UNKNOWN                                         */</v>
      </c>
      <c r="AT15" s="53" t="str">
        <f t="shared" si="1"/>
        <v xml:space="preserve">    (U1)ALERT_REQ_UNKNOWN,                                                     /* 09 UNKNOWN                                         */</v>
      </c>
      <c r="AU15" s="53" t="str">
        <f ca="1">"        (U1)"&amp;$AW$16&amp;REPT(" ",67-LEN($AW$16))&amp;"/* u1_vom_act                                         */"</f>
        <v xml:space="preserve">        (U1)ALERT_VOM_BAT_WT                                                   /* u1_vom_act                                         */</v>
      </c>
      <c r="AV15" s="39" t="s">
        <v>79</v>
      </c>
      <c r="AW15" s="58" t="str">
        <f ca="1">IF(AW6&lt;&gt;AW17,VLOOKUP(AW6,Matrix!$C$13:$G$37,5,FALSE),Matrix!G13)</f>
        <v>NULL</v>
      </c>
    </row>
    <row r="16" spans="1:49">
      <c r="B16" s="124"/>
      <c r="C16" s="37">
        <f t="shared" si="2"/>
        <v>10</v>
      </c>
      <c r="D16" s="51" t="s">
        <v>66</v>
      </c>
      <c r="E16" s="51" t="s">
        <v>66</v>
      </c>
      <c r="F16" s="51" t="s">
        <v>66</v>
      </c>
      <c r="G16" s="51" t="s">
        <v>66</v>
      </c>
      <c r="H16" s="51" t="s">
        <v>66</v>
      </c>
      <c r="I16" s="51" t="s">
        <v>66</v>
      </c>
      <c r="J16" s="51" t="s">
        <v>66</v>
      </c>
      <c r="K16" s="51" t="s">
        <v>66</v>
      </c>
      <c r="L16" s="51" t="s">
        <v>66</v>
      </c>
      <c r="M16" s="51" t="s">
        <v>66</v>
      </c>
      <c r="N16" s="51" t="s">
        <v>66</v>
      </c>
      <c r="O16" s="51" t="s">
        <v>66</v>
      </c>
      <c r="P16" s="51" t="s">
        <v>66</v>
      </c>
      <c r="Q16" s="51" t="s">
        <v>66</v>
      </c>
      <c r="R16" s="51" t="s">
        <v>66</v>
      </c>
      <c r="S16" s="51" t="s">
        <v>66</v>
      </c>
      <c r="T16" s="51" t="s">
        <v>66</v>
      </c>
      <c r="U16" s="51" t="s">
        <v>66</v>
      </c>
      <c r="V16" s="51" t="s">
        <v>66</v>
      </c>
      <c r="W16" s="51" t="s">
        <v>66</v>
      </c>
      <c r="X16" s="51" t="s">
        <v>66</v>
      </c>
      <c r="Y16" s="51" t="s">
        <v>66</v>
      </c>
      <c r="Z16" s="51" t="s">
        <v>66</v>
      </c>
      <c r="AA16" s="51" t="s">
        <v>66</v>
      </c>
      <c r="AB16" s="51" t="s">
        <v>66</v>
      </c>
      <c r="AC16" s="51" t="s">
        <v>66</v>
      </c>
      <c r="AD16" s="51">
        <v>0</v>
      </c>
      <c r="AE16" s="51">
        <v>0</v>
      </c>
      <c r="AF16" s="51">
        <v>1</v>
      </c>
      <c r="AG16" s="51">
        <v>0</v>
      </c>
      <c r="AH16" s="51">
        <v>1</v>
      </c>
      <c r="AI16" s="51">
        <v>0</v>
      </c>
      <c r="AJ16" s="23" t="s">
        <v>31</v>
      </c>
      <c r="AL16" t="str">
        <f t="shared" si="0"/>
        <v xml:space="preserve">    (U1)ALERT_REQ_UNKNOWN</v>
      </c>
      <c r="AR16" s="53" t="str">
        <f t="shared" si="3"/>
        <v xml:space="preserve">    (U4)0x0000000AU,                                                           /* 10 UNKNOWN                                         */</v>
      </c>
      <c r="AS16" s="53" t="str">
        <f t="shared" si="4"/>
        <v xml:space="preserve">    (U4)0x0000003FU,                                                           /* 10 UNKNOWN                                         */</v>
      </c>
      <c r="AT16" s="53" t="str">
        <f t="shared" si="1"/>
        <v xml:space="preserve">    (U1)ALERT_REQ_UNKNOWN,                                                     /* 10 UNKNOWN                                         */</v>
      </c>
      <c r="AU16" s="53" t="s">
        <v>68</v>
      </c>
      <c r="AV16" s="39" t="s">
        <v>77</v>
      </c>
      <c r="AW16" s="58" t="str">
        <f ca="1">IF(AW6&lt;&gt;AW17,VLOOKUP(AW6,Matrix!$C$13:$G$37,2,FALSE),Matrix!D13)</f>
        <v>ALERT_VOM_BAT_WT</v>
      </c>
    </row>
    <row r="17" spans="2:49" ht="14.25" thickBot="1">
      <c r="B17" s="124"/>
      <c r="C17" s="37">
        <f t="shared" si="2"/>
        <v>11</v>
      </c>
      <c r="D17" s="51" t="s">
        <v>66</v>
      </c>
      <c r="E17" s="51" t="s">
        <v>66</v>
      </c>
      <c r="F17" s="51" t="s">
        <v>66</v>
      </c>
      <c r="G17" s="51" t="s">
        <v>66</v>
      </c>
      <c r="H17" s="51" t="s">
        <v>66</v>
      </c>
      <c r="I17" s="51" t="s">
        <v>66</v>
      </c>
      <c r="J17" s="51" t="s">
        <v>66</v>
      </c>
      <c r="K17" s="51" t="s">
        <v>66</v>
      </c>
      <c r="L17" s="51" t="s">
        <v>66</v>
      </c>
      <c r="M17" s="51" t="s">
        <v>66</v>
      </c>
      <c r="N17" s="51" t="s">
        <v>66</v>
      </c>
      <c r="O17" s="51" t="s">
        <v>66</v>
      </c>
      <c r="P17" s="51" t="s">
        <v>66</v>
      </c>
      <c r="Q17" s="51" t="s">
        <v>66</v>
      </c>
      <c r="R17" s="51" t="s">
        <v>66</v>
      </c>
      <c r="S17" s="51" t="s">
        <v>66</v>
      </c>
      <c r="T17" s="51" t="s">
        <v>66</v>
      </c>
      <c r="U17" s="51" t="s">
        <v>66</v>
      </c>
      <c r="V17" s="51" t="s">
        <v>66</v>
      </c>
      <c r="W17" s="51" t="s">
        <v>66</v>
      </c>
      <c r="X17" s="51" t="s">
        <v>66</v>
      </c>
      <c r="Y17" s="51" t="s">
        <v>66</v>
      </c>
      <c r="Z17" s="51" t="s">
        <v>66</v>
      </c>
      <c r="AA17" s="51" t="s">
        <v>66</v>
      </c>
      <c r="AB17" s="51" t="s">
        <v>66</v>
      </c>
      <c r="AC17" s="51" t="s">
        <v>66</v>
      </c>
      <c r="AD17" s="51">
        <v>0</v>
      </c>
      <c r="AE17" s="51">
        <v>0</v>
      </c>
      <c r="AF17" s="51">
        <v>1</v>
      </c>
      <c r="AG17" s="51">
        <v>0</v>
      </c>
      <c r="AH17" s="51">
        <v>1</v>
      </c>
      <c r="AI17" s="51">
        <v>1</v>
      </c>
      <c r="AJ17" s="23" t="s">
        <v>31</v>
      </c>
      <c r="AL17" t="str">
        <f t="shared" si="0"/>
        <v xml:space="preserve">    (U1)ALERT_REQ_UNKNOWN</v>
      </c>
      <c r="AR17" s="53" t="str">
        <f t="shared" si="3"/>
        <v xml:space="preserve">    (U4)0x0000000BU,                                                           /* 11 UNKNOWN                                         */</v>
      </c>
      <c r="AS17" s="53" t="str">
        <f t="shared" si="4"/>
        <v xml:space="preserve">    (U4)0x0000003FU,                                                           /* 11 UNKNOWN                                         */</v>
      </c>
      <c r="AT17" s="53" t="str">
        <f t="shared" si="1"/>
        <v xml:space="preserve">    (U1)ALERT_REQ_UNKNOWN,                                                     /* 11 UNKNOWN                                         */</v>
      </c>
      <c r="AU17" s="54" t="s">
        <v>80</v>
      </c>
      <c r="AV17" s="40" t="s">
        <v>78</v>
      </c>
      <c r="AW17" s="59" t="str">
        <f ca="1">UPPER(Matrix!$D$6)</f>
        <v>D_SECDDC</v>
      </c>
    </row>
    <row r="18" spans="2:49">
      <c r="B18" s="124"/>
      <c r="C18" s="37">
        <f t="shared" si="2"/>
        <v>12</v>
      </c>
      <c r="D18" s="51" t="s">
        <v>66</v>
      </c>
      <c r="E18" s="51" t="s">
        <v>66</v>
      </c>
      <c r="F18" s="51" t="s">
        <v>66</v>
      </c>
      <c r="G18" s="51" t="s">
        <v>66</v>
      </c>
      <c r="H18" s="51" t="s">
        <v>66</v>
      </c>
      <c r="I18" s="51" t="s">
        <v>66</v>
      </c>
      <c r="J18" s="51" t="s">
        <v>66</v>
      </c>
      <c r="K18" s="51" t="s">
        <v>66</v>
      </c>
      <c r="L18" s="51" t="s">
        <v>66</v>
      </c>
      <c r="M18" s="51" t="s">
        <v>66</v>
      </c>
      <c r="N18" s="51" t="s">
        <v>66</v>
      </c>
      <c r="O18" s="51" t="s">
        <v>66</v>
      </c>
      <c r="P18" s="51" t="s">
        <v>66</v>
      </c>
      <c r="Q18" s="51" t="s">
        <v>66</v>
      </c>
      <c r="R18" s="51" t="s">
        <v>66</v>
      </c>
      <c r="S18" s="51" t="s">
        <v>66</v>
      </c>
      <c r="T18" s="51" t="s">
        <v>66</v>
      </c>
      <c r="U18" s="51" t="s">
        <v>66</v>
      </c>
      <c r="V18" s="51" t="s">
        <v>66</v>
      </c>
      <c r="W18" s="51" t="s">
        <v>66</v>
      </c>
      <c r="X18" s="51" t="s">
        <v>66</v>
      </c>
      <c r="Y18" s="51" t="s">
        <v>66</v>
      </c>
      <c r="Z18" s="51" t="s">
        <v>66</v>
      </c>
      <c r="AA18" s="51" t="s">
        <v>66</v>
      </c>
      <c r="AB18" s="51" t="s">
        <v>66</v>
      </c>
      <c r="AC18" s="51" t="s">
        <v>66</v>
      </c>
      <c r="AD18" s="51">
        <v>0</v>
      </c>
      <c r="AE18" s="51">
        <v>0</v>
      </c>
      <c r="AF18" s="51">
        <v>1</v>
      </c>
      <c r="AG18" s="51">
        <v>1</v>
      </c>
      <c r="AH18" s="51">
        <v>0</v>
      </c>
      <c r="AI18" s="51">
        <v>0</v>
      </c>
      <c r="AJ18" s="23" t="s">
        <v>31</v>
      </c>
      <c r="AL18" t="str">
        <f t="shared" si="0"/>
        <v xml:space="preserve">    (U1)ALERT_REQ_UNKNOWN</v>
      </c>
      <c r="AR18" s="53" t="str">
        <f t="shared" si="3"/>
        <v xml:space="preserve">    (U4)0x0000000CU,                                                           /* 12 UNKNOWN                                         */</v>
      </c>
      <c r="AS18" s="53" t="str">
        <f t="shared" si="4"/>
        <v xml:space="preserve">    (U4)0x0000003FU,                                                           /* 12 UNKNOWN                                         */</v>
      </c>
      <c r="AT18" s="53" t="str">
        <f t="shared" si="1"/>
        <v xml:space="preserve">    (U1)ALERT_REQ_UNKNOWN,                                                     /* 12 UNKNOWN                                         */</v>
      </c>
    </row>
    <row r="19" spans="2:49">
      <c r="B19" s="124"/>
      <c r="C19" s="37">
        <f t="shared" si="2"/>
        <v>13</v>
      </c>
      <c r="D19" s="51" t="s">
        <v>66</v>
      </c>
      <c r="E19" s="51" t="s">
        <v>66</v>
      </c>
      <c r="F19" s="51" t="s">
        <v>66</v>
      </c>
      <c r="G19" s="51" t="s">
        <v>66</v>
      </c>
      <c r="H19" s="51" t="s">
        <v>66</v>
      </c>
      <c r="I19" s="51" t="s">
        <v>66</v>
      </c>
      <c r="J19" s="51" t="s">
        <v>66</v>
      </c>
      <c r="K19" s="51" t="s">
        <v>66</v>
      </c>
      <c r="L19" s="51" t="s">
        <v>66</v>
      </c>
      <c r="M19" s="51" t="s">
        <v>66</v>
      </c>
      <c r="N19" s="51" t="s">
        <v>66</v>
      </c>
      <c r="O19" s="51" t="s">
        <v>66</v>
      </c>
      <c r="P19" s="51" t="s">
        <v>66</v>
      </c>
      <c r="Q19" s="51" t="s">
        <v>66</v>
      </c>
      <c r="R19" s="51" t="s">
        <v>66</v>
      </c>
      <c r="S19" s="51" t="s">
        <v>66</v>
      </c>
      <c r="T19" s="51" t="s">
        <v>66</v>
      </c>
      <c r="U19" s="51" t="s">
        <v>66</v>
      </c>
      <c r="V19" s="51" t="s">
        <v>66</v>
      </c>
      <c r="W19" s="51" t="s">
        <v>66</v>
      </c>
      <c r="X19" s="51" t="s">
        <v>66</v>
      </c>
      <c r="Y19" s="51" t="s">
        <v>66</v>
      </c>
      <c r="Z19" s="51" t="s">
        <v>66</v>
      </c>
      <c r="AA19" s="51" t="s">
        <v>66</v>
      </c>
      <c r="AB19" s="51" t="s">
        <v>66</v>
      </c>
      <c r="AC19" s="51" t="s">
        <v>66</v>
      </c>
      <c r="AD19" s="51">
        <v>0</v>
      </c>
      <c r="AE19" s="51">
        <v>0</v>
      </c>
      <c r="AF19" s="51">
        <v>1</v>
      </c>
      <c r="AG19" s="51">
        <v>1</v>
      </c>
      <c r="AH19" s="51">
        <v>0</v>
      </c>
      <c r="AI19" s="51">
        <v>1</v>
      </c>
      <c r="AJ19" s="23" t="s">
        <v>31</v>
      </c>
      <c r="AL19" t="str">
        <f t="shared" si="0"/>
        <v xml:space="preserve">    (U1)ALERT_REQ_UNKNOWN</v>
      </c>
      <c r="AR19" s="53" t="str">
        <f t="shared" si="3"/>
        <v xml:space="preserve">    (U4)0x0000000DU,                                                           /* 13 UNKNOWN                                         */</v>
      </c>
      <c r="AS19" s="53" t="str">
        <f t="shared" si="4"/>
        <v xml:space="preserve">    (U4)0x0000003FU,                                                           /* 13 UNKNOWN                                         */</v>
      </c>
      <c r="AT19" s="53" t="str">
        <f t="shared" si="1"/>
        <v xml:space="preserve">    (U1)ALERT_REQ_UNKNOWN,                                                     /* 13 UNKNOWN                                         */</v>
      </c>
    </row>
    <row r="20" spans="2:49">
      <c r="B20" s="124"/>
      <c r="C20" s="37">
        <f t="shared" si="2"/>
        <v>14</v>
      </c>
      <c r="D20" s="51" t="s">
        <v>66</v>
      </c>
      <c r="E20" s="51" t="s">
        <v>66</v>
      </c>
      <c r="F20" s="51" t="s">
        <v>66</v>
      </c>
      <c r="G20" s="51" t="s">
        <v>66</v>
      </c>
      <c r="H20" s="51" t="s">
        <v>66</v>
      </c>
      <c r="I20" s="51" t="s">
        <v>66</v>
      </c>
      <c r="J20" s="51" t="s">
        <v>66</v>
      </c>
      <c r="K20" s="51" t="s">
        <v>66</v>
      </c>
      <c r="L20" s="51" t="s">
        <v>66</v>
      </c>
      <c r="M20" s="51" t="s">
        <v>66</v>
      </c>
      <c r="N20" s="51" t="s">
        <v>66</v>
      </c>
      <c r="O20" s="51" t="s">
        <v>66</v>
      </c>
      <c r="P20" s="51" t="s">
        <v>66</v>
      </c>
      <c r="Q20" s="51" t="s">
        <v>66</v>
      </c>
      <c r="R20" s="51" t="s">
        <v>66</v>
      </c>
      <c r="S20" s="51" t="s">
        <v>66</v>
      </c>
      <c r="T20" s="51" t="s">
        <v>66</v>
      </c>
      <c r="U20" s="51" t="s">
        <v>66</v>
      </c>
      <c r="V20" s="51" t="s">
        <v>66</v>
      </c>
      <c r="W20" s="51" t="s">
        <v>66</v>
      </c>
      <c r="X20" s="51" t="s">
        <v>66</v>
      </c>
      <c r="Y20" s="51" t="s">
        <v>66</v>
      </c>
      <c r="Z20" s="51" t="s">
        <v>66</v>
      </c>
      <c r="AA20" s="51" t="s">
        <v>66</v>
      </c>
      <c r="AB20" s="51" t="s">
        <v>66</v>
      </c>
      <c r="AC20" s="51" t="s">
        <v>66</v>
      </c>
      <c r="AD20" s="51">
        <v>0</v>
      </c>
      <c r="AE20" s="51">
        <v>0</v>
      </c>
      <c r="AF20" s="51">
        <v>1</v>
      </c>
      <c r="AG20" s="51">
        <v>1</v>
      </c>
      <c r="AH20" s="51">
        <v>1</v>
      </c>
      <c r="AI20" s="51">
        <v>0</v>
      </c>
      <c r="AJ20" s="23" t="s">
        <v>31</v>
      </c>
      <c r="AL20" t="str">
        <f t="shared" si="0"/>
        <v xml:space="preserve">    (U1)ALERT_REQ_UNKNOWN</v>
      </c>
      <c r="AR20" s="53" t="str">
        <f t="shared" si="3"/>
        <v xml:space="preserve">    (U4)0x0000000EU,                                                           /* 14 UNKNOWN                                         */</v>
      </c>
      <c r="AS20" s="53" t="str">
        <f t="shared" si="4"/>
        <v xml:space="preserve">    (U4)0x0000003FU,                                                           /* 14 UNKNOWN                                         */</v>
      </c>
      <c r="AT20" s="53" t="str">
        <f t="shared" si="1"/>
        <v xml:space="preserve">    (U1)ALERT_REQ_UNKNOWN,                                                     /* 14 UNKNOWN                                         */</v>
      </c>
    </row>
    <row r="21" spans="2:49">
      <c r="B21" s="124"/>
      <c r="C21" s="37">
        <f t="shared" si="2"/>
        <v>15</v>
      </c>
      <c r="D21" s="51" t="s">
        <v>66</v>
      </c>
      <c r="E21" s="51" t="s">
        <v>66</v>
      </c>
      <c r="F21" s="51" t="s">
        <v>66</v>
      </c>
      <c r="G21" s="51" t="s">
        <v>66</v>
      </c>
      <c r="H21" s="51" t="s">
        <v>66</v>
      </c>
      <c r="I21" s="51" t="s">
        <v>66</v>
      </c>
      <c r="J21" s="51" t="s">
        <v>66</v>
      </c>
      <c r="K21" s="51" t="s">
        <v>66</v>
      </c>
      <c r="L21" s="51" t="s">
        <v>66</v>
      </c>
      <c r="M21" s="51" t="s">
        <v>66</v>
      </c>
      <c r="N21" s="51" t="s">
        <v>66</v>
      </c>
      <c r="O21" s="51" t="s">
        <v>66</v>
      </c>
      <c r="P21" s="51" t="s">
        <v>66</v>
      </c>
      <c r="Q21" s="51" t="s">
        <v>66</v>
      </c>
      <c r="R21" s="51" t="s">
        <v>66</v>
      </c>
      <c r="S21" s="51" t="s">
        <v>66</v>
      </c>
      <c r="T21" s="51" t="s">
        <v>66</v>
      </c>
      <c r="U21" s="51" t="s">
        <v>66</v>
      </c>
      <c r="V21" s="51" t="s">
        <v>66</v>
      </c>
      <c r="W21" s="51" t="s">
        <v>66</v>
      </c>
      <c r="X21" s="51" t="s">
        <v>66</v>
      </c>
      <c r="Y21" s="51" t="s">
        <v>66</v>
      </c>
      <c r="Z21" s="51" t="s">
        <v>66</v>
      </c>
      <c r="AA21" s="51" t="s">
        <v>66</v>
      </c>
      <c r="AB21" s="51" t="s">
        <v>66</v>
      </c>
      <c r="AC21" s="51" t="s">
        <v>66</v>
      </c>
      <c r="AD21" s="51">
        <v>0</v>
      </c>
      <c r="AE21" s="51">
        <v>0</v>
      </c>
      <c r="AF21" s="51">
        <v>1</v>
      </c>
      <c r="AG21" s="51">
        <v>1</v>
      </c>
      <c r="AH21" s="51">
        <v>1</v>
      </c>
      <c r="AI21" s="51">
        <v>1</v>
      </c>
      <c r="AJ21" s="23" t="s">
        <v>31</v>
      </c>
      <c r="AL21" t="str">
        <f t="shared" si="0"/>
        <v xml:space="preserve">    (U1)ALERT_REQ_UNKNOWN</v>
      </c>
      <c r="AR21" s="53" t="str">
        <f t="shared" si="3"/>
        <v xml:space="preserve">    (U4)0x0000000FU,                                                           /* 15 UNKNOWN                                         */</v>
      </c>
      <c r="AS21" s="53" t="str">
        <f t="shared" si="4"/>
        <v xml:space="preserve">    (U4)0x0000003FU,                                                           /* 15 UNKNOWN                                         */</v>
      </c>
      <c r="AT21" s="53" t="str">
        <f t="shared" si="1"/>
        <v xml:space="preserve">    (U1)ALERT_REQ_UNKNOWN,                                                     /* 15 UNKNOWN                                         */</v>
      </c>
    </row>
    <row r="22" spans="2:49">
      <c r="B22" s="124"/>
      <c r="C22" s="37">
        <f t="shared" si="2"/>
        <v>16</v>
      </c>
      <c r="D22" s="51" t="s">
        <v>66</v>
      </c>
      <c r="E22" s="51" t="s">
        <v>66</v>
      </c>
      <c r="F22" s="51" t="s">
        <v>66</v>
      </c>
      <c r="G22" s="51" t="s">
        <v>66</v>
      </c>
      <c r="H22" s="51" t="s">
        <v>66</v>
      </c>
      <c r="I22" s="51" t="s">
        <v>66</v>
      </c>
      <c r="J22" s="51" t="s">
        <v>66</v>
      </c>
      <c r="K22" s="51" t="s">
        <v>66</v>
      </c>
      <c r="L22" s="51" t="s">
        <v>66</v>
      </c>
      <c r="M22" s="51" t="s">
        <v>66</v>
      </c>
      <c r="N22" s="51" t="s">
        <v>66</v>
      </c>
      <c r="O22" s="51" t="s">
        <v>66</v>
      </c>
      <c r="P22" s="51" t="s">
        <v>66</v>
      </c>
      <c r="Q22" s="51" t="s">
        <v>66</v>
      </c>
      <c r="R22" s="51" t="s">
        <v>66</v>
      </c>
      <c r="S22" s="51" t="s">
        <v>66</v>
      </c>
      <c r="T22" s="51" t="s">
        <v>66</v>
      </c>
      <c r="U22" s="51" t="s">
        <v>66</v>
      </c>
      <c r="V22" s="51" t="s">
        <v>66</v>
      </c>
      <c r="W22" s="51" t="s">
        <v>66</v>
      </c>
      <c r="X22" s="51" t="s">
        <v>66</v>
      </c>
      <c r="Y22" s="51" t="s">
        <v>66</v>
      </c>
      <c r="Z22" s="51" t="s">
        <v>66</v>
      </c>
      <c r="AA22" s="51" t="s">
        <v>66</v>
      </c>
      <c r="AB22" s="51" t="s">
        <v>66</v>
      </c>
      <c r="AC22" s="51" t="s">
        <v>66</v>
      </c>
      <c r="AD22" s="51">
        <v>0</v>
      </c>
      <c r="AE22" s="51">
        <v>1</v>
      </c>
      <c r="AF22" s="51">
        <v>0</v>
      </c>
      <c r="AG22" s="51">
        <v>0</v>
      </c>
      <c r="AH22" s="51">
        <v>0</v>
      </c>
      <c r="AI22" s="51">
        <v>0</v>
      </c>
      <c r="AJ22" s="23" t="s">
        <v>31</v>
      </c>
      <c r="AL22" t="str">
        <f t="shared" si="0"/>
        <v xml:space="preserve">    (U1)ALERT_REQ_UNKNOWN</v>
      </c>
      <c r="AR22" s="53" t="str">
        <f t="shared" si="3"/>
        <v xml:space="preserve">    (U4)0x00000010U,                                                           /* 16 UNKNOWN                                         */</v>
      </c>
      <c r="AS22" s="53" t="str">
        <f t="shared" si="4"/>
        <v xml:space="preserve">    (U4)0x0000003FU,                                                           /* 16 UNKNOWN                                         */</v>
      </c>
      <c r="AT22" s="53" t="str">
        <f t="shared" si="1"/>
        <v xml:space="preserve">    (U1)ALERT_REQ_UNKNOWN,                                                     /* 16 UNKNOWN                                         */</v>
      </c>
    </row>
    <row r="23" spans="2:49">
      <c r="B23" s="124"/>
      <c r="C23" s="37">
        <f t="shared" si="2"/>
        <v>17</v>
      </c>
      <c r="D23" s="51" t="s">
        <v>66</v>
      </c>
      <c r="E23" s="51" t="s">
        <v>66</v>
      </c>
      <c r="F23" s="51" t="s">
        <v>66</v>
      </c>
      <c r="G23" s="51" t="s">
        <v>66</v>
      </c>
      <c r="H23" s="51" t="s">
        <v>66</v>
      </c>
      <c r="I23" s="51" t="s">
        <v>66</v>
      </c>
      <c r="J23" s="51" t="s">
        <v>66</v>
      </c>
      <c r="K23" s="51" t="s">
        <v>66</v>
      </c>
      <c r="L23" s="51" t="s">
        <v>66</v>
      </c>
      <c r="M23" s="51" t="s">
        <v>66</v>
      </c>
      <c r="N23" s="51" t="s">
        <v>66</v>
      </c>
      <c r="O23" s="51" t="s">
        <v>66</v>
      </c>
      <c r="P23" s="51" t="s">
        <v>66</v>
      </c>
      <c r="Q23" s="51" t="s">
        <v>66</v>
      </c>
      <c r="R23" s="51" t="s">
        <v>66</v>
      </c>
      <c r="S23" s="51" t="s">
        <v>66</v>
      </c>
      <c r="T23" s="51" t="s">
        <v>66</v>
      </c>
      <c r="U23" s="51" t="s">
        <v>66</v>
      </c>
      <c r="V23" s="51" t="s">
        <v>66</v>
      </c>
      <c r="W23" s="51" t="s">
        <v>66</v>
      </c>
      <c r="X23" s="51" t="s">
        <v>66</v>
      </c>
      <c r="Y23" s="51" t="s">
        <v>66</v>
      </c>
      <c r="Z23" s="51" t="s">
        <v>66</v>
      </c>
      <c r="AA23" s="51" t="s">
        <v>66</v>
      </c>
      <c r="AB23" s="51" t="s">
        <v>66</v>
      </c>
      <c r="AC23" s="51" t="s">
        <v>66</v>
      </c>
      <c r="AD23" s="51">
        <v>0</v>
      </c>
      <c r="AE23" s="51">
        <v>1</v>
      </c>
      <c r="AF23" s="51">
        <v>0</v>
      </c>
      <c r="AG23" s="51">
        <v>0</v>
      </c>
      <c r="AH23" s="51">
        <v>0</v>
      </c>
      <c r="AI23" s="51">
        <v>1</v>
      </c>
      <c r="AJ23" s="23" t="s">
        <v>31</v>
      </c>
      <c r="AL23" t="str">
        <f t="shared" si="0"/>
        <v xml:space="preserve">    (U1)ALERT_REQ_UNKNOWN</v>
      </c>
      <c r="AR23" s="53" t="str">
        <f t="shared" si="3"/>
        <v xml:space="preserve">    (U4)0x00000011U,                                                           /* 17 UNKNOWN                                         */</v>
      </c>
      <c r="AS23" s="53" t="str">
        <f t="shared" si="4"/>
        <v xml:space="preserve">    (U4)0x0000003FU,                                                           /* 17 UNKNOWN                                         */</v>
      </c>
      <c r="AT23" s="53" t="str">
        <f t="shared" si="1"/>
        <v xml:space="preserve">    (U1)ALERT_REQ_UNKNOWN,                                                     /* 17 UNKNOWN                                         */</v>
      </c>
    </row>
    <row r="24" spans="2:49">
      <c r="B24" s="124"/>
      <c r="C24" s="37">
        <f t="shared" si="2"/>
        <v>18</v>
      </c>
      <c r="D24" s="51" t="s">
        <v>66</v>
      </c>
      <c r="E24" s="51" t="s">
        <v>66</v>
      </c>
      <c r="F24" s="51" t="s">
        <v>66</v>
      </c>
      <c r="G24" s="51" t="s">
        <v>66</v>
      </c>
      <c r="H24" s="51" t="s">
        <v>66</v>
      </c>
      <c r="I24" s="51" t="s">
        <v>66</v>
      </c>
      <c r="J24" s="51" t="s">
        <v>66</v>
      </c>
      <c r="K24" s="51" t="s">
        <v>66</v>
      </c>
      <c r="L24" s="51" t="s">
        <v>66</v>
      </c>
      <c r="M24" s="51" t="s">
        <v>66</v>
      </c>
      <c r="N24" s="51" t="s">
        <v>66</v>
      </c>
      <c r="O24" s="51" t="s">
        <v>66</v>
      </c>
      <c r="P24" s="51" t="s">
        <v>66</v>
      </c>
      <c r="Q24" s="51" t="s">
        <v>66</v>
      </c>
      <c r="R24" s="51" t="s">
        <v>66</v>
      </c>
      <c r="S24" s="51" t="s">
        <v>66</v>
      </c>
      <c r="T24" s="51" t="s">
        <v>66</v>
      </c>
      <c r="U24" s="51" t="s">
        <v>66</v>
      </c>
      <c r="V24" s="51" t="s">
        <v>66</v>
      </c>
      <c r="W24" s="51" t="s">
        <v>66</v>
      </c>
      <c r="X24" s="51" t="s">
        <v>66</v>
      </c>
      <c r="Y24" s="51" t="s">
        <v>66</v>
      </c>
      <c r="Z24" s="51" t="s">
        <v>66</v>
      </c>
      <c r="AA24" s="51" t="s">
        <v>66</v>
      </c>
      <c r="AB24" s="51" t="s">
        <v>66</v>
      </c>
      <c r="AC24" s="51" t="s">
        <v>66</v>
      </c>
      <c r="AD24" s="51">
        <v>0</v>
      </c>
      <c r="AE24" s="51">
        <v>1</v>
      </c>
      <c r="AF24" s="51">
        <v>0</v>
      </c>
      <c r="AG24" s="51">
        <v>0</v>
      </c>
      <c r="AH24" s="51">
        <v>1</v>
      </c>
      <c r="AI24" s="51">
        <v>0</v>
      </c>
      <c r="AJ24" s="23" t="s">
        <v>31</v>
      </c>
      <c r="AL24" t="str">
        <f t="shared" si="0"/>
        <v xml:space="preserve">    (U1)ALERT_REQ_UNKNOWN</v>
      </c>
      <c r="AR24" s="53" t="str">
        <f t="shared" si="3"/>
        <v xml:space="preserve">    (U4)0x00000012U,                                                           /* 18 UNKNOWN                                         */</v>
      </c>
      <c r="AS24" s="53" t="str">
        <f t="shared" si="4"/>
        <v xml:space="preserve">    (U4)0x0000003FU,                                                           /* 18 UNKNOWN                                         */</v>
      </c>
      <c r="AT24" s="53" t="str">
        <f t="shared" si="1"/>
        <v xml:space="preserve">    (U1)ALERT_REQ_UNKNOWN,                                                     /* 18 UNKNOWN                                         */</v>
      </c>
    </row>
    <row r="25" spans="2:49">
      <c r="B25" s="124"/>
      <c r="C25" s="37">
        <f t="shared" si="2"/>
        <v>19</v>
      </c>
      <c r="D25" s="51" t="s">
        <v>66</v>
      </c>
      <c r="E25" s="51" t="s">
        <v>66</v>
      </c>
      <c r="F25" s="51" t="s">
        <v>66</v>
      </c>
      <c r="G25" s="51" t="s">
        <v>66</v>
      </c>
      <c r="H25" s="51" t="s">
        <v>66</v>
      </c>
      <c r="I25" s="51" t="s">
        <v>66</v>
      </c>
      <c r="J25" s="51" t="s">
        <v>66</v>
      </c>
      <c r="K25" s="51" t="s">
        <v>66</v>
      </c>
      <c r="L25" s="51" t="s">
        <v>66</v>
      </c>
      <c r="M25" s="51" t="s">
        <v>66</v>
      </c>
      <c r="N25" s="51" t="s">
        <v>66</v>
      </c>
      <c r="O25" s="51" t="s">
        <v>66</v>
      </c>
      <c r="P25" s="51" t="s">
        <v>66</v>
      </c>
      <c r="Q25" s="51" t="s">
        <v>66</v>
      </c>
      <c r="R25" s="51" t="s">
        <v>66</v>
      </c>
      <c r="S25" s="51" t="s">
        <v>66</v>
      </c>
      <c r="T25" s="51" t="s">
        <v>66</v>
      </c>
      <c r="U25" s="51" t="s">
        <v>66</v>
      </c>
      <c r="V25" s="51" t="s">
        <v>66</v>
      </c>
      <c r="W25" s="51" t="s">
        <v>66</v>
      </c>
      <c r="X25" s="51" t="s">
        <v>66</v>
      </c>
      <c r="Y25" s="51" t="s">
        <v>66</v>
      </c>
      <c r="Z25" s="51" t="s">
        <v>66</v>
      </c>
      <c r="AA25" s="51" t="s">
        <v>66</v>
      </c>
      <c r="AB25" s="51" t="s">
        <v>66</v>
      </c>
      <c r="AC25" s="51" t="s">
        <v>66</v>
      </c>
      <c r="AD25" s="51">
        <v>0</v>
      </c>
      <c r="AE25" s="51">
        <v>1</v>
      </c>
      <c r="AF25" s="51">
        <v>0</v>
      </c>
      <c r="AG25" s="51">
        <v>0</v>
      </c>
      <c r="AH25" s="51">
        <v>1</v>
      </c>
      <c r="AI25" s="51">
        <v>1</v>
      </c>
      <c r="AJ25" s="23" t="s">
        <v>31</v>
      </c>
      <c r="AL25" t="str">
        <f t="shared" si="0"/>
        <v xml:space="preserve">    (U1)ALERT_REQ_UNKNOWN</v>
      </c>
      <c r="AR25" s="53" t="str">
        <f t="shared" si="3"/>
        <v xml:space="preserve">    (U4)0x00000013U,                                                           /* 19 UNKNOWN                                         */</v>
      </c>
      <c r="AS25" s="53" t="str">
        <f t="shared" si="4"/>
        <v xml:space="preserve">    (U4)0x0000003FU,                                                           /* 19 UNKNOWN                                         */</v>
      </c>
      <c r="AT25" s="53" t="str">
        <f t="shared" si="1"/>
        <v xml:space="preserve">    (U1)ALERT_REQ_UNKNOWN,                                                     /* 19 UNKNOWN                                         */</v>
      </c>
    </row>
    <row r="26" spans="2:49">
      <c r="B26" s="124"/>
      <c r="C26" s="37">
        <f t="shared" si="2"/>
        <v>20</v>
      </c>
      <c r="D26" s="51" t="s">
        <v>66</v>
      </c>
      <c r="E26" s="51" t="s">
        <v>66</v>
      </c>
      <c r="F26" s="51" t="s">
        <v>66</v>
      </c>
      <c r="G26" s="51" t="s">
        <v>66</v>
      </c>
      <c r="H26" s="51" t="s">
        <v>66</v>
      </c>
      <c r="I26" s="51" t="s">
        <v>66</v>
      </c>
      <c r="J26" s="51" t="s">
        <v>66</v>
      </c>
      <c r="K26" s="51" t="s">
        <v>66</v>
      </c>
      <c r="L26" s="51" t="s">
        <v>66</v>
      </c>
      <c r="M26" s="51" t="s">
        <v>66</v>
      </c>
      <c r="N26" s="51" t="s">
        <v>66</v>
      </c>
      <c r="O26" s="51" t="s">
        <v>66</v>
      </c>
      <c r="P26" s="51" t="s">
        <v>66</v>
      </c>
      <c r="Q26" s="51" t="s">
        <v>66</v>
      </c>
      <c r="R26" s="51" t="s">
        <v>66</v>
      </c>
      <c r="S26" s="51" t="s">
        <v>66</v>
      </c>
      <c r="T26" s="51" t="s">
        <v>66</v>
      </c>
      <c r="U26" s="51" t="s">
        <v>66</v>
      </c>
      <c r="V26" s="51" t="s">
        <v>66</v>
      </c>
      <c r="W26" s="51" t="s">
        <v>66</v>
      </c>
      <c r="X26" s="51" t="s">
        <v>66</v>
      </c>
      <c r="Y26" s="51" t="s">
        <v>66</v>
      </c>
      <c r="Z26" s="51" t="s">
        <v>66</v>
      </c>
      <c r="AA26" s="51" t="s">
        <v>66</v>
      </c>
      <c r="AB26" s="51" t="s">
        <v>66</v>
      </c>
      <c r="AC26" s="51" t="s">
        <v>66</v>
      </c>
      <c r="AD26" s="51">
        <v>0</v>
      </c>
      <c r="AE26" s="51">
        <v>1</v>
      </c>
      <c r="AF26" s="51">
        <v>0</v>
      </c>
      <c r="AG26" s="51">
        <v>1</v>
      </c>
      <c r="AH26" s="51">
        <v>0</v>
      </c>
      <c r="AI26" s="51">
        <v>0</v>
      </c>
      <c r="AJ26" s="23" t="s">
        <v>31</v>
      </c>
      <c r="AL26" t="str">
        <f t="shared" si="0"/>
        <v xml:space="preserve">    (U1)ALERT_REQ_UNKNOWN</v>
      </c>
      <c r="AR26" s="53" t="str">
        <f t="shared" si="3"/>
        <v xml:space="preserve">    (U4)0x00000014U,                                                           /* 20 UNKNOWN                                         */</v>
      </c>
      <c r="AS26" s="53" t="str">
        <f t="shared" si="4"/>
        <v xml:space="preserve">    (U4)0x0000003FU,                                                           /* 20 UNKNOWN                                         */</v>
      </c>
      <c r="AT26" s="53" t="str">
        <f t="shared" si="1"/>
        <v xml:space="preserve">    (U1)ALERT_REQ_UNKNOWN,                                                     /* 20 UNKNOWN                                         */</v>
      </c>
    </row>
    <row r="27" spans="2:49">
      <c r="B27" s="124"/>
      <c r="C27" s="37">
        <f t="shared" si="2"/>
        <v>21</v>
      </c>
      <c r="D27" s="51" t="s">
        <v>66</v>
      </c>
      <c r="E27" s="51" t="s">
        <v>66</v>
      </c>
      <c r="F27" s="51" t="s">
        <v>66</v>
      </c>
      <c r="G27" s="51" t="s">
        <v>66</v>
      </c>
      <c r="H27" s="51" t="s">
        <v>66</v>
      </c>
      <c r="I27" s="51" t="s">
        <v>66</v>
      </c>
      <c r="J27" s="51" t="s">
        <v>66</v>
      </c>
      <c r="K27" s="51" t="s">
        <v>66</v>
      </c>
      <c r="L27" s="51" t="s">
        <v>66</v>
      </c>
      <c r="M27" s="51" t="s">
        <v>66</v>
      </c>
      <c r="N27" s="51" t="s">
        <v>66</v>
      </c>
      <c r="O27" s="51" t="s">
        <v>66</v>
      </c>
      <c r="P27" s="51" t="s">
        <v>66</v>
      </c>
      <c r="Q27" s="51" t="s">
        <v>66</v>
      </c>
      <c r="R27" s="51" t="s">
        <v>66</v>
      </c>
      <c r="S27" s="51" t="s">
        <v>66</v>
      </c>
      <c r="T27" s="51" t="s">
        <v>66</v>
      </c>
      <c r="U27" s="51" t="s">
        <v>66</v>
      </c>
      <c r="V27" s="51" t="s">
        <v>66</v>
      </c>
      <c r="W27" s="51" t="s">
        <v>66</v>
      </c>
      <c r="X27" s="51" t="s">
        <v>66</v>
      </c>
      <c r="Y27" s="51" t="s">
        <v>66</v>
      </c>
      <c r="Z27" s="51" t="s">
        <v>66</v>
      </c>
      <c r="AA27" s="51" t="s">
        <v>66</v>
      </c>
      <c r="AB27" s="51" t="s">
        <v>66</v>
      </c>
      <c r="AC27" s="51" t="s">
        <v>66</v>
      </c>
      <c r="AD27" s="51">
        <v>0</v>
      </c>
      <c r="AE27" s="51">
        <v>1</v>
      </c>
      <c r="AF27" s="51">
        <v>0</v>
      </c>
      <c r="AG27" s="51">
        <v>1</v>
      </c>
      <c r="AH27" s="51">
        <v>0</v>
      </c>
      <c r="AI27" s="51">
        <v>1</v>
      </c>
      <c r="AJ27" s="23" t="s">
        <v>31</v>
      </c>
      <c r="AL27" t="str">
        <f t="shared" si="0"/>
        <v xml:space="preserve">    (U1)ALERT_REQ_UNKNOWN</v>
      </c>
      <c r="AR27" s="53" t="str">
        <f t="shared" si="3"/>
        <v xml:space="preserve">    (U4)0x00000015U,                                                           /* 21 UNKNOWN                                         */</v>
      </c>
      <c r="AS27" s="53" t="str">
        <f t="shared" si="4"/>
        <v xml:space="preserve">    (U4)0x0000003FU,                                                           /* 21 UNKNOWN                                         */</v>
      </c>
      <c r="AT27" s="53" t="str">
        <f t="shared" si="1"/>
        <v xml:space="preserve">    (U1)ALERT_REQ_UNKNOWN,                                                     /* 21 UNKNOWN                                         */</v>
      </c>
    </row>
    <row r="28" spans="2:49">
      <c r="B28" s="124"/>
      <c r="C28" s="37">
        <f t="shared" si="2"/>
        <v>22</v>
      </c>
      <c r="D28" s="51" t="s">
        <v>66</v>
      </c>
      <c r="E28" s="51" t="s">
        <v>66</v>
      </c>
      <c r="F28" s="51" t="s">
        <v>66</v>
      </c>
      <c r="G28" s="51" t="s">
        <v>66</v>
      </c>
      <c r="H28" s="51" t="s">
        <v>66</v>
      </c>
      <c r="I28" s="51" t="s">
        <v>66</v>
      </c>
      <c r="J28" s="51" t="s">
        <v>66</v>
      </c>
      <c r="K28" s="51" t="s">
        <v>66</v>
      </c>
      <c r="L28" s="51" t="s">
        <v>66</v>
      </c>
      <c r="M28" s="51" t="s">
        <v>66</v>
      </c>
      <c r="N28" s="51" t="s">
        <v>66</v>
      </c>
      <c r="O28" s="51" t="s">
        <v>66</v>
      </c>
      <c r="P28" s="51" t="s">
        <v>66</v>
      </c>
      <c r="Q28" s="51" t="s">
        <v>66</v>
      </c>
      <c r="R28" s="51" t="s">
        <v>66</v>
      </c>
      <c r="S28" s="51" t="s">
        <v>66</v>
      </c>
      <c r="T28" s="51" t="s">
        <v>66</v>
      </c>
      <c r="U28" s="51" t="s">
        <v>66</v>
      </c>
      <c r="V28" s="51" t="s">
        <v>66</v>
      </c>
      <c r="W28" s="51" t="s">
        <v>66</v>
      </c>
      <c r="X28" s="51" t="s">
        <v>66</v>
      </c>
      <c r="Y28" s="51" t="s">
        <v>66</v>
      </c>
      <c r="Z28" s="51" t="s">
        <v>66</v>
      </c>
      <c r="AA28" s="51" t="s">
        <v>66</v>
      </c>
      <c r="AB28" s="51" t="s">
        <v>66</v>
      </c>
      <c r="AC28" s="51" t="s">
        <v>66</v>
      </c>
      <c r="AD28" s="51">
        <v>0</v>
      </c>
      <c r="AE28" s="51">
        <v>1</v>
      </c>
      <c r="AF28" s="51">
        <v>0</v>
      </c>
      <c r="AG28" s="51">
        <v>1</v>
      </c>
      <c r="AH28" s="51">
        <v>1</v>
      </c>
      <c r="AI28" s="51">
        <v>0</v>
      </c>
      <c r="AJ28" s="23" t="s">
        <v>31</v>
      </c>
      <c r="AL28" t="str">
        <f t="shared" si="0"/>
        <v xml:space="preserve">    (U1)ALERT_REQ_UNKNOWN</v>
      </c>
      <c r="AR28" s="53" t="str">
        <f t="shared" si="3"/>
        <v xml:space="preserve">    (U4)0x00000016U,                                                           /* 22 UNKNOWN                                         */</v>
      </c>
      <c r="AS28" s="53" t="str">
        <f t="shared" si="4"/>
        <v xml:space="preserve">    (U4)0x0000003FU,                                                           /* 22 UNKNOWN                                         */</v>
      </c>
      <c r="AT28" s="53" t="str">
        <f t="shared" si="1"/>
        <v xml:space="preserve">    (U1)ALERT_REQ_UNKNOWN,                                                     /* 22 UNKNOWN                                         */</v>
      </c>
    </row>
    <row r="29" spans="2:49">
      <c r="B29" s="124"/>
      <c r="C29" s="37">
        <f t="shared" si="2"/>
        <v>23</v>
      </c>
      <c r="D29" s="51" t="s">
        <v>66</v>
      </c>
      <c r="E29" s="51" t="s">
        <v>66</v>
      </c>
      <c r="F29" s="51" t="s">
        <v>66</v>
      </c>
      <c r="G29" s="51" t="s">
        <v>66</v>
      </c>
      <c r="H29" s="51" t="s">
        <v>66</v>
      </c>
      <c r="I29" s="51" t="s">
        <v>66</v>
      </c>
      <c r="J29" s="51" t="s">
        <v>66</v>
      </c>
      <c r="K29" s="51" t="s">
        <v>66</v>
      </c>
      <c r="L29" s="51" t="s">
        <v>66</v>
      </c>
      <c r="M29" s="51" t="s">
        <v>66</v>
      </c>
      <c r="N29" s="51" t="s">
        <v>66</v>
      </c>
      <c r="O29" s="51" t="s">
        <v>66</v>
      </c>
      <c r="P29" s="51" t="s">
        <v>66</v>
      </c>
      <c r="Q29" s="51" t="s">
        <v>66</v>
      </c>
      <c r="R29" s="51" t="s">
        <v>66</v>
      </c>
      <c r="S29" s="51" t="s">
        <v>66</v>
      </c>
      <c r="T29" s="51" t="s">
        <v>66</v>
      </c>
      <c r="U29" s="51" t="s">
        <v>66</v>
      </c>
      <c r="V29" s="51" t="s">
        <v>66</v>
      </c>
      <c r="W29" s="51" t="s">
        <v>66</v>
      </c>
      <c r="X29" s="51" t="s">
        <v>66</v>
      </c>
      <c r="Y29" s="51" t="s">
        <v>66</v>
      </c>
      <c r="Z29" s="51" t="s">
        <v>66</v>
      </c>
      <c r="AA29" s="51" t="s">
        <v>66</v>
      </c>
      <c r="AB29" s="51" t="s">
        <v>66</v>
      </c>
      <c r="AC29" s="51" t="s">
        <v>66</v>
      </c>
      <c r="AD29" s="51">
        <v>0</v>
      </c>
      <c r="AE29" s="51">
        <v>1</v>
      </c>
      <c r="AF29" s="51">
        <v>0</v>
      </c>
      <c r="AG29" s="51">
        <v>1</v>
      </c>
      <c r="AH29" s="51">
        <v>1</v>
      </c>
      <c r="AI29" s="51">
        <v>1</v>
      </c>
      <c r="AJ29" s="23" t="s">
        <v>31</v>
      </c>
      <c r="AL29" t="str">
        <f t="shared" si="0"/>
        <v xml:space="preserve">    (U1)ALERT_REQ_UNKNOWN</v>
      </c>
      <c r="AR29" s="53" t="str">
        <f t="shared" si="3"/>
        <v xml:space="preserve">    (U4)0x00000017U,                                                           /* 23 UNKNOWN                                         */</v>
      </c>
      <c r="AS29" s="53" t="str">
        <f t="shared" si="4"/>
        <v xml:space="preserve">    (U4)0x0000003FU,                                                           /* 23 UNKNOWN                                         */</v>
      </c>
      <c r="AT29" s="53" t="str">
        <f t="shared" si="1"/>
        <v xml:space="preserve">    (U1)ALERT_REQ_UNKNOWN,                                                     /* 23 UNKNOWN                                         */</v>
      </c>
    </row>
    <row r="30" spans="2:49">
      <c r="B30" s="124"/>
      <c r="C30" s="37">
        <f t="shared" si="2"/>
        <v>24</v>
      </c>
      <c r="D30" s="51" t="s">
        <v>66</v>
      </c>
      <c r="E30" s="51" t="s">
        <v>66</v>
      </c>
      <c r="F30" s="51" t="s">
        <v>66</v>
      </c>
      <c r="G30" s="51" t="s">
        <v>66</v>
      </c>
      <c r="H30" s="51" t="s">
        <v>66</v>
      </c>
      <c r="I30" s="51" t="s">
        <v>66</v>
      </c>
      <c r="J30" s="51" t="s">
        <v>66</v>
      </c>
      <c r="K30" s="51" t="s">
        <v>66</v>
      </c>
      <c r="L30" s="51" t="s">
        <v>66</v>
      </c>
      <c r="M30" s="51" t="s">
        <v>66</v>
      </c>
      <c r="N30" s="51" t="s">
        <v>66</v>
      </c>
      <c r="O30" s="51" t="s">
        <v>66</v>
      </c>
      <c r="P30" s="51" t="s">
        <v>66</v>
      </c>
      <c r="Q30" s="51" t="s">
        <v>66</v>
      </c>
      <c r="R30" s="51" t="s">
        <v>66</v>
      </c>
      <c r="S30" s="51" t="s">
        <v>66</v>
      </c>
      <c r="T30" s="51" t="s">
        <v>66</v>
      </c>
      <c r="U30" s="51" t="s">
        <v>66</v>
      </c>
      <c r="V30" s="51" t="s">
        <v>66</v>
      </c>
      <c r="W30" s="51" t="s">
        <v>66</v>
      </c>
      <c r="X30" s="51" t="s">
        <v>66</v>
      </c>
      <c r="Y30" s="51" t="s">
        <v>66</v>
      </c>
      <c r="Z30" s="51" t="s">
        <v>66</v>
      </c>
      <c r="AA30" s="51" t="s">
        <v>66</v>
      </c>
      <c r="AB30" s="51" t="s">
        <v>66</v>
      </c>
      <c r="AC30" s="51" t="s">
        <v>66</v>
      </c>
      <c r="AD30" s="51">
        <v>0</v>
      </c>
      <c r="AE30" s="51">
        <v>1</v>
      </c>
      <c r="AF30" s="51">
        <v>1</v>
      </c>
      <c r="AG30" s="51">
        <v>0</v>
      </c>
      <c r="AH30" s="51">
        <v>0</v>
      </c>
      <c r="AI30" s="51">
        <v>0</v>
      </c>
      <c r="AJ30" s="23" t="s">
        <v>31</v>
      </c>
      <c r="AL30" t="str">
        <f t="shared" si="0"/>
        <v xml:space="preserve">    (U1)ALERT_REQ_UNKNOWN</v>
      </c>
      <c r="AR30" s="53" t="str">
        <f t="shared" si="3"/>
        <v xml:space="preserve">    (U4)0x00000018U,                                                           /* 24 UNKNOWN                                         */</v>
      </c>
      <c r="AS30" s="53" t="str">
        <f t="shared" si="4"/>
        <v xml:space="preserve">    (U4)0x0000003FU,                                                           /* 24 UNKNOWN                                         */</v>
      </c>
      <c r="AT30" s="53" t="str">
        <f t="shared" si="1"/>
        <v xml:space="preserve">    (U1)ALERT_REQ_UNKNOWN,                                                     /* 24 UNKNOWN                                         */</v>
      </c>
    </row>
    <row r="31" spans="2:49">
      <c r="B31" s="124"/>
      <c r="C31" s="37">
        <f t="shared" si="2"/>
        <v>25</v>
      </c>
      <c r="D31" s="51" t="s">
        <v>66</v>
      </c>
      <c r="E31" s="51" t="s">
        <v>66</v>
      </c>
      <c r="F31" s="51" t="s">
        <v>66</v>
      </c>
      <c r="G31" s="51" t="s">
        <v>66</v>
      </c>
      <c r="H31" s="51" t="s">
        <v>66</v>
      </c>
      <c r="I31" s="51" t="s">
        <v>66</v>
      </c>
      <c r="J31" s="51" t="s">
        <v>66</v>
      </c>
      <c r="K31" s="51" t="s">
        <v>66</v>
      </c>
      <c r="L31" s="51" t="s">
        <v>66</v>
      </c>
      <c r="M31" s="51" t="s">
        <v>66</v>
      </c>
      <c r="N31" s="51" t="s">
        <v>66</v>
      </c>
      <c r="O31" s="51" t="s">
        <v>66</v>
      </c>
      <c r="P31" s="51" t="s">
        <v>66</v>
      </c>
      <c r="Q31" s="51" t="s">
        <v>66</v>
      </c>
      <c r="R31" s="51" t="s">
        <v>66</v>
      </c>
      <c r="S31" s="51" t="s">
        <v>66</v>
      </c>
      <c r="T31" s="51" t="s">
        <v>66</v>
      </c>
      <c r="U31" s="51" t="s">
        <v>66</v>
      </c>
      <c r="V31" s="51" t="s">
        <v>66</v>
      </c>
      <c r="W31" s="51" t="s">
        <v>66</v>
      </c>
      <c r="X31" s="51" t="s">
        <v>66</v>
      </c>
      <c r="Y31" s="51" t="s">
        <v>66</v>
      </c>
      <c r="Z31" s="51" t="s">
        <v>66</v>
      </c>
      <c r="AA31" s="51" t="s">
        <v>66</v>
      </c>
      <c r="AB31" s="51" t="s">
        <v>66</v>
      </c>
      <c r="AC31" s="51" t="s">
        <v>66</v>
      </c>
      <c r="AD31" s="51">
        <v>0</v>
      </c>
      <c r="AE31" s="51">
        <v>1</v>
      </c>
      <c r="AF31" s="51">
        <v>1</v>
      </c>
      <c r="AG31" s="51">
        <v>0</v>
      </c>
      <c r="AH31" s="51">
        <v>0</v>
      </c>
      <c r="AI31" s="51">
        <v>1</v>
      </c>
      <c r="AJ31" s="23" t="s">
        <v>31</v>
      </c>
      <c r="AL31" t="str">
        <f t="shared" si="0"/>
        <v xml:space="preserve">    (U1)ALERT_REQ_UNKNOWN</v>
      </c>
      <c r="AR31" s="53" t="str">
        <f t="shared" si="3"/>
        <v xml:space="preserve">    (U4)0x00000019U,                                                           /* 25 UNKNOWN                                         */</v>
      </c>
      <c r="AS31" s="53" t="str">
        <f t="shared" si="4"/>
        <v xml:space="preserve">    (U4)0x0000003FU,                                                           /* 25 UNKNOWN                                         */</v>
      </c>
      <c r="AT31" s="53" t="str">
        <f t="shared" si="1"/>
        <v xml:space="preserve">    (U1)ALERT_REQ_UNKNOWN,                                                     /* 25 UNKNOWN                                         */</v>
      </c>
    </row>
    <row r="32" spans="2:49">
      <c r="B32" s="124"/>
      <c r="C32" s="37">
        <f t="shared" si="2"/>
        <v>26</v>
      </c>
      <c r="D32" s="51" t="s">
        <v>66</v>
      </c>
      <c r="E32" s="51" t="s">
        <v>66</v>
      </c>
      <c r="F32" s="51" t="s">
        <v>66</v>
      </c>
      <c r="G32" s="51" t="s">
        <v>66</v>
      </c>
      <c r="H32" s="51" t="s">
        <v>66</v>
      </c>
      <c r="I32" s="51" t="s">
        <v>66</v>
      </c>
      <c r="J32" s="51" t="s">
        <v>66</v>
      </c>
      <c r="K32" s="51" t="s">
        <v>66</v>
      </c>
      <c r="L32" s="51" t="s">
        <v>66</v>
      </c>
      <c r="M32" s="51" t="s">
        <v>66</v>
      </c>
      <c r="N32" s="51" t="s">
        <v>66</v>
      </c>
      <c r="O32" s="51" t="s">
        <v>66</v>
      </c>
      <c r="P32" s="51" t="s">
        <v>66</v>
      </c>
      <c r="Q32" s="51" t="s">
        <v>66</v>
      </c>
      <c r="R32" s="51" t="s">
        <v>66</v>
      </c>
      <c r="S32" s="51" t="s">
        <v>66</v>
      </c>
      <c r="T32" s="51" t="s">
        <v>66</v>
      </c>
      <c r="U32" s="51" t="s">
        <v>66</v>
      </c>
      <c r="V32" s="51" t="s">
        <v>66</v>
      </c>
      <c r="W32" s="51" t="s">
        <v>66</v>
      </c>
      <c r="X32" s="51" t="s">
        <v>66</v>
      </c>
      <c r="Y32" s="51" t="s">
        <v>66</v>
      </c>
      <c r="Z32" s="51" t="s">
        <v>66</v>
      </c>
      <c r="AA32" s="51" t="s">
        <v>66</v>
      </c>
      <c r="AB32" s="51" t="s">
        <v>66</v>
      </c>
      <c r="AC32" s="51" t="s">
        <v>66</v>
      </c>
      <c r="AD32" s="51">
        <v>0</v>
      </c>
      <c r="AE32" s="51">
        <v>1</v>
      </c>
      <c r="AF32" s="51">
        <v>1</v>
      </c>
      <c r="AG32" s="51">
        <v>0</v>
      </c>
      <c r="AH32" s="51">
        <v>1</v>
      </c>
      <c r="AI32" s="51">
        <v>0</v>
      </c>
      <c r="AJ32" s="23" t="s">
        <v>31</v>
      </c>
      <c r="AL32" t="str">
        <f t="shared" si="0"/>
        <v xml:space="preserve">    (U1)ALERT_REQ_UNKNOWN</v>
      </c>
      <c r="AR32" s="53" t="str">
        <f t="shared" si="3"/>
        <v xml:space="preserve">    (U4)0x0000001AU,                                                           /* 26 UNKNOWN                                         */</v>
      </c>
      <c r="AS32" s="53" t="str">
        <f t="shared" si="4"/>
        <v xml:space="preserve">    (U4)0x0000003FU,                                                           /* 26 UNKNOWN                                         */</v>
      </c>
      <c r="AT32" s="53" t="str">
        <f t="shared" si="1"/>
        <v xml:space="preserve">    (U1)ALERT_REQ_UNKNOWN,                                                     /* 26 UNKNOWN                                         */</v>
      </c>
    </row>
    <row r="33" spans="2:46">
      <c r="B33" s="124"/>
      <c r="C33" s="37">
        <f t="shared" si="2"/>
        <v>27</v>
      </c>
      <c r="D33" s="51" t="s">
        <v>66</v>
      </c>
      <c r="E33" s="51" t="s">
        <v>66</v>
      </c>
      <c r="F33" s="51" t="s">
        <v>66</v>
      </c>
      <c r="G33" s="51" t="s">
        <v>66</v>
      </c>
      <c r="H33" s="51" t="s">
        <v>66</v>
      </c>
      <c r="I33" s="51" t="s">
        <v>66</v>
      </c>
      <c r="J33" s="51" t="s">
        <v>66</v>
      </c>
      <c r="K33" s="51" t="s">
        <v>66</v>
      </c>
      <c r="L33" s="51" t="s">
        <v>66</v>
      </c>
      <c r="M33" s="51" t="s">
        <v>66</v>
      </c>
      <c r="N33" s="51" t="s">
        <v>66</v>
      </c>
      <c r="O33" s="51" t="s">
        <v>66</v>
      </c>
      <c r="P33" s="51" t="s">
        <v>66</v>
      </c>
      <c r="Q33" s="51" t="s">
        <v>66</v>
      </c>
      <c r="R33" s="51" t="s">
        <v>66</v>
      </c>
      <c r="S33" s="51" t="s">
        <v>66</v>
      </c>
      <c r="T33" s="51" t="s">
        <v>66</v>
      </c>
      <c r="U33" s="51" t="s">
        <v>66</v>
      </c>
      <c r="V33" s="51" t="s">
        <v>66</v>
      </c>
      <c r="W33" s="51" t="s">
        <v>66</v>
      </c>
      <c r="X33" s="51" t="s">
        <v>66</v>
      </c>
      <c r="Y33" s="51" t="s">
        <v>66</v>
      </c>
      <c r="Z33" s="51" t="s">
        <v>66</v>
      </c>
      <c r="AA33" s="51" t="s">
        <v>66</v>
      </c>
      <c r="AB33" s="51" t="s">
        <v>66</v>
      </c>
      <c r="AC33" s="51" t="s">
        <v>66</v>
      </c>
      <c r="AD33" s="51">
        <v>0</v>
      </c>
      <c r="AE33" s="51">
        <v>1</v>
      </c>
      <c r="AF33" s="51">
        <v>1</v>
      </c>
      <c r="AG33" s="51">
        <v>0</v>
      </c>
      <c r="AH33" s="51">
        <v>1</v>
      </c>
      <c r="AI33" s="51">
        <v>1</v>
      </c>
      <c r="AJ33" s="23" t="s">
        <v>31</v>
      </c>
      <c r="AL33" t="str">
        <f t="shared" si="0"/>
        <v xml:space="preserve">    (U1)ALERT_REQ_UNKNOWN</v>
      </c>
      <c r="AR33" s="53" t="str">
        <f t="shared" si="3"/>
        <v xml:space="preserve">    (U4)0x0000001BU,                                                           /* 27 UNKNOWN                                         */</v>
      </c>
      <c r="AS33" s="53" t="str">
        <f t="shared" si="4"/>
        <v xml:space="preserve">    (U4)0x0000003FU,                                                           /* 27 UNKNOWN                                         */</v>
      </c>
      <c r="AT33" s="53" t="str">
        <f t="shared" si="1"/>
        <v xml:space="preserve">    (U1)ALERT_REQ_UNKNOWN,                                                     /* 27 UNKNOWN                                         */</v>
      </c>
    </row>
    <row r="34" spans="2:46">
      <c r="B34" s="124"/>
      <c r="C34" s="37">
        <f t="shared" si="2"/>
        <v>28</v>
      </c>
      <c r="D34" s="51" t="s">
        <v>66</v>
      </c>
      <c r="E34" s="51" t="s">
        <v>66</v>
      </c>
      <c r="F34" s="51" t="s">
        <v>66</v>
      </c>
      <c r="G34" s="51" t="s">
        <v>66</v>
      </c>
      <c r="H34" s="51" t="s">
        <v>66</v>
      </c>
      <c r="I34" s="51" t="s">
        <v>66</v>
      </c>
      <c r="J34" s="51" t="s">
        <v>66</v>
      </c>
      <c r="K34" s="51" t="s">
        <v>66</v>
      </c>
      <c r="L34" s="51" t="s">
        <v>66</v>
      </c>
      <c r="M34" s="51" t="s">
        <v>66</v>
      </c>
      <c r="N34" s="51" t="s">
        <v>66</v>
      </c>
      <c r="O34" s="51" t="s">
        <v>66</v>
      </c>
      <c r="P34" s="51" t="s">
        <v>66</v>
      </c>
      <c r="Q34" s="51" t="s">
        <v>66</v>
      </c>
      <c r="R34" s="51" t="s">
        <v>66</v>
      </c>
      <c r="S34" s="51" t="s">
        <v>66</v>
      </c>
      <c r="T34" s="51" t="s">
        <v>66</v>
      </c>
      <c r="U34" s="51" t="s">
        <v>66</v>
      </c>
      <c r="V34" s="51" t="s">
        <v>66</v>
      </c>
      <c r="W34" s="51" t="s">
        <v>66</v>
      </c>
      <c r="X34" s="51" t="s">
        <v>66</v>
      </c>
      <c r="Y34" s="51" t="s">
        <v>66</v>
      </c>
      <c r="Z34" s="51" t="s">
        <v>66</v>
      </c>
      <c r="AA34" s="51" t="s">
        <v>66</v>
      </c>
      <c r="AB34" s="51" t="s">
        <v>66</v>
      </c>
      <c r="AC34" s="51" t="s">
        <v>66</v>
      </c>
      <c r="AD34" s="51">
        <v>0</v>
      </c>
      <c r="AE34" s="51">
        <v>1</v>
      </c>
      <c r="AF34" s="51">
        <v>1</v>
      </c>
      <c r="AG34" s="51">
        <v>1</v>
      </c>
      <c r="AH34" s="51">
        <v>0</v>
      </c>
      <c r="AI34" s="51">
        <v>0</v>
      </c>
      <c r="AJ34" s="23" t="s">
        <v>31</v>
      </c>
      <c r="AL34" t="str">
        <f t="shared" si="0"/>
        <v xml:space="preserve">    (U1)ALERT_REQ_UNKNOWN</v>
      </c>
      <c r="AR34" s="53" t="str">
        <f t="shared" si="3"/>
        <v xml:space="preserve">    (U4)0x0000001CU,                                                           /* 28 UNKNOWN                                         */</v>
      </c>
      <c r="AS34" s="53" t="str">
        <f t="shared" si="4"/>
        <v xml:space="preserve">    (U4)0x0000003FU,                                                           /* 28 UNKNOWN                                         */</v>
      </c>
      <c r="AT34" s="53" t="str">
        <f t="shared" si="1"/>
        <v xml:space="preserve">    (U1)ALERT_REQ_UNKNOWN,                                                     /* 28 UNKNOWN                                         */</v>
      </c>
    </row>
    <row r="35" spans="2:46">
      <c r="B35" s="124"/>
      <c r="C35" s="37">
        <f t="shared" si="2"/>
        <v>29</v>
      </c>
      <c r="D35" s="51" t="s">
        <v>66</v>
      </c>
      <c r="E35" s="51" t="s">
        <v>66</v>
      </c>
      <c r="F35" s="51" t="s">
        <v>66</v>
      </c>
      <c r="G35" s="51" t="s">
        <v>66</v>
      </c>
      <c r="H35" s="51" t="s">
        <v>66</v>
      </c>
      <c r="I35" s="51" t="s">
        <v>66</v>
      </c>
      <c r="J35" s="51" t="s">
        <v>66</v>
      </c>
      <c r="K35" s="51" t="s">
        <v>66</v>
      </c>
      <c r="L35" s="51" t="s">
        <v>66</v>
      </c>
      <c r="M35" s="51" t="s">
        <v>66</v>
      </c>
      <c r="N35" s="51" t="s">
        <v>66</v>
      </c>
      <c r="O35" s="51" t="s">
        <v>66</v>
      </c>
      <c r="P35" s="51" t="s">
        <v>66</v>
      </c>
      <c r="Q35" s="51" t="s">
        <v>66</v>
      </c>
      <c r="R35" s="51" t="s">
        <v>66</v>
      </c>
      <c r="S35" s="51" t="s">
        <v>66</v>
      </c>
      <c r="T35" s="51" t="s">
        <v>66</v>
      </c>
      <c r="U35" s="51" t="s">
        <v>66</v>
      </c>
      <c r="V35" s="51" t="s">
        <v>66</v>
      </c>
      <c r="W35" s="51" t="s">
        <v>66</v>
      </c>
      <c r="X35" s="51" t="s">
        <v>66</v>
      </c>
      <c r="Y35" s="51" t="s">
        <v>66</v>
      </c>
      <c r="Z35" s="51" t="s">
        <v>66</v>
      </c>
      <c r="AA35" s="51" t="s">
        <v>66</v>
      </c>
      <c r="AB35" s="51" t="s">
        <v>66</v>
      </c>
      <c r="AC35" s="51" t="s">
        <v>66</v>
      </c>
      <c r="AD35" s="51">
        <v>0</v>
      </c>
      <c r="AE35" s="51">
        <v>1</v>
      </c>
      <c r="AF35" s="51">
        <v>1</v>
      </c>
      <c r="AG35" s="51">
        <v>1</v>
      </c>
      <c r="AH35" s="51">
        <v>0</v>
      </c>
      <c r="AI35" s="51">
        <v>1</v>
      </c>
      <c r="AJ35" s="23" t="s">
        <v>31</v>
      </c>
      <c r="AL35" t="str">
        <f t="shared" si="0"/>
        <v xml:space="preserve">    (U1)ALERT_REQ_UNKNOWN</v>
      </c>
      <c r="AR35" s="53" t="str">
        <f t="shared" si="3"/>
        <v xml:space="preserve">    (U4)0x0000001DU,                                                           /* 29 UNKNOWN                                         */</v>
      </c>
      <c r="AS35" s="53" t="str">
        <f t="shared" si="4"/>
        <v xml:space="preserve">    (U4)0x0000003FU,                                                           /* 29 UNKNOWN                                         */</v>
      </c>
      <c r="AT35" s="53" t="str">
        <f t="shared" si="1"/>
        <v xml:space="preserve">    (U1)ALERT_REQ_UNKNOWN,                                                     /* 29 UNKNOWN                                         */</v>
      </c>
    </row>
    <row r="36" spans="2:46">
      <c r="B36" s="124"/>
      <c r="C36" s="37">
        <f t="shared" si="2"/>
        <v>30</v>
      </c>
      <c r="D36" s="51" t="s">
        <v>66</v>
      </c>
      <c r="E36" s="51" t="s">
        <v>66</v>
      </c>
      <c r="F36" s="51" t="s">
        <v>66</v>
      </c>
      <c r="G36" s="51" t="s">
        <v>66</v>
      </c>
      <c r="H36" s="51" t="s">
        <v>66</v>
      </c>
      <c r="I36" s="51" t="s">
        <v>66</v>
      </c>
      <c r="J36" s="51" t="s">
        <v>66</v>
      </c>
      <c r="K36" s="51" t="s">
        <v>66</v>
      </c>
      <c r="L36" s="51" t="s">
        <v>66</v>
      </c>
      <c r="M36" s="51" t="s">
        <v>66</v>
      </c>
      <c r="N36" s="51" t="s">
        <v>66</v>
      </c>
      <c r="O36" s="51" t="s">
        <v>66</v>
      </c>
      <c r="P36" s="51" t="s">
        <v>66</v>
      </c>
      <c r="Q36" s="51" t="s">
        <v>66</v>
      </c>
      <c r="R36" s="51" t="s">
        <v>66</v>
      </c>
      <c r="S36" s="51" t="s">
        <v>66</v>
      </c>
      <c r="T36" s="51" t="s">
        <v>66</v>
      </c>
      <c r="U36" s="51" t="s">
        <v>66</v>
      </c>
      <c r="V36" s="51" t="s">
        <v>66</v>
      </c>
      <c r="W36" s="51" t="s">
        <v>66</v>
      </c>
      <c r="X36" s="51" t="s">
        <v>66</v>
      </c>
      <c r="Y36" s="51" t="s">
        <v>66</v>
      </c>
      <c r="Z36" s="51" t="s">
        <v>66</v>
      </c>
      <c r="AA36" s="51" t="s">
        <v>66</v>
      </c>
      <c r="AB36" s="51" t="s">
        <v>66</v>
      </c>
      <c r="AC36" s="51" t="s">
        <v>66</v>
      </c>
      <c r="AD36" s="51">
        <v>0</v>
      </c>
      <c r="AE36" s="51">
        <v>1</v>
      </c>
      <c r="AF36" s="51">
        <v>1</v>
      </c>
      <c r="AG36" s="51">
        <v>1</v>
      </c>
      <c r="AH36" s="51">
        <v>1</v>
      </c>
      <c r="AI36" s="51">
        <v>0</v>
      </c>
      <c r="AJ36" s="23" t="s">
        <v>31</v>
      </c>
      <c r="AL36" t="str">
        <f t="shared" si="0"/>
        <v xml:space="preserve">    (U1)ALERT_REQ_UNKNOWN</v>
      </c>
      <c r="AR36" s="53" t="str">
        <f t="shared" si="3"/>
        <v xml:space="preserve">    (U4)0x0000001EU,                                                           /* 30 UNKNOWN                                         */</v>
      </c>
      <c r="AS36" s="53" t="str">
        <f t="shared" si="4"/>
        <v xml:space="preserve">    (U4)0x0000003FU,                                                           /* 30 UNKNOWN                                         */</v>
      </c>
      <c r="AT36" s="53" t="str">
        <f t="shared" si="1"/>
        <v xml:space="preserve">    (U1)ALERT_REQ_UNKNOWN,                                                     /* 30 UNKNOWN                                         */</v>
      </c>
    </row>
    <row r="37" spans="2:46">
      <c r="B37" s="124"/>
      <c r="C37" s="37">
        <f t="shared" si="2"/>
        <v>31</v>
      </c>
      <c r="D37" s="51" t="s">
        <v>66</v>
      </c>
      <c r="E37" s="51" t="s">
        <v>66</v>
      </c>
      <c r="F37" s="51" t="s">
        <v>66</v>
      </c>
      <c r="G37" s="51" t="s">
        <v>66</v>
      </c>
      <c r="H37" s="51" t="s">
        <v>66</v>
      </c>
      <c r="I37" s="51" t="s">
        <v>66</v>
      </c>
      <c r="J37" s="51" t="s">
        <v>66</v>
      </c>
      <c r="K37" s="51" t="s">
        <v>66</v>
      </c>
      <c r="L37" s="51" t="s">
        <v>66</v>
      </c>
      <c r="M37" s="51" t="s">
        <v>66</v>
      </c>
      <c r="N37" s="51" t="s">
        <v>66</v>
      </c>
      <c r="O37" s="51" t="s">
        <v>66</v>
      </c>
      <c r="P37" s="51" t="s">
        <v>66</v>
      </c>
      <c r="Q37" s="51" t="s">
        <v>66</v>
      </c>
      <c r="R37" s="51" t="s">
        <v>66</v>
      </c>
      <c r="S37" s="51" t="s">
        <v>66</v>
      </c>
      <c r="T37" s="51" t="s">
        <v>66</v>
      </c>
      <c r="U37" s="51" t="s">
        <v>66</v>
      </c>
      <c r="V37" s="51" t="s">
        <v>66</v>
      </c>
      <c r="W37" s="51" t="s">
        <v>66</v>
      </c>
      <c r="X37" s="51" t="s">
        <v>66</v>
      </c>
      <c r="Y37" s="51" t="s">
        <v>66</v>
      </c>
      <c r="Z37" s="51" t="s">
        <v>66</v>
      </c>
      <c r="AA37" s="51" t="s">
        <v>66</v>
      </c>
      <c r="AB37" s="51" t="s">
        <v>66</v>
      </c>
      <c r="AC37" s="51" t="s">
        <v>66</v>
      </c>
      <c r="AD37" s="51">
        <v>0</v>
      </c>
      <c r="AE37" s="51">
        <v>1</v>
      </c>
      <c r="AF37" s="51">
        <v>1</v>
      </c>
      <c r="AG37" s="51">
        <v>1</v>
      </c>
      <c r="AH37" s="51">
        <v>1</v>
      </c>
      <c r="AI37" s="51">
        <v>1</v>
      </c>
      <c r="AJ37" s="23" t="s">
        <v>31</v>
      </c>
      <c r="AL37" t="str">
        <f t="shared" si="0"/>
        <v xml:space="preserve">    (U1)ALERT_REQ_UNKNOWN</v>
      </c>
      <c r="AR37" s="53" t="str">
        <f t="shared" si="3"/>
        <v xml:space="preserve">    (U4)0x0000001FU,                                                           /* 31 UNKNOWN                                         */</v>
      </c>
      <c r="AS37" s="53" t="str">
        <f t="shared" si="4"/>
        <v xml:space="preserve">    (U4)0x0000003FU,                                                           /* 31 UNKNOWN                                         */</v>
      </c>
      <c r="AT37" s="53" t="str">
        <f t="shared" si="1"/>
        <v xml:space="preserve">    (U1)ALERT_REQ_UNKNOWN,                                                     /* 31 UNKNOWN                                         */</v>
      </c>
    </row>
    <row r="38" spans="2:46">
      <c r="B38" s="124"/>
      <c r="C38" s="37">
        <f t="shared" si="2"/>
        <v>32</v>
      </c>
      <c r="D38" s="51" t="s">
        <v>66</v>
      </c>
      <c r="E38" s="51" t="s">
        <v>66</v>
      </c>
      <c r="F38" s="51" t="s">
        <v>66</v>
      </c>
      <c r="G38" s="51" t="s">
        <v>66</v>
      </c>
      <c r="H38" s="51" t="s">
        <v>66</v>
      </c>
      <c r="I38" s="51" t="s">
        <v>66</v>
      </c>
      <c r="J38" s="51" t="s">
        <v>66</v>
      </c>
      <c r="K38" s="51" t="s">
        <v>66</v>
      </c>
      <c r="L38" s="51" t="s">
        <v>66</v>
      </c>
      <c r="M38" s="51" t="s">
        <v>66</v>
      </c>
      <c r="N38" s="51" t="s">
        <v>66</v>
      </c>
      <c r="O38" s="51" t="s">
        <v>66</v>
      </c>
      <c r="P38" s="51" t="s">
        <v>66</v>
      </c>
      <c r="Q38" s="51" t="s">
        <v>66</v>
      </c>
      <c r="R38" s="51" t="s">
        <v>66</v>
      </c>
      <c r="S38" s="51" t="s">
        <v>66</v>
      </c>
      <c r="T38" s="51" t="s">
        <v>66</v>
      </c>
      <c r="U38" s="51" t="s">
        <v>66</v>
      </c>
      <c r="V38" s="51" t="s">
        <v>66</v>
      </c>
      <c r="W38" s="51" t="s">
        <v>66</v>
      </c>
      <c r="X38" s="51" t="s">
        <v>66</v>
      </c>
      <c r="Y38" s="51" t="s">
        <v>66</v>
      </c>
      <c r="Z38" s="51" t="s">
        <v>66</v>
      </c>
      <c r="AA38" s="51" t="s">
        <v>66</v>
      </c>
      <c r="AB38" s="51" t="s">
        <v>66</v>
      </c>
      <c r="AC38" s="51" t="s">
        <v>66</v>
      </c>
      <c r="AD38" s="51">
        <v>1</v>
      </c>
      <c r="AE38" s="51">
        <v>0</v>
      </c>
      <c r="AF38" s="51">
        <v>0</v>
      </c>
      <c r="AG38" s="51">
        <v>0</v>
      </c>
      <c r="AH38" s="51">
        <v>0</v>
      </c>
      <c r="AI38" s="51">
        <v>0</v>
      </c>
      <c r="AJ38" s="23" t="s">
        <v>31</v>
      </c>
      <c r="AL38" t="str">
        <f t="shared" si="0"/>
        <v xml:space="preserve">    (U1)ALERT_REQ_UNKNOWN</v>
      </c>
      <c r="AR38" s="53" t="str">
        <f t="shared" si="3"/>
        <v xml:space="preserve">    (U4)0x00000020U,                                                           /* 32 UNKNOWN                                         */</v>
      </c>
      <c r="AS38" s="53" t="str">
        <f t="shared" si="4"/>
        <v xml:space="preserve">    (U4)0x0000003FU,                                                           /* 32 UNKNOWN                                         */</v>
      </c>
      <c r="AT38" s="53" t="str">
        <f t="shared" si="1"/>
        <v xml:space="preserve">    (U1)ALERT_REQ_UNKNOWN,                                                     /* 32 UNKNOWN                                         */</v>
      </c>
    </row>
    <row r="39" spans="2:46">
      <c r="B39" s="124"/>
      <c r="C39" s="37">
        <f t="shared" si="2"/>
        <v>33</v>
      </c>
      <c r="D39" s="51" t="s">
        <v>66</v>
      </c>
      <c r="E39" s="51" t="s">
        <v>66</v>
      </c>
      <c r="F39" s="51" t="s">
        <v>66</v>
      </c>
      <c r="G39" s="51" t="s">
        <v>66</v>
      </c>
      <c r="H39" s="51" t="s">
        <v>66</v>
      </c>
      <c r="I39" s="51" t="s">
        <v>66</v>
      </c>
      <c r="J39" s="51" t="s">
        <v>66</v>
      </c>
      <c r="K39" s="51" t="s">
        <v>66</v>
      </c>
      <c r="L39" s="51" t="s">
        <v>66</v>
      </c>
      <c r="M39" s="51" t="s">
        <v>66</v>
      </c>
      <c r="N39" s="51" t="s">
        <v>66</v>
      </c>
      <c r="O39" s="51" t="s">
        <v>66</v>
      </c>
      <c r="P39" s="51" t="s">
        <v>66</v>
      </c>
      <c r="Q39" s="51" t="s">
        <v>66</v>
      </c>
      <c r="R39" s="51" t="s">
        <v>66</v>
      </c>
      <c r="S39" s="51" t="s">
        <v>66</v>
      </c>
      <c r="T39" s="51" t="s">
        <v>66</v>
      </c>
      <c r="U39" s="51" t="s">
        <v>66</v>
      </c>
      <c r="V39" s="51" t="s">
        <v>66</v>
      </c>
      <c r="W39" s="51" t="s">
        <v>66</v>
      </c>
      <c r="X39" s="51" t="s">
        <v>66</v>
      </c>
      <c r="Y39" s="51" t="s">
        <v>66</v>
      </c>
      <c r="Z39" s="51" t="s">
        <v>66</v>
      </c>
      <c r="AA39" s="51" t="s">
        <v>66</v>
      </c>
      <c r="AB39" s="51" t="s">
        <v>66</v>
      </c>
      <c r="AC39" s="51" t="s">
        <v>66</v>
      </c>
      <c r="AD39" s="51">
        <v>1</v>
      </c>
      <c r="AE39" s="51">
        <v>0</v>
      </c>
      <c r="AF39" s="51">
        <v>0</v>
      </c>
      <c r="AG39" s="51">
        <v>0</v>
      </c>
      <c r="AH39" s="51">
        <v>0</v>
      </c>
      <c r="AI39" s="51">
        <v>1</v>
      </c>
      <c r="AJ39" s="23" t="s">
        <v>240</v>
      </c>
      <c r="AL39" t="str">
        <f t="shared" ca="1" si="0"/>
        <v xml:space="preserve">    (U1)ALERT_REQ_D_SECDDC_UNREGISTERED</v>
      </c>
      <c r="AR39" s="53" t="str">
        <f t="shared" si="3"/>
        <v xml:space="preserve">    (U4)0x00000021U,                                                           /* 33 UNREGISTERED                                    */</v>
      </c>
      <c r="AS39" s="53" t="str">
        <f t="shared" si="4"/>
        <v xml:space="preserve">    (U4)0x0000003FU,                                                           /* 33 UNREGISTERED                                    */</v>
      </c>
      <c r="AT39" s="53" t="str">
        <f t="shared" ca="1" si="1"/>
        <v xml:space="preserve">    (U1)ALERT_REQ_D_SECDDC_UNREGISTERED,                                       /* 33 UNREGISTERED                                    */</v>
      </c>
    </row>
    <row r="40" spans="2:46">
      <c r="B40" s="124"/>
      <c r="C40" s="37">
        <f t="shared" si="2"/>
        <v>34</v>
      </c>
      <c r="D40" s="51" t="s">
        <v>66</v>
      </c>
      <c r="E40" s="51" t="s">
        <v>66</v>
      </c>
      <c r="F40" s="51" t="s">
        <v>66</v>
      </c>
      <c r="G40" s="51" t="s">
        <v>66</v>
      </c>
      <c r="H40" s="51" t="s">
        <v>66</v>
      </c>
      <c r="I40" s="51" t="s">
        <v>66</v>
      </c>
      <c r="J40" s="51" t="s">
        <v>66</v>
      </c>
      <c r="K40" s="51" t="s">
        <v>66</v>
      </c>
      <c r="L40" s="51" t="s">
        <v>66</v>
      </c>
      <c r="M40" s="51" t="s">
        <v>66</v>
      </c>
      <c r="N40" s="51" t="s">
        <v>66</v>
      </c>
      <c r="O40" s="51" t="s">
        <v>66</v>
      </c>
      <c r="P40" s="51" t="s">
        <v>66</v>
      </c>
      <c r="Q40" s="51" t="s">
        <v>66</v>
      </c>
      <c r="R40" s="51" t="s">
        <v>66</v>
      </c>
      <c r="S40" s="51" t="s">
        <v>66</v>
      </c>
      <c r="T40" s="51" t="s">
        <v>66</v>
      </c>
      <c r="U40" s="51" t="s">
        <v>66</v>
      </c>
      <c r="V40" s="51" t="s">
        <v>66</v>
      </c>
      <c r="W40" s="51" t="s">
        <v>66</v>
      </c>
      <c r="X40" s="51" t="s">
        <v>66</v>
      </c>
      <c r="Y40" s="51" t="s">
        <v>66</v>
      </c>
      <c r="Z40" s="51" t="s">
        <v>66</v>
      </c>
      <c r="AA40" s="51" t="s">
        <v>66</v>
      </c>
      <c r="AB40" s="51" t="s">
        <v>66</v>
      </c>
      <c r="AC40" s="51" t="s">
        <v>66</v>
      </c>
      <c r="AD40" s="51">
        <v>1</v>
      </c>
      <c r="AE40" s="51">
        <v>0</v>
      </c>
      <c r="AF40" s="51">
        <v>0</v>
      </c>
      <c r="AG40" s="51">
        <v>0</v>
      </c>
      <c r="AH40" s="51">
        <v>1</v>
      </c>
      <c r="AI40" s="51">
        <v>0</v>
      </c>
      <c r="AJ40" s="23" t="s">
        <v>31</v>
      </c>
      <c r="AL40" t="str">
        <f t="shared" si="0"/>
        <v xml:space="preserve">    (U1)ALERT_REQ_UNKNOWN</v>
      </c>
      <c r="AR40" s="53" t="str">
        <f t="shared" si="3"/>
        <v xml:space="preserve">    (U4)0x00000022U,                                                           /* 34 UNKNOWN                                         */</v>
      </c>
      <c r="AS40" s="53" t="str">
        <f t="shared" si="4"/>
        <v xml:space="preserve">    (U4)0x0000003FU,                                                           /* 34 UNKNOWN                                         */</v>
      </c>
      <c r="AT40" s="53" t="str">
        <f t="shared" si="1"/>
        <v xml:space="preserve">    (U1)ALERT_REQ_UNKNOWN,                                                     /* 34 UNKNOWN                                         */</v>
      </c>
    </row>
    <row r="41" spans="2:46">
      <c r="B41" s="124"/>
      <c r="C41" s="37">
        <f t="shared" si="2"/>
        <v>35</v>
      </c>
      <c r="D41" s="51" t="s">
        <v>66</v>
      </c>
      <c r="E41" s="51" t="s">
        <v>66</v>
      </c>
      <c r="F41" s="51" t="s">
        <v>66</v>
      </c>
      <c r="G41" s="51" t="s">
        <v>66</v>
      </c>
      <c r="H41" s="51" t="s">
        <v>66</v>
      </c>
      <c r="I41" s="51" t="s">
        <v>66</v>
      </c>
      <c r="J41" s="51" t="s">
        <v>66</v>
      </c>
      <c r="K41" s="51" t="s">
        <v>66</v>
      </c>
      <c r="L41" s="51" t="s">
        <v>66</v>
      </c>
      <c r="M41" s="51" t="s">
        <v>66</v>
      </c>
      <c r="N41" s="51" t="s">
        <v>66</v>
      </c>
      <c r="O41" s="51" t="s">
        <v>66</v>
      </c>
      <c r="P41" s="51" t="s">
        <v>66</v>
      </c>
      <c r="Q41" s="51" t="s">
        <v>66</v>
      </c>
      <c r="R41" s="51" t="s">
        <v>66</v>
      </c>
      <c r="S41" s="51" t="s">
        <v>66</v>
      </c>
      <c r="T41" s="51" t="s">
        <v>66</v>
      </c>
      <c r="U41" s="51" t="s">
        <v>66</v>
      </c>
      <c r="V41" s="51" t="s">
        <v>66</v>
      </c>
      <c r="W41" s="51" t="s">
        <v>66</v>
      </c>
      <c r="X41" s="51" t="s">
        <v>66</v>
      </c>
      <c r="Y41" s="51" t="s">
        <v>66</v>
      </c>
      <c r="Z41" s="51" t="s">
        <v>66</v>
      </c>
      <c r="AA41" s="51" t="s">
        <v>66</v>
      </c>
      <c r="AB41" s="51" t="s">
        <v>66</v>
      </c>
      <c r="AC41" s="51" t="s">
        <v>66</v>
      </c>
      <c r="AD41" s="51">
        <v>1</v>
      </c>
      <c r="AE41" s="51">
        <v>0</v>
      </c>
      <c r="AF41" s="51">
        <v>0</v>
      </c>
      <c r="AG41" s="51">
        <v>0</v>
      </c>
      <c r="AH41" s="51">
        <v>1</v>
      </c>
      <c r="AI41" s="51">
        <v>1</v>
      </c>
      <c r="AJ41" s="23" t="s">
        <v>240</v>
      </c>
      <c r="AL41" t="str">
        <f t="shared" ca="1" si="0"/>
        <v xml:space="preserve">    (U1)ALERT_REQ_D_SECDDC_UNREGISTERED</v>
      </c>
      <c r="AR41" s="53" t="str">
        <f t="shared" si="3"/>
        <v xml:space="preserve">    (U4)0x00000023U,                                                           /* 35 UNREGISTERED                                    */</v>
      </c>
      <c r="AS41" s="53" t="str">
        <f t="shared" si="4"/>
        <v xml:space="preserve">    (U4)0x0000003FU,                                                           /* 35 UNREGISTERED                                    */</v>
      </c>
      <c r="AT41" s="53" t="str">
        <f t="shared" ca="1" si="1"/>
        <v xml:space="preserve">    (U1)ALERT_REQ_D_SECDDC_UNREGISTERED,                                       /* 35 UNREGISTERED                                    */</v>
      </c>
    </row>
    <row r="42" spans="2:46">
      <c r="B42" s="124"/>
      <c r="C42" s="37">
        <f t="shared" si="2"/>
        <v>36</v>
      </c>
      <c r="D42" s="51" t="s">
        <v>66</v>
      </c>
      <c r="E42" s="51" t="s">
        <v>66</v>
      </c>
      <c r="F42" s="51" t="s">
        <v>66</v>
      </c>
      <c r="G42" s="51" t="s">
        <v>66</v>
      </c>
      <c r="H42" s="51" t="s">
        <v>66</v>
      </c>
      <c r="I42" s="51" t="s">
        <v>66</v>
      </c>
      <c r="J42" s="51" t="s">
        <v>66</v>
      </c>
      <c r="K42" s="51" t="s">
        <v>66</v>
      </c>
      <c r="L42" s="51" t="s">
        <v>66</v>
      </c>
      <c r="M42" s="51" t="s">
        <v>66</v>
      </c>
      <c r="N42" s="51" t="s">
        <v>66</v>
      </c>
      <c r="O42" s="51" t="s">
        <v>66</v>
      </c>
      <c r="P42" s="51" t="s">
        <v>66</v>
      </c>
      <c r="Q42" s="51" t="s">
        <v>66</v>
      </c>
      <c r="R42" s="51" t="s">
        <v>66</v>
      </c>
      <c r="S42" s="51" t="s">
        <v>66</v>
      </c>
      <c r="T42" s="51" t="s">
        <v>66</v>
      </c>
      <c r="U42" s="51" t="s">
        <v>66</v>
      </c>
      <c r="V42" s="51" t="s">
        <v>66</v>
      </c>
      <c r="W42" s="51" t="s">
        <v>66</v>
      </c>
      <c r="X42" s="51" t="s">
        <v>66</v>
      </c>
      <c r="Y42" s="51" t="s">
        <v>66</v>
      </c>
      <c r="Z42" s="51" t="s">
        <v>66</v>
      </c>
      <c r="AA42" s="51" t="s">
        <v>66</v>
      </c>
      <c r="AB42" s="51" t="s">
        <v>66</v>
      </c>
      <c r="AC42" s="51" t="s">
        <v>66</v>
      </c>
      <c r="AD42" s="51">
        <v>1</v>
      </c>
      <c r="AE42" s="51">
        <v>0</v>
      </c>
      <c r="AF42" s="51">
        <v>0</v>
      </c>
      <c r="AG42" s="51">
        <v>1</v>
      </c>
      <c r="AH42" s="51">
        <v>0</v>
      </c>
      <c r="AI42" s="51">
        <v>0</v>
      </c>
      <c r="AJ42" s="23" t="s">
        <v>31</v>
      </c>
      <c r="AL42" t="str">
        <f t="shared" si="0"/>
        <v xml:space="preserve">    (U1)ALERT_REQ_UNKNOWN</v>
      </c>
      <c r="AR42" s="53" t="str">
        <f t="shared" si="3"/>
        <v xml:space="preserve">    (U4)0x00000024U,                                                           /* 36 UNKNOWN                                         */</v>
      </c>
      <c r="AS42" s="53" t="str">
        <f t="shared" si="4"/>
        <v xml:space="preserve">    (U4)0x0000003FU,                                                           /* 36 UNKNOWN                                         */</v>
      </c>
      <c r="AT42" s="53" t="str">
        <f t="shared" si="1"/>
        <v xml:space="preserve">    (U1)ALERT_REQ_UNKNOWN,                                                     /* 36 UNKNOWN                                         */</v>
      </c>
    </row>
    <row r="43" spans="2:46">
      <c r="B43" s="124"/>
      <c r="C43" s="37">
        <f t="shared" si="2"/>
        <v>37</v>
      </c>
      <c r="D43" s="51" t="s">
        <v>66</v>
      </c>
      <c r="E43" s="51" t="s">
        <v>66</v>
      </c>
      <c r="F43" s="51" t="s">
        <v>66</v>
      </c>
      <c r="G43" s="51" t="s">
        <v>66</v>
      </c>
      <c r="H43" s="51" t="s">
        <v>66</v>
      </c>
      <c r="I43" s="51" t="s">
        <v>66</v>
      </c>
      <c r="J43" s="51" t="s">
        <v>66</v>
      </c>
      <c r="K43" s="51" t="s">
        <v>66</v>
      </c>
      <c r="L43" s="51" t="s">
        <v>66</v>
      </c>
      <c r="M43" s="51" t="s">
        <v>66</v>
      </c>
      <c r="N43" s="51" t="s">
        <v>66</v>
      </c>
      <c r="O43" s="51" t="s">
        <v>66</v>
      </c>
      <c r="P43" s="51" t="s">
        <v>66</v>
      </c>
      <c r="Q43" s="51" t="s">
        <v>66</v>
      </c>
      <c r="R43" s="51" t="s">
        <v>66</v>
      </c>
      <c r="S43" s="51" t="s">
        <v>66</v>
      </c>
      <c r="T43" s="51" t="s">
        <v>66</v>
      </c>
      <c r="U43" s="51" t="s">
        <v>66</v>
      </c>
      <c r="V43" s="51" t="s">
        <v>66</v>
      </c>
      <c r="W43" s="51" t="s">
        <v>66</v>
      </c>
      <c r="X43" s="51" t="s">
        <v>66</v>
      </c>
      <c r="Y43" s="51" t="s">
        <v>66</v>
      </c>
      <c r="Z43" s="51" t="s">
        <v>66</v>
      </c>
      <c r="AA43" s="51" t="s">
        <v>66</v>
      </c>
      <c r="AB43" s="51" t="s">
        <v>66</v>
      </c>
      <c r="AC43" s="51" t="s">
        <v>66</v>
      </c>
      <c r="AD43" s="51">
        <v>1</v>
      </c>
      <c r="AE43" s="51">
        <v>0</v>
      </c>
      <c r="AF43" s="51">
        <v>0</v>
      </c>
      <c r="AG43" s="51">
        <v>1</v>
      </c>
      <c r="AH43" s="51">
        <v>0</v>
      </c>
      <c r="AI43" s="51">
        <v>1</v>
      </c>
      <c r="AJ43" s="23" t="s">
        <v>240</v>
      </c>
      <c r="AL43" t="str">
        <f t="shared" ca="1" si="0"/>
        <v xml:space="preserve">    (U1)ALERT_REQ_D_SECDDC_UNREGISTERED</v>
      </c>
      <c r="AR43" s="53" t="str">
        <f t="shared" si="3"/>
        <v xml:space="preserve">    (U4)0x00000025U,                                                           /* 37 UNREGISTERED                                    */</v>
      </c>
      <c r="AS43" s="53" t="str">
        <f t="shared" si="4"/>
        <v xml:space="preserve">    (U4)0x0000003FU,                                                           /* 37 UNREGISTERED                                    */</v>
      </c>
      <c r="AT43" s="53" t="str">
        <f t="shared" ca="1" si="1"/>
        <v xml:space="preserve">    (U1)ALERT_REQ_D_SECDDC_UNREGISTERED,                                       /* 37 UNREGISTERED                                    */</v>
      </c>
    </row>
    <row r="44" spans="2:46">
      <c r="B44" s="124"/>
      <c r="C44" s="37">
        <f t="shared" si="2"/>
        <v>38</v>
      </c>
      <c r="D44" s="51" t="s">
        <v>66</v>
      </c>
      <c r="E44" s="51" t="s">
        <v>66</v>
      </c>
      <c r="F44" s="51" t="s">
        <v>66</v>
      </c>
      <c r="G44" s="51" t="s">
        <v>66</v>
      </c>
      <c r="H44" s="51" t="s">
        <v>66</v>
      </c>
      <c r="I44" s="51" t="s">
        <v>66</v>
      </c>
      <c r="J44" s="51" t="s">
        <v>66</v>
      </c>
      <c r="K44" s="51" t="s">
        <v>66</v>
      </c>
      <c r="L44" s="51" t="s">
        <v>66</v>
      </c>
      <c r="M44" s="51" t="s">
        <v>66</v>
      </c>
      <c r="N44" s="51" t="s">
        <v>66</v>
      </c>
      <c r="O44" s="51" t="s">
        <v>66</v>
      </c>
      <c r="P44" s="51" t="s">
        <v>66</v>
      </c>
      <c r="Q44" s="51" t="s">
        <v>66</v>
      </c>
      <c r="R44" s="51" t="s">
        <v>66</v>
      </c>
      <c r="S44" s="51" t="s">
        <v>66</v>
      </c>
      <c r="T44" s="51" t="s">
        <v>66</v>
      </c>
      <c r="U44" s="51" t="s">
        <v>66</v>
      </c>
      <c r="V44" s="51" t="s">
        <v>66</v>
      </c>
      <c r="W44" s="51" t="s">
        <v>66</v>
      </c>
      <c r="X44" s="51" t="s">
        <v>66</v>
      </c>
      <c r="Y44" s="51" t="s">
        <v>66</v>
      </c>
      <c r="Z44" s="51" t="s">
        <v>66</v>
      </c>
      <c r="AA44" s="51" t="s">
        <v>66</v>
      </c>
      <c r="AB44" s="51" t="s">
        <v>66</v>
      </c>
      <c r="AC44" s="51" t="s">
        <v>66</v>
      </c>
      <c r="AD44" s="51">
        <v>1</v>
      </c>
      <c r="AE44" s="51">
        <v>0</v>
      </c>
      <c r="AF44" s="51">
        <v>0</v>
      </c>
      <c r="AG44" s="51">
        <v>1</v>
      </c>
      <c r="AH44" s="51">
        <v>1</v>
      </c>
      <c r="AI44" s="51">
        <v>0</v>
      </c>
      <c r="AJ44" s="23" t="s">
        <v>31</v>
      </c>
      <c r="AL44" t="str">
        <f t="shared" si="0"/>
        <v xml:space="preserve">    (U1)ALERT_REQ_UNKNOWN</v>
      </c>
      <c r="AR44" s="53" t="str">
        <f t="shared" si="3"/>
        <v xml:space="preserve">    (U4)0x00000026U,                                                           /* 38 UNKNOWN                                         */</v>
      </c>
      <c r="AS44" s="53" t="str">
        <f t="shared" si="4"/>
        <v xml:space="preserve">    (U4)0x0000003FU,                                                           /* 38 UNKNOWN                                         */</v>
      </c>
      <c r="AT44" s="53" t="str">
        <f t="shared" si="1"/>
        <v xml:space="preserve">    (U1)ALERT_REQ_UNKNOWN,                                                     /* 38 UNKNOWN                                         */</v>
      </c>
    </row>
    <row r="45" spans="2:46">
      <c r="B45" s="124"/>
      <c r="C45" s="37">
        <f t="shared" si="2"/>
        <v>39</v>
      </c>
      <c r="D45" s="51" t="s">
        <v>66</v>
      </c>
      <c r="E45" s="51" t="s">
        <v>66</v>
      </c>
      <c r="F45" s="51" t="s">
        <v>66</v>
      </c>
      <c r="G45" s="51" t="s">
        <v>66</v>
      </c>
      <c r="H45" s="51" t="s">
        <v>66</v>
      </c>
      <c r="I45" s="51" t="s">
        <v>66</v>
      </c>
      <c r="J45" s="51" t="s">
        <v>66</v>
      </c>
      <c r="K45" s="51" t="s">
        <v>66</v>
      </c>
      <c r="L45" s="51" t="s">
        <v>66</v>
      </c>
      <c r="M45" s="51" t="s">
        <v>66</v>
      </c>
      <c r="N45" s="51" t="s">
        <v>66</v>
      </c>
      <c r="O45" s="51" t="s">
        <v>66</v>
      </c>
      <c r="P45" s="51" t="s">
        <v>66</v>
      </c>
      <c r="Q45" s="51" t="s">
        <v>66</v>
      </c>
      <c r="R45" s="51" t="s">
        <v>66</v>
      </c>
      <c r="S45" s="51" t="s">
        <v>66</v>
      </c>
      <c r="T45" s="51" t="s">
        <v>66</v>
      </c>
      <c r="U45" s="51" t="s">
        <v>66</v>
      </c>
      <c r="V45" s="51" t="s">
        <v>66</v>
      </c>
      <c r="W45" s="51" t="s">
        <v>66</v>
      </c>
      <c r="X45" s="51" t="s">
        <v>66</v>
      </c>
      <c r="Y45" s="51" t="s">
        <v>66</v>
      </c>
      <c r="Z45" s="51" t="s">
        <v>66</v>
      </c>
      <c r="AA45" s="51" t="s">
        <v>66</v>
      </c>
      <c r="AB45" s="51" t="s">
        <v>66</v>
      </c>
      <c r="AC45" s="51" t="s">
        <v>66</v>
      </c>
      <c r="AD45" s="51">
        <v>1</v>
      </c>
      <c r="AE45" s="51">
        <v>0</v>
      </c>
      <c r="AF45" s="51">
        <v>0</v>
      </c>
      <c r="AG45" s="51">
        <v>1</v>
      </c>
      <c r="AH45" s="51">
        <v>1</v>
      </c>
      <c r="AI45" s="51">
        <v>1</v>
      </c>
      <c r="AJ45" s="23" t="s">
        <v>240</v>
      </c>
      <c r="AL45" t="str">
        <f t="shared" ca="1" si="0"/>
        <v xml:space="preserve">    (U1)ALERT_REQ_D_SECDDC_UNREGISTERED</v>
      </c>
      <c r="AR45" s="53" t="str">
        <f t="shared" si="3"/>
        <v xml:space="preserve">    (U4)0x00000027U,                                                           /* 39 UNREGISTERED                                    */</v>
      </c>
      <c r="AS45" s="53" t="str">
        <f t="shared" si="4"/>
        <v xml:space="preserve">    (U4)0x0000003FU,                                                           /* 39 UNREGISTERED                                    */</v>
      </c>
      <c r="AT45" s="53" t="str">
        <f t="shared" ca="1" si="1"/>
        <v xml:space="preserve">    (U1)ALERT_REQ_D_SECDDC_UNREGISTERED,                                       /* 39 UNREGISTERED                                    */</v>
      </c>
    </row>
    <row r="46" spans="2:46">
      <c r="B46" s="124"/>
      <c r="C46" s="37">
        <f t="shared" si="2"/>
        <v>40</v>
      </c>
      <c r="D46" s="51" t="s">
        <v>66</v>
      </c>
      <c r="E46" s="51" t="s">
        <v>66</v>
      </c>
      <c r="F46" s="51" t="s">
        <v>66</v>
      </c>
      <c r="G46" s="51" t="s">
        <v>66</v>
      </c>
      <c r="H46" s="51" t="s">
        <v>66</v>
      </c>
      <c r="I46" s="51" t="s">
        <v>66</v>
      </c>
      <c r="J46" s="51" t="s">
        <v>66</v>
      </c>
      <c r="K46" s="51" t="s">
        <v>66</v>
      </c>
      <c r="L46" s="51" t="s">
        <v>66</v>
      </c>
      <c r="M46" s="51" t="s">
        <v>66</v>
      </c>
      <c r="N46" s="51" t="s">
        <v>66</v>
      </c>
      <c r="O46" s="51" t="s">
        <v>66</v>
      </c>
      <c r="P46" s="51" t="s">
        <v>66</v>
      </c>
      <c r="Q46" s="51" t="s">
        <v>66</v>
      </c>
      <c r="R46" s="51" t="s">
        <v>66</v>
      </c>
      <c r="S46" s="51" t="s">
        <v>66</v>
      </c>
      <c r="T46" s="51" t="s">
        <v>66</v>
      </c>
      <c r="U46" s="51" t="s">
        <v>66</v>
      </c>
      <c r="V46" s="51" t="s">
        <v>66</v>
      </c>
      <c r="W46" s="51" t="s">
        <v>66</v>
      </c>
      <c r="X46" s="51" t="s">
        <v>66</v>
      </c>
      <c r="Y46" s="51" t="s">
        <v>66</v>
      </c>
      <c r="Z46" s="51" t="s">
        <v>66</v>
      </c>
      <c r="AA46" s="51" t="s">
        <v>66</v>
      </c>
      <c r="AB46" s="51" t="s">
        <v>66</v>
      </c>
      <c r="AC46" s="51" t="s">
        <v>66</v>
      </c>
      <c r="AD46" s="51">
        <v>1</v>
      </c>
      <c r="AE46" s="51">
        <v>0</v>
      </c>
      <c r="AF46" s="51">
        <v>1</v>
      </c>
      <c r="AG46" s="51">
        <v>0</v>
      </c>
      <c r="AH46" s="51">
        <v>0</v>
      </c>
      <c r="AI46" s="51">
        <v>0</v>
      </c>
      <c r="AJ46" s="23" t="s">
        <v>31</v>
      </c>
      <c r="AL46" t="str">
        <f t="shared" si="0"/>
        <v xml:space="preserve">    (U1)ALERT_REQ_UNKNOWN</v>
      </c>
      <c r="AR46" s="53" t="str">
        <f t="shared" si="3"/>
        <v xml:space="preserve">    (U4)0x00000028U,                                                           /* 40 UNKNOWN                                         */</v>
      </c>
      <c r="AS46" s="53" t="str">
        <f t="shared" si="4"/>
        <v xml:space="preserve">    (U4)0x0000003FU,                                                           /* 40 UNKNOWN                                         */</v>
      </c>
      <c r="AT46" s="53" t="str">
        <f t="shared" si="1"/>
        <v xml:space="preserve">    (U1)ALERT_REQ_UNKNOWN,                                                     /* 40 UNKNOWN                                         */</v>
      </c>
    </row>
    <row r="47" spans="2:46">
      <c r="B47" s="124"/>
      <c r="C47" s="37">
        <f t="shared" si="2"/>
        <v>41</v>
      </c>
      <c r="D47" s="51" t="s">
        <v>66</v>
      </c>
      <c r="E47" s="51" t="s">
        <v>66</v>
      </c>
      <c r="F47" s="51" t="s">
        <v>66</v>
      </c>
      <c r="G47" s="51" t="s">
        <v>66</v>
      </c>
      <c r="H47" s="51" t="s">
        <v>66</v>
      </c>
      <c r="I47" s="51" t="s">
        <v>66</v>
      </c>
      <c r="J47" s="51" t="s">
        <v>66</v>
      </c>
      <c r="K47" s="51" t="s">
        <v>66</v>
      </c>
      <c r="L47" s="51" t="s">
        <v>66</v>
      </c>
      <c r="M47" s="51" t="s">
        <v>66</v>
      </c>
      <c r="N47" s="51" t="s">
        <v>66</v>
      </c>
      <c r="O47" s="51" t="s">
        <v>66</v>
      </c>
      <c r="P47" s="51" t="s">
        <v>66</v>
      </c>
      <c r="Q47" s="51" t="s">
        <v>66</v>
      </c>
      <c r="R47" s="51" t="s">
        <v>66</v>
      </c>
      <c r="S47" s="51" t="s">
        <v>66</v>
      </c>
      <c r="T47" s="51" t="s">
        <v>66</v>
      </c>
      <c r="U47" s="51" t="s">
        <v>66</v>
      </c>
      <c r="V47" s="51" t="s">
        <v>66</v>
      </c>
      <c r="W47" s="51" t="s">
        <v>66</v>
      </c>
      <c r="X47" s="51" t="s">
        <v>66</v>
      </c>
      <c r="Y47" s="51" t="s">
        <v>66</v>
      </c>
      <c r="Z47" s="51" t="s">
        <v>66</v>
      </c>
      <c r="AA47" s="51" t="s">
        <v>66</v>
      </c>
      <c r="AB47" s="51" t="s">
        <v>66</v>
      </c>
      <c r="AC47" s="51" t="s">
        <v>66</v>
      </c>
      <c r="AD47" s="51">
        <v>1</v>
      </c>
      <c r="AE47" s="51">
        <v>0</v>
      </c>
      <c r="AF47" s="51">
        <v>1</v>
      </c>
      <c r="AG47" s="51">
        <v>0</v>
      </c>
      <c r="AH47" s="51">
        <v>0</v>
      </c>
      <c r="AI47" s="51">
        <v>1</v>
      </c>
      <c r="AJ47" s="23" t="s">
        <v>31</v>
      </c>
      <c r="AL47" t="str">
        <f t="shared" si="0"/>
        <v xml:space="preserve">    (U1)ALERT_REQ_UNKNOWN</v>
      </c>
      <c r="AR47" s="53" t="str">
        <f t="shared" si="3"/>
        <v xml:space="preserve">    (U4)0x00000029U,                                                           /* 41 UNKNOWN                                         */</v>
      </c>
      <c r="AS47" s="53" t="str">
        <f t="shared" si="4"/>
        <v xml:space="preserve">    (U4)0x0000003FU,                                                           /* 41 UNKNOWN                                         */</v>
      </c>
      <c r="AT47" s="53" t="str">
        <f t="shared" si="1"/>
        <v xml:space="preserve">    (U1)ALERT_REQ_UNKNOWN,                                                     /* 41 UNKNOWN                                         */</v>
      </c>
    </row>
    <row r="48" spans="2:46">
      <c r="B48" s="124"/>
      <c r="C48" s="37">
        <f t="shared" si="2"/>
        <v>42</v>
      </c>
      <c r="D48" s="51" t="s">
        <v>66</v>
      </c>
      <c r="E48" s="51" t="s">
        <v>66</v>
      </c>
      <c r="F48" s="51" t="s">
        <v>66</v>
      </c>
      <c r="G48" s="51" t="s">
        <v>66</v>
      </c>
      <c r="H48" s="51" t="s">
        <v>66</v>
      </c>
      <c r="I48" s="51" t="s">
        <v>66</v>
      </c>
      <c r="J48" s="51" t="s">
        <v>66</v>
      </c>
      <c r="K48" s="51" t="s">
        <v>66</v>
      </c>
      <c r="L48" s="51" t="s">
        <v>66</v>
      </c>
      <c r="M48" s="51" t="s">
        <v>66</v>
      </c>
      <c r="N48" s="51" t="s">
        <v>66</v>
      </c>
      <c r="O48" s="51" t="s">
        <v>66</v>
      </c>
      <c r="P48" s="51" t="s">
        <v>66</v>
      </c>
      <c r="Q48" s="51" t="s">
        <v>66</v>
      </c>
      <c r="R48" s="51" t="s">
        <v>66</v>
      </c>
      <c r="S48" s="51" t="s">
        <v>66</v>
      </c>
      <c r="T48" s="51" t="s">
        <v>66</v>
      </c>
      <c r="U48" s="51" t="s">
        <v>66</v>
      </c>
      <c r="V48" s="51" t="s">
        <v>66</v>
      </c>
      <c r="W48" s="51" t="s">
        <v>66</v>
      </c>
      <c r="X48" s="51" t="s">
        <v>66</v>
      </c>
      <c r="Y48" s="51" t="s">
        <v>66</v>
      </c>
      <c r="Z48" s="51" t="s">
        <v>66</v>
      </c>
      <c r="AA48" s="51" t="s">
        <v>66</v>
      </c>
      <c r="AB48" s="51" t="s">
        <v>66</v>
      </c>
      <c r="AC48" s="51" t="s">
        <v>66</v>
      </c>
      <c r="AD48" s="51">
        <v>1</v>
      </c>
      <c r="AE48" s="51">
        <v>0</v>
      </c>
      <c r="AF48" s="51">
        <v>1</v>
      </c>
      <c r="AG48" s="51">
        <v>0</v>
      </c>
      <c r="AH48" s="51">
        <v>1</v>
      </c>
      <c r="AI48" s="51">
        <v>0</v>
      </c>
      <c r="AJ48" s="23" t="s">
        <v>31</v>
      </c>
      <c r="AL48" t="str">
        <f t="shared" si="0"/>
        <v xml:space="preserve">    (U1)ALERT_REQ_UNKNOWN</v>
      </c>
      <c r="AR48" s="53" t="str">
        <f t="shared" si="3"/>
        <v xml:space="preserve">    (U4)0x0000002AU,                                                           /* 42 UNKNOWN                                         */</v>
      </c>
      <c r="AS48" s="53" t="str">
        <f t="shared" si="4"/>
        <v xml:space="preserve">    (U4)0x0000003FU,                                                           /* 42 UNKNOWN                                         */</v>
      </c>
      <c r="AT48" s="53" t="str">
        <f t="shared" si="1"/>
        <v xml:space="preserve">    (U1)ALERT_REQ_UNKNOWN,                                                     /* 42 UNKNOWN                                         */</v>
      </c>
    </row>
    <row r="49" spans="2:46">
      <c r="B49" s="124"/>
      <c r="C49" s="37">
        <f t="shared" si="2"/>
        <v>43</v>
      </c>
      <c r="D49" s="51" t="s">
        <v>66</v>
      </c>
      <c r="E49" s="51" t="s">
        <v>66</v>
      </c>
      <c r="F49" s="51" t="s">
        <v>66</v>
      </c>
      <c r="G49" s="51" t="s">
        <v>66</v>
      </c>
      <c r="H49" s="51" t="s">
        <v>66</v>
      </c>
      <c r="I49" s="51" t="s">
        <v>66</v>
      </c>
      <c r="J49" s="51" t="s">
        <v>66</v>
      </c>
      <c r="K49" s="51" t="s">
        <v>66</v>
      </c>
      <c r="L49" s="51" t="s">
        <v>66</v>
      </c>
      <c r="M49" s="51" t="s">
        <v>66</v>
      </c>
      <c r="N49" s="51" t="s">
        <v>66</v>
      </c>
      <c r="O49" s="51" t="s">
        <v>66</v>
      </c>
      <c r="P49" s="51" t="s">
        <v>66</v>
      </c>
      <c r="Q49" s="51" t="s">
        <v>66</v>
      </c>
      <c r="R49" s="51" t="s">
        <v>66</v>
      </c>
      <c r="S49" s="51" t="s">
        <v>66</v>
      </c>
      <c r="T49" s="51" t="s">
        <v>66</v>
      </c>
      <c r="U49" s="51" t="s">
        <v>66</v>
      </c>
      <c r="V49" s="51" t="s">
        <v>66</v>
      </c>
      <c r="W49" s="51" t="s">
        <v>66</v>
      </c>
      <c r="X49" s="51" t="s">
        <v>66</v>
      </c>
      <c r="Y49" s="51" t="s">
        <v>66</v>
      </c>
      <c r="Z49" s="51" t="s">
        <v>66</v>
      </c>
      <c r="AA49" s="51" t="s">
        <v>66</v>
      </c>
      <c r="AB49" s="51" t="s">
        <v>66</v>
      </c>
      <c r="AC49" s="51" t="s">
        <v>66</v>
      </c>
      <c r="AD49" s="51">
        <v>1</v>
      </c>
      <c r="AE49" s="51">
        <v>0</v>
      </c>
      <c r="AF49" s="51">
        <v>1</v>
      </c>
      <c r="AG49" s="51">
        <v>0</v>
      </c>
      <c r="AH49" s="51">
        <v>1</v>
      </c>
      <c r="AI49" s="51">
        <v>1</v>
      </c>
      <c r="AJ49" s="23" t="s">
        <v>31</v>
      </c>
      <c r="AL49" t="str">
        <f t="shared" si="0"/>
        <v xml:space="preserve">    (U1)ALERT_REQ_UNKNOWN</v>
      </c>
      <c r="AR49" s="53" t="str">
        <f t="shared" si="3"/>
        <v xml:space="preserve">    (U4)0x0000002BU,                                                           /* 43 UNKNOWN                                         */</v>
      </c>
      <c r="AS49" s="53" t="str">
        <f t="shared" si="4"/>
        <v xml:space="preserve">    (U4)0x0000003FU,                                                           /* 43 UNKNOWN                                         */</v>
      </c>
      <c r="AT49" s="53" t="str">
        <f t="shared" si="1"/>
        <v xml:space="preserve">    (U1)ALERT_REQ_UNKNOWN,                                                     /* 43 UNKNOWN                                         */</v>
      </c>
    </row>
    <row r="50" spans="2:46">
      <c r="B50" s="124"/>
      <c r="C50" s="37">
        <f t="shared" si="2"/>
        <v>44</v>
      </c>
      <c r="D50" s="51" t="s">
        <v>66</v>
      </c>
      <c r="E50" s="51" t="s">
        <v>66</v>
      </c>
      <c r="F50" s="51" t="s">
        <v>66</v>
      </c>
      <c r="G50" s="51" t="s">
        <v>66</v>
      </c>
      <c r="H50" s="51" t="s">
        <v>66</v>
      </c>
      <c r="I50" s="51" t="s">
        <v>66</v>
      </c>
      <c r="J50" s="51" t="s">
        <v>66</v>
      </c>
      <c r="K50" s="51" t="s">
        <v>66</v>
      </c>
      <c r="L50" s="51" t="s">
        <v>66</v>
      </c>
      <c r="M50" s="51" t="s">
        <v>66</v>
      </c>
      <c r="N50" s="51" t="s">
        <v>66</v>
      </c>
      <c r="O50" s="51" t="s">
        <v>66</v>
      </c>
      <c r="P50" s="51" t="s">
        <v>66</v>
      </c>
      <c r="Q50" s="51" t="s">
        <v>66</v>
      </c>
      <c r="R50" s="51" t="s">
        <v>66</v>
      </c>
      <c r="S50" s="51" t="s">
        <v>66</v>
      </c>
      <c r="T50" s="51" t="s">
        <v>66</v>
      </c>
      <c r="U50" s="51" t="s">
        <v>66</v>
      </c>
      <c r="V50" s="51" t="s">
        <v>66</v>
      </c>
      <c r="W50" s="51" t="s">
        <v>66</v>
      </c>
      <c r="X50" s="51" t="s">
        <v>66</v>
      </c>
      <c r="Y50" s="51" t="s">
        <v>66</v>
      </c>
      <c r="Z50" s="51" t="s">
        <v>66</v>
      </c>
      <c r="AA50" s="51" t="s">
        <v>66</v>
      </c>
      <c r="AB50" s="51" t="s">
        <v>66</v>
      </c>
      <c r="AC50" s="51" t="s">
        <v>66</v>
      </c>
      <c r="AD50" s="51">
        <v>1</v>
      </c>
      <c r="AE50" s="51">
        <v>0</v>
      </c>
      <c r="AF50" s="51">
        <v>1</v>
      </c>
      <c r="AG50" s="51">
        <v>1</v>
      </c>
      <c r="AH50" s="51">
        <v>0</v>
      </c>
      <c r="AI50" s="51">
        <v>0</v>
      </c>
      <c r="AJ50" s="23" t="s">
        <v>31</v>
      </c>
      <c r="AL50" t="str">
        <f t="shared" si="0"/>
        <v xml:space="preserve">    (U1)ALERT_REQ_UNKNOWN</v>
      </c>
      <c r="AR50" s="53" t="str">
        <f t="shared" si="3"/>
        <v xml:space="preserve">    (U4)0x0000002CU,                                                           /* 44 UNKNOWN                                         */</v>
      </c>
      <c r="AS50" s="53" t="str">
        <f t="shared" si="4"/>
        <v xml:space="preserve">    (U4)0x0000003FU,                                                           /* 44 UNKNOWN                                         */</v>
      </c>
      <c r="AT50" s="53" t="str">
        <f t="shared" si="1"/>
        <v xml:space="preserve">    (U1)ALERT_REQ_UNKNOWN,                                                     /* 44 UNKNOWN                                         */</v>
      </c>
    </row>
    <row r="51" spans="2:46">
      <c r="B51" s="124"/>
      <c r="C51" s="37">
        <f t="shared" si="2"/>
        <v>45</v>
      </c>
      <c r="D51" s="51" t="s">
        <v>66</v>
      </c>
      <c r="E51" s="51" t="s">
        <v>66</v>
      </c>
      <c r="F51" s="51" t="s">
        <v>66</v>
      </c>
      <c r="G51" s="51" t="s">
        <v>66</v>
      </c>
      <c r="H51" s="51" t="s">
        <v>66</v>
      </c>
      <c r="I51" s="51" t="s">
        <v>66</v>
      </c>
      <c r="J51" s="51" t="s">
        <v>66</v>
      </c>
      <c r="K51" s="51" t="s">
        <v>66</v>
      </c>
      <c r="L51" s="51" t="s">
        <v>66</v>
      </c>
      <c r="M51" s="51" t="s">
        <v>66</v>
      </c>
      <c r="N51" s="51" t="s">
        <v>66</v>
      </c>
      <c r="O51" s="51" t="s">
        <v>66</v>
      </c>
      <c r="P51" s="51" t="s">
        <v>66</v>
      </c>
      <c r="Q51" s="51" t="s">
        <v>66</v>
      </c>
      <c r="R51" s="51" t="s">
        <v>66</v>
      </c>
      <c r="S51" s="51" t="s">
        <v>66</v>
      </c>
      <c r="T51" s="51" t="s">
        <v>66</v>
      </c>
      <c r="U51" s="51" t="s">
        <v>66</v>
      </c>
      <c r="V51" s="51" t="s">
        <v>66</v>
      </c>
      <c r="W51" s="51" t="s">
        <v>66</v>
      </c>
      <c r="X51" s="51" t="s">
        <v>66</v>
      </c>
      <c r="Y51" s="51" t="s">
        <v>66</v>
      </c>
      <c r="Z51" s="51" t="s">
        <v>66</v>
      </c>
      <c r="AA51" s="51" t="s">
        <v>66</v>
      </c>
      <c r="AB51" s="51" t="s">
        <v>66</v>
      </c>
      <c r="AC51" s="51" t="s">
        <v>66</v>
      </c>
      <c r="AD51" s="51">
        <v>1</v>
      </c>
      <c r="AE51" s="51">
        <v>0</v>
      </c>
      <c r="AF51" s="51">
        <v>1</v>
      </c>
      <c r="AG51" s="51">
        <v>1</v>
      </c>
      <c r="AH51" s="51">
        <v>0</v>
      </c>
      <c r="AI51" s="51">
        <v>1</v>
      </c>
      <c r="AJ51" s="23" t="s">
        <v>31</v>
      </c>
      <c r="AL51" t="str">
        <f t="shared" si="0"/>
        <v xml:space="preserve">    (U1)ALERT_REQ_UNKNOWN</v>
      </c>
      <c r="AR51" s="53" t="str">
        <f t="shared" si="3"/>
        <v xml:space="preserve">    (U4)0x0000002DU,                                                           /* 45 UNKNOWN                                         */</v>
      </c>
      <c r="AS51" s="53" t="str">
        <f t="shared" si="4"/>
        <v xml:space="preserve">    (U4)0x0000003FU,                                                           /* 45 UNKNOWN                                         */</v>
      </c>
      <c r="AT51" s="53" t="str">
        <f t="shared" si="1"/>
        <v xml:space="preserve">    (U1)ALERT_REQ_UNKNOWN,                                                     /* 45 UNKNOWN                                         */</v>
      </c>
    </row>
    <row r="52" spans="2:46">
      <c r="B52" s="124"/>
      <c r="C52" s="37">
        <f t="shared" si="2"/>
        <v>46</v>
      </c>
      <c r="D52" s="51" t="s">
        <v>66</v>
      </c>
      <c r="E52" s="51" t="s">
        <v>66</v>
      </c>
      <c r="F52" s="51" t="s">
        <v>66</v>
      </c>
      <c r="G52" s="51" t="s">
        <v>66</v>
      </c>
      <c r="H52" s="51" t="s">
        <v>66</v>
      </c>
      <c r="I52" s="51" t="s">
        <v>66</v>
      </c>
      <c r="J52" s="51" t="s">
        <v>66</v>
      </c>
      <c r="K52" s="51" t="s">
        <v>66</v>
      </c>
      <c r="L52" s="51" t="s">
        <v>66</v>
      </c>
      <c r="M52" s="51" t="s">
        <v>66</v>
      </c>
      <c r="N52" s="51" t="s">
        <v>66</v>
      </c>
      <c r="O52" s="51" t="s">
        <v>66</v>
      </c>
      <c r="P52" s="51" t="s">
        <v>66</v>
      </c>
      <c r="Q52" s="51" t="s">
        <v>66</v>
      </c>
      <c r="R52" s="51" t="s">
        <v>66</v>
      </c>
      <c r="S52" s="51" t="s">
        <v>66</v>
      </c>
      <c r="T52" s="51" t="s">
        <v>66</v>
      </c>
      <c r="U52" s="51" t="s">
        <v>66</v>
      </c>
      <c r="V52" s="51" t="s">
        <v>66</v>
      </c>
      <c r="W52" s="51" t="s">
        <v>66</v>
      </c>
      <c r="X52" s="51" t="s">
        <v>66</v>
      </c>
      <c r="Y52" s="51" t="s">
        <v>66</v>
      </c>
      <c r="Z52" s="51" t="s">
        <v>66</v>
      </c>
      <c r="AA52" s="51" t="s">
        <v>66</v>
      </c>
      <c r="AB52" s="51" t="s">
        <v>66</v>
      </c>
      <c r="AC52" s="51" t="s">
        <v>66</v>
      </c>
      <c r="AD52" s="51">
        <v>1</v>
      </c>
      <c r="AE52" s="51">
        <v>0</v>
      </c>
      <c r="AF52" s="51">
        <v>1</v>
      </c>
      <c r="AG52" s="51">
        <v>1</v>
      </c>
      <c r="AH52" s="51">
        <v>1</v>
      </c>
      <c r="AI52" s="51">
        <v>0</v>
      </c>
      <c r="AJ52" s="23" t="s">
        <v>31</v>
      </c>
      <c r="AL52" t="str">
        <f t="shared" si="0"/>
        <v xml:space="preserve">    (U1)ALERT_REQ_UNKNOWN</v>
      </c>
      <c r="AR52" s="53" t="str">
        <f t="shared" si="3"/>
        <v xml:space="preserve">    (U4)0x0000002EU,                                                           /* 46 UNKNOWN                                         */</v>
      </c>
      <c r="AS52" s="53" t="str">
        <f t="shared" si="4"/>
        <v xml:space="preserve">    (U4)0x0000003FU,                                                           /* 46 UNKNOWN                                         */</v>
      </c>
      <c r="AT52" s="53" t="str">
        <f t="shared" si="1"/>
        <v xml:space="preserve">    (U1)ALERT_REQ_UNKNOWN,                                                     /* 46 UNKNOWN                                         */</v>
      </c>
    </row>
    <row r="53" spans="2:46">
      <c r="B53" s="124"/>
      <c r="C53" s="37">
        <f t="shared" si="2"/>
        <v>47</v>
      </c>
      <c r="D53" s="51" t="s">
        <v>66</v>
      </c>
      <c r="E53" s="51" t="s">
        <v>66</v>
      </c>
      <c r="F53" s="51" t="s">
        <v>66</v>
      </c>
      <c r="G53" s="51" t="s">
        <v>66</v>
      </c>
      <c r="H53" s="51" t="s">
        <v>66</v>
      </c>
      <c r="I53" s="51" t="s">
        <v>66</v>
      </c>
      <c r="J53" s="51" t="s">
        <v>66</v>
      </c>
      <c r="K53" s="51" t="s">
        <v>66</v>
      </c>
      <c r="L53" s="51" t="s">
        <v>66</v>
      </c>
      <c r="M53" s="51" t="s">
        <v>66</v>
      </c>
      <c r="N53" s="51" t="s">
        <v>66</v>
      </c>
      <c r="O53" s="51" t="s">
        <v>66</v>
      </c>
      <c r="P53" s="51" t="s">
        <v>66</v>
      </c>
      <c r="Q53" s="51" t="s">
        <v>66</v>
      </c>
      <c r="R53" s="51" t="s">
        <v>66</v>
      </c>
      <c r="S53" s="51" t="s">
        <v>66</v>
      </c>
      <c r="T53" s="51" t="s">
        <v>66</v>
      </c>
      <c r="U53" s="51" t="s">
        <v>66</v>
      </c>
      <c r="V53" s="51" t="s">
        <v>66</v>
      </c>
      <c r="W53" s="51" t="s">
        <v>66</v>
      </c>
      <c r="X53" s="51" t="s">
        <v>66</v>
      </c>
      <c r="Y53" s="51" t="s">
        <v>66</v>
      </c>
      <c r="Z53" s="51" t="s">
        <v>66</v>
      </c>
      <c r="AA53" s="51" t="s">
        <v>66</v>
      </c>
      <c r="AB53" s="51" t="s">
        <v>66</v>
      </c>
      <c r="AC53" s="51" t="s">
        <v>66</v>
      </c>
      <c r="AD53" s="51">
        <v>1</v>
      </c>
      <c r="AE53" s="51">
        <v>0</v>
      </c>
      <c r="AF53" s="51">
        <v>1</v>
      </c>
      <c r="AG53" s="51">
        <v>1</v>
      </c>
      <c r="AH53" s="51">
        <v>1</v>
      </c>
      <c r="AI53" s="51">
        <v>1</v>
      </c>
      <c r="AJ53" s="23" t="s">
        <v>31</v>
      </c>
      <c r="AL53" t="str">
        <f t="shared" si="0"/>
        <v xml:space="preserve">    (U1)ALERT_REQ_UNKNOWN</v>
      </c>
      <c r="AR53" s="53" t="str">
        <f t="shared" si="3"/>
        <v xml:space="preserve">    (U4)0x0000002FU,                                                           /* 47 UNKNOWN                                         */</v>
      </c>
      <c r="AS53" s="53" t="str">
        <f t="shared" si="4"/>
        <v xml:space="preserve">    (U4)0x0000003FU,                                                           /* 47 UNKNOWN                                         */</v>
      </c>
      <c r="AT53" s="53" t="str">
        <f t="shared" si="1"/>
        <v xml:space="preserve">    (U1)ALERT_REQ_UNKNOWN,                                                     /* 47 UNKNOWN                                         */</v>
      </c>
    </row>
    <row r="54" spans="2:46">
      <c r="B54" s="124"/>
      <c r="C54" s="37">
        <f t="shared" si="2"/>
        <v>48</v>
      </c>
      <c r="D54" s="51" t="s">
        <v>66</v>
      </c>
      <c r="E54" s="51" t="s">
        <v>66</v>
      </c>
      <c r="F54" s="51" t="s">
        <v>66</v>
      </c>
      <c r="G54" s="51" t="s">
        <v>66</v>
      </c>
      <c r="H54" s="51" t="s">
        <v>66</v>
      </c>
      <c r="I54" s="51" t="s">
        <v>66</v>
      </c>
      <c r="J54" s="51" t="s">
        <v>66</v>
      </c>
      <c r="K54" s="51" t="s">
        <v>66</v>
      </c>
      <c r="L54" s="51" t="s">
        <v>66</v>
      </c>
      <c r="M54" s="51" t="s">
        <v>66</v>
      </c>
      <c r="N54" s="51" t="s">
        <v>66</v>
      </c>
      <c r="O54" s="51" t="s">
        <v>66</v>
      </c>
      <c r="P54" s="51" t="s">
        <v>66</v>
      </c>
      <c r="Q54" s="51" t="s">
        <v>66</v>
      </c>
      <c r="R54" s="51" t="s">
        <v>66</v>
      </c>
      <c r="S54" s="51" t="s">
        <v>66</v>
      </c>
      <c r="T54" s="51" t="s">
        <v>66</v>
      </c>
      <c r="U54" s="51" t="s">
        <v>66</v>
      </c>
      <c r="V54" s="51" t="s">
        <v>66</v>
      </c>
      <c r="W54" s="51" t="s">
        <v>66</v>
      </c>
      <c r="X54" s="51" t="s">
        <v>66</v>
      </c>
      <c r="Y54" s="51" t="s">
        <v>66</v>
      </c>
      <c r="Z54" s="51" t="s">
        <v>66</v>
      </c>
      <c r="AA54" s="51" t="s">
        <v>66</v>
      </c>
      <c r="AB54" s="51" t="s">
        <v>66</v>
      </c>
      <c r="AC54" s="51" t="s">
        <v>66</v>
      </c>
      <c r="AD54" s="51">
        <v>1</v>
      </c>
      <c r="AE54" s="51">
        <v>1</v>
      </c>
      <c r="AF54" s="51">
        <v>0</v>
      </c>
      <c r="AG54" s="51">
        <v>0</v>
      </c>
      <c r="AH54" s="51">
        <v>0</v>
      </c>
      <c r="AI54" s="51">
        <v>0</v>
      </c>
      <c r="AJ54" s="23" t="s">
        <v>31</v>
      </c>
      <c r="AL54" t="str">
        <f t="shared" si="0"/>
        <v xml:space="preserve">    (U1)ALERT_REQ_UNKNOWN</v>
      </c>
      <c r="AR54" s="53" t="str">
        <f t="shared" si="3"/>
        <v xml:space="preserve">    (U4)0x00000030U,                                                           /* 48 UNKNOWN                                         */</v>
      </c>
      <c r="AS54" s="53" t="str">
        <f t="shared" si="4"/>
        <v xml:space="preserve">    (U4)0x0000003FU,                                                           /* 48 UNKNOWN                                         */</v>
      </c>
      <c r="AT54" s="53" t="str">
        <f t="shared" si="1"/>
        <v xml:space="preserve">    (U1)ALERT_REQ_UNKNOWN,                                                     /* 48 UNKNOWN                                         */</v>
      </c>
    </row>
    <row r="55" spans="2:46">
      <c r="B55" s="124"/>
      <c r="C55" s="37">
        <f t="shared" si="2"/>
        <v>49</v>
      </c>
      <c r="D55" s="51" t="s">
        <v>66</v>
      </c>
      <c r="E55" s="51" t="s">
        <v>66</v>
      </c>
      <c r="F55" s="51" t="s">
        <v>66</v>
      </c>
      <c r="G55" s="51" t="s">
        <v>66</v>
      </c>
      <c r="H55" s="51" t="s">
        <v>66</v>
      </c>
      <c r="I55" s="51" t="s">
        <v>66</v>
      </c>
      <c r="J55" s="51" t="s">
        <v>66</v>
      </c>
      <c r="K55" s="51" t="s">
        <v>66</v>
      </c>
      <c r="L55" s="51" t="s">
        <v>66</v>
      </c>
      <c r="M55" s="51" t="s">
        <v>66</v>
      </c>
      <c r="N55" s="51" t="s">
        <v>66</v>
      </c>
      <c r="O55" s="51" t="s">
        <v>66</v>
      </c>
      <c r="P55" s="51" t="s">
        <v>66</v>
      </c>
      <c r="Q55" s="51" t="s">
        <v>66</v>
      </c>
      <c r="R55" s="51" t="s">
        <v>66</v>
      </c>
      <c r="S55" s="51" t="s">
        <v>66</v>
      </c>
      <c r="T55" s="51" t="s">
        <v>66</v>
      </c>
      <c r="U55" s="51" t="s">
        <v>66</v>
      </c>
      <c r="V55" s="51" t="s">
        <v>66</v>
      </c>
      <c r="W55" s="51" t="s">
        <v>66</v>
      </c>
      <c r="X55" s="51" t="s">
        <v>66</v>
      </c>
      <c r="Y55" s="51" t="s">
        <v>66</v>
      </c>
      <c r="Z55" s="51" t="s">
        <v>66</v>
      </c>
      <c r="AA55" s="51" t="s">
        <v>66</v>
      </c>
      <c r="AB55" s="51" t="s">
        <v>66</v>
      </c>
      <c r="AC55" s="51" t="s">
        <v>66</v>
      </c>
      <c r="AD55" s="51">
        <v>1</v>
      </c>
      <c r="AE55" s="51">
        <v>1</v>
      </c>
      <c r="AF55" s="51">
        <v>0</v>
      </c>
      <c r="AG55" s="51">
        <v>0</v>
      </c>
      <c r="AH55" s="51">
        <v>0</v>
      </c>
      <c r="AI55" s="51">
        <v>1</v>
      </c>
      <c r="AJ55" s="23" t="s">
        <v>31</v>
      </c>
      <c r="AL55" t="str">
        <f t="shared" si="0"/>
        <v xml:space="preserve">    (U1)ALERT_REQ_UNKNOWN</v>
      </c>
      <c r="AR55" s="53" t="str">
        <f t="shared" si="3"/>
        <v xml:space="preserve">    (U4)0x00000031U,                                                           /* 49 UNKNOWN                                         */</v>
      </c>
      <c r="AS55" s="53" t="str">
        <f t="shared" si="4"/>
        <v xml:space="preserve">    (U4)0x0000003FU,                                                           /* 49 UNKNOWN                                         */</v>
      </c>
      <c r="AT55" s="53" t="str">
        <f t="shared" si="1"/>
        <v xml:space="preserve">    (U1)ALERT_REQ_UNKNOWN,                                                     /* 49 UNKNOWN                                         */</v>
      </c>
    </row>
    <row r="56" spans="2:46">
      <c r="B56" s="124"/>
      <c r="C56" s="37">
        <f t="shared" si="2"/>
        <v>50</v>
      </c>
      <c r="D56" s="51" t="s">
        <v>66</v>
      </c>
      <c r="E56" s="51" t="s">
        <v>66</v>
      </c>
      <c r="F56" s="51" t="s">
        <v>66</v>
      </c>
      <c r="G56" s="51" t="s">
        <v>66</v>
      </c>
      <c r="H56" s="51" t="s">
        <v>66</v>
      </c>
      <c r="I56" s="51" t="s">
        <v>66</v>
      </c>
      <c r="J56" s="51" t="s">
        <v>66</v>
      </c>
      <c r="K56" s="51" t="s">
        <v>66</v>
      </c>
      <c r="L56" s="51" t="s">
        <v>66</v>
      </c>
      <c r="M56" s="51" t="s">
        <v>66</v>
      </c>
      <c r="N56" s="51" t="s">
        <v>66</v>
      </c>
      <c r="O56" s="51" t="s">
        <v>66</v>
      </c>
      <c r="P56" s="51" t="s">
        <v>66</v>
      </c>
      <c r="Q56" s="51" t="s">
        <v>66</v>
      </c>
      <c r="R56" s="51" t="s">
        <v>66</v>
      </c>
      <c r="S56" s="51" t="s">
        <v>66</v>
      </c>
      <c r="T56" s="51" t="s">
        <v>66</v>
      </c>
      <c r="U56" s="51" t="s">
        <v>66</v>
      </c>
      <c r="V56" s="51" t="s">
        <v>66</v>
      </c>
      <c r="W56" s="51" t="s">
        <v>66</v>
      </c>
      <c r="X56" s="51" t="s">
        <v>66</v>
      </c>
      <c r="Y56" s="51" t="s">
        <v>66</v>
      </c>
      <c r="Z56" s="51" t="s">
        <v>66</v>
      </c>
      <c r="AA56" s="51" t="s">
        <v>66</v>
      </c>
      <c r="AB56" s="51" t="s">
        <v>66</v>
      </c>
      <c r="AC56" s="51" t="s">
        <v>66</v>
      </c>
      <c r="AD56" s="51">
        <v>1</v>
      </c>
      <c r="AE56" s="51">
        <v>1</v>
      </c>
      <c r="AF56" s="51">
        <v>0</v>
      </c>
      <c r="AG56" s="51">
        <v>0</v>
      </c>
      <c r="AH56" s="51">
        <v>1</v>
      </c>
      <c r="AI56" s="51">
        <v>0</v>
      </c>
      <c r="AJ56" s="23" t="s">
        <v>31</v>
      </c>
      <c r="AL56" t="str">
        <f t="shared" si="0"/>
        <v xml:space="preserve">    (U1)ALERT_REQ_UNKNOWN</v>
      </c>
      <c r="AR56" s="53" t="str">
        <f t="shared" si="3"/>
        <v xml:space="preserve">    (U4)0x00000032U,                                                           /* 50 UNKNOWN                                         */</v>
      </c>
      <c r="AS56" s="53" t="str">
        <f t="shared" si="4"/>
        <v xml:space="preserve">    (U4)0x0000003FU,                                                           /* 50 UNKNOWN                                         */</v>
      </c>
      <c r="AT56" s="53" t="str">
        <f t="shared" si="1"/>
        <v xml:space="preserve">    (U1)ALERT_REQ_UNKNOWN,                                                     /* 50 UNKNOWN                                         */</v>
      </c>
    </row>
    <row r="57" spans="2:46">
      <c r="B57" s="124"/>
      <c r="C57" s="37">
        <f t="shared" si="2"/>
        <v>51</v>
      </c>
      <c r="D57" s="51" t="s">
        <v>66</v>
      </c>
      <c r="E57" s="51" t="s">
        <v>66</v>
      </c>
      <c r="F57" s="51" t="s">
        <v>66</v>
      </c>
      <c r="G57" s="51" t="s">
        <v>66</v>
      </c>
      <c r="H57" s="51" t="s">
        <v>66</v>
      </c>
      <c r="I57" s="51" t="s">
        <v>66</v>
      </c>
      <c r="J57" s="51" t="s">
        <v>66</v>
      </c>
      <c r="K57" s="51" t="s">
        <v>66</v>
      </c>
      <c r="L57" s="51" t="s">
        <v>66</v>
      </c>
      <c r="M57" s="51" t="s">
        <v>66</v>
      </c>
      <c r="N57" s="51" t="s">
        <v>66</v>
      </c>
      <c r="O57" s="51" t="s">
        <v>66</v>
      </c>
      <c r="P57" s="51" t="s">
        <v>66</v>
      </c>
      <c r="Q57" s="51" t="s">
        <v>66</v>
      </c>
      <c r="R57" s="51" t="s">
        <v>66</v>
      </c>
      <c r="S57" s="51" t="s">
        <v>66</v>
      </c>
      <c r="T57" s="51" t="s">
        <v>66</v>
      </c>
      <c r="U57" s="51" t="s">
        <v>66</v>
      </c>
      <c r="V57" s="51" t="s">
        <v>66</v>
      </c>
      <c r="W57" s="51" t="s">
        <v>66</v>
      </c>
      <c r="X57" s="51" t="s">
        <v>66</v>
      </c>
      <c r="Y57" s="51" t="s">
        <v>66</v>
      </c>
      <c r="Z57" s="51" t="s">
        <v>66</v>
      </c>
      <c r="AA57" s="51" t="s">
        <v>66</v>
      </c>
      <c r="AB57" s="51" t="s">
        <v>66</v>
      </c>
      <c r="AC57" s="51" t="s">
        <v>66</v>
      </c>
      <c r="AD57" s="51">
        <v>1</v>
      </c>
      <c r="AE57" s="51">
        <v>1</v>
      </c>
      <c r="AF57" s="51">
        <v>0</v>
      </c>
      <c r="AG57" s="51">
        <v>0</v>
      </c>
      <c r="AH57" s="51">
        <v>1</v>
      </c>
      <c r="AI57" s="51">
        <v>1</v>
      </c>
      <c r="AJ57" s="23" t="s">
        <v>31</v>
      </c>
      <c r="AL57" t="str">
        <f t="shared" si="0"/>
        <v xml:space="preserve">    (U1)ALERT_REQ_UNKNOWN</v>
      </c>
      <c r="AR57" s="53" t="str">
        <f t="shared" si="3"/>
        <v xml:space="preserve">    (U4)0x00000033U,                                                           /* 51 UNKNOWN                                         */</v>
      </c>
      <c r="AS57" s="53" t="str">
        <f t="shared" si="4"/>
        <v xml:space="preserve">    (U4)0x0000003FU,                                                           /* 51 UNKNOWN                                         */</v>
      </c>
      <c r="AT57" s="53" t="str">
        <f t="shared" si="1"/>
        <v xml:space="preserve">    (U1)ALERT_REQ_UNKNOWN,                                                     /* 51 UNKNOWN                                         */</v>
      </c>
    </row>
    <row r="58" spans="2:46">
      <c r="B58" s="124"/>
      <c r="C58" s="37">
        <f t="shared" si="2"/>
        <v>52</v>
      </c>
      <c r="D58" s="51" t="s">
        <v>66</v>
      </c>
      <c r="E58" s="51" t="s">
        <v>66</v>
      </c>
      <c r="F58" s="51" t="s">
        <v>66</v>
      </c>
      <c r="G58" s="51" t="s">
        <v>66</v>
      </c>
      <c r="H58" s="51" t="s">
        <v>66</v>
      </c>
      <c r="I58" s="51" t="s">
        <v>66</v>
      </c>
      <c r="J58" s="51" t="s">
        <v>66</v>
      </c>
      <c r="K58" s="51" t="s">
        <v>66</v>
      </c>
      <c r="L58" s="51" t="s">
        <v>66</v>
      </c>
      <c r="M58" s="51" t="s">
        <v>66</v>
      </c>
      <c r="N58" s="51" t="s">
        <v>66</v>
      </c>
      <c r="O58" s="51" t="s">
        <v>66</v>
      </c>
      <c r="P58" s="51" t="s">
        <v>66</v>
      </c>
      <c r="Q58" s="51" t="s">
        <v>66</v>
      </c>
      <c r="R58" s="51" t="s">
        <v>66</v>
      </c>
      <c r="S58" s="51" t="s">
        <v>66</v>
      </c>
      <c r="T58" s="51" t="s">
        <v>66</v>
      </c>
      <c r="U58" s="51" t="s">
        <v>66</v>
      </c>
      <c r="V58" s="51" t="s">
        <v>66</v>
      </c>
      <c r="W58" s="51" t="s">
        <v>66</v>
      </c>
      <c r="X58" s="51" t="s">
        <v>66</v>
      </c>
      <c r="Y58" s="51" t="s">
        <v>66</v>
      </c>
      <c r="Z58" s="51" t="s">
        <v>66</v>
      </c>
      <c r="AA58" s="51" t="s">
        <v>66</v>
      </c>
      <c r="AB58" s="51" t="s">
        <v>66</v>
      </c>
      <c r="AC58" s="51" t="s">
        <v>66</v>
      </c>
      <c r="AD58" s="51">
        <v>1</v>
      </c>
      <c r="AE58" s="51">
        <v>1</v>
      </c>
      <c r="AF58" s="51">
        <v>0</v>
      </c>
      <c r="AG58" s="51">
        <v>1</v>
      </c>
      <c r="AH58" s="51">
        <v>0</v>
      </c>
      <c r="AI58" s="51">
        <v>0</v>
      </c>
      <c r="AJ58" s="23" t="s">
        <v>31</v>
      </c>
      <c r="AL58" t="str">
        <f t="shared" si="0"/>
        <v xml:space="preserve">    (U1)ALERT_REQ_UNKNOWN</v>
      </c>
      <c r="AR58" s="53" t="str">
        <f t="shared" si="3"/>
        <v xml:space="preserve">    (U4)0x00000034U,                                                           /* 52 UNKNOWN                                         */</v>
      </c>
      <c r="AS58" s="53" t="str">
        <f t="shared" si="4"/>
        <v xml:space="preserve">    (U4)0x0000003FU,                                                           /* 52 UNKNOWN                                         */</v>
      </c>
      <c r="AT58" s="53" t="str">
        <f t="shared" si="1"/>
        <v xml:space="preserve">    (U1)ALERT_REQ_UNKNOWN,                                                     /* 52 UNKNOWN                                         */</v>
      </c>
    </row>
    <row r="59" spans="2:46">
      <c r="B59" s="124"/>
      <c r="C59" s="37">
        <f t="shared" si="2"/>
        <v>53</v>
      </c>
      <c r="D59" s="51" t="s">
        <v>66</v>
      </c>
      <c r="E59" s="51" t="s">
        <v>66</v>
      </c>
      <c r="F59" s="51" t="s">
        <v>66</v>
      </c>
      <c r="G59" s="51" t="s">
        <v>66</v>
      </c>
      <c r="H59" s="51" t="s">
        <v>66</v>
      </c>
      <c r="I59" s="51" t="s">
        <v>66</v>
      </c>
      <c r="J59" s="51" t="s">
        <v>66</v>
      </c>
      <c r="K59" s="51" t="s">
        <v>66</v>
      </c>
      <c r="L59" s="51" t="s">
        <v>66</v>
      </c>
      <c r="M59" s="51" t="s">
        <v>66</v>
      </c>
      <c r="N59" s="51" t="s">
        <v>66</v>
      </c>
      <c r="O59" s="51" t="s">
        <v>66</v>
      </c>
      <c r="P59" s="51" t="s">
        <v>66</v>
      </c>
      <c r="Q59" s="51" t="s">
        <v>66</v>
      </c>
      <c r="R59" s="51" t="s">
        <v>66</v>
      </c>
      <c r="S59" s="51" t="s">
        <v>66</v>
      </c>
      <c r="T59" s="51" t="s">
        <v>66</v>
      </c>
      <c r="U59" s="51" t="s">
        <v>66</v>
      </c>
      <c r="V59" s="51" t="s">
        <v>66</v>
      </c>
      <c r="W59" s="51" t="s">
        <v>66</v>
      </c>
      <c r="X59" s="51" t="s">
        <v>66</v>
      </c>
      <c r="Y59" s="51" t="s">
        <v>66</v>
      </c>
      <c r="Z59" s="51" t="s">
        <v>66</v>
      </c>
      <c r="AA59" s="51" t="s">
        <v>66</v>
      </c>
      <c r="AB59" s="51" t="s">
        <v>66</v>
      </c>
      <c r="AC59" s="51" t="s">
        <v>66</v>
      </c>
      <c r="AD59" s="51">
        <v>1</v>
      </c>
      <c r="AE59" s="51">
        <v>1</v>
      </c>
      <c r="AF59" s="51">
        <v>0</v>
      </c>
      <c r="AG59" s="51">
        <v>1</v>
      </c>
      <c r="AH59" s="51">
        <v>0</v>
      </c>
      <c r="AI59" s="51">
        <v>1</v>
      </c>
      <c r="AJ59" s="23" t="s">
        <v>240</v>
      </c>
      <c r="AL59" t="str">
        <f t="shared" ca="1" si="0"/>
        <v xml:space="preserve">    (U1)ALERT_REQ_D_SECDDC_UNREGISTERED</v>
      </c>
      <c r="AR59" s="53" t="str">
        <f t="shared" si="3"/>
        <v xml:space="preserve">    (U4)0x00000035U,                                                           /* 53 UNREGISTERED                                    */</v>
      </c>
      <c r="AS59" s="53" t="str">
        <f t="shared" si="4"/>
        <v xml:space="preserve">    (U4)0x0000003FU,                                                           /* 53 UNREGISTERED                                    */</v>
      </c>
      <c r="AT59" s="53" t="str">
        <f t="shared" ca="1" si="1"/>
        <v xml:space="preserve">    (U1)ALERT_REQ_D_SECDDC_UNREGISTERED,                                       /* 53 UNREGISTERED                                    */</v>
      </c>
    </row>
    <row r="60" spans="2:46">
      <c r="B60" s="124"/>
      <c r="C60" s="37">
        <f t="shared" si="2"/>
        <v>54</v>
      </c>
      <c r="D60" s="51" t="s">
        <v>66</v>
      </c>
      <c r="E60" s="51" t="s">
        <v>66</v>
      </c>
      <c r="F60" s="51" t="s">
        <v>66</v>
      </c>
      <c r="G60" s="51" t="s">
        <v>66</v>
      </c>
      <c r="H60" s="51" t="s">
        <v>66</v>
      </c>
      <c r="I60" s="51" t="s">
        <v>66</v>
      </c>
      <c r="J60" s="51" t="s">
        <v>66</v>
      </c>
      <c r="K60" s="51" t="s">
        <v>66</v>
      </c>
      <c r="L60" s="51" t="s">
        <v>66</v>
      </c>
      <c r="M60" s="51" t="s">
        <v>66</v>
      </c>
      <c r="N60" s="51" t="s">
        <v>66</v>
      </c>
      <c r="O60" s="51" t="s">
        <v>66</v>
      </c>
      <c r="P60" s="51" t="s">
        <v>66</v>
      </c>
      <c r="Q60" s="51" t="s">
        <v>66</v>
      </c>
      <c r="R60" s="51" t="s">
        <v>66</v>
      </c>
      <c r="S60" s="51" t="s">
        <v>66</v>
      </c>
      <c r="T60" s="51" t="s">
        <v>66</v>
      </c>
      <c r="U60" s="51" t="s">
        <v>66</v>
      </c>
      <c r="V60" s="51" t="s">
        <v>66</v>
      </c>
      <c r="W60" s="51" t="s">
        <v>66</v>
      </c>
      <c r="X60" s="51" t="s">
        <v>66</v>
      </c>
      <c r="Y60" s="51" t="s">
        <v>66</v>
      </c>
      <c r="Z60" s="51" t="s">
        <v>66</v>
      </c>
      <c r="AA60" s="51" t="s">
        <v>66</v>
      </c>
      <c r="AB60" s="51" t="s">
        <v>66</v>
      </c>
      <c r="AC60" s="51" t="s">
        <v>66</v>
      </c>
      <c r="AD60" s="51">
        <v>1</v>
      </c>
      <c r="AE60" s="51">
        <v>1</v>
      </c>
      <c r="AF60" s="51">
        <v>0</v>
      </c>
      <c r="AG60" s="51">
        <v>1</v>
      </c>
      <c r="AH60" s="51">
        <v>1</v>
      </c>
      <c r="AI60" s="51">
        <v>0</v>
      </c>
      <c r="AJ60" s="23" t="s">
        <v>31</v>
      </c>
      <c r="AL60" t="str">
        <f t="shared" si="0"/>
        <v xml:space="preserve">    (U1)ALERT_REQ_UNKNOWN</v>
      </c>
      <c r="AR60" s="53" t="str">
        <f t="shared" si="3"/>
        <v xml:space="preserve">    (U4)0x00000036U,                                                           /* 54 UNKNOWN                                         */</v>
      </c>
      <c r="AS60" s="53" t="str">
        <f t="shared" si="4"/>
        <v xml:space="preserve">    (U4)0x0000003FU,                                                           /* 54 UNKNOWN                                         */</v>
      </c>
      <c r="AT60" s="53" t="str">
        <f t="shared" si="1"/>
        <v xml:space="preserve">    (U1)ALERT_REQ_UNKNOWN,                                                     /* 54 UNKNOWN                                         */</v>
      </c>
    </row>
    <row r="61" spans="2:46">
      <c r="B61" s="124"/>
      <c r="C61" s="37">
        <f t="shared" si="2"/>
        <v>55</v>
      </c>
      <c r="D61" s="51" t="s">
        <v>66</v>
      </c>
      <c r="E61" s="51" t="s">
        <v>66</v>
      </c>
      <c r="F61" s="51" t="s">
        <v>66</v>
      </c>
      <c r="G61" s="51" t="s">
        <v>66</v>
      </c>
      <c r="H61" s="51" t="s">
        <v>66</v>
      </c>
      <c r="I61" s="51" t="s">
        <v>66</v>
      </c>
      <c r="J61" s="51" t="s">
        <v>66</v>
      </c>
      <c r="K61" s="51" t="s">
        <v>66</v>
      </c>
      <c r="L61" s="51" t="s">
        <v>66</v>
      </c>
      <c r="M61" s="51" t="s">
        <v>66</v>
      </c>
      <c r="N61" s="51" t="s">
        <v>66</v>
      </c>
      <c r="O61" s="51" t="s">
        <v>66</v>
      </c>
      <c r="P61" s="51" t="s">
        <v>66</v>
      </c>
      <c r="Q61" s="51" t="s">
        <v>66</v>
      </c>
      <c r="R61" s="51" t="s">
        <v>66</v>
      </c>
      <c r="S61" s="51" t="s">
        <v>66</v>
      </c>
      <c r="T61" s="51" t="s">
        <v>66</v>
      </c>
      <c r="U61" s="51" t="s">
        <v>66</v>
      </c>
      <c r="V61" s="51" t="s">
        <v>66</v>
      </c>
      <c r="W61" s="51" t="s">
        <v>66</v>
      </c>
      <c r="X61" s="51" t="s">
        <v>66</v>
      </c>
      <c r="Y61" s="51" t="s">
        <v>66</v>
      </c>
      <c r="Z61" s="51" t="s">
        <v>66</v>
      </c>
      <c r="AA61" s="51" t="s">
        <v>66</v>
      </c>
      <c r="AB61" s="51" t="s">
        <v>66</v>
      </c>
      <c r="AC61" s="51" t="s">
        <v>66</v>
      </c>
      <c r="AD61" s="51">
        <v>1</v>
      </c>
      <c r="AE61" s="51">
        <v>1</v>
      </c>
      <c r="AF61" s="51">
        <v>0</v>
      </c>
      <c r="AG61" s="51">
        <v>1</v>
      </c>
      <c r="AH61" s="51">
        <v>1</v>
      </c>
      <c r="AI61" s="51">
        <v>1</v>
      </c>
      <c r="AJ61" s="23" t="s">
        <v>31</v>
      </c>
      <c r="AL61" t="str">
        <f t="shared" si="0"/>
        <v xml:space="preserve">    (U1)ALERT_REQ_UNKNOWN</v>
      </c>
      <c r="AR61" s="53" t="str">
        <f t="shared" si="3"/>
        <v xml:space="preserve">    (U4)0x00000037U,                                                           /* 55 UNKNOWN                                         */</v>
      </c>
      <c r="AS61" s="53" t="str">
        <f t="shared" si="4"/>
        <v xml:space="preserve">    (U4)0x0000003FU,                                                           /* 55 UNKNOWN                                         */</v>
      </c>
      <c r="AT61" s="53" t="str">
        <f t="shared" si="1"/>
        <v xml:space="preserve">    (U1)ALERT_REQ_UNKNOWN,                                                     /* 55 UNKNOWN                                         */</v>
      </c>
    </row>
    <row r="62" spans="2:46">
      <c r="B62" s="124"/>
      <c r="C62" s="37">
        <f t="shared" si="2"/>
        <v>56</v>
      </c>
      <c r="D62" s="51" t="s">
        <v>66</v>
      </c>
      <c r="E62" s="51" t="s">
        <v>66</v>
      </c>
      <c r="F62" s="51" t="s">
        <v>66</v>
      </c>
      <c r="G62" s="51" t="s">
        <v>66</v>
      </c>
      <c r="H62" s="51" t="s">
        <v>66</v>
      </c>
      <c r="I62" s="51" t="s">
        <v>66</v>
      </c>
      <c r="J62" s="51" t="s">
        <v>66</v>
      </c>
      <c r="K62" s="51" t="s">
        <v>66</v>
      </c>
      <c r="L62" s="51" t="s">
        <v>66</v>
      </c>
      <c r="M62" s="51" t="s">
        <v>66</v>
      </c>
      <c r="N62" s="51" t="s">
        <v>66</v>
      </c>
      <c r="O62" s="51" t="s">
        <v>66</v>
      </c>
      <c r="P62" s="51" t="s">
        <v>66</v>
      </c>
      <c r="Q62" s="51" t="s">
        <v>66</v>
      </c>
      <c r="R62" s="51" t="s">
        <v>66</v>
      </c>
      <c r="S62" s="51" t="s">
        <v>66</v>
      </c>
      <c r="T62" s="51" t="s">
        <v>66</v>
      </c>
      <c r="U62" s="51" t="s">
        <v>66</v>
      </c>
      <c r="V62" s="51" t="s">
        <v>66</v>
      </c>
      <c r="W62" s="51" t="s">
        <v>66</v>
      </c>
      <c r="X62" s="51" t="s">
        <v>66</v>
      </c>
      <c r="Y62" s="51" t="s">
        <v>66</v>
      </c>
      <c r="Z62" s="51" t="s">
        <v>66</v>
      </c>
      <c r="AA62" s="51" t="s">
        <v>66</v>
      </c>
      <c r="AB62" s="51" t="s">
        <v>66</v>
      </c>
      <c r="AC62" s="51" t="s">
        <v>66</v>
      </c>
      <c r="AD62" s="51">
        <v>1</v>
      </c>
      <c r="AE62" s="51">
        <v>1</v>
      </c>
      <c r="AF62" s="51">
        <v>1</v>
      </c>
      <c r="AG62" s="51">
        <v>0</v>
      </c>
      <c r="AH62" s="51">
        <v>0</v>
      </c>
      <c r="AI62" s="51">
        <v>0</v>
      </c>
      <c r="AJ62" s="23" t="s">
        <v>31</v>
      </c>
      <c r="AL62" t="str">
        <f t="shared" si="0"/>
        <v xml:space="preserve">    (U1)ALERT_REQ_UNKNOWN</v>
      </c>
      <c r="AR62" s="53" t="str">
        <f t="shared" si="3"/>
        <v xml:space="preserve">    (U4)0x00000038U,                                                           /* 56 UNKNOWN                                         */</v>
      </c>
      <c r="AS62" s="53" t="str">
        <f t="shared" si="4"/>
        <v xml:space="preserve">    (U4)0x0000003FU,                                                           /* 56 UNKNOWN                                         */</v>
      </c>
      <c r="AT62" s="53" t="str">
        <f t="shared" si="1"/>
        <v xml:space="preserve">    (U1)ALERT_REQ_UNKNOWN,                                                     /* 56 UNKNOWN                                         */</v>
      </c>
    </row>
    <row r="63" spans="2:46">
      <c r="B63" s="124"/>
      <c r="C63" s="37">
        <f t="shared" si="2"/>
        <v>57</v>
      </c>
      <c r="D63" s="51" t="s">
        <v>66</v>
      </c>
      <c r="E63" s="51" t="s">
        <v>66</v>
      </c>
      <c r="F63" s="51" t="s">
        <v>66</v>
      </c>
      <c r="G63" s="51" t="s">
        <v>66</v>
      </c>
      <c r="H63" s="51" t="s">
        <v>66</v>
      </c>
      <c r="I63" s="51" t="s">
        <v>66</v>
      </c>
      <c r="J63" s="51" t="s">
        <v>66</v>
      </c>
      <c r="K63" s="51" t="s">
        <v>66</v>
      </c>
      <c r="L63" s="51" t="s">
        <v>66</v>
      </c>
      <c r="M63" s="51" t="s">
        <v>66</v>
      </c>
      <c r="N63" s="51" t="s">
        <v>66</v>
      </c>
      <c r="O63" s="51" t="s">
        <v>66</v>
      </c>
      <c r="P63" s="51" t="s">
        <v>66</v>
      </c>
      <c r="Q63" s="51" t="s">
        <v>66</v>
      </c>
      <c r="R63" s="51" t="s">
        <v>66</v>
      </c>
      <c r="S63" s="51" t="s">
        <v>66</v>
      </c>
      <c r="T63" s="51" t="s">
        <v>66</v>
      </c>
      <c r="U63" s="51" t="s">
        <v>66</v>
      </c>
      <c r="V63" s="51" t="s">
        <v>66</v>
      </c>
      <c r="W63" s="51" t="s">
        <v>66</v>
      </c>
      <c r="X63" s="51" t="s">
        <v>66</v>
      </c>
      <c r="Y63" s="51" t="s">
        <v>66</v>
      </c>
      <c r="Z63" s="51" t="s">
        <v>66</v>
      </c>
      <c r="AA63" s="51" t="s">
        <v>66</v>
      </c>
      <c r="AB63" s="51" t="s">
        <v>66</v>
      </c>
      <c r="AC63" s="51" t="s">
        <v>66</v>
      </c>
      <c r="AD63" s="51">
        <v>1</v>
      </c>
      <c r="AE63" s="51">
        <v>1</v>
      </c>
      <c r="AF63" s="51">
        <v>1</v>
      </c>
      <c r="AG63" s="51">
        <v>0</v>
      </c>
      <c r="AH63" s="51">
        <v>0</v>
      </c>
      <c r="AI63" s="51">
        <v>1</v>
      </c>
      <c r="AJ63" s="23" t="s">
        <v>31</v>
      </c>
      <c r="AL63" t="str">
        <f t="shared" si="0"/>
        <v xml:space="preserve">    (U1)ALERT_REQ_UNKNOWN</v>
      </c>
      <c r="AR63" s="53" t="str">
        <f t="shared" si="3"/>
        <v xml:space="preserve">    (U4)0x00000039U,                                                           /* 57 UNKNOWN                                         */</v>
      </c>
      <c r="AS63" s="53" t="str">
        <f t="shared" si="4"/>
        <v xml:space="preserve">    (U4)0x0000003FU,                                                           /* 57 UNKNOWN                                         */</v>
      </c>
      <c r="AT63" s="53" t="str">
        <f t="shared" si="1"/>
        <v xml:space="preserve">    (U1)ALERT_REQ_UNKNOWN,                                                     /* 57 UNKNOWN                                         */</v>
      </c>
    </row>
    <row r="64" spans="2:46">
      <c r="B64" s="124"/>
      <c r="C64" s="37">
        <f t="shared" si="2"/>
        <v>58</v>
      </c>
      <c r="D64" s="51" t="s">
        <v>66</v>
      </c>
      <c r="E64" s="51" t="s">
        <v>66</v>
      </c>
      <c r="F64" s="51" t="s">
        <v>66</v>
      </c>
      <c r="G64" s="51" t="s">
        <v>66</v>
      </c>
      <c r="H64" s="51" t="s">
        <v>66</v>
      </c>
      <c r="I64" s="51" t="s">
        <v>66</v>
      </c>
      <c r="J64" s="51" t="s">
        <v>66</v>
      </c>
      <c r="K64" s="51" t="s">
        <v>66</v>
      </c>
      <c r="L64" s="51" t="s">
        <v>66</v>
      </c>
      <c r="M64" s="51" t="s">
        <v>66</v>
      </c>
      <c r="N64" s="51" t="s">
        <v>66</v>
      </c>
      <c r="O64" s="51" t="s">
        <v>66</v>
      </c>
      <c r="P64" s="51" t="s">
        <v>66</v>
      </c>
      <c r="Q64" s="51" t="s">
        <v>66</v>
      </c>
      <c r="R64" s="51" t="s">
        <v>66</v>
      </c>
      <c r="S64" s="51" t="s">
        <v>66</v>
      </c>
      <c r="T64" s="51" t="s">
        <v>66</v>
      </c>
      <c r="U64" s="51" t="s">
        <v>66</v>
      </c>
      <c r="V64" s="51" t="s">
        <v>66</v>
      </c>
      <c r="W64" s="51" t="s">
        <v>66</v>
      </c>
      <c r="X64" s="51" t="s">
        <v>66</v>
      </c>
      <c r="Y64" s="51" t="s">
        <v>66</v>
      </c>
      <c r="Z64" s="51" t="s">
        <v>66</v>
      </c>
      <c r="AA64" s="51" t="s">
        <v>66</v>
      </c>
      <c r="AB64" s="51" t="s">
        <v>66</v>
      </c>
      <c r="AC64" s="51" t="s">
        <v>66</v>
      </c>
      <c r="AD64" s="51">
        <v>1</v>
      </c>
      <c r="AE64" s="51">
        <v>1</v>
      </c>
      <c r="AF64" s="51">
        <v>1</v>
      </c>
      <c r="AG64" s="51">
        <v>0</v>
      </c>
      <c r="AH64" s="51">
        <v>1</v>
      </c>
      <c r="AI64" s="51">
        <v>0</v>
      </c>
      <c r="AJ64" s="23" t="s">
        <v>31</v>
      </c>
      <c r="AL64" t="str">
        <f t="shared" si="0"/>
        <v xml:space="preserve">    (U1)ALERT_REQ_UNKNOWN</v>
      </c>
      <c r="AR64" s="53" t="str">
        <f t="shared" si="3"/>
        <v xml:space="preserve">    (U4)0x0000003AU,                                                           /* 58 UNKNOWN                                         */</v>
      </c>
      <c r="AS64" s="53" t="str">
        <f t="shared" si="4"/>
        <v xml:space="preserve">    (U4)0x0000003FU,                                                           /* 58 UNKNOWN                                         */</v>
      </c>
      <c r="AT64" s="53" t="str">
        <f t="shared" si="1"/>
        <v xml:space="preserve">    (U1)ALERT_REQ_UNKNOWN,                                                     /* 58 UNKNOWN                                         */</v>
      </c>
    </row>
    <row r="65" spans="1:46">
      <c r="B65" s="124"/>
      <c r="C65" s="37">
        <f t="shared" si="2"/>
        <v>59</v>
      </c>
      <c r="D65" s="51" t="s">
        <v>66</v>
      </c>
      <c r="E65" s="51" t="s">
        <v>66</v>
      </c>
      <c r="F65" s="51" t="s">
        <v>66</v>
      </c>
      <c r="G65" s="51" t="s">
        <v>66</v>
      </c>
      <c r="H65" s="51" t="s">
        <v>66</v>
      </c>
      <c r="I65" s="51" t="s">
        <v>66</v>
      </c>
      <c r="J65" s="51" t="s">
        <v>66</v>
      </c>
      <c r="K65" s="51" t="s">
        <v>66</v>
      </c>
      <c r="L65" s="51" t="s">
        <v>66</v>
      </c>
      <c r="M65" s="51" t="s">
        <v>66</v>
      </c>
      <c r="N65" s="51" t="s">
        <v>66</v>
      </c>
      <c r="O65" s="51" t="s">
        <v>66</v>
      </c>
      <c r="P65" s="51" t="s">
        <v>66</v>
      </c>
      <c r="Q65" s="51" t="s">
        <v>66</v>
      </c>
      <c r="R65" s="51" t="s">
        <v>66</v>
      </c>
      <c r="S65" s="51" t="s">
        <v>66</v>
      </c>
      <c r="T65" s="51" t="s">
        <v>66</v>
      </c>
      <c r="U65" s="51" t="s">
        <v>66</v>
      </c>
      <c r="V65" s="51" t="s">
        <v>66</v>
      </c>
      <c r="W65" s="51" t="s">
        <v>66</v>
      </c>
      <c r="X65" s="51" t="s">
        <v>66</v>
      </c>
      <c r="Y65" s="51" t="s">
        <v>66</v>
      </c>
      <c r="Z65" s="51" t="s">
        <v>66</v>
      </c>
      <c r="AA65" s="51" t="s">
        <v>66</v>
      </c>
      <c r="AB65" s="51" t="s">
        <v>66</v>
      </c>
      <c r="AC65" s="51" t="s">
        <v>66</v>
      </c>
      <c r="AD65" s="51">
        <v>1</v>
      </c>
      <c r="AE65" s="51">
        <v>1</v>
      </c>
      <c r="AF65" s="51">
        <v>1</v>
      </c>
      <c r="AG65" s="51">
        <v>0</v>
      </c>
      <c r="AH65" s="51">
        <v>1</v>
      </c>
      <c r="AI65" s="51">
        <v>1</v>
      </c>
      <c r="AJ65" s="23" t="s">
        <v>31</v>
      </c>
      <c r="AL65" t="str">
        <f t="shared" si="0"/>
        <v xml:space="preserve">    (U1)ALERT_REQ_UNKNOWN</v>
      </c>
      <c r="AR65" s="53" t="str">
        <f t="shared" si="3"/>
        <v xml:space="preserve">    (U4)0x0000003BU,                                                           /* 59 UNKNOWN                                         */</v>
      </c>
      <c r="AS65" s="53" t="str">
        <f t="shared" si="4"/>
        <v xml:space="preserve">    (U4)0x0000003FU,                                                           /* 59 UNKNOWN                                         */</v>
      </c>
      <c r="AT65" s="53" t="str">
        <f t="shared" si="1"/>
        <v xml:space="preserve">    (U1)ALERT_REQ_UNKNOWN,                                                     /* 59 UNKNOWN                                         */</v>
      </c>
    </row>
    <row r="66" spans="1:46">
      <c r="B66" s="124"/>
      <c r="C66" s="37">
        <f t="shared" si="2"/>
        <v>60</v>
      </c>
      <c r="D66" s="51" t="s">
        <v>66</v>
      </c>
      <c r="E66" s="51" t="s">
        <v>66</v>
      </c>
      <c r="F66" s="51" t="s">
        <v>66</v>
      </c>
      <c r="G66" s="51" t="s">
        <v>66</v>
      </c>
      <c r="H66" s="51" t="s">
        <v>66</v>
      </c>
      <c r="I66" s="51" t="s">
        <v>66</v>
      </c>
      <c r="J66" s="51" t="s">
        <v>66</v>
      </c>
      <c r="K66" s="51" t="s">
        <v>66</v>
      </c>
      <c r="L66" s="51" t="s">
        <v>66</v>
      </c>
      <c r="M66" s="51" t="s">
        <v>66</v>
      </c>
      <c r="N66" s="51" t="s">
        <v>66</v>
      </c>
      <c r="O66" s="51" t="s">
        <v>66</v>
      </c>
      <c r="P66" s="51" t="s">
        <v>66</v>
      </c>
      <c r="Q66" s="51" t="s">
        <v>66</v>
      </c>
      <c r="R66" s="51" t="s">
        <v>66</v>
      </c>
      <c r="S66" s="51" t="s">
        <v>66</v>
      </c>
      <c r="T66" s="51" t="s">
        <v>66</v>
      </c>
      <c r="U66" s="51" t="s">
        <v>66</v>
      </c>
      <c r="V66" s="51" t="s">
        <v>66</v>
      </c>
      <c r="W66" s="51" t="s">
        <v>66</v>
      </c>
      <c r="X66" s="51" t="s">
        <v>66</v>
      </c>
      <c r="Y66" s="51" t="s">
        <v>66</v>
      </c>
      <c r="Z66" s="51" t="s">
        <v>66</v>
      </c>
      <c r="AA66" s="51" t="s">
        <v>66</v>
      </c>
      <c r="AB66" s="51" t="s">
        <v>66</v>
      </c>
      <c r="AC66" s="51" t="s">
        <v>66</v>
      </c>
      <c r="AD66" s="51">
        <v>1</v>
      </c>
      <c r="AE66" s="51">
        <v>1</v>
      </c>
      <c r="AF66" s="51">
        <v>1</v>
      </c>
      <c r="AG66" s="51">
        <v>1</v>
      </c>
      <c r="AH66" s="51">
        <v>0</v>
      </c>
      <c r="AI66" s="51">
        <v>0</v>
      </c>
      <c r="AJ66" s="23" t="s">
        <v>31</v>
      </c>
      <c r="AL66" t="str">
        <f t="shared" si="0"/>
        <v xml:space="preserve">    (U1)ALERT_REQ_UNKNOWN</v>
      </c>
      <c r="AR66" s="53" t="str">
        <f t="shared" si="3"/>
        <v xml:space="preserve">    (U4)0x0000003CU,                                                           /* 60 UNKNOWN                                         */</v>
      </c>
      <c r="AS66" s="53" t="str">
        <f t="shared" si="4"/>
        <v xml:space="preserve">    (U4)0x0000003FU,                                                           /* 60 UNKNOWN                                         */</v>
      </c>
      <c r="AT66" s="53" t="str">
        <f t="shared" si="1"/>
        <v xml:space="preserve">    (U1)ALERT_REQ_UNKNOWN,                                                     /* 60 UNKNOWN                                         */</v>
      </c>
    </row>
    <row r="67" spans="1:46">
      <c r="B67" s="124"/>
      <c r="C67" s="37">
        <f t="shared" si="2"/>
        <v>61</v>
      </c>
      <c r="D67" s="51" t="s">
        <v>66</v>
      </c>
      <c r="E67" s="51" t="s">
        <v>66</v>
      </c>
      <c r="F67" s="51" t="s">
        <v>66</v>
      </c>
      <c r="G67" s="51" t="s">
        <v>66</v>
      </c>
      <c r="H67" s="51" t="s">
        <v>66</v>
      </c>
      <c r="I67" s="51" t="s">
        <v>66</v>
      </c>
      <c r="J67" s="51" t="s">
        <v>66</v>
      </c>
      <c r="K67" s="51" t="s">
        <v>66</v>
      </c>
      <c r="L67" s="51" t="s">
        <v>66</v>
      </c>
      <c r="M67" s="51" t="s">
        <v>66</v>
      </c>
      <c r="N67" s="51" t="s">
        <v>66</v>
      </c>
      <c r="O67" s="51" t="s">
        <v>66</v>
      </c>
      <c r="P67" s="51" t="s">
        <v>66</v>
      </c>
      <c r="Q67" s="51" t="s">
        <v>66</v>
      </c>
      <c r="R67" s="51" t="s">
        <v>66</v>
      </c>
      <c r="S67" s="51" t="s">
        <v>66</v>
      </c>
      <c r="T67" s="51" t="s">
        <v>66</v>
      </c>
      <c r="U67" s="51" t="s">
        <v>66</v>
      </c>
      <c r="V67" s="51" t="s">
        <v>66</v>
      </c>
      <c r="W67" s="51" t="s">
        <v>66</v>
      </c>
      <c r="X67" s="51" t="s">
        <v>66</v>
      </c>
      <c r="Y67" s="51" t="s">
        <v>66</v>
      </c>
      <c r="Z67" s="51" t="s">
        <v>66</v>
      </c>
      <c r="AA67" s="51" t="s">
        <v>66</v>
      </c>
      <c r="AB67" s="51" t="s">
        <v>66</v>
      </c>
      <c r="AC67" s="51" t="s">
        <v>66</v>
      </c>
      <c r="AD67" s="51">
        <v>1</v>
      </c>
      <c r="AE67" s="51">
        <v>1</v>
      </c>
      <c r="AF67" s="51">
        <v>1</v>
      </c>
      <c r="AG67" s="51">
        <v>1</v>
      </c>
      <c r="AH67" s="51">
        <v>0</v>
      </c>
      <c r="AI67" s="51">
        <v>1</v>
      </c>
      <c r="AJ67" s="23" t="s">
        <v>31</v>
      </c>
      <c r="AL67" t="str">
        <f t="shared" si="0"/>
        <v xml:space="preserve">    (U1)ALERT_REQ_UNKNOWN</v>
      </c>
      <c r="AR67" s="53" t="str">
        <f t="shared" si="3"/>
        <v xml:space="preserve">    (U4)0x0000003DU,                                                           /* 61 UNKNOWN                                         */</v>
      </c>
      <c r="AS67" s="53" t="str">
        <f t="shared" si="4"/>
        <v xml:space="preserve">    (U4)0x0000003FU,                                                           /* 61 UNKNOWN                                         */</v>
      </c>
      <c r="AT67" s="53" t="str">
        <f t="shared" si="1"/>
        <v xml:space="preserve">    (U1)ALERT_REQ_UNKNOWN,                                                     /* 61 UNKNOWN                                         */</v>
      </c>
    </row>
    <row r="68" spans="1:46">
      <c r="B68" s="124"/>
      <c r="C68" s="37">
        <f t="shared" si="2"/>
        <v>62</v>
      </c>
      <c r="D68" s="51" t="s">
        <v>66</v>
      </c>
      <c r="E68" s="51" t="s">
        <v>66</v>
      </c>
      <c r="F68" s="51" t="s">
        <v>66</v>
      </c>
      <c r="G68" s="51" t="s">
        <v>66</v>
      </c>
      <c r="H68" s="51" t="s">
        <v>66</v>
      </c>
      <c r="I68" s="51" t="s">
        <v>66</v>
      </c>
      <c r="J68" s="51" t="s">
        <v>66</v>
      </c>
      <c r="K68" s="51" t="s">
        <v>66</v>
      </c>
      <c r="L68" s="51" t="s">
        <v>66</v>
      </c>
      <c r="M68" s="51" t="s">
        <v>66</v>
      </c>
      <c r="N68" s="51" t="s">
        <v>66</v>
      </c>
      <c r="O68" s="51" t="s">
        <v>66</v>
      </c>
      <c r="P68" s="51" t="s">
        <v>66</v>
      </c>
      <c r="Q68" s="51" t="s">
        <v>66</v>
      </c>
      <c r="R68" s="51" t="s">
        <v>66</v>
      </c>
      <c r="S68" s="51" t="s">
        <v>66</v>
      </c>
      <c r="T68" s="51" t="s">
        <v>66</v>
      </c>
      <c r="U68" s="51" t="s">
        <v>66</v>
      </c>
      <c r="V68" s="51" t="s">
        <v>66</v>
      </c>
      <c r="W68" s="51" t="s">
        <v>66</v>
      </c>
      <c r="X68" s="51" t="s">
        <v>66</v>
      </c>
      <c r="Y68" s="51" t="s">
        <v>66</v>
      </c>
      <c r="Z68" s="51" t="s">
        <v>66</v>
      </c>
      <c r="AA68" s="51" t="s">
        <v>66</v>
      </c>
      <c r="AB68" s="51" t="s">
        <v>66</v>
      </c>
      <c r="AC68" s="51" t="s">
        <v>66</v>
      </c>
      <c r="AD68" s="51">
        <v>1</v>
      </c>
      <c r="AE68" s="51">
        <v>1</v>
      </c>
      <c r="AF68" s="51">
        <v>1</v>
      </c>
      <c r="AG68" s="51">
        <v>1</v>
      </c>
      <c r="AH68" s="51">
        <v>1</v>
      </c>
      <c r="AI68" s="51">
        <v>0</v>
      </c>
      <c r="AJ68" s="23" t="s">
        <v>31</v>
      </c>
      <c r="AL68" t="str">
        <f t="shared" si="0"/>
        <v xml:space="preserve">    (U1)ALERT_REQ_UNKNOWN</v>
      </c>
      <c r="AR68" s="53" t="str">
        <f t="shared" si="3"/>
        <v xml:space="preserve">    (U4)0x0000003EU,                                                           /* 62 UNKNOWN                                         */</v>
      </c>
      <c r="AS68" s="53" t="str">
        <f t="shared" si="4"/>
        <v xml:space="preserve">    (U4)0x0000003FU,                                                           /* 62 UNKNOWN                                         */</v>
      </c>
      <c r="AT68" s="53" t="str">
        <f t="shared" si="1"/>
        <v xml:space="preserve">    (U1)ALERT_REQ_UNKNOWN,                                                     /* 62 UNKNOWN                                         */</v>
      </c>
    </row>
    <row r="69" spans="1:46">
      <c r="B69" s="125"/>
      <c r="C69" s="37">
        <f t="shared" si="2"/>
        <v>63</v>
      </c>
      <c r="D69" s="51" t="s">
        <v>66</v>
      </c>
      <c r="E69" s="51" t="s">
        <v>66</v>
      </c>
      <c r="F69" s="51" t="s">
        <v>66</v>
      </c>
      <c r="G69" s="51" t="s">
        <v>66</v>
      </c>
      <c r="H69" s="51" t="s">
        <v>66</v>
      </c>
      <c r="I69" s="51" t="s">
        <v>66</v>
      </c>
      <c r="J69" s="51" t="s">
        <v>66</v>
      </c>
      <c r="K69" s="51" t="s">
        <v>66</v>
      </c>
      <c r="L69" s="51" t="s">
        <v>66</v>
      </c>
      <c r="M69" s="51" t="s">
        <v>66</v>
      </c>
      <c r="N69" s="51" t="s">
        <v>66</v>
      </c>
      <c r="O69" s="51" t="s">
        <v>66</v>
      </c>
      <c r="P69" s="51" t="s">
        <v>66</v>
      </c>
      <c r="Q69" s="51" t="s">
        <v>66</v>
      </c>
      <c r="R69" s="51" t="s">
        <v>66</v>
      </c>
      <c r="S69" s="51" t="s">
        <v>66</v>
      </c>
      <c r="T69" s="51" t="s">
        <v>66</v>
      </c>
      <c r="U69" s="51" t="s">
        <v>66</v>
      </c>
      <c r="V69" s="51" t="s">
        <v>66</v>
      </c>
      <c r="W69" s="51" t="s">
        <v>66</v>
      </c>
      <c r="X69" s="51" t="s">
        <v>66</v>
      </c>
      <c r="Y69" s="51" t="s">
        <v>66</v>
      </c>
      <c r="Z69" s="51" t="s">
        <v>66</v>
      </c>
      <c r="AA69" s="51" t="s">
        <v>66</v>
      </c>
      <c r="AB69" s="51" t="s">
        <v>66</v>
      </c>
      <c r="AC69" s="51" t="s">
        <v>66</v>
      </c>
      <c r="AD69" s="51">
        <v>1</v>
      </c>
      <c r="AE69" s="51">
        <v>1</v>
      </c>
      <c r="AF69" s="51">
        <v>1</v>
      </c>
      <c r="AG69" s="51">
        <v>1</v>
      </c>
      <c r="AH69" s="51">
        <v>1</v>
      </c>
      <c r="AI69" s="51">
        <v>1</v>
      </c>
      <c r="AJ69" s="23" t="s">
        <v>31</v>
      </c>
      <c r="AL69" t="str">
        <f t="shared" si="0"/>
        <v xml:space="preserve">    (U1)ALERT_REQ_UNKNOWN</v>
      </c>
      <c r="AR69" s="53" t="str">
        <f t="shared" si="3"/>
        <v xml:space="preserve">    (U4)0x0000003FU                                                            /* 63 UNKNOWN                                         */</v>
      </c>
      <c r="AS69" s="53" t="str">
        <f t="shared" si="4"/>
        <v xml:space="preserve">    (U4)0x0000003FU                                                            /* 63 UNKNOWN                                         */</v>
      </c>
      <c r="AT69" s="53" t="str">
        <f t="shared" si="1"/>
        <v xml:space="preserve">    (U1)ALERT_REQ_UNKNOWN                                                      /* 63 UNKNOWN                                         */</v>
      </c>
    </row>
    <row r="70" spans="1:46" ht="14.25" thickBot="1">
      <c r="A70" s="46" t="s">
        <v>63</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v>
      </c>
      <c r="AS70" s="54" t="str">
        <f t="shared" si="4"/>
        <v>};</v>
      </c>
      <c r="AT70" s="54" t="str">
        <f t="shared" ref="AT70" si="5">IF(AJ70&lt;&gt;"",AL70&amp;IF(AJ71&lt;&gt;"",","," ")&amp;REPT(" ",78-LEN(AL70))&amp;"/* "&amp;IF(C70&lt;10,"0"&amp;C70,C70)&amp;" "&amp;AJ70&amp;REPT(" ",48-LEN(AJ70))&amp;"*/",IF(AJ69&lt;&gt;"","};",""))</f>
        <v>};</v>
      </c>
    </row>
    <row r="71" spans="1:46">
      <c r="B71" s="126" t="str">
        <f ca="1">IF(B6&lt;&gt;"",B6,"")</f>
        <v>Table D_SECDDC</v>
      </c>
      <c r="C71" s="37">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37" t="str">
        <f t="shared" ref="AJ71:AJ134" si="7">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4"/>
      <c r="C72" s="37">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37" t="str">
        <f t="shared" si="7"/>
        <v>UNKNOWN</v>
      </c>
      <c r="AK72" s="50"/>
      <c r="AL72" s="50"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24"/>
      <c r="C73" s="37">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37" t="str">
        <f t="shared" si="7"/>
        <v>UNKNOWN</v>
      </c>
      <c r="AK73" s="50"/>
      <c r="AL73" s="50" t="str">
        <f t="shared" si="10"/>
        <v>02</v>
      </c>
      <c r="AM73" s="52" t="str">
        <f t="shared" si="11"/>
        <v>00</v>
      </c>
      <c r="AN73" s="52" t="str">
        <f t="shared" si="12"/>
        <v>00</v>
      </c>
      <c r="AO73" s="52" t="str">
        <f t="shared" si="13"/>
        <v>00</v>
      </c>
      <c r="AQ73" t="str">
        <f t="shared" si="8"/>
        <v xml:space="preserve">    (U4)0x00000002U,                                                           /* 02 UNKNOWN                                         */</v>
      </c>
    </row>
    <row r="74" spans="1:46">
      <c r="B74" s="124"/>
      <c r="C74" s="37">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37" t="str">
        <f t="shared" si="7"/>
        <v>UNKNOWN</v>
      </c>
      <c r="AK74" s="50"/>
      <c r="AL74" s="50" t="str">
        <f t="shared" si="10"/>
        <v>03</v>
      </c>
      <c r="AM74" s="52" t="str">
        <f t="shared" si="11"/>
        <v>00</v>
      </c>
      <c r="AN74" s="52" t="str">
        <f t="shared" si="12"/>
        <v>00</v>
      </c>
      <c r="AO74" s="52" t="str">
        <f t="shared" si="13"/>
        <v>00</v>
      </c>
      <c r="AQ74" t="str">
        <f t="shared" si="8"/>
        <v xml:space="preserve">    (U4)0x00000003U,                                                           /* 03 UNKNOWN                                         */</v>
      </c>
    </row>
    <row r="75" spans="1:46">
      <c r="B75" s="124"/>
      <c r="C75" s="37">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37" t="str">
        <f t="shared" si="7"/>
        <v>UNKNOWN</v>
      </c>
      <c r="AK75" s="50"/>
      <c r="AL75" s="50" t="str">
        <f t="shared" si="10"/>
        <v>04</v>
      </c>
      <c r="AM75" s="52" t="str">
        <f t="shared" si="11"/>
        <v>00</v>
      </c>
      <c r="AN75" s="52" t="str">
        <f t="shared" si="12"/>
        <v>00</v>
      </c>
      <c r="AO75" s="52" t="str">
        <f t="shared" si="13"/>
        <v>00</v>
      </c>
      <c r="AQ75" t="str">
        <f t="shared" si="8"/>
        <v xml:space="preserve">    (U4)0x00000004U,                                                           /* 04 UNKNOWN                                         */</v>
      </c>
    </row>
    <row r="76" spans="1:46">
      <c r="B76" s="124"/>
      <c r="C76" s="37">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37" t="str">
        <f t="shared" si="7"/>
        <v>UNKNOWN</v>
      </c>
      <c r="AK76" s="50"/>
      <c r="AL76" s="50" t="str">
        <f t="shared" si="10"/>
        <v>05</v>
      </c>
      <c r="AM76" s="52" t="str">
        <f t="shared" si="11"/>
        <v>00</v>
      </c>
      <c r="AN76" s="52" t="str">
        <f t="shared" si="12"/>
        <v>00</v>
      </c>
      <c r="AO76" s="52" t="str">
        <f t="shared" si="13"/>
        <v>00</v>
      </c>
      <c r="AQ76" t="str">
        <f t="shared" si="8"/>
        <v xml:space="preserve">    (U4)0x00000005U,                                                           /* 05 UNKNOWN                                         */</v>
      </c>
    </row>
    <row r="77" spans="1:46">
      <c r="B77" s="124"/>
      <c r="C77" s="37">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37" t="str">
        <f t="shared" si="7"/>
        <v>UNKNOWN</v>
      </c>
      <c r="AK77" s="50"/>
      <c r="AL77" s="50" t="str">
        <f t="shared" si="10"/>
        <v>06</v>
      </c>
      <c r="AM77" s="52" t="str">
        <f t="shared" si="11"/>
        <v>00</v>
      </c>
      <c r="AN77" s="52" t="str">
        <f t="shared" si="12"/>
        <v>00</v>
      </c>
      <c r="AO77" s="52" t="str">
        <f t="shared" si="13"/>
        <v>00</v>
      </c>
      <c r="AQ77" t="str">
        <f t="shared" si="8"/>
        <v xml:space="preserve">    (U4)0x00000006U,                                                           /* 06 UNKNOWN                                         */</v>
      </c>
    </row>
    <row r="78" spans="1:46">
      <c r="B78" s="124"/>
      <c r="C78" s="37">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37" t="str">
        <f t="shared" si="7"/>
        <v>UNKNOWN</v>
      </c>
      <c r="AK78" s="50"/>
      <c r="AL78" s="50" t="str">
        <f t="shared" si="10"/>
        <v>07</v>
      </c>
      <c r="AM78" s="52" t="str">
        <f t="shared" si="11"/>
        <v>00</v>
      </c>
      <c r="AN78" s="52" t="str">
        <f t="shared" si="12"/>
        <v>00</v>
      </c>
      <c r="AO78" s="52" t="str">
        <f t="shared" si="13"/>
        <v>00</v>
      </c>
      <c r="AQ78" t="str">
        <f t="shared" si="8"/>
        <v xml:space="preserve">    (U4)0x00000007U,                                                           /* 07 UNKNOWN                                         */</v>
      </c>
    </row>
    <row r="79" spans="1:46">
      <c r="B79" s="124"/>
      <c r="C79" s="37">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37" t="str">
        <f t="shared" si="7"/>
        <v>UNKNOWN</v>
      </c>
      <c r="AK79" s="50"/>
      <c r="AL79" s="50" t="str">
        <f t="shared" si="10"/>
        <v>08</v>
      </c>
      <c r="AM79" s="52" t="str">
        <f t="shared" si="11"/>
        <v>00</v>
      </c>
      <c r="AN79" s="52" t="str">
        <f t="shared" si="12"/>
        <v>00</v>
      </c>
      <c r="AO79" s="52" t="str">
        <f t="shared" si="13"/>
        <v>00</v>
      </c>
      <c r="AQ79" t="str">
        <f t="shared" si="8"/>
        <v xml:space="preserve">    (U4)0x00000008U,                                                           /* 08 UNKNOWN                                         */</v>
      </c>
    </row>
    <row r="80" spans="1:46">
      <c r="B80" s="124"/>
      <c r="C80" s="37">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37" t="str">
        <f t="shared" si="7"/>
        <v>UNKNOWN</v>
      </c>
      <c r="AK80" s="50"/>
      <c r="AL80" s="50" t="str">
        <f t="shared" si="10"/>
        <v>09</v>
      </c>
      <c r="AM80" s="52" t="str">
        <f t="shared" si="11"/>
        <v>00</v>
      </c>
      <c r="AN80" s="52" t="str">
        <f t="shared" si="12"/>
        <v>00</v>
      </c>
      <c r="AO80" s="52" t="str">
        <f t="shared" si="13"/>
        <v>00</v>
      </c>
      <c r="AQ80" t="str">
        <f t="shared" si="8"/>
        <v xml:space="preserve">    (U4)0x00000009U,                                                           /* 09 UNKNOWN                                         */</v>
      </c>
    </row>
    <row r="81" spans="2:43">
      <c r="B81" s="124"/>
      <c r="C81" s="37">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37" t="str">
        <f t="shared" si="7"/>
        <v>UNKNOWN</v>
      </c>
      <c r="AK81" s="50"/>
      <c r="AL81" s="50" t="str">
        <f t="shared" si="10"/>
        <v>0A</v>
      </c>
      <c r="AM81" s="52" t="str">
        <f t="shared" si="11"/>
        <v>00</v>
      </c>
      <c r="AN81" s="52" t="str">
        <f t="shared" si="12"/>
        <v>00</v>
      </c>
      <c r="AO81" s="52" t="str">
        <f t="shared" si="13"/>
        <v>00</v>
      </c>
      <c r="AQ81" t="str">
        <f t="shared" si="8"/>
        <v xml:space="preserve">    (U4)0x0000000AU,                                                           /* 10 UNKNOWN                                         */</v>
      </c>
    </row>
    <row r="82" spans="2:43">
      <c r="B82" s="124"/>
      <c r="C82" s="37">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37" t="str">
        <f t="shared" si="7"/>
        <v>UNKNOWN</v>
      </c>
      <c r="AK82" s="50"/>
      <c r="AL82" s="50" t="str">
        <f t="shared" si="10"/>
        <v>0B</v>
      </c>
      <c r="AM82" s="52" t="str">
        <f t="shared" si="11"/>
        <v>00</v>
      </c>
      <c r="AN82" s="52" t="str">
        <f t="shared" si="12"/>
        <v>00</v>
      </c>
      <c r="AO82" s="52" t="str">
        <f t="shared" si="13"/>
        <v>00</v>
      </c>
      <c r="AQ82" t="str">
        <f t="shared" si="8"/>
        <v xml:space="preserve">    (U4)0x0000000BU,                                                           /* 11 UNKNOWN                                         */</v>
      </c>
    </row>
    <row r="83" spans="2:43">
      <c r="B83" s="124"/>
      <c r="C83" s="37">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37" t="str">
        <f t="shared" si="7"/>
        <v>UNKNOWN</v>
      </c>
      <c r="AK83" s="50"/>
      <c r="AL83" s="50" t="str">
        <f t="shared" si="10"/>
        <v>0C</v>
      </c>
      <c r="AM83" s="52" t="str">
        <f t="shared" si="11"/>
        <v>00</v>
      </c>
      <c r="AN83" s="52" t="str">
        <f t="shared" si="12"/>
        <v>00</v>
      </c>
      <c r="AO83" s="52" t="str">
        <f t="shared" si="13"/>
        <v>00</v>
      </c>
      <c r="AQ83" t="str">
        <f t="shared" si="8"/>
        <v xml:space="preserve">    (U4)0x0000000CU,                                                           /* 12 UNKNOWN                                         */</v>
      </c>
    </row>
    <row r="84" spans="2:43">
      <c r="B84" s="124"/>
      <c r="C84" s="37">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37" t="str">
        <f t="shared" si="7"/>
        <v>UNKNOWN</v>
      </c>
      <c r="AK84" s="50"/>
      <c r="AL84" s="50" t="str">
        <f t="shared" si="10"/>
        <v>0D</v>
      </c>
      <c r="AM84" s="52" t="str">
        <f t="shared" si="11"/>
        <v>00</v>
      </c>
      <c r="AN84" s="52" t="str">
        <f t="shared" si="12"/>
        <v>00</v>
      </c>
      <c r="AO84" s="52" t="str">
        <f t="shared" si="13"/>
        <v>00</v>
      </c>
      <c r="AQ84" t="str">
        <f t="shared" si="8"/>
        <v xml:space="preserve">    (U4)0x0000000DU,                                                           /* 13 UNKNOWN                                         */</v>
      </c>
    </row>
    <row r="85" spans="2:43">
      <c r="B85" s="124"/>
      <c r="C85" s="37">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37" t="str">
        <f t="shared" si="7"/>
        <v>UNKNOWN</v>
      </c>
      <c r="AK85" s="50"/>
      <c r="AL85" s="50" t="str">
        <f t="shared" si="10"/>
        <v>0E</v>
      </c>
      <c r="AM85" s="52" t="str">
        <f t="shared" si="11"/>
        <v>00</v>
      </c>
      <c r="AN85" s="52" t="str">
        <f t="shared" si="12"/>
        <v>00</v>
      </c>
      <c r="AO85" s="52" t="str">
        <f t="shared" si="13"/>
        <v>00</v>
      </c>
      <c r="AQ85" t="str">
        <f t="shared" si="8"/>
        <v xml:space="preserve">    (U4)0x0000000EU,                                                           /* 14 UNKNOWN                                         */</v>
      </c>
    </row>
    <row r="86" spans="2:43">
      <c r="B86" s="124"/>
      <c r="C86" s="37">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37" t="str">
        <f t="shared" si="7"/>
        <v>UNKNOWN</v>
      </c>
      <c r="AK86" s="50"/>
      <c r="AL86" s="50" t="str">
        <f t="shared" si="10"/>
        <v>0F</v>
      </c>
      <c r="AM86" s="52" t="str">
        <f t="shared" si="11"/>
        <v>00</v>
      </c>
      <c r="AN86" s="52" t="str">
        <f t="shared" si="12"/>
        <v>00</v>
      </c>
      <c r="AO86" s="52" t="str">
        <f t="shared" si="13"/>
        <v>00</v>
      </c>
      <c r="AQ86" t="str">
        <f t="shared" si="8"/>
        <v xml:space="preserve">    (U4)0x0000000FU,                                                           /* 15 UNKNOWN                                         */</v>
      </c>
    </row>
    <row r="87" spans="2:43">
      <c r="B87" s="124"/>
      <c r="C87" s="37">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37" t="str">
        <f t="shared" si="7"/>
        <v>UNKNOWN</v>
      </c>
      <c r="AK87" s="50"/>
      <c r="AL87" s="50" t="str">
        <f t="shared" si="10"/>
        <v>10</v>
      </c>
      <c r="AM87" s="52" t="str">
        <f t="shared" si="11"/>
        <v>00</v>
      </c>
      <c r="AN87" s="52" t="str">
        <f t="shared" si="12"/>
        <v>00</v>
      </c>
      <c r="AO87" s="52" t="str">
        <f t="shared" si="13"/>
        <v>00</v>
      </c>
      <c r="AQ87" t="str">
        <f t="shared" si="8"/>
        <v xml:space="preserve">    (U4)0x00000010U,                                                           /* 16 UNKNOWN                                         */</v>
      </c>
    </row>
    <row r="88" spans="2:43">
      <c r="B88" s="124"/>
      <c r="C88" s="37">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37" t="str">
        <f t="shared" si="7"/>
        <v>UNKNOWN</v>
      </c>
      <c r="AK88" s="50"/>
      <c r="AL88" s="50" t="str">
        <f t="shared" si="10"/>
        <v>11</v>
      </c>
      <c r="AM88" s="52" t="str">
        <f t="shared" si="11"/>
        <v>00</v>
      </c>
      <c r="AN88" s="52" t="str">
        <f t="shared" si="12"/>
        <v>00</v>
      </c>
      <c r="AO88" s="52" t="str">
        <f t="shared" si="13"/>
        <v>00</v>
      </c>
      <c r="AQ88" t="str">
        <f t="shared" si="8"/>
        <v xml:space="preserve">    (U4)0x00000011U,                                                           /* 17 UNKNOWN                                         */</v>
      </c>
    </row>
    <row r="89" spans="2:43">
      <c r="B89" s="124"/>
      <c r="C89" s="37">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37" t="str">
        <f t="shared" si="7"/>
        <v>UNKNOWN</v>
      </c>
      <c r="AK89" s="50"/>
      <c r="AL89" s="50" t="str">
        <f t="shared" si="10"/>
        <v>12</v>
      </c>
      <c r="AM89" s="52" t="str">
        <f t="shared" si="11"/>
        <v>00</v>
      </c>
      <c r="AN89" s="52" t="str">
        <f t="shared" si="12"/>
        <v>00</v>
      </c>
      <c r="AO89" s="52" t="str">
        <f t="shared" si="13"/>
        <v>00</v>
      </c>
      <c r="AQ89" t="str">
        <f t="shared" si="8"/>
        <v xml:space="preserve">    (U4)0x00000012U,                                                           /* 18 UNKNOWN                                         */</v>
      </c>
    </row>
    <row r="90" spans="2:43">
      <c r="B90" s="124"/>
      <c r="C90" s="37">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37" t="str">
        <f t="shared" si="7"/>
        <v>UNKNOWN</v>
      </c>
      <c r="AK90" s="50"/>
      <c r="AL90" s="50" t="str">
        <f t="shared" si="10"/>
        <v>13</v>
      </c>
      <c r="AM90" s="52" t="str">
        <f t="shared" si="11"/>
        <v>00</v>
      </c>
      <c r="AN90" s="52" t="str">
        <f t="shared" si="12"/>
        <v>00</v>
      </c>
      <c r="AO90" s="52" t="str">
        <f t="shared" si="13"/>
        <v>00</v>
      </c>
      <c r="AQ90" t="str">
        <f t="shared" si="8"/>
        <v xml:space="preserve">    (U4)0x00000013U,                                                           /* 19 UNKNOWN                                         */</v>
      </c>
    </row>
    <row r="91" spans="2:43">
      <c r="B91" s="124"/>
      <c r="C91" s="37">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37" t="str">
        <f t="shared" si="7"/>
        <v>UNKNOWN</v>
      </c>
      <c r="AK91" s="50"/>
      <c r="AL91" s="50" t="str">
        <f t="shared" si="10"/>
        <v>14</v>
      </c>
      <c r="AM91" s="52" t="str">
        <f t="shared" si="11"/>
        <v>00</v>
      </c>
      <c r="AN91" s="52" t="str">
        <f t="shared" si="12"/>
        <v>00</v>
      </c>
      <c r="AO91" s="52" t="str">
        <f t="shared" si="13"/>
        <v>00</v>
      </c>
      <c r="AQ91" t="str">
        <f t="shared" si="8"/>
        <v xml:space="preserve">    (U4)0x00000014U,                                                           /* 20 UNKNOWN                                         */</v>
      </c>
    </row>
    <row r="92" spans="2:43">
      <c r="B92" s="124"/>
      <c r="C92" s="37">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37" t="str">
        <f t="shared" si="7"/>
        <v>UNKNOWN</v>
      </c>
      <c r="AK92" s="50"/>
      <c r="AL92" s="50" t="str">
        <f t="shared" si="10"/>
        <v>15</v>
      </c>
      <c r="AM92" s="52" t="str">
        <f t="shared" si="11"/>
        <v>00</v>
      </c>
      <c r="AN92" s="52" t="str">
        <f t="shared" si="12"/>
        <v>00</v>
      </c>
      <c r="AO92" s="52" t="str">
        <f t="shared" si="13"/>
        <v>00</v>
      </c>
      <c r="AQ92" t="str">
        <f t="shared" si="8"/>
        <v xml:space="preserve">    (U4)0x00000015U,                                                           /* 21 UNKNOWN                                         */</v>
      </c>
    </row>
    <row r="93" spans="2:43">
      <c r="B93" s="124"/>
      <c r="C93" s="37">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37" t="str">
        <f t="shared" si="7"/>
        <v>UNKNOWN</v>
      </c>
      <c r="AK93" s="50"/>
      <c r="AL93" s="50" t="str">
        <f t="shared" si="10"/>
        <v>16</v>
      </c>
      <c r="AM93" s="52" t="str">
        <f t="shared" si="11"/>
        <v>00</v>
      </c>
      <c r="AN93" s="52" t="str">
        <f t="shared" si="12"/>
        <v>00</v>
      </c>
      <c r="AO93" s="52" t="str">
        <f t="shared" si="13"/>
        <v>00</v>
      </c>
      <c r="AQ93" t="str">
        <f t="shared" si="8"/>
        <v xml:space="preserve">    (U4)0x00000016U,                                                           /* 22 UNKNOWN                                         */</v>
      </c>
    </row>
    <row r="94" spans="2:43">
      <c r="B94" s="124"/>
      <c r="C94" s="37">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37" t="str">
        <f t="shared" si="7"/>
        <v>UNKNOWN</v>
      </c>
      <c r="AK94" s="50"/>
      <c r="AL94" s="50" t="str">
        <f t="shared" si="10"/>
        <v>17</v>
      </c>
      <c r="AM94" s="52" t="str">
        <f t="shared" si="11"/>
        <v>00</v>
      </c>
      <c r="AN94" s="52" t="str">
        <f t="shared" si="12"/>
        <v>00</v>
      </c>
      <c r="AO94" s="52" t="str">
        <f t="shared" si="13"/>
        <v>00</v>
      </c>
      <c r="AQ94" t="str">
        <f t="shared" si="8"/>
        <v xml:space="preserve">    (U4)0x00000017U,                                                           /* 23 UNKNOWN                                         */</v>
      </c>
    </row>
    <row r="95" spans="2:43">
      <c r="B95" s="124"/>
      <c r="C95" s="37">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37" t="str">
        <f t="shared" si="7"/>
        <v>UNKNOWN</v>
      </c>
      <c r="AK95" s="50"/>
      <c r="AL95" s="50" t="str">
        <f t="shared" si="10"/>
        <v>18</v>
      </c>
      <c r="AM95" s="52" t="str">
        <f t="shared" si="11"/>
        <v>00</v>
      </c>
      <c r="AN95" s="52" t="str">
        <f t="shared" si="12"/>
        <v>00</v>
      </c>
      <c r="AO95" s="52" t="str">
        <f t="shared" si="13"/>
        <v>00</v>
      </c>
      <c r="AQ95" t="str">
        <f t="shared" si="8"/>
        <v xml:space="preserve">    (U4)0x00000018U,                                                           /* 24 UNKNOWN                                         */</v>
      </c>
    </row>
    <row r="96" spans="2:43">
      <c r="B96" s="124"/>
      <c r="C96" s="37">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37" t="str">
        <f t="shared" si="7"/>
        <v>UNKNOWN</v>
      </c>
      <c r="AK96" s="50"/>
      <c r="AL96" s="50" t="str">
        <f t="shared" si="10"/>
        <v>19</v>
      </c>
      <c r="AM96" s="52" t="str">
        <f t="shared" si="11"/>
        <v>00</v>
      </c>
      <c r="AN96" s="52" t="str">
        <f t="shared" si="12"/>
        <v>00</v>
      </c>
      <c r="AO96" s="52" t="str">
        <f t="shared" si="13"/>
        <v>00</v>
      </c>
      <c r="AQ96" t="str">
        <f t="shared" si="8"/>
        <v xml:space="preserve">    (U4)0x00000019U,                                                           /* 25 UNKNOWN                                         */</v>
      </c>
    </row>
    <row r="97" spans="2:43">
      <c r="B97" s="124"/>
      <c r="C97" s="37">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37" t="str">
        <f t="shared" si="7"/>
        <v>UNKNOWN</v>
      </c>
      <c r="AK97" s="50"/>
      <c r="AL97" s="50" t="str">
        <f t="shared" si="10"/>
        <v>1A</v>
      </c>
      <c r="AM97" s="52" t="str">
        <f t="shared" si="11"/>
        <v>00</v>
      </c>
      <c r="AN97" s="52" t="str">
        <f t="shared" si="12"/>
        <v>00</v>
      </c>
      <c r="AO97" s="52" t="str">
        <f t="shared" si="13"/>
        <v>00</v>
      </c>
      <c r="AQ97" t="str">
        <f t="shared" si="8"/>
        <v xml:space="preserve">    (U4)0x0000001AU,                                                           /* 26 UNKNOWN                                         */</v>
      </c>
    </row>
    <row r="98" spans="2:43">
      <c r="B98" s="124"/>
      <c r="C98" s="37">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37" t="str">
        <f t="shared" si="7"/>
        <v>UNKNOWN</v>
      </c>
      <c r="AK98" s="50"/>
      <c r="AL98" s="50" t="str">
        <f t="shared" si="10"/>
        <v>1B</v>
      </c>
      <c r="AM98" s="52" t="str">
        <f t="shared" si="11"/>
        <v>00</v>
      </c>
      <c r="AN98" s="52" t="str">
        <f t="shared" si="12"/>
        <v>00</v>
      </c>
      <c r="AO98" s="52" t="str">
        <f t="shared" si="13"/>
        <v>00</v>
      </c>
      <c r="AQ98" t="str">
        <f t="shared" si="8"/>
        <v xml:space="preserve">    (U4)0x0000001BU,                                                           /* 27 UNKNOWN                                         */</v>
      </c>
    </row>
    <row r="99" spans="2:43">
      <c r="B99" s="124"/>
      <c r="C99" s="37">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37" t="str">
        <f t="shared" si="7"/>
        <v>UNKNOWN</v>
      </c>
      <c r="AK99" s="50"/>
      <c r="AL99" s="50" t="str">
        <f t="shared" si="10"/>
        <v>1C</v>
      </c>
      <c r="AM99" s="52" t="str">
        <f t="shared" si="11"/>
        <v>00</v>
      </c>
      <c r="AN99" s="52" t="str">
        <f t="shared" si="12"/>
        <v>00</v>
      </c>
      <c r="AO99" s="52" t="str">
        <f t="shared" si="13"/>
        <v>00</v>
      </c>
      <c r="AQ99" t="str">
        <f t="shared" si="8"/>
        <v xml:space="preserve">    (U4)0x0000001CU,                                                           /* 28 UNKNOWN                                         */</v>
      </c>
    </row>
    <row r="100" spans="2:43">
      <c r="B100" s="124"/>
      <c r="C100" s="37">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37" t="str">
        <f t="shared" si="7"/>
        <v>UNKNOWN</v>
      </c>
      <c r="AK100" s="50"/>
      <c r="AL100" s="50" t="str">
        <f t="shared" si="10"/>
        <v>1D</v>
      </c>
      <c r="AM100" s="52" t="str">
        <f t="shared" si="11"/>
        <v>00</v>
      </c>
      <c r="AN100" s="52" t="str">
        <f t="shared" si="12"/>
        <v>00</v>
      </c>
      <c r="AO100" s="52" t="str">
        <f t="shared" si="13"/>
        <v>00</v>
      </c>
      <c r="AQ100" t="str">
        <f t="shared" si="8"/>
        <v xml:space="preserve">    (U4)0x0000001DU,                                                           /* 29 UNKNOWN                                         */</v>
      </c>
    </row>
    <row r="101" spans="2:43">
      <c r="B101" s="124"/>
      <c r="C101" s="37">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37" t="str">
        <f t="shared" si="7"/>
        <v>UNKNOWN</v>
      </c>
      <c r="AK101" s="50"/>
      <c r="AL101" s="50" t="str">
        <f t="shared" si="10"/>
        <v>1E</v>
      </c>
      <c r="AM101" s="52" t="str">
        <f t="shared" si="11"/>
        <v>00</v>
      </c>
      <c r="AN101" s="52" t="str">
        <f t="shared" si="12"/>
        <v>00</v>
      </c>
      <c r="AO101" s="52" t="str">
        <f t="shared" si="13"/>
        <v>00</v>
      </c>
      <c r="AQ101" t="str">
        <f t="shared" si="8"/>
        <v xml:space="preserve">    (U4)0x0000001EU,                                                           /* 30 UNKNOWN                                         */</v>
      </c>
    </row>
    <row r="102" spans="2:43">
      <c r="B102" s="124"/>
      <c r="C102" s="37">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37" t="str">
        <f t="shared" si="7"/>
        <v>UNKNOWN</v>
      </c>
      <c r="AK102" s="50"/>
      <c r="AL102" s="50" t="str">
        <f t="shared" si="10"/>
        <v>1F</v>
      </c>
      <c r="AM102" s="52" t="str">
        <f t="shared" si="11"/>
        <v>00</v>
      </c>
      <c r="AN102" s="52" t="str">
        <f t="shared" si="12"/>
        <v>00</v>
      </c>
      <c r="AO102" s="52" t="str">
        <f t="shared" si="13"/>
        <v>00</v>
      </c>
      <c r="AQ102" t="str">
        <f t="shared" si="8"/>
        <v xml:space="preserve">    (U4)0x0000001FU,                                                           /* 31 UNKNOWN                                         */</v>
      </c>
    </row>
    <row r="103" spans="2:43">
      <c r="B103" s="124"/>
      <c r="C103" s="37">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37" t="str">
        <f t="shared" si="7"/>
        <v>UNKNOWN</v>
      </c>
      <c r="AK103" s="50"/>
      <c r="AL103" s="50" t="str">
        <f t="shared" si="10"/>
        <v>20</v>
      </c>
      <c r="AM103" s="52" t="str">
        <f t="shared" si="11"/>
        <v>00</v>
      </c>
      <c r="AN103" s="52" t="str">
        <f t="shared" si="12"/>
        <v>00</v>
      </c>
      <c r="AO103" s="52" t="str">
        <f t="shared" si="13"/>
        <v>00</v>
      </c>
      <c r="AQ103" t="str">
        <f t="shared" si="8"/>
        <v xml:space="preserve">    (U4)0x00000020U,                                                           /* 32 UNKNOWN                                         */</v>
      </c>
    </row>
    <row r="104" spans="2:43">
      <c r="B104" s="124"/>
      <c r="C104" s="37">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37" t="str">
        <f t="shared" si="7"/>
        <v>UNREGISTERED</v>
      </c>
      <c r="AK104" s="50"/>
      <c r="AL104" s="50" t="str">
        <f t="shared" si="10"/>
        <v>21</v>
      </c>
      <c r="AM104" s="52" t="str">
        <f t="shared" si="11"/>
        <v>00</v>
      </c>
      <c r="AN104" s="52" t="str">
        <f t="shared" si="12"/>
        <v>00</v>
      </c>
      <c r="AO104" s="52" t="str">
        <f t="shared" si="13"/>
        <v>00</v>
      </c>
      <c r="AQ104" t="str">
        <f t="shared" si="8"/>
        <v xml:space="preserve">    (U4)0x00000021U,                                                           /* 33 UNREGISTERED                                    */</v>
      </c>
    </row>
    <row r="105" spans="2:43">
      <c r="B105" s="124"/>
      <c r="C105" s="37">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37" t="str">
        <f t="shared" si="7"/>
        <v>UNKNOWN</v>
      </c>
      <c r="AK105" s="50"/>
      <c r="AL105" s="50" t="str">
        <f t="shared" si="10"/>
        <v>22</v>
      </c>
      <c r="AM105" s="52" t="str">
        <f t="shared" si="11"/>
        <v>00</v>
      </c>
      <c r="AN105" s="52" t="str">
        <f t="shared" si="12"/>
        <v>00</v>
      </c>
      <c r="AO105" s="52" t="str">
        <f t="shared" si="13"/>
        <v>00</v>
      </c>
      <c r="AQ105" t="str">
        <f t="shared" si="8"/>
        <v xml:space="preserve">    (U4)0x00000022U,                                                           /* 34 UNKNOWN                                         */</v>
      </c>
    </row>
    <row r="106" spans="2:43">
      <c r="B106" s="124"/>
      <c r="C106" s="37">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37" t="str">
        <f t="shared" si="7"/>
        <v>UNREGISTERED</v>
      </c>
      <c r="AK106" s="50"/>
      <c r="AL106" s="50" t="str">
        <f t="shared" si="10"/>
        <v>23</v>
      </c>
      <c r="AM106" s="52" t="str">
        <f t="shared" si="11"/>
        <v>00</v>
      </c>
      <c r="AN106" s="52" t="str">
        <f t="shared" si="12"/>
        <v>00</v>
      </c>
      <c r="AO106" s="52" t="str">
        <f t="shared" si="13"/>
        <v>00</v>
      </c>
      <c r="AQ106" t="str">
        <f t="shared" si="8"/>
        <v xml:space="preserve">    (U4)0x00000023U,                                                           /* 35 UNREGISTERED                                    */</v>
      </c>
    </row>
    <row r="107" spans="2:43">
      <c r="B107" s="124"/>
      <c r="C107" s="37">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37" t="str">
        <f t="shared" si="7"/>
        <v>UNKNOWN</v>
      </c>
      <c r="AK107" s="50"/>
      <c r="AL107" s="50" t="str">
        <f t="shared" si="10"/>
        <v>24</v>
      </c>
      <c r="AM107" s="52" t="str">
        <f t="shared" si="11"/>
        <v>00</v>
      </c>
      <c r="AN107" s="52" t="str">
        <f t="shared" si="12"/>
        <v>00</v>
      </c>
      <c r="AO107" s="52" t="str">
        <f t="shared" si="13"/>
        <v>00</v>
      </c>
      <c r="AQ107" t="str">
        <f t="shared" si="8"/>
        <v xml:space="preserve">    (U4)0x00000024U,                                                           /* 36 UNKNOWN                                         */</v>
      </c>
    </row>
    <row r="108" spans="2:43">
      <c r="B108" s="124"/>
      <c r="C108" s="37">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37" t="str">
        <f t="shared" si="7"/>
        <v>UNREGISTERED</v>
      </c>
      <c r="AK108" s="50"/>
      <c r="AL108" s="50" t="str">
        <f t="shared" si="10"/>
        <v>25</v>
      </c>
      <c r="AM108" s="52" t="str">
        <f t="shared" si="11"/>
        <v>00</v>
      </c>
      <c r="AN108" s="52" t="str">
        <f t="shared" si="12"/>
        <v>00</v>
      </c>
      <c r="AO108" s="52" t="str">
        <f t="shared" si="13"/>
        <v>00</v>
      </c>
      <c r="AQ108" t="str">
        <f t="shared" si="8"/>
        <v xml:space="preserve">    (U4)0x00000025U,                                                           /* 37 UNREGISTERED                                    */</v>
      </c>
    </row>
    <row r="109" spans="2:43">
      <c r="B109" s="124"/>
      <c r="C109" s="37">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37" t="str">
        <f t="shared" si="7"/>
        <v>UNKNOWN</v>
      </c>
      <c r="AK109" s="50"/>
      <c r="AL109" s="50" t="str">
        <f t="shared" si="10"/>
        <v>26</v>
      </c>
      <c r="AM109" s="52" t="str">
        <f t="shared" si="11"/>
        <v>00</v>
      </c>
      <c r="AN109" s="52" t="str">
        <f t="shared" si="12"/>
        <v>00</v>
      </c>
      <c r="AO109" s="52" t="str">
        <f t="shared" si="13"/>
        <v>00</v>
      </c>
      <c r="AQ109" t="str">
        <f t="shared" si="8"/>
        <v xml:space="preserve">    (U4)0x00000026U,                                                           /* 38 UNKNOWN                                         */</v>
      </c>
    </row>
    <row r="110" spans="2:43">
      <c r="B110" s="124"/>
      <c r="C110" s="37">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37" t="str">
        <f t="shared" si="7"/>
        <v>UNREGISTERED</v>
      </c>
      <c r="AK110" s="50"/>
      <c r="AL110" s="50" t="str">
        <f t="shared" si="10"/>
        <v>27</v>
      </c>
      <c r="AM110" s="52" t="str">
        <f t="shared" si="11"/>
        <v>00</v>
      </c>
      <c r="AN110" s="52" t="str">
        <f t="shared" si="12"/>
        <v>00</v>
      </c>
      <c r="AO110" s="52" t="str">
        <f t="shared" si="13"/>
        <v>00</v>
      </c>
      <c r="AQ110" t="str">
        <f t="shared" si="8"/>
        <v xml:space="preserve">    (U4)0x00000027U,                                                           /* 39 UNREGISTERED                                    */</v>
      </c>
    </row>
    <row r="111" spans="2:43">
      <c r="B111" s="124"/>
      <c r="C111" s="37">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37" t="str">
        <f t="shared" si="7"/>
        <v>UNKNOWN</v>
      </c>
      <c r="AK111" s="50"/>
      <c r="AL111" s="50" t="str">
        <f t="shared" si="10"/>
        <v>28</v>
      </c>
      <c r="AM111" s="52" t="str">
        <f t="shared" si="11"/>
        <v>00</v>
      </c>
      <c r="AN111" s="52" t="str">
        <f t="shared" si="12"/>
        <v>00</v>
      </c>
      <c r="AO111" s="52" t="str">
        <f t="shared" si="13"/>
        <v>00</v>
      </c>
      <c r="AQ111" t="str">
        <f t="shared" si="8"/>
        <v xml:space="preserve">    (U4)0x00000028U,                                                           /* 40 UNKNOWN                                         */</v>
      </c>
    </row>
    <row r="112" spans="2:43">
      <c r="B112" s="124"/>
      <c r="C112" s="37">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37" t="str">
        <f t="shared" si="7"/>
        <v>UNKNOWN</v>
      </c>
      <c r="AK112" s="50"/>
      <c r="AL112" s="50" t="str">
        <f t="shared" si="10"/>
        <v>29</v>
      </c>
      <c r="AM112" s="52" t="str">
        <f t="shared" si="11"/>
        <v>00</v>
      </c>
      <c r="AN112" s="52" t="str">
        <f t="shared" si="12"/>
        <v>00</v>
      </c>
      <c r="AO112" s="52" t="str">
        <f t="shared" si="13"/>
        <v>00</v>
      </c>
      <c r="AQ112" t="str">
        <f t="shared" si="8"/>
        <v xml:space="preserve">    (U4)0x00000029U,                                                           /* 41 UNKNOWN                                         */</v>
      </c>
    </row>
    <row r="113" spans="2:43">
      <c r="B113" s="124"/>
      <c r="C113" s="37">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37" t="str">
        <f t="shared" si="7"/>
        <v>UNKNOWN</v>
      </c>
      <c r="AK113" s="50"/>
      <c r="AL113" s="50" t="str">
        <f t="shared" si="10"/>
        <v>2A</v>
      </c>
      <c r="AM113" s="52" t="str">
        <f t="shared" si="11"/>
        <v>00</v>
      </c>
      <c r="AN113" s="52" t="str">
        <f t="shared" si="12"/>
        <v>00</v>
      </c>
      <c r="AO113" s="52" t="str">
        <f t="shared" si="13"/>
        <v>00</v>
      </c>
      <c r="AQ113" t="str">
        <f t="shared" si="8"/>
        <v xml:space="preserve">    (U4)0x0000002AU,                                                           /* 42 UNKNOWN                                         */</v>
      </c>
    </row>
    <row r="114" spans="2:43">
      <c r="B114" s="124"/>
      <c r="C114" s="37">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37" t="str">
        <f t="shared" si="7"/>
        <v>UNKNOWN</v>
      </c>
      <c r="AK114" s="50"/>
      <c r="AL114" s="50" t="str">
        <f t="shared" si="10"/>
        <v>2B</v>
      </c>
      <c r="AM114" s="52" t="str">
        <f t="shared" si="11"/>
        <v>00</v>
      </c>
      <c r="AN114" s="52" t="str">
        <f t="shared" si="12"/>
        <v>00</v>
      </c>
      <c r="AO114" s="52" t="str">
        <f t="shared" si="13"/>
        <v>00</v>
      </c>
      <c r="AQ114" t="str">
        <f t="shared" si="8"/>
        <v xml:space="preserve">    (U4)0x0000002BU,                                                           /* 43 UNKNOWN                                         */</v>
      </c>
    </row>
    <row r="115" spans="2:43">
      <c r="B115" s="124"/>
      <c r="C115" s="37">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37" t="str">
        <f t="shared" si="7"/>
        <v>UNKNOWN</v>
      </c>
      <c r="AK115" s="50"/>
      <c r="AL115" s="50" t="str">
        <f t="shared" si="10"/>
        <v>2C</v>
      </c>
      <c r="AM115" s="52" t="str">
        <f t="shared" si="11"/>
        <v>00</v>
      </c>
      <c r="AN115" s="52" t="str">
        <f t="shared" si="12"/>
        <v>00</v>
      </c>
      <c r="AO115" s="52" t="str">
        <f t="shared" si="13"/>
        <v>00</v>
      </c>
      <c r="AQ115" t="str">
        <f t="shared" si="8"/>
        <v xml:space="preserve">    (U4)0x0000002CU,                                                           /* 44 UNKNOWN                                         */</v>
      </c>
    </row>
    <row r="116" spans="2:43">
      <c r="B116" s="124"/>
      <c r="C116" s="37">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37" t="str">
        <f t="shared" si="7"/>
        <v>UNKNOWN</v>
      </c>
      <c r="AK116" s="50"/>
      <c r="AL116" s="50" t="str">
        <f t="shared" si="10"/>
        <v>2D</v>
      </c>
      <c r="AM116" s="52" t="str">
        <f t="shared" si="11"/>
        <v>00</v>
      </c>
      <c r="AN116" s="52" t="str">
        <f t="shared" si="12"/>
        <v>00</v>
      </c>
      <c r="AO116" s="52" t="str">
        <f t="shared" si="13"/>
        <v>00</v>
      </c>
      <c r="AQ116" t="str">
        <f t="shared" si="8"/>
        <v xml:space="preserve">    (U4)0x0000002DU,                                                           /* 45 UNKNOWN                                         */</v>
      </c>
    </row>
    <row r="117" spans="2:43">
      <c r="B117" s="124"/>
      <c r="C117" s="37">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37" t="str">
        <f t="shared" si="7"/>
        <v>UNKNOWN</v>
      </c>
      <c r="AK117" s="50"/>
      <c r="AL117" s="50" t="str">
        <f t="shared" si="10"/>
        <v>2E</v>
      </c>
      <c r="AM117" s="52" t="str">
        <f t="shared" si="11"/>
        <v>00</v>
      </c>
      <c r="AN117" s="52" t="str">
        <f t="shared" si="12"/>
        <v>00</v>
      </c>
      <c r="AO117" s="52" t="str">
        <f t="shared" si="13"/>
        <v>00</v>
      </c>
      <c r="AQ117" t="str">
        <f t="shared" si="8"/>
        <v xml:space="preserve">    (U4)0x0000002EU,                                                           /* 46 UNKNOWN                                         */</v>
      </c>
    </row>
    <row r="118" spans="2:43">
      <c r="B118" s="124"/>
      <c r="C118" s="37">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37" t="str">
        <f t="shared" si="7"/>
        <v>UNKNOWN</v>
      </c>
      <c r="AK118" s="50"/>
      <c r="AL118" s="50" t="str">
        <f t="shared" si="10"/>
        <v>2F</v>
      </c>
      <c r="AM118" s="52" t="str">
        <f t="shared" si="11"/>
        <v>00</v>
      </c>
      <c r="AN118" s="52" t="str">
        <f t="shared" si="12"/>
        <v>00</v>
      </c>
      <c r="AO118" s="52" t="str">
        <f t="shared" si="13"/>
        <v>00</v>
      </c>
      <c r="AQ118" t="str">
        <f t="shared" si="8"/>
        <v xml:space="preserve">    (U4)0x0000002FU,                                                           /* 47 UNKNOWN                                         */</v>
      </c>
    </row>
    <row r="119" spans="2:43">
      <c r="B119" s="124"/>
      <c r="C119" s="37">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37" t="str">
        <f t="shared" si="7"/>
        <v>UNKNOWN</v>
      </c>
      <c r="AK119" s="50"/>
      <c r="AL119" s="50" t="str">
        <f t="shared" si="10"/>
        <v>30</v>
      </c>
      <c r="AM119" s="52" t="str">
        <f t="shared" si="11"/>
        <v>00</v>
      </c>
      <c r="AN119" s="52" t="str">
        <f t="shared" si="12"/>
        <v>00</v>
      </c>
      <c r="AO119" s="52" t="str">
        <f t="shared" si="13"/>
        <v>00</v>
      </c>
      <c r="AQ119" t="str">
        <f t="shared" si="8"/>
        <v xml:space="preserve">    (U4)0x00000030U,                                                           /* 48 UNKNOWN                                         */</v>
      </c>
    </row>
    <row r="120" spans="2:43">
      <c r="B120" s="124"/>
      <c r="C120" s="37">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37" t="str">
        <f t="shared" si="7"/>
        <v>UNKNOWN</v>
      </c>
      <c r="AK120" s="50"/>
      <c r="AL120" s="50" t="str">
        <f t="shared" si="10"/>
        <v>31</v>
      </c>
      <c r="AM120" s="52" t="str">
        <f t="shared" si="11"/>
        <v>00</v>
      </c>
      <c r="AN120" s="52" t="str">
        <f t="shared" si="12"/>
        <v>00</v>
      </c>
      <c r="AO120" s="52" t="str">
        <f t="shared" si="13"/>
        <v>00</v>
      </c>
      <c r="AQ120" t="str">
        <f t="shared" si="8"/>
        <v xml:space="preserve">    (U4)0x00000031U,                                                           /* 49 UNKNOWN                                         */</v>
      </c>
    </row>
    <row r="121" spans="2:43">
      <c r="B121" s="124"/>
      <c r="C121" s="37">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37" t="str">
        <f t="shared" si="7"/>
        <v>UNKNOWN</v>
      </c>
      <c r="AK121" s="50"/>
      <c r="AL121" s="50" t="str">
        <f t="shared" si="10"/>
        <v>32</v>
      </c>
      <c r="AM121" s="52" t="str">
        <f t="shared" si="11"/>
        <v>00</v>
      </c>
      <c r="AN121" s="52" t="str">
        <f t="shared" si="12"/>
        <v>00</v>
      </c>
      <c r="AO121" s="52" t="str">
        <f t="shared" si="13"/>
        <v>00</v>
      </c>
      <c r="AQ121" t="str">
        <f t="shared" si="8"/>
        <v xml:space="preserve">    (U4)0x00000032U,                                                           /* 50 UNKNOWN                                         */</v>
      </c>
    </row>
    <row r="122" spans="2:43">
      <c r="B122" s="124"/>
      <c r="C122" s="37">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37" t="str">
        <f t="shared" si="7"/>
        <v>UNKNOWN</v>
      </c>
      <c r="AK122" s="50"/>
      <c r="AL122" s="50" t="str">
        <f t="shared" si="10"/>
        <v>33</v>
      </c>
      <c r="AM122" s="52" t="str">
        <f t="shared" si="11"/>
        <v>00</v>
      </c>
      <c r="AN122" s="52" t="str">
        <f t="shared" si="12"/>
        <v>00</v>
      </c>
      <c r="AO122" s="52" t="str">
        <f t="shared" si="13"/>
        <v>00</v>
      </c>
      <c r="AQ122" t="str">
        <f t="shared" si="8"/>
        <v xml:space="preserve">    (U4)0x00000033U,                                                           /* 51 UNKNOWN                                         */</v>
      </c>
    </row>
    <row r="123" spans="2:43">
      <c r="B123" s="124"/>
      <c r="C123" s="37">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37" t="str">
        <f t="shared" si="7"/>
        <v>UNKNOWN</v>
      </c>
      <c r="AK123" s="50"/>
      <c r="AL123" s="50" t="str">
        <f t="shared" si="10"/>
        <v>34</v>
      </c>
      <c r="AM123" s="52" t="str">
        <f t="shared" si="11"/>
        <v>00</v>
      </c>
      <c r="AN123" s="52" t="str">
        <f t="shared" si="12"/>
        <v>00</v>
      </c>
      <c r="AO123" s="52" t="str">
        <f t="shared" si="13"/>
        <v>00</v>
      </c>
      <c r="AQ123" t="str">
        <f t="shared" si="8"/>
        <v xml:space="preserve">    (U4)0x00000034U,                                                           /* 52 UNKNOWN                                         */</v>
      </c>
    </row>
    <row r="124" spans="2:43">
      <c r="B124" s="124"/>
      <c r="C124" s="37">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37" t="str">
        <f t="shared" si="7"/>
        <v>UNREGISTERED</v>
      </c>
      <c r="AK124" s="50"/>
      <c r="AL124" s="50" t="str">
        <f t="shared" si="10"/>
        <v>35</v>
      </c>
      <c r="AM124" s="52" t="str">
        <f t="shared" si="11"/>
        <v>00</v>
      </c>
      <c r="AN124" s="52" t="str">
        <f t="shared" si="12"/>
        <v>00</v>
      </c>
      <c r="AO124" s="52" t="str">
        <f t="shared" si="13"/>
        <v>00</v>
      </c>
      <c r="AQ124" t="str">
        <f t="shared" si="8"/>
        <v xml:space="preserve">    (U4)0x00000035U,                                                           /* 53 UNREGISTERED                                    */</v>
      </c>
    </row>
    <row r="125" spans="2:43">
      <c r="B125" s="124"/>
      <c r="C125" s="37">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37" t="str">
        <f t="shared" si="7"/>
        <v>UNKNOWN</v>
      </c>
      <c r="AK125" s="50"/>
      <c r="AL125" s="50" t="str">
        <f t="shared" si="10"/>
        <v>36</v>
      </c>
      <c r="AM125" s="52" t="str">
        <f t="shared" si="11"/>
        <v>00</v>
      </c>
      <c r="AN125" s="52" t="str">
        <f t="shared" si="12"/>
        <v>00</v>
      </c>
      <c r="AO125" s="52" t="str">
        <f t="shared" si="13"/>
        <v>00</v>
      </c>
      <c r="AQ125" t="str">
        <f t="shared" si="8"/>
        <v xml:space="preserve">    (U4)0x00000036U,                                                           /* 54 UNKNOWN                                         */</v>
      </c>
    </row>
    <row r="126" spans="2:43">
      <c r="B126" s="124"/>
      <c r="C126" s="37">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37" t="str">
        <f t="shared" si="7"/>
        <v>UNKNOWN</v>
      </c>
      <c r="AK126" s="50"/>
      <c r="AL126" s="50" t="str">
        <f t="shared" si="10"/>
        <v>37</v>
      </c>
      <c r="AM126" s="52" t="str">
        <f t="shared" si="11"/>
        <v>00</v>
      </c>
      <c r="AN126" s="52" t="str">
        <f t="shared" si="12"/>
        <v>00</v>
      </c>
      <c r="AO126" s="52" t="str">
        <f t="shared" si="13"/>
        <v>00</v>
      </c>
      <c r="AQ126" t="str">
        <f t="shared" si="8"/>
        <v xml:space="preserve">    (U4)0x00000037U,                                                           /* 55 UNKNOWN                                         */</v>
      </c>
    </row>
    <row r="127" spans="2:43">
      <c r="B127" s="124"/>
      <c r="C127" s="37">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37" t="str">
        <f t="shared" si="7"/>
        <v>UNKNOWN</v>
      </c>
      <c r="AK127" s="50"/>
      <c r="AL127" s="50" t="str">
        <f t="shared" si="10"/>
        <v>38</v>
      </c>
      <c r="AM127" s="52" t="str">
        <f t="shared" si="11"/>
        <v>00</v>
      </c>
      <c r="AN127" s="52" t="str">
        <f t="shared" si="12"/>
        <v>00</v>
      </c>
      <c r="AO127" s="52" t="str">
        <f t="shared" si="13"/>
        <v>00</v>
      </c>
      <c r="AQ127" t="str">
        <f t="shared" si="8"/>
        <v xml:space="preserve">    (U4)0x00000038U,                                                           /* 56 UNKNOWN                                         */</v>
      </c>
    </row>
    <row r="128" spans="2:43">
      <c r="B128" s="124"/>
      <c r="C128" s="37">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37" t="str">
        <f t="shared" si="7"/>
        <v>UNKNOWN</v>
      </c>
      <c r="AK128" s="50"/>
      <c r="AL128" s="50" t="str">
        <f t="shared" si="10"/>
        <v>39</v>
      </c>
      <c r="AM128" s="52" t="str">
        <f t="shared" si="11"/>
        <v>00</v>
      </c>
      <c r="AN128" s="52" t="str">
        <f t="shared" si="12"/>
        <v>00</v>
      </c>
      <c r="AO128" s="52" t="str">
        <f t="shared" si="13"/>
        <v>00</v>
      </c>
      <c r="AQ128" t="str">
        <f t="shared" si="8"/>
        <v xml:space="preserve">    (U4)0x00000039U,                                                           /* 57 UNKNOWN                                         */</v>
      </c>
    </row>
    <row r="129" spans="1:43">
      <c r="B129" s="124"/>
      <c r="C129" s="37">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37" t="str">
        <f t="shared" si="7"/>
        <v>UNKNOWN</v>
      </c>
      <c r="AK129" s="50"/>
      <c r="AL129" s="50" t="str">
        <f t="shared" si="10"/>
        <v>3A</v>
      </c>
      <c r="AM129" s="52" t="str">
        <f t="shared" si="11"/>
        <v>00</v>
      </c>
      <c r="AN129" s="52" t="str">
        <f t="shared" si="12"/>
        <v>00</v>
      </c>
      <c r="AO129" s="52" t="str">
        <f t="shared" si="13"/>
        <v>00</v>
      </c>
      <c r="AQ129" t="str">
        <f t="shared" si="8"/>
        <v xml:space="preserve">    (U4)0x0000003AU,                                                           /* 58 UNKNOWN                                         */</v>
      </c>
    </row>
    <row r="130" spans="1:43">
      <c r="B130" s="124"/>
      <c r="C130" s="37">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37" t="str">
        <f t="shared" si="7"/>
        <v>UNKNOWN</v>
      </c>
      <c r="AK130" s="50"/>
      <c r="AL130" s="50" t="str">
        <f t="shared" si="10"/>
        <v>3B</v>
      </c>
      <c r="AM130" s="52" t="str">
        <f t="shared" si="11"/>
        <v>00</v>
      </c>
      <c r="AN130" s="52" t="str">
        <f t="shared" si="12"/>
        <v>00</v>
      </c>
      <c r="AO130" s="52" t="str">
        <f t="shared" si="13"/>
        <v>00</v>
      </c>
      <c r="AQ130" t="str">
        <f t="shared" si="8"/>
        <v xml:space="preserve">    (U4)0x0000003BU,                                                           /* 59 UNKNOWN                                         */</v>
      </c>
    </row>
    <row r="131" spans="1:43">
      <c r="B131" s="124"/>
      <c r="C131" s="37">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37" t="str">
        <f t="shared" si="7"/>
        <v>UNKNOWN</v>
      </c>
      <c r="AK131" s="50"/>
      <c r="AL131" s="50" t="str">
        <f t="shared" si="10"/>
        <v>3C</v>
      </c>
      <c r="AM131" s="52" t="str">
        <f t="shared" si="11"/>
        <v>00</v>
      </c>
      <c r="AN131" s="52" t="str">
        <f t="shared" si="12"/>
        <v>00</v>
      </c>
      <c r="AO131" s="52" t="str">
        <f t="shared" si="13"/>
        <v>00</v>
      </c>
      <c r="AQ131" t="str">
        <f t="shared" si="8"/>
        <v xml:space="preserve">    (U4)0x0000003CU,                                                           /* 60 UNKNOWN                                         */</v>
      </c>
    </row>
    <row r="132" spans="1:43">
      <c r="B132" s="124"/>
      <c r="C132" s="37">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37" t="str">
        <f t="shared" si="7"/>
        <v>UNKNOWN</v>
      </c>
      <c r="AK132" s="50"/>
      <c r="AL132" s="50" t="str">
        <f t="shared" si="10"/>
        <v>3D</v>
      </c>
      <c r="AM132" s="52" t="str">
        <f t="shared" si="11"/>
        <v>00</v>
      </c>
      <c r="AN132" s="52" t="str">
        <f t="shared" si="12"/>
        <v>00</v>
      </c>
      <c r="AO132" s="52" t="str">
        <f t="shared" si="13"/>
        <v>00</v>
      </c>
      <c r="AQ132" t="str">
        <f t="shared" si="8"/>
        <v xml:space="preserve">    (U4)0x0000003DU,                                                           /* 61 UNKNOWN                                         */</v>
      </c>
    </row>
    <row r="133" spans="1:43">
      <c r="B133" s="124"/>
      <c r="C133" s="37">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37" t="str">
        <f t="shared" si="7"/>
        <v>UNKNOWN</v>
      </c>
      <c r="AK133" s="50"/>
      <c r="AL133" s="50" t="str">
        <f t="shared" si="10"/>
        <v>3E</v>
      </c>
      <c r="AM133" s="52" t="str">
        <f t="shared" si="11"/>
        <v>00</v>
      </c>
      <c r="AN133" s="52" t="str">
        <f t="shared" si="12"/>
        <v>00</v>
      </c>
      <c r="AO133" s="52" t="str">
        <f t="shared" si="13"/>
        <v>00</v>
      </c>
      <c r="AQ133" t="str">
        <f t="shared" si="8"/>
        <v xml:space="preserve">    (U4)0x0000003EU,                                                           /* 62 UNKNOWN                                         */</v>
      </c>
    </row>
    <row r="134" spans="1:43">
      <c r="B134" s="125"/>
      <c r="C134" s="37">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37" t="str">
        <f t="shared" si="7"/>
        <v>UNKNOWN</v>
      </c>
      <c r="AK134" s="50"/>
      <c r="AL134" s="50" t="str">
        <f t="shared" si="10"/>
        <v>3F</v>
      </c>
      <c r="AM134" s="52" t="str">
        <f t="shared" si="11"/>
        <v>00</v>
      </c>
      <c r="AN134" s="52" t="str">
        <f t="shared" si="12"/>
        <v>00</v>
      </c>
      <c r="AO134" s="52" t="str">
        <f t="shared" si="13"/>
        <v>00</v>
      </c>
      <c r="AQ134" t="str">
        <f t="shared" si="8"/>
        <v xml:space="preserve">    (U4)0x0000003FU                                                            /* 63 UNKNOWN                                         */</v>
      </c>
    </row>
    <row r="135" spans="1:43">
      <c r="A135" s="46" t="s">
        <v>64</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6" t="str">
        <f ca="1">IF(B6&lt;&gt;"",B6,"")</f>
        <v>Table D_SECDDC</v>
      </c>
      <c r="C136" s="37">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37" t="str">
        <f t="shared" ref="AJ136:AJ199" si="30">IF(AJ6&lt;&gt;"",AJ6,"")</f>
        <v>UNKNOWN</v>
      </c>
      <c r="AK136" s="50"/>
      <c r="AL136" s="50" t="str">
        <f>BIN2HEX(AB136&amp;AC136&amp;AD136&amp;AE136&amp;AF136&amp;AG136&amp;AH136&amp;AI136,2)</f>
        <v>3F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4"/>
      <c r="C137" s="37">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37" t="str">
        <f t="shared" si="30"/>
        <v>UNKNOWN</v>
      </c>
      <c r="AK137" s="50"/>
      <c r="AL137" s="50" t="str">
        <f t="shared" ref="AL137:AL199" si="33">BIN2HEX(AB137&amp;AC137&amp;AD137&amp;AE137&amp;AF137&amp;AG137&amp;AH137&amp;AI137,2)</f>
        <v>3F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(U4)0x0000003FU,                                                           /* 01 UNKNOWN                                         */</v>
      </c>
    </row>
    <row r="138" spans="1:43">
      <c r="B138" s="124"/>
      <c r="C138" s="37">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37" t="str">
        <f t="shared" si="30"/>
        <v>UNKNOWN</v>
      </c>
      <c r="AK138" s="50"/>
      <c r="AL138" s="50" t="str">
        <f t="shared" si="33"/>
        <v>3F</v>
      </c>
      <c r="AM138" s="52" t="str">
        <f t="shared" si="34"/>
        <v>00</v>
      </c>
      <c r="AN138" s="52" t="str">
        <f t="shared" si="35"/>
        <v>00</v>
      </c>
      <c r="AO138" s="52" t="str">
        <f t="shared" si="36"/>
        <v>00</v>
      </c>
      <c r="AQ138" t="str">
        <f t="shared" si="31"/>
        <v xml:space="preserve">    (U4)0x0000003FU,                                                           /* 02 UNKNOWN                                         */</v>
      </c>
    </row>
    <row r="139" spans="1:43">
      <c r="B139" s="124"/>
      <c r="C139" s="37">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37" t="str">
        <f t="shared" si="30"/>
        <v>UNKNOWN</v>
      </c>
      <c r="AK139" s="50"/>
      <c r="AL139" s="50" t="str">
        <f t="shared" si="33"/>
        <v>3F</v>
      </c>
      <c r="AM139" s="52" t="str">
        <f t="shared" si="34"/>
        <v>00</v>
      </c>
      <c r="AN139" s="52" t="str">
        <f t="shared" si="35"/>
        <v>00</v>
      </c>
      <c r="AO139" s="52" t="str">
        <f t="shared" si="36"/>
        <v>00</v>
      </c>
      <c r="AQ139" t="str">
        <f t="shared" si="31"/>
        <v xml:space="preserve">    (U4)0x0000003FU,                                                           /* 03 UNKNOWN                                         */</v>
      </c>
    </row>
    <row r="140" spans="1:43">
      <c r="B140" s="124"/>
      <c r="C140" s="37">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37" t="str">
        <f t="shared" si="30"/>
        <v>UNKNOWN</v>
      </c>
      <c r="AK140" s="50"/>
      <c r="AL140" s="50" t="str">
        <f t="shared" si="33"/>
        <v>3F</v>
      </c>
      <c r="AM140" s="52" t="str">
        <f t="shared" si="34"/>
        <v>00</v>
      </c>
      <c r="AN140" s="52" t="str">
        <f t="shared" si="35"/>
        <v>00</v>
      </c>
      <c r="AO140" s="52" t="str">
        <f t="shared" si="36"/>
        <v>00</v>
      </c>
      <c r="AQ140" t="str">
        <f t="shared" si="31"/>
        <v xml:space="preserve">    (U4)0x0000003FU,                                                           /* 04 UNKNOWN                                         */</v>
      </c>
    </row>
    <row r="141" spans="1:43">
      <c r="B141" s="124"/>
      <c r="C141" s="37">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37" t="str">
        <f t="shared" si="30"/>
        <v>UNKNOWN</v>
      </c>
      <c r="AK141" s="50"/>
      <c r="AL141" s="50" t="str">
        <f t="shared" si="33"/>
        <v>3F</v>
      </c>
      <c r="AM141" s="52" t="str">
        <f t="shared" si="34"/>
        <v>00</v>
      </c>
      <c r="AN141" s="52" t="str">
        <f t="shared" si="35"/>
        <v>00</v>
      </c>
      <c r="AO141" s="52" t="str">
        <f t="shared" si="36"/>
        <v>00</v>
      </c>
      <c r="AQ141" t="str">
        <f t="shared" si="31"/>
        <v xml:space="preserve">    (U4)0x0000003FU,                                                           /* 05 UNKNOWN                                         */</v>
      </c>
    </row>
    <row r="142" spans="1:43">
      <c r="B142" s="124"/>
      <c r="C142" s="37">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37" t="str">
        <f t="shared" si="30"/>
        <v>UNKNOWN</v>
      </c>
      <c r="AK142" s="50"/>
      <c r="AL142" s="50" t="str">
        <f t="shared" si="33"/>
        <v>3F</v>
      </c>
      <c r="AM142" s="52" t="str">
        <f t="shared" si="34"/>
        <v>00</v>
      </c>
      <c r="AN142" s="52" t="str">
        <f t="shared" si="35"/>
        <v>00</v>
      </c>
      <c r="AO142" s="52" t="str">
        <f t="shared" si="36"/>
        <v>00</v>
      </c>
      <c r="AQ142" t="str">
        <f t="shared" si="31"/>
        <v xml:space="preserve">    (U4)0x0000003FU,                                                           /* 06 UNKNOWN                                         */</v>
      </c>
    </row>
    <row r="143" spans="1:43">
      <c r="B143" s="124"/>
      <c r="C143" s="37">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37" t="str">
        <f t="shared" si="30"/>
        <v>UNKNOWN</v>
      </c>
      <c r="AK143" s="50"/>
      <c r="AL143" s="50" t="str">
        <f t="shared" si="33"/>
        <v>3F</v>
      </c>
      <c r="AM143" s="52" t="str">
        <f t="shared" si="34"/>
        <v>00</v>
      </c>
      <c r="AN143" s="52" t="str">
        <f t="shared" si="35"/>
        <v>00</v>
      </c>
      <c r="AO143" s="52" t="str">
        <f t="shared" si="36"/>
        <v>00</v>
      </c>
      <c r="AQ143" t="str">
        <f t="shared" si="31"/>
        <v xml:space="preserve">    (U4)0x0000003FU,                                                           /* 07 UNKNOWN                                         */</v>
      </c>
    </row>
    <row r="144" spans="1:43">
      <c r="B144" s="124"/>
      <c r="C144" s="37">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37" t="str">
        <f t="shared" si="30"/>
        <v>UNKNOWN</v>
      </c>
      <c r="AK144" s="50"/>
      <c r="AL144" s="50" t="str">
        <f t="shared" si="33"/>
        <v>3F</v>
      </c>
      <c r="AM144" s="52" t="str">
        <f t="shared" si="34"/>
        <v>00</v>
      </c>
      <c r="AN144" s="52" t="str">
        <f t="shared" si="35"/>
        <v>00</v>
      </c>
      <c r="AO144" s="52" t="str">
        <f t="shared" si="36"/>
        <v>00</v>
      </c>
      <c r="AQ144" t="str">
        <f t="shared" si="31"/>
        <v xml:space="preserve">    (U4)0x0000003FU,                                                           /* 08 UNKNOWN                                         */</v>
      </c>
    </row>
    <row r="145" spans="2:43">
      <c r="B145" s="124"/>
      <c r="C145" s="37">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37" t="str">
        <f t="shared" si="30"/>
        <v>UNKNOWN</v>
      </c>
      <c r="AK145" s="50"/>
      <c r="AL145" s="50" t="str">
        <f t="shared" si="33"/>
        <v>3F</v>
      </c>
      <c r="AM145" s="52" t="str">
        <f t="shared" si="34"/>
        <v>00</v>
      </c>
      <c r="AN145" s="52" t="str">
        <f t="shared" si="35"/>
        <v>00</v>
      </c>
      <c r="AO145" s="52" t="str">
        <f t="shared" si="36"/>
        <v>00</v>
      </c>
      <c r="AQ145" t="str">
        <f t="shared" si="31"/>
        <v xml:space="preserve">    (U4)0x0000003FU,                                                           /* 09 UNKNOWN                                         */</v>
      </c>
    </row>
    <row r="146" spans="2:43">
      <c r="B146" s="124"/>
      <c r="C146" s="37">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37" t="str">
        <f t="shared" si="30"/>
        <v>UNKNOWN</v>
      </c>
      <c r="AK146" s="50"/>
      <c r="AL146" s="50" t="str">
        <f t="shared" si="33"/>
        <v>3F</v>
      </c>
      <c r="AM146" s="52" t="str">
        <f t="shared" si="34"/>
        <v>00</v>
      </c>
      <c r="AN146" s="52" t="str">
        <f t="shared" si="35"/>
        <v>00</v>
      </c>
      <c r="AO146" s="52" t="str">
        <f t="shared" si="36"/>
        <v>00</v>
      </c>
      <c r="AQ146" t="str">
        <f t="shared" si="31"/>
        <v xml:space="preserve">    (U4)0x0000003FU,                                                           /* 10 UNKNOWN                                         */</v>
      </c>
    </row>
    <row r="147" spans="2:43">
      <c r="B147" s="124"/>
      <c r="C147" s="37">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37" t="str">
        <f t="shared" si="30"/>
        <v>UNKNOWN</v>
      </c>
      <c r="AK147" s="50"/>
      <c r="AL147" s="50" t="str">
        <f t="shared" si="33"/>
        <v>3F</v>
      </c>
      <c r="AM147" s="52" t="str">
        <f t="shared" si="34"/>
        <v>00</v>
      </c>
      <c r="AN147" s="52" t="str">
        <f t="shared" si="35"/>
        <v>00</v>
      </c>
      <c r="AO147" s="52" t="str">
        <f t="shared" si="36"/>
        <v>00</v>
      </c>
      <c r="AQ147" t="str">
        <f t="shared" si="31"/>
        <v xml:space="preserve">    (U4)0x0000003FU,                                                           /* 11 UNKNOWN                                         */</v>
      </c>
    </row>
    <row r="148" spans="2:43">
      <c r="B148" s="124"/>
      <c r="C148" s="37">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37" t="str">
        <f t="shared" si="30"/>
        <v>UNKNOWN</v>
      </c>
      <c r="AK148" s="50"/>
      <c r="AL148" s="50" t="str">
        <f t="shared" si="33"/>
        <v>3F</v>
      </c>
      <c r="AM148" s="52" t="str">
        <f t="shared" si="34"/>
        <v>00</v>
      </c>
      <c r="AN148" s="52" t="str">
        <f t="shared" si="35"/>
        <v>00</v>
      </c>
      <c r="AO148" s="52" t="str">
        <f t="shared" si="36"/>
        <v>00</v>
      </c>
      <c r="AQ148" t="str">
        <f t="shared" si="31"/>
        <v xml:space="preserve">    (U4)0x0000003FU,                                                           /* 12 UNKNOWN                                         */</v>
      </c>
    </row>
    <row r="149" spans="2:43">
      <c r="B149" s="124"/>
      <c r="C149" s="37">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37" t="str">
        <f t="shared" si="30"/>
        <v>UNKNOWN</v>
      </c>
      <c r="AK149" s="50"/>
      <c r="AL149" s="50" t="str">
        <f t="shared" si="33"/>
        <v>3F</v>
      </c>
      <c r="AM149" s="52" t="str">
        <f t="shared" si="34"/>
        <v>00</v>
      </c>
      <c r="AN149" s="52" t="str">
        <f t="shared" si="35"/>
        <v>00</v>
      </c>
      <c r="AO149" s="52" t="str">
        <f t="shared" si="36"/>
        <v>00</v>
      </c>
      <c r="AQ149" t="str">
        <f t="shared" si="31"/>
        <v xml:space="preserve">    (U4)0x0000003FU,                                                           /* 13 UNKNOWN                                         */</v>
      </c>
    </row>
    <row r="150" spans="2:43">
      <c r="B150" s="124"/>
      <c r="C150" s="37">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37" t="str">
        <f t="shared" si="30"/>
        <v>UNKNOWN</v>
      </c>
      <c r="AK150" s="50"/>
      <c r="AL150" s="50" t="str">
        <f t="shared" si="33"/>
        <v>3F</v>
      </c>
      <c r="AM150" s="52" t="str">
        <f t="shared" si="34"/>
        <v>00</v>
      </c>
      <c r="AN150" s="52" t="str">
        <f t="shared" si="35"/>
        <v>00</v>
      </c>
      <c r="AO150" s="52" t="str">
        <f t="shared" si="36"/>
        <v>00</v>
      </c>
      <c r="AQ150" t="str">
        <f t="shared" si="31"/>
        <v xml:space="preserve">    (U4)0x0000003FU,                                                           /* 14 UNKNOWN                                         */</v>
      </c>
    </row>
    <row r="151" spans="2:43">
      <c r="B151" s="124"/>
      <c r="C151" s="37">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37" t="str">
        <f t="shared" si="30"/>
        <v>UNKNOWN</v>
      </c>
      <c r="AK151" s="50"/>
      <c r="AL151" s="50" t="str">
        <f t="shared" si="33"/>
        <v>3F</v>
      </c>
      <c r="AM151" s="52" t="str">
        <f t="shared" si="34"/>
        <v>00</v>
      </c>
      <c r="AN151" s="52" t="str">
        <f t="shared" si="35"/>
        <v>00</v>
      </c>
      <c r="AO151" s="52" t="str">
        <f t="shared" si="36"/>
        <v>00</v>
      </c>
      <c r="AQ151" t="str">
        <f t="shared" si="31"/>
        <v xml:space="preserve">    (U4)0x0000003FU,                                                           /* 15 UNKNOWN                                         */</v>
      </c>
    </row>
    <row r="152" spans="2:43">
      <c r="B152" s="124"/>
      <c r="C152" s="37">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37" t="str">
        <f t="shared" si="30"/>
        <v>UNKNOWN</v>
      </c>
      <c r="AK152" s="50"/>
      <c r="AL152" s="50" t="str">
        <f t="shared" si="33"/>
        <v>3F</v>
      </c>
      <c r="AM152" s="52" t="str">
        <f t="shared" si="34"/>
        <v>00</v>
      </c>
      <c r="AN152" s="52" t="str">
        <f t="shared" si="35"/>
        <v>00</v>
      </c>
      <c r="AO152" s="52" t="str">
        <f t="shared" si="36"/>
        <v>00</v>
      </c>
      <c r="AQ152" t="str">
        <f t="shared" si="31"/>
        <v xml:space="preserve">    (U4)0x0000003FU,                                                           /* 16 UNKNOWN                                         */</v>
      </c>
    </row>
    <row r="153" spans="2:43">
      <c r="B153" s="124"/>
      <c r="C153" s="37">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37" t="str">
        <f t="shared" si="30"/>
        <v>UNKNOWN</v>
      </c>
      <c r="AK153" s="50"/>
      <c r="AL153" s="50" t="str">
        <f t="shared" si="33"/>
        <v>3F</v>
      </c>
      <c r="AM153" s="52" t="str">
        <f t="shared" si="34"/>
        <v>00</v>
      </c>
      <c r="AN153" s="52" t="str">
        <f t="shared" si="35"/>
        <v>00</v>
      </c>
      <c r="AO153" s="52" t="str">
        <f t="shared" si="36"/>
        <v>00</v>
      </c>
      <c r="AQ153" t="str">
        <f t="shared" si="31"/>
        <v xml:space="preserve">    (U4)0x0000003FU,                                                           /* 17 UNKNOWN                                         */</v>
      </c>
    </row>
    <row r="154" spans="2:43">
      <c r="B154" s="124"/>
      <c r="C154" s="37">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37" t="str">
        <f t="shared" si="30"/>
        <v>UNKNOWN</v>
      </c>
      <c r="AK154" s="50"/>
      <c r="AL154" s="50" t="str">
        <f t="shared" si="33"/>
        <v>3F</v>
      </c>
      <c r="AM154" s="52" t="str">
        <f t="shared" si="34"/>
        <v>00</v>
      </c>
      <c r="AN154" s="52" t="str">
        <f t="shared" si="35"/>
        <v>00</v>
      </c>
      <c r="AO154" s="52" t="str">
        <f t="shared" si="36"/>
        <v>00</v>
      </c>
      <c r="AQ154" t="str">
        <f t="shared" si="31"/>
        <v xml:space="preserve">    (U4)0x0000003FU,                                                           /* 18 UNKNOWN                                         */</v>
      </c>
    </row>
    <row r="155" spans="2:43">
      <c r="B155" s="124"/>
      <c r="C155" s="37">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37" t="str">
        <f t="shared" si="30"/>
        <v>UNKNOWN</v>
      </c>
      <c r="AK155" s="50"/>
      <c r="AL155" s="50" t="str">
        <f t="shared" si="33"/>
        <v>3F</v>
      </c>
      <c r="AM155" s="52" t="str">
        <f t="shared" si="34"/>
        <v>00</v>
      </c>
      <c r="AN155" s="52" t="str">
        <f t="shared" si="35"/>
        <v>00</v>
      </c>
      <c r="AO155" s="52" t="str">
        <f t="shared" si="36"/>
        <v>00</v>
      </c>
      <c r="AQ155" t="str">
        <f t="shared" si="31"/>
        <v xml:space="preserve">    (U4)0x0000003FU,                                                           /* 19 UNKNOWN                                         */</v>
      </c>
    </row>
    <row r="156" spans="2:43">
      <c r="B156" s="124"/>
      <c r="C156" s="37">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37" t="str">
        <f t="shared" si="30"/>
        <v>UNKNOWN</v>
      </c>
      <c r="AK156" s="50"/>
      <c r="AL156" s="50" t="str">
        <f t="shared" si="33"/>
        <v>3F</v>
      </c>
      <c r="AM156" s="52" t="str">
        <f t="shared" si="34"/>
        <v>00</v>
      </c>
      <c r="AN156" s="52" t="str">
        <f t="shared" si="35"/>
        <v>00</v>
      </c>
      <c r="AO156" s="52" t="str">
        <f t="shared" si="36"/>
        <v>00</v>
      </c>
      <c r="AQ156" t="str">
        <f t="shared" si="31"/>
        <v xml:space="preserve">    (U4)0x0000003FU,                                                           /* 20 UNKNOWN                                         */</v>
      </c>
    </row>
    <row r="157" spans="2:43">
      <c r="B157" s="124"/>
      <c r="C157" s="37">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37" t="str">
        <f t="shared" si="30"/>
        <v>UNKNOWN</v>
      </c>
      <c r="AK157" s="50"/>
      <c r="AL157" s="50" t="str">
        <f t="shared" si="33"/>
        <v>3F</v>
      </c>
      <c r="AM157" s="52" t="str">
        <f t="shared" si="34"/>
        <v>00</v>
      </c>
      <c r="AN157" s="52" t="str">
        <f t="shared" si="35"/>
        <v>00</v>
      </c>
      <c r="AO157" s="52" t="str">
        <f t="shared" si="36"/>
        <v>00</v>
      </c>
      <c r="AQ157" t="str">
        <f t="shared" si="31"/>
        <v xml:space="preserve">    (U4)0x0000003FU,                                                           /* 21 UNKNOWN                                         */</v>
      </c>
    </row>
    <row r="158" spans="2:43">
      <c r="B158" s="124"/>
      <c r="C158" s="37">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37" t="str">
        <f t="shared" si="30"/>
        <v>UNKNOWN</v>
      </c>
      <c r="AK158" s="50"/>
      <c r="AL158" s="50" t="str">
        <f t="shared" si="33"/>
        <v>3F</v>
      </c>
      <c r="AM158" s="52" t="str">
        <f t="shared" si="34"/>
        <v>00</v>
      </c>
      <c r="AN158" s="52" t="str">
        <f t="shared" si="35"/>
        <v>00</v>
      </c>
      <c r="AO158" s="52" t="str">
        <f t="shared" si="36"/>
        <v>00</v>
      </c>
      <c r="AQ158" t="str">
        <f t="shared" si="31"/>
        <v xml:space="preserve">    (U4)0x0000003FU,                                                           /* 22 UNKNOWN                                         */</v>
      </c>
    </row>
    <row r="159" spans="2:43">
      <c r="B159" s="124"/>
      <c r="C159" s="37">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37" t="str">
        <f t="shared" si="30"/>
        <v>UNKNOWN</v>
      </c>
      <c r="AK159" s="50"/>
      <c r="AL159" s="50" t="str">
        <f t="shared" si="33"/>
        <v>3F</v>
      </c>
      <c r="AM159" s="52" t="str">
        <f t="shared" si="34"/>
        <v>00</v>
      </c>
      <c r="AN159" s="52" t="str">
        <f t="shared" si="35"/>
        <v>00</v>
      </c>
      <c r="AO159" s="52" t="str">
        <f t="shared" si="36"/>
        <v>00</v>
      </c>
      <c r="AQ159" t="str">
        <f t="shared" si="31"/>
        <v xml:space="preserve">    (U4)0x0000003FU,                                                           /* 23 UNKNOWN                                         */</v>
      </c>
    </row>
    <row r="160" spans="2:43">
      <c r="B160" s="124"/>
      <c r="C160" s="37">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37" t="str">
        <f t="shared" si="30"/>
        <v>UNKNOWN</v>
      </c>
      <c r="AK160" s="50"/>
      <c r="AL160" s="50" t="str">
        <f t="shared" si="33"/>
        <v>3F</v>
      </c>
      <c r="AM160" s="52" t="str">
        <f t="shared" si="34"/>
        <v>00</v>
      </c>
      <c r="AN160" s="52" t="str">
        <f t="shared" si="35"/>
        <v>00</v>
      </c>
      <c r="AO160" s="52" t="str">
        <f t="shared" si="36"/>
        <v>00</v>
      </c>
      <c r="AQ160" t="str">
        <f t="shared" si="31"/>
        <v xml:space="preserve">    (U4)0x0000003FU,                                                           /* 24 UNKNOWN                                         */</v>
      </c>
    </row>
    <row r="161" spans="2:43">
      <c r="B161" s="124"/>
      <c r="C161" s="37">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37" t="str">
        <f t="shared" si="30"/>
        <v>UNKNOWN</v>
      </c>
      <c r="AK161" s="50"/>
      <c r="AL161" s="50" t="str">
        <f t="shared" si="33"/>
        <v>3F</v>
      </c>
      <c r="AM161" s="52" t="str">
        <f t="shared" si="34"/>
        <v>00</v>
      </c>
      <c r="AN161" s="52" t="str">
        <f t="shared" si="35"/>
        <v>00</v>
      </c>
      <c r="AO161" s="52" t="str">
        <f t="shared" si="36"/>
        <v>00</v>
      </c>
      <c r="AQ161" t="str">
        <f t="shared" si="31"/>
        <v xml:space="preserve">    (U4)0x0000003FU,                                                           /* 25 UNKNOWN                                         */</v>
      </c>
    </row>
    <row r="162" spans="2:43">
      <c r="B162" s="124"/>
      <c r="C162" s="37">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37" t="str">
        <f t="shared" si="30"/>
        <v>UNKNOWN</v>
      </c>
      <c r="AK162" s="50"/>
      <c r="AL162" s="50" t="str">
        <f t="shared" si="33"/>
        <v>3F</v>
      </c>
      <c r="AM162" s="52" t="str">
        <f t="shared" si="34"/>
        <v>00</v>
      </c>
      <c r="AN162" s="52" t="str">
        <f t="shared" si="35"/>
        <v>00</v>
      </c>
      <c r="AO162" s="52" t="str">
        <f t="shared" si="36"/>
        <v>00</v>
      </c>
      <c r="AQ162" t="str">
        <f t="shared" si="31"/>
        <v xml:space="preserve">    (U4)0x0000003FU,                                                           /* 26 UNKNOWN                                         */</v>
      </c>
    </row>
    <row r="163" spans="2:43">
      <c r="B163" s="124"/>
      <c r="C163" s="37">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37" t="str">
        <f t="shared" si="30"/>
        <v>UNKNOWN</v>
      </c>
      <c r="AK163" s="50"/>
      <c r="AL163" s="50" t="str">
        <f t="shared" si="33"/>
        <v>3F</v>
      </c>
      <c r="AM163" s="52" t="str">
        <f t="shared" si="34"/>
        <v>00</v>
      </c>
      <c r="AN163" s="52" t="str">
        <f t="shared" si="35"/>
        <v>00</v>
      </c>
      <c r="AO163" s="52" t="str">
        <f t="shared" si="36"/>
        <v>00</v>
      </c>
      <c r="AQ163" t="str">
        <f t="shared" si="31"/>
        <v xml:space="preserve">    (U4)0x0000003FU,                                                           /* 27 UNKNOWN                                         */</v>
      </c>
    </row>
    <row r="164" spans="2:43">
      <c r="B164" s="124"/>
      <c r="C164" s="37">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37" t="str">
        <f t="shared" si="30"/>
        <v>UNKNOWN</v>
      </c>
      <c r="AK164" s="50"/>
      <c r="AL164" s="50" t="str">
        <f t="shared" si="33"/>
        <v>3F</v>
      </c>
      <c r="AM164" s="52" t="str">
        <f t="shared" si="34"/>
        <v>00</v>
      </c>
      <c r="AN164" s="52" t="str">
        <f t="shared" si="35"/>
        <v>00</v>
      </c>
      <c r="AO164" s="52" t="str">
        <f t="shared" si="36"/>
        <v>00</v>
      </c>
      <c r="AQ164" t="str">
        <f t="shared" si="31"/>
        <v xml:space="preserve">    (U4)0x0000003FU,                                                           /* 28 UNKNOWN                                         */</v>
      </c>
    </row>
    <row r="165" spans="2:43">
      <c r="B165" s="124"/>
      <c r="C165" s="37">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37" t="str">
        <f t="shared" si="30"/>
        <v>UNKNOWN</v>
      </c>
      <c r="AK165" s="50"/>
      <c r="AL165" s="50" t="str">
        <f t="shared" si="33"/>
        <v>3F</v>
      </c>
      <c r="AM165" s="52" t="str">
        <f t="shared" si="34"/>
        <v>00</v>
      </c>
      <c r="AN165" s="52" t="str">
        <f t="shared" si="35"/>
        <v>00</v>
      </c>
      <c r="AO165" s="52" t="str">
        <f t="shared" si="36"/>
        <v>00</v>
      </c>
      <c r="AQ165" t="str">
        <f t="shared" si="31"/>
        <v xml:space="preserve">    (U4)0x0000003FU,                                                           /* 29 UNKNOWN                                         */</v>
      </c>
    </row>
    <row r="166" spans="2:43">
      <c r="B166" s="124"/>
      <c r="C166" s="37">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37" t="str">
        <f t="shared" si="30"/>
        <v>UNKNOWN</v>
      </c>
      <c r="AK166" s="50"/>
      <c r="AL166" s="50" t="str">
        <f t="shared" si="33"/>
        <v>3F</v>
      </c>
      <c r="AM166" s="52" t="str">
        <f t="shared" si="34"/>
        <v>00</v>
      </c>
      <c r="AN166" s="52" t="str">
        <f t="shared" si="35"/>
        <v>00</v>
      </c>
      <c r="AO166" s="52" t="str">
        <f t="shared" si="36"/>
        <v>00</v>
      </c>
      <c r="AQ166" t="str">
        <f t="shared" si="31"/>
        <v xml:space="preserve">    (U4)0x0000003FU,                                                           /* 30 UNKNOWN                                         */</v>
      </c>
    </row>
    <row r="167" spans="2:43">
      <c r="B167" s="124"/>
      <c r="C167" s="37">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37" t="str">
        <f t="shared" si="30"/>
        <v>UNKNOWN</v>
      </c>
      <c r="AK167" s="50"/>
      <c r="AL167" s="50" t="str">
        <f t="shared" si="33"/>
        <v>3F</v>
      </c>
      <c r="AM167" s="52" t="str">
        <f t="shared" si="34"/>
        <v>00</v>
      </c>
      <c r="AN167" s="52" t="str">
        <f t="shared" si="35"/>
        <v>00</v>
      </c>
      <c r="AO167" s="52" t="str">
        <f t="shared" si="36"/>
        <v>00</v>
      </c>
      <c r="AQ167" t="str">
        <f t="shared" si="31"/>
        <v xml:space="preserve">    (U4)0x0000003FU,                                                           /* 31 UNKNOWN                                         */</v>
      </c>
    </row>
    <row r="168" spans="2:43">
      <c r="B168" s="124"/>
      <c r="C168" s="37">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37" t="str">
        <f t="shared" si="30"/>
        <v>UNKNOWN</v>
      </c>
      <c r="AK168" s="50"/>
      <c r="AL168" s="50" t="str">
        <f t="shared" si="33"/>
        <v>3F</v>
      </c>
      <c r="AM168" s="52" t="str">
        <f t="shared" si="34"/>
        <v>00</v>
      </c>
      <c r="AN168" s="52" t="str">
        <f t="shared" si="35"/>
        <v>00</v>
      </c>
      <c r="AO168" s="52" t="str">
        <f t="shared" si="36"/>
        <v>00</v>
      </c>
      <c r="AQ168" t="str">
        <f t="shared" si="31"/>
        <v xml:space="preserve">    (U4)0x0000003FU,                                                           /* 32 UNKNOWN                                         */</v>
      </c>
    </row>
    <row r="169" spans="2:43">
      <c r="B169" s="124"/>
      <c r="C169" s="37">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37" t="str">
        <f t="shared" si="30"/>
        <v>UNREGISTERED</v>
      </c>
      <c r="AK169" s="50"/>
      <c r="AL169" s="50" t="str">
        <f t="shared" si="33"/>
        <v>3F</v>
      </c>
      <c r="AM169" s="52" t="str">
        <f t="shared" si="34"/>
        <v>00</v>
      </c>
      <c r="AN169" s="52" t="str">
        <f t="shared" si="35"/>
        <v>00</v>
      </c>
      <c r="AO169" s="52" t="str">
        <f t="shared" si="36"/>
        <v>00</v>
      </c>
      <c r="AQ169" t="str">
        <f t="shared" si="31"/>
        <v xml:space="preserve">    (U4)0x0000003FU,                                                           /* 33 UNREGISTERED                                    */</v>
      </c>
    </row>
    <row r="170" spans="2:43">
      <c r="B170" s="124"/>
      <c r="C170" s="37">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37" t="str">
        <f t="shared" si="30"/>
        <v>UNKNOWN</v>
      </c>
      <c r="AK170" s="50"/>
      <c r="AL170" s="50" t="str">
        <f t="shared" si="33"/>
        <v>3F</v>
      </c>
      <c r="AM170" s="52" t="str">
        <f t="shared" si="34"/>
        <v>00</v>
      </c>
      <c r="AN170" s="52" t="str">
        <f t="shared" si="35"/>
        <v>00</v>
      </c>
      <c r="AO170" s="52" t="str">
        <f t="shared" si="36"/>
        <v>00</v>
      </c>
      <c r="AQ170" t="str">
        <f t="shared" si="31"/>
        <v xml:space="preserve">    (U4)0x0000003FU,                                                           /* 34 UNKNOWN                                         */</v>
      </c>
    </row>
    <row r="171" spans="2:43">
      <c r="B171" s="124"/>
      <c r="C171" s="37">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37" t="str">
        <f t="shared" si="30"/>
        <v>UNREGISTERED</v>
      </c>
      <c r="AK171" s="50"/>
      <c r="AL171" s="50" t="str">
        <f t="shared" si="33"/>
        <v>3F</v>
      </c>
      <c r="AM171" s="52" t="str">
        <f t="shared" si="34"/>
        <v>00</v>
      </c>
      <c r="AN171" s="52" t="str">
        <f t="shared" si="35"/>
        <v>00</v>
      </c>
      <c r="AO171" s="52" t="str">
        <f t="shared" si="36"/>
        <v>00</v>
      </c>
      <c r="AQ171" t="str">
        <f t="shared" si="31"/>
        <v xml:space="preserve">    (U4)0x0000003FU,                                                           /* 35 UNREGISTERED                                    */</v>
      </c>
    </row>
    <row r="172" spans="2:43">
      <c r="B172" s="124"/>
      <c r="C172" s="37">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37" t="str">
        <f t="shared" si="30"/>
        <v>UNKNOWN</v>
      </c>
      <c r="AK172" s="50"/>
      <c r="AL172" s="50" t="str">
        <f t="shared" si="33"/>
        <v>3F</v>
      </c>
      <c r="AM172" s="52" t="str">
        <f t="shared" si="34"/>
        <v>00</v>
      </c>
      <c r="AN172" s="52" t="str">
        <f t="shared" si="35"/>
        <v>00</v>
      </c>
      <c r="AO172" s="52" t="str">
        <f t="shared" si="36"/>
        <v>00</v>
      </c>
      <c r="AQ172" t="str">
        <f t="shared" si="31"/>
        <v xml:space="preserve">    (U4)0x0000003FU,                                                           /* 36 UNKNOWN                                         */</v>
      </c>
    </row>
    <row r="173" spans="2:43">
      <c r="B173" s="124"/>
      <c r="C173" s="37">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37" t="str">
        <f t="shared" si="30"/>
        <v>UNREGISTERED</v>
      </c>
      <c r="AK173" s="50"/>
      <c r="AL173" s="50" t="str">
        <f t="shared" si="33"/>
        <v>3F</v>
      </c>
      <c r="AM173" s="52" t="str">
        <f t="shared" si="34"/>
        <v>00</v>
      </c>
      <c r="AN173" s="52" t="str">
        <f t="shared" si="35"/>
        <v>00</v>
      </c>
      <c r="AO173" s="52" t="str">
        <f t="shared" si="36"/>
        <v>00</v>
      </c>
      <c r="AQ173" t="str">
        <f t="shared" si="31"/>
        <v xml:space="preserve">    (U4)0x0000003FU,                                                           /* 37 UNREGISTERED                                    */</v>
      </c>
    </row>
    <row r="174" spans="2:43">
      <c r="B174" s="124"/>
      <c r="C174" s="37">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37" t="str">
        <f t="shared" si="30"/>
        <v>UNKNOWN</v>
      </c>
      <c r="AK174" s="50"/>
      <c r="AL174" s="50" t="str">
        <f t="shared" si="33"/>
        <v>3F</v>
      </c>
      <c r="AM174" s="52" t="str">
        <f t="shared" si="34"/>
        <v>00</v>
      </c>
      <c r="AN174" s="52" t="str">
        <f t="shared" si="35"/>
        <v>00</v>
      </c>
      <c r="AO174" s="52" t="str">
        <f t="shared" si="36"/>
        <v>00</v>
      </c>
      <c r="AQ174" t="str">
        <f t="shared" si="31"/>
        <v xml:space="preserve">    (U4)0x0000003FU,                                                           /* 38 UNKNOWN                                         */</v>
      </c>
    </row>
    <row r="175" spans="2:43">
      <c r="B175" s="124"/>
      <c r="C175" s="37">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37" t="str">
        <f t="shared" si="30"/>
        <v>UNREGISTERED</v>
      </c>
      <c r="AK175" s="50"/>
      <c r="AL175" s="50" t="str">
        <f t="shared" si="33"/>
        <v>3F</v>
      </c>
      <c r="AM175" s="52" t="str">
        <f t="shared" si="34"/>
        <v>00</v>
      </c>
      <c r="AN175" s="52" t="str">
        <f t="shared" si="35"/>
        <v>00</v>
      </c>
      <c r="AO175" s="52" t="str">
        <f t="shared" si="36"/>
        <v>00</v>
      </c>
      <c r="AQ175" t="str">
        <f t="shared" si="31"/>
        <v xml:space="preserve">    (U4)0x0000003FU,                                                           /* 39 UNREGISTERED                                    */</v>
      </c>
    </row>
    <row r="176" spans="2:43">
      <c r="B176" s="124"/>
      <c r="C176" s="37">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37" t="str">
        <f t="shared" si="30"/>
        <v>UNKNOWN</v>
      </c>
      <c r="AK176" s="50"/>
      <c r="AL176" s="50" t="str">
        <f t="shared" si="33"/>
        <v>3F</v>
      </c>
      <c r="AM176" s="52" t="str">
        <f t="shared" si="34"/>
        <v>00</v>
      </c>
      <c r="AN176" s="52" t="str">
        <f t="shared" si="35"/>
        <v>00</v>
      </c>
      <c r="AO176" s="52" t="str">
        <f t="shared" si="36"/>
        <v>00</v>
      </c>
      <c r="AQ176" t="str">
        <f t="shared" si="31"/>
        <v xml:space="preserve">    (U4)0x0000003FU,                                                           /* 40 UNKNOWN                                         */</v>
      </c>
    </row>
    <row r="177" spans="2:43">
      <c r="B177" s="124"/>
      <c r="C177" s="37">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37" t="str">
        <f t="shared" si="30"/>
        <v>UNKNOWN</v>
      </c>
      <c r="AK177" s="50"/>
      <c r="AL177" s="50" t="str">
        <f t="shared" si="33"/>
        <v>3F</v>
      </c>
      <c r="AM177" s="52" t="str">
        <f t="shared" si="34"/>
        <v>00</v>
      </c>
      <c r="AN177" s="52" t="str">
        <f t="shared" si="35"/>
        <v>00</v>
      </c>
      <c r="AO177" s="52" t="str">
        <f t="shared" si="36"/>
        <v>00</v>
      </c>
      <c r="AQ177" t="str">
        <f t="shared" si="31"/>
        <v xml:space="preserve">    (U4)0x0000003FU,                                                           /* 41 UNKNOWN                                         */</v>
      </c>
    </row>
    <row r="178" spans="2:43">
      <c r="B178" s="124"/>
      <c r="C178" s="37">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37" t="str">
        <f t="shared" si="30"/>
        <v>UNKNOWN</v>
      </c>
      <c r="AK178" s="50"/>
      <c r="AL178" s="50" t="str">
        <f t="shared" si="33"/>
        <v>3F</v>
      </c>
      <c r="AM178" s="52" t="str">
        <f t="shared" si="34"/>
        <v>00</v>
      </c>
      <c r="AN178" s="52" t="str">
        <f t="shared" si="35"/>
        <v>00</v>
      </c>
      <c r="AO178" s="52" t="str">
        <f t="shared" si="36"/>
        <v>00</v>
      </c>
      <c r="AQ178" t="str">
        <f t="shared" si="31"/>
        <v xml:space="preserve">    (U4)0x0000003FU,                                                           /* 42 UNKNOWN                                         */</v>
      </c>
    </row>
    <row r="179" spans="2:43">
      <c r="B179" s="124"/>
      <c r="C179" s="37">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37" t="str">
        <f t="shared" si="30"/>
        <v>UNKNOWN</v>
      </c>
      <c r="AK179" s="50"/>
      <c r="AL179" s="50" t="str">
        <f t="shared" si="33"/>
        <v>3F</v>
      </c>
      <c r="AM179" s="52" t="str">
        <f t="shared" si="34"/>
        <v>00</v>
      </c>
      <c r="AN179" s="52" t="str">
        <f t="shared" si="35"/>
        <v>00</v>
      </c>
      <c r="AO179" s="52" t="str">
        <f t="shared" si="36"/>
        <v>00</v>
      </c>
      <c r="AQ179" t="str">
        <f t="shared" si="31"/>
        <v xml:space="preserve">    (U4)0x0000003FU,                                                           /* 43 UNKNOWN                                         */</v>
      </c>
    </row>
    <row r="180" spans="2:43">
      <c r="B180" s="124"/>
      <c r="C180" s="37">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37" t="str">
        <f t="shared" si="30"/>
        <v>UNKNOWN</v>
      </c>
      <c r="AK180" s="50"/>
      <c r="AL180" s="50" t="str">
        <f t="shared" si="33"/>
        <v>3F</v>
      </c>
      <c r="AM180" s="52" t="str">
        <f t="shared" si="34"/>
        <v>00</v>
      </c>
      <c r="AN180" s="52" t="str">
        <f t="shared" si="35"/>
        <v>00</v>
      </c>
      <c r="AO180" s="52" t="str">
        <f t="shared" si="36"/>
        <v>00</v>
      </c>
      <c r="AQ180" t="str">
        <f t="shared" si="31"/>
        <v xml:space="preserve">    (U4)0x0000003FU,                                                           /* 44 UNKNOWN                                         */</v>
      </c>
    </row>
    <row r="181" spans="2:43">
      <c r="B181" s="124"/>
      <c r="C181" s="37">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37" t="str">
        <f t="shared" si="30"/>
        <v>UNKNOWN</v>
      </c>
      <c r="AK181" s="50"/>
      <c r="AL181" s="50" t="str">
        <f t="shared" si="33"/>
        <v>3F</v>
      </c>
      <c r="AM181" s="52" t="str">
        <f t="shared" si="34"/>
        <v>00</v>
      </c>
      <c r="AN181" s="52" t="str">
        <f t="shared" si="35"/>
        <v>00</v>
      </c>
      <c r="AO181" s="52" t="str">
        <f t="shared" si="36"/>
        <v>00</v>
      </c>
      <c r="AQ181" t="str">
        <f t="shared" si="31"/>
        <v xml:space="preserve">    (U4)0x0000003FU,                                                           /* 45 UNKNOWN                                         */</v>
      </c>
    </row>
    <row r="182" spans="2:43">
      <c r="B182" s="124"/>
      <c r="C182" s="37">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37" t="str">
        <f t="shared" si="30"/>
        <v>UNKNOWN</v>
      </c>
      <c r="AK182" s="50"/>
      <c r="AL182" s="50" t="str">
        <f t="shared" si="33"/>
        <v>3F</v>
      </c>
      <c r="AM182" s="52" t="str">
        <f t="shared" si="34"/>
        <v>00</v>
      </c>
      <c r="AN182" s="52" t="str">
        <f t="shared" si="35"/>
        <v>00</v>
      </c>
      <c r="AO182" s="52" t="str">
        <f t="shared" si="36"/>
        <v>00</v>
      </c>
      <c r="AQ182" t="str">
        <f t="shared" si="31"/>
        <v xml:space="preserve">    (U4)0x0000003FU,                                                           /* 46 UNKNOWN                                         */</v>
      </c>
    </row>
    <row r="183" spans="2:43">
      <c r="B183" s="124"/>
      <c r="C183" s="37">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37" t="str">
        <f t="shared" si="30"/>
        <v>UNKNOWN</v>
      </c>
      <c r="AK183" s="50"/>
      <c r="AL183" s="50" t="str">
        <f t="shared" si="33"/>
        <v>3F</v>
      </c>
      <c r="AM183" s="52" t="str">
        <f t="shared" si="34"/>
        <v>00</v>
      </c>
      <c r="AN183" s="52" t="str">
        <f t="shared" si="35"/>
        <v>00</v>
      </c>
      <c r="AO183" s="52" t="str">
        <f t="shared" si="36"/>
        <v>00</v>
      </c>
      <c r="AQ183" t="str">
        <f t="shared" si="31"/>
        <v xml:space="preserve">    (U4)0x0000003FU,                                                           /* 47 UNKNOWN                                         */</v>
      </c>
    </row>
    <row r="184" spans="2:43">
      <c r="B184" s="124"/>
      <c r="C184" s="37">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37" t="str">
        <f t="shared" si="30"/>
        <v>UNKNOWN</v>
      </c>
      <c r="AK184" s="50"/>
      <c r="AL184" s="50" t="str">
        <f t="shared" si="33"/>
        <v>3F</v>
      </c>
      <c r="AM184" s="52" t="str">
        <f t="shared" si="34"/>
        <v>00</v>
      </c>
      <c r="AN184" s="52" t="str">
        <f t="shared" si="35"/>
        <v>00</v>
      </c>
      <c r="AO184" s="52" t="str">
        <f t="shared" si="36"/>
        <v>00</v>
      </c>
      <c r="AQ184" t="str">
        <f t="shared" si="31"/>
        <v xml:space="preserve">    (U4)0x0000003FU,                                                           /* 48 UNKNOWN                                         */</v>
      </c>
    </row>
    <row r="185" spans="2:43">
      <c r="B185" s="124"/>
      <c r="C185" s="37">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37" t="str">
        <f t="shared" si="30"/>
        <v>UNKNOWN</v>
      </c>
      <c r="AK185" s="50"/>
      <c r="AL185" s="50" t="str">
        <f t="shared" si="33"/>
        <v>3F</v>
      </c>
      <c r="AM185" s="52" t="str">
        <f t="shared" si="34"/>
        <v>00</v>
      </c>
      <c r="AN185" s="52" t="str">
        <f t="shared" si="35"/>
        <v>00</v>
      </c>
      <c r="AO185" s="52" t="str">
        <f t="shared" si="36"/>
        <v>00</v>
      </c>
      <c r="AQ185" t="str">
        <f t="shared" si="31"/>
        <v xml:space="preserve">    (U4)0x0000003FU,                                                           /* 49 UNKNOWN                                         */</v>
      </c>
    </row>
    <row r="186" spans="2:43">
      <c r="B186" s="124"/>
      <c r="C186" s="37">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37" t="str">
        <f t="shared" si="30"/>
        <v>UNKNOWN</v>
      </c>
      <c r="AK186" s="50"/>
      <c r="AL186" s="50" t="str">
        <f t="shared" si="33"/>
        <v>3F</v>
      </c>
      <c r="AM186" s="52" t="str">
        <f t="shared" si="34"/>
        <v>00</v>
      </c>
      <c r="AN186" s="52" t="str">
        <f t="shared" si="35"/>
        <v>00</v>
      </c>
      <c r="AO186" s="52" t="str">
        <f t="shared" si="36"/>
        <v>00</v>
      </c>
      <c r="AQ186" t="str">
        <f t="shared" si="31"/>
        <v xml:space="preserve">    (U4)0x0000003FU,                                                           /* 50 UNKNOWN                                         */</v>
      </c>
    </row>
    <row r="187" spans="2:43">
      <c r="B187" s="124"/>
      <c r="C187" s="37">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37" t="str">
        <f t="shared" si="30"/>
        <v>UNKNOWN</v>
      </c>
      <c r="AK187" s="50"/>
      <c r="AL187" s="50" t="str">
        <f t="shared" si="33"/>
        <v>3F</v>
      </c>
      <c r="AM187" s="52" t="str">
        <f t="shared" si="34"/>
        <v>00</v>
      </c>
      <c r="AN187" s="52" t="str">
        <f t="shared" si="35"/>
        <v>00</v>
      </c>
      <c r="AO187" s="52" t="str">
        <f t="shared" si="36"/>
        <v>00</v>
      </c>
      <c r="AQ187" t="str">
        <f t="shared" si="31"/>
        <v xml:space="preserve">    (U4)0x0000003FU,                                                           /* 51 UNKNOWN                                         */</v>
      </c>
    </row>
    <row r="188" spans="2:43">
      <c r="B188" s="124"/>
      <c r="C188" s="37">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37" t="str">
        <f t="shared" si="30"/>
        <v>UNKNOWN</v>
      </c>
      <c r="AK188" s="50"/>
      <c r="AL188" s="50" t="str">
        <f t="shared" si="33"/>
        <v>3F</v>
      </c>
      <c r="AM188" s="52" t="str">
        <f t="shared" si="34"/>
        <v>00</v>
      </c>
      <c r="AN188" s="52" t="str">
        <f t="shared" si="35"/>
        <v>00</v>
      </c>
      <c r="AO188" s="52" t="str">
        <f t="shared" si="36"/>
        <v>00</v>
      </c>
      <c r="AQ188" t="str">
        <f t="shared" si="31"/>
        <v xml:space="preserve">    (U4)0x0000003FU,                                                           /* 52 UNKNOWN                                         */</v>
      </c>
    </row>
    <row r="189" spans="2:43">
      <c r="B189" s="124"/>
      <c r="C189" s="37">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37" t="str">
        <f t="shared" si="30"/>
        <v>UNREGISTERED</v>
      </c>
      <c r="AK189" s="50"/>
      <c r="AL189" s="50" t="str">
        <f t="shared" si="33"/>
        <v>3F</v>
      </c>
      <c r="AM189" s="52" t="str">
        <f t="shared" si="34"/>
        <v>00</v>
      </c>
      <c r="AN189" s="52" t="str">
        <f t="shared" si="35"/>
        <v>00</v>
      </c>
      <c r="AO189" s="52" t="str">
        <f t="shared" si="36"/>
        <v>00</v>
      </c>
      <c r="AQ189" t="str">
        <f t="shared" si="31"/>
        <v xml:space="preserve">    (U4)0x0000003FU,                                                           /* 53 UNREGISTERED                                    */</v>
      </c>
    </row>
    <row r="190" spans="2:43">
      <c r="B190" s="124"/>
      <c r="C190" s="37">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37" t="str">
        <f t="shared" si="30"/>
        <v>UNKNOWN</v>
      </c>
      <c r="AK190" s="50"/>
      <c r="AL190" s="50" t="str">
        <f t="shared" si="33"/>
        <v>3F</v>
      </c>
      <c r="AM190" s="52" t="str">
        <f t="shared" si="34"/>
        <v>00</v>
      </c>
      <c r="AN190" s="52" t="str">
        <f t="shared" si="35"/>
        <v>00</v>
      </c>
      <c r="AO190" s="52" t="str">
        <f t="shared" si="36"/>
        <v>00</v>
      </c>
      <c r="AQ190" t="str">
        <f t="shared" si="31"/>
        <v xml:space="preserve">    (U4)0x0000003FU,                                                           /* 54 UNKNOWN                                         */</v>
      </c>
    </row>
    <row r="191" spans="2:43">
      <c r="B191" s="124"/>
      <c r="C191" s="37">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37" t="str">
        <f t="shared" si="30"/>
        <v>UNKNOWN</v>
      </c>
      <c r="AK191" s="50"/>
      <c r="AL191" s="50" t="str">
        <f t="shared" si="33"/>
        <v>3F</v>
      </c>
      <c r="AM191" s="52" t="str">
        <f t="shared" si="34"/>
        <v>00</v>
      </c>
      <c r="AN191" s="52" t="str">
        <f t="shared" si="35"/>
        <v>00</v>
      </c>
      <c r="AO191" s="52" t="str">
        <f t="shared" si="36"/>
        <v>00</v>
      </c>
      <c r="AQ191" t="str">
        <f t="shared" si="31"/>
        <v xml:space="preserve">    (U4)0x0000003FU,                                                           /* 55 UNKNOWN                                         */</v>
      </c>
    </row>
    <row r="192" spans="2:43">
      <c r="B192" s="124"/>
      <c r="C192" s="37">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37" t="str">
        <f t="shared" si="30"/>
        <v>UNKNOWN</v>
      </c>
      <c r="AK192" s="50"/>
      <c r="AL192" s="50" t="str">
        <f t="shared" si="33"/>
        <v>3F</v>
      </c>
      <c r="AM192" s="52" t="str">
        <f t="shared" si="34"/>
        <v>00</v>
      </c>
      <c r="AN192" s="52" t="str">
        <f t="shared" si="35"/>
        <v>00</v>
      </c>
      <c r="AO192" s="52" t="str">
        <f t="shared" si="36"/>
        <v>00</v>
      </c>
      <c r="AQ192" t="str">
        <f t="shared" si="31"/>
        <v xml:space="preserve">    (U4)0x0000003FU,                                                           /* 56 UNKNOWN                                         */</v>
      </c>
    </row>
    <row r="193" spans="2:43">
      <c r="B193" s="124"/>
      <c r="C193" s="37">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37" t="str">
        <f t="shared" si="30"/>
        <v>UNKNOWN</v>
      </c>
      <c r="AK193" s="50"/>
      <c r="AL193" s="50" t="str">
        <f t="shared" si="33"/>
        <v>3F</v>
      </c>
      <c r="AM193" s="52" t="str">
        <f t="shared" si="34"/>
        <v>00</v>
      </c>
      <c r="AN193" s="52" t="str">
        <f t="shared" si="35"/>
        <v>00</v>
      </c>
      <c r="AO193" s="52" t="str">
        <f t="shared" si="36"/>
        <v>00</v>
      </c>
      <c r="AQ193" t="str">
        <f t="shared" si="31"/>
        <v xml:space="preserve">    (U4)0x0000003FU,                                                           /* 57 UNKNOWN                                         */</v>
      </c>
    </row>
    <row r="194" spans="2:43">
      <c r="B194" s="124"/>
      <c r="C194" s="37">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37" t="str">
        <f t="shared" si="30"/>
        <v>UNKNOWN</v>
      </c>
      <c r="AK194" s="50"/>
      <c r="AL194" s="50" t="str">
        <f t="shared" si="33"/>
        <v>3F</v>
      </c>
      <c r="AM194" s="52" t="str">
        <f t="shared" si="34"/>
        <v>00</v>
      </c>
      <c r="AN194" s="52" t="str">
        <f t="shared" si="35"/>
        <v>00</v>
      </c>
      <c r="AO194" s="52" t="str">
        <f t="shared" si="36"/>
        <v>00</v>
      </c>
      <c r="AQ194" t="str">
        <f t="shared" si="31"/>
        <v xml:space="preserve">    (U4)0x0000003FU,                                                           /* 58 UNKNOWN                                         */</v>
      </c>
    </row>
    <row r="195" spans="2:43">
      <c r="B195" s="124"/>
      <c r="C195" s="37">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37" t="str">
        <f t="shared" si="30"/>
        <v>UNKNOWN</v>
      </c>
      <c r="AK195" s="50"/>
      <c r="AL195" s="50" t="str">
        <f t="shared" si="33"/>
        <v>3F</v>
      </c>
      <c r="AM195" s="52" t="str">
        <f t="shared" si="34"/>
        <v>00</v>
      </c>
      <c r="AN195" s="52" t="str">
        <f t="shared" si="35"/>
        <v>00</v>
      </c>
      <c r="AO195" s="52" t="str">
        <f t="shared" si="36"/>
        <v>00</v>
      </c>
      <c r="AQ195" t="str">
        <f t="shared" si="31"/>
        <v xml:space="preserve">    (U4)0x0000003FU,                                                           /* 59 UNKNOWN                                         */</v>
      </c>
    </row>
    <row r="196" spans="2:43">
      <c r="B196" s="124"/>
      <c r="C196" s="37">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37" t="str">
        <f t="shared" si="30"/>
        <v>UNKNOWN</v>
      </c>
      <c r="AK196" s="50"/>
      <c r="AL196" s="50" t="str">
        <f t="shared" si="33"/>
        <v>3F</v>
      </c>
      <c r="AM196" s="52" t="str">
        <f t="shared" si="34"/>
        <v>00</v>
      </c>
      <c r="AN196" s="52" t="str">
        <f t="shared" si="35"/>
        <v>00</v>
      </c>
      <c r="AO196" s="52" t="str">
        <f t="shared" si="36"/>
        <v>00</v>
      </c>
      <c r="AQ196" t="str">
        <f t="shared" si="31"/>
        <v xml:space="preserve">    (U4)0x0000003FU,                                                           /* 60 UNKNOWN                                         */</v>
      </c>
    </row>
    <row r="197" spans="2:43">
      <c r="B197" s="124"/>
      <c r="C197" s="37">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37" t="str">
        <f t="shared" si="30"/>
        <v>UNKNOWN</v>
      </c>
      <c r="AK197" s="50"/>
      <c r="AL197" s="50" t="str">
        <f t="shared" si="33"/>
        <v>3F</v>
      </c>
      <c r="AM197" s="52" t="str">
        <f t="shared" si="34"/>
        <v>00</v>
      </c>
      <c r="AN197" s="52" t="str">
        <f t="shared" si="35"/>
        <v>00</v>
      </c>
      <c r="AO197" s="52" t="str">
        <f t="shared" si="36"/>
        <v>00</v>
      </c>
      <c r="AQ197" t="str">
        <f t="shared" si="31"/>
        <v xml:space="preserve">    (U4)0x0000003FU,                                                           /* 61 UNKNOWN                                         */</v>
      </c>
    </row>
    <row r="198" spans="2:43">
      <c r="B198" s="124"/>
      <c r="C198" s="37">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37" t="str">
        <f t="shared" si="30"/>
        <v>UNKNOWN</v>
      </c>
      <c r="AK198" s="50"/>
      <c r="AL198" s="50" t="str">
        <f t="shared" si="33"/>
        <v>3F</v>
      </c>
      <c r="AM198" s="52" t="str">
        <f t="shared" si="34"/>
        <v>00</v>
      </c>
      <c r="AN198" s="52" t="str">
        <f t="shared" si="35"/>
        <v>00</v>
      </c>
      <c r="AO198" s="52" t="str">
        <f t="shared" si="36"/>
        <v>00</v>
      </c>
      <c r="AQ198" t="str">
        <f t="shared" si="31"/>
        <v xml:space="preserve">    (U4)0x0000003FU,                                                           /* 62 UNKNOWN                                         */</v>
      </c>
    </row>
    <row r="199" spans="2:43">
      <c r="B199" s="125"/>
      <c r="C199" s="37">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37" t="str">
        <f t="shared" si="30"/>
        <v>UNKNOWN</v>
      </c>
      <c r="AK199" s="50"/>
      <c r="AL199" s="50" t="str">
        <f t="shared" si="33"/>
        <v>3F</v>
      </c>
      <c r="AM199" s="52" t="str">
        <f t="shared" si="34"/>
        <v>00</v>
      </c>
      <c r="AN199" s="52" t="str">
        <f t="shared" si="35"/>
        <v>00</v>
      </c>
      <c r="AO199" s="52" t="str">
        <f t="shared" si="36"/>
        <v>00</v>
      </c>
      <c r="AQ199" t="str">
        <f t="shared" si="31"/>
        <v xml:space="preserve">    (U4)0x0000003FU                                                            /* 63 UNKNOWN                                         */</v>
      </c>
    </row>
  </sheetData>
  <protectedRanges>
    <protectedRange sqref="L3:AC3 D6:AJ69" name="Table作成編集範囲"/>
    <protectedRange sqref="B3" name="Table作成編集範囲_1"/>
    <protectedRange sqref="AE3:AI3" name="Table作成編集範囲_4"/>
    <protectedRange sqref="AD3" name="Table作成編集範囲_4_1"/>
  </protectedRanges>
  <mergeCells count="5">
    <mergeCell ref="C2:C3"/>
    <mergeCell ref="AJ2:AJ3"/>
    <mergeCell ref="A4:B5"/>
    <mergeCell ref="AG3:AH3"/>
    <mergeCell ref="AE3:AF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5">
      <formula>$B$3="Index Table"</formula>
    </cfRule>
  </conditionalFormatting>
  <pageMargins left="0.7" right="0.7" top="0.75" bottom="0.75" header="0.3" footer="0.3"/>
  <pageSetup paperSize="9" orientation="portrait"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3:BA240"/>
  <sheetViews>
    <sheetView tabSelected="1" zoomScale="85" zoomScaleNormal="85" workbookViewId="0">
      <selection activeCell="B11" sqref="B11:B20"/>
    </sheetView>
  </sheetViews>
  <sheetFormatPr defaultRowHeight="13.5"/>
  <cols>
    <col min="1" max="1" width="9" customWidth="1"/>
    <col min="2" max="2" width="52.875" customWidth="1"/>
    <col min="3" max="10" width="3.375" customWidth="1"/>
    <col min="11" max="11" width="22.375" customWidth="1"/>
    <col min="12" max="12" width="18.875" customWidth="1"/>
    <col min="13" max="13" width="18.625" bestFit="1" customWidth="1"/>
    <col min="14" max="14" width="20" bestFit="1" customWidth="1"/>
    <col min="15" max="15" width="8.625" bestFit="1" customWidth="1"/>
    <col min="16" max="16" width="18" customWidth="1"/>
    <col min="17" max="18" width="10.875" customWidth="1"/>
  </cols>
  <sheetData>
    <row r="3" spans="2:53" ht="15" thickBot="1">
      <c r="B3" s="25" t="s">
        <v>262</v>
      </c>
      <c r="W3" s="174" t="s">
        <v>198</v>
      </c>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74"/>
      <c r="AY3" s="174"/>
      <c r="AZ3" s="174"/>
      <c r="BA3" s="174"/>
    </row>
    <row r="4" spans="2:53" ht="15" thickBot="1">
      <c r="B4" s="86" t="s">
        <v>122</v>
      </c>
      <c r="C4" s="306" t="s">
        <v>196</v>
      </c>
      <c r="D4" s="307"/>
      <c r="E4" s="307"/>
      <c r="F4" s="307"/>
      <c r="G4" s="307"/>
      <c r="H4" s="307"/>
      <c r="I4" s="307"/>
      <c r="J4" s="308"/>
      <c r="K4" s="155"/>
      <c r="L4" s="155"/>
      <c r="M4" s="155"/>
      <c r="N4" s="158"/>
      <c r="O4" s="156"/>
      <c r="P4" s="156"/>
      <c r="Q4" s="156"/>
      <c r="R4" s="157"/>
    </row>
    <row r="5" spans="2:53">
      <c r="B5" s="60"/>
      <c r="C5" s="227" t="s">
        <v>201</v>
      </c>
      <c r="D5" s="227"/>
      <c r="E5" s="227"/>
      <c r="F5" s="227"/>
      <c r="G5" s="227"/>
      <c r="H5" s="227"/>
      <c r="I5" s="227"/>
      <c r="J5" s="227"/>
      <c r="K5" s="227"/>
      <c r="L5" s="227"/>
      <c r="M5" s="227"/>
      <c r="N5" s="26" t="s">
        <v>50</v>
      </c>
      <c r="O5" s="33" t="s">
        <v>21</v>
      </c>
      <c r="P5" s="34"/>
      <c r="Q5" s="34"/>
      <c r="R5" s="35"/>
    </row>
    <row r="6" spans="2:53">
      <c r="B6" s="61" t="s">
        <v>22</v>
      </c>
      <c r="C6" s="302" t="s">
        <v>166</v>
      </c>
      <c r="D6" s="303"/>
      <c r="E6" s="303"/>
      <c r="F6" s="303"/>
      <c r="G6" s="303"/>
      <c r="H6" s="303"/>
      <c r="I6" s="303"/>
      <c r="J6" s="304"/>
      <c r="K6" s="78" t="s">
        <v>202</v>
      </c>
      <c r="L6" s="78"/>
      <c r="M6" s="78"/>
      <c r="N6" s="27" t="s">
        <v>260</v>
      </c>
      <c r="O6" s="66" t="s">
        <v>203</v>
      </c>
      <c r="P6" s="181" t="s">
        <v>161</v>
      </c>
      <c r="Q6" s="66" t="s">
        <v>204</v>
      </c>
      <c r="R6" s="217" t="s">
        <v>205</v>
      </c>
    </row>
    <row r="7" spans="2:53">
      <c r="B7" s="61" t="s">
        <v>32</v>
      </c>
      <c r="C7" s="152" t="s">
        <v>200</v>
      </c>
      <c r="D7" s="152" t="s">
        <v>200</v>
      </c>
      <c r="E7" s="152" t="s">
        <v>200</v>
      </c>
      <c r="F7" s="152" t="s">
        <v>200</v>
      </c>
      <c r="G7" s="152" t="s">
        <v>200</v>
      </c>
      <c r="H7" s="152" t="s">
        <v>200</v>
      </c>
      <c r="I7" s="152" t="s">
        <v>200</v>
      </c>
      <c r="J7" s="152" t="s">
        <v>200</v>
      </c>
      <c r="K7" s="228" t="s">
        <v>261</v>
      </c>
      <c r="L7" s="228" t="s">
        <v>263</v>
      </c>
      <c r="M7" s="229" t="s">
        <v>264</v>
      </c>
      <c r="N7" s="27" t="s">
        <v>124</v>
      </c>
      <c r="O7" s="67"/>
      <c r="P7" s="182"/>
      <c r="Q7" s="67"/>
      <c r="R7" s="217"/>
    </row>
    <row r="8" spans="2:53" ht="27">
      <c r="B8" s="62" t="s">
        <v>27</v>
      </c>
      <c r="C8" s="305" t="s">
        <v>34</v>
      </c>
      <c r="D8" s="303"/>
      <c r="E8" s="303"/>
      <c r="F8" s="303"/>
      <c r="G8" s="303"/>
      <c r="H8" s="303"/>
      <c r="I8" s="303"/>
      <c r="J8" s="304"/>
      <c r="K8" s="1" t="s">
        <v>244</v>
      </c>
      <c r="L8" s="1" t="s">
        <v>244</v>
      </c>
      <c r="M8" s="230" t="s">
        <v>243</v>
      </c>
      <c r="N8" s="28"/>
      <c r="O8" s="67"/>
      <c r="P8" s="182"/>
      <c r="Q8" s="67"/>
      <c r="R8" s="129"/>
    </row>
    <row r="9" spans="2:53" ht="64.5">
      <c r="B9" s="61" t="s">
        <v>28</v>
      </c>
      <c r="C9" s="183" t="s">
        <v>206</v>
      </c>
      <c r="D9" s="183" t="s">
        <v>61</v>
      </c>
      <c r="E9" s="183" t="s">
        <v>207</v>
      </c>
      <c r="F9" s="183" t="s">
        <v>208</v>
      </c>
      <c r="G9" s="183" t="s">
        <v>209</v>
      </c>
      <c r="H9" s="183" t="s">
        <v>210</v>
      </c>
      <c r="I9" s="183" t="s">
        <v>211</v>
      </c>
      <c r="J9" s="183" t="s">
        <v>212</v>
      </c>
      <c r="K9" s="1" t="s">
        <v>265</v>
      </c>
      <c r="L9" s="1" t="s">
        <v>266</v>
      </c>
      <c r="M9" s="230" t="s">
        <v>249</v>
      </c>
      <c r="N9" s="27" t="s">
        <v>272</v>
      </c>
      <c r="O9" s="67"/>
      <c r="P9" s="182"/>
      <c r="Q9" s="67"/>
      <c r="R9" s="129"/>
    </row>
    <row r="10" spans="2:53" ht="54.75" thickBot="1">
      <c r="B10" s="63" t="s">
        <v>29</v>
      </c>
      <c r="C10" s="153" t="s">
        <v>213</v>
      </c>
      <c r="D10" s="153" t="s">
        <v>200</v>
      </c>
      <c r="E10" s="153" t="s">
        <v>213</v>
      </c>
      <c r="F10" s="153" t="s">
        <v>213</v>
      </c>
      <c r="G10" s="153" t="s">
        <v>213</v>
      </c>
      <c r="H10" s="153" t="s">
        <v>213</v>
      </c>
      <c r="I10" s="153" t="s">
        <v>213</v>
      </c>
      <c r="J10" s="153" t="s">
        <v>213</v>
      </c>
      <c r="K10" s="231" t="s">
        <v>255</v>
      </c>
      <c r="L10" s="231" t="s">
        <v>255</v>
      </c>
      <c r="M10" s="232" t="s">
        <v>248</v>
      </c>
      <c r="N10" s="29" t="s">
        <v>246</v>
      </c>
      <c r="O10" s="222"/>
      <c r="P10" s="184" t="s">
        <v>245</v>
      </c>
      <c r="Q10" s="65"/>
      <c r="R10" s="218"/>
    </row>
    <row r="11" spans="2:53" ht="14.25" thickTop="1">
      <c r="B11" s="233" t="s">
        <v>273</v>
      </c>
      <c r="C11" s="234" t="s">
        <v>160</v>
      </c>
      <c r="D11" s="234" t="s">
        <v>160</v>
      </c>
      <c r="E11" s="234" t="s">
        <v>160</v>
      </c>
      <c r="F11" s="234" t="s">
        <v>160</v>
      </c>
      <c r="G11" s="234" t="s">
        <v>160</v>
      </c>
      <c r="H11" s="234" t="s">
        <v>160</v>
      </c>
      <c r="I11" s="235" t="s">
        <v>247</v>
      </c>
      <c r="J11" s="234" t="s">
        <v>160</v>
      </c>
      <c r="K11" s="236" t="s">
        <v>256</v>
      </c>
      <c r="L11" s="241" t="s">
        <v>256</v>
      </c>
      <c r="M11" s="236" t="s">
        <v>257</v>
      </c>
      <c r="N11" s="244" t="s">
        <v>31</v>
      </c>
      <c r="O11" s="31"/>
      <c r="P11" s="30" t="s">
        <v>30</v>
      </c>
      <c r="Q11" s="31"/>
      <c r="R11" s="219"/>
      <c r="W11" s="174" t="s">
        <v>251</v>
      </c>
      <c r="X11" s="174"/>
      <c r="Y11" s="174"/>
      <c r="Z11" s="174"/>
      <c r="AA11" s="174"/>
      <c r="AB11" s="174"/>
      <c r="AC11" s="174"/>
      <c r="AD11" s="174"/>
      <c r="AE11" s="174"/>
      <c r="AF11" s="174"/>
      <c r="AG11" s="174"/>
      <c r="AH11" s="174"/>
      <c r="AI11" s="174"/>
      <c r="AJ11" s="174"/>
      <c r="AK11" s="174"/>
      <c r="AL11" s="174"/>
      <c r="AM11" s="174"/>
      <c r="AN11" s="174"/>
      <c r="AO11" s="174"/>
      <c r="AP11" s="174"/>
      <c r="AQ11" s="174"/>
      <c r="AR11" s="174"/>
      <c r="AS11" s="174"/>
      <c r="AT11" s="174"/>
      <c r="AU11" s="174"/>
      <c r="AV11" s="174"/>
      <c r="AW11" s="174"/>
      <c r="AX11" s="174"/>
      <c r="AY11" s="174"/>
      <c r="AZ11" s="174"/>
      <c r="BA11" s="174"/>
    </row>
    <row r="12" spans="2:53">
      <c r="B12" s="21" t="s">
        <v>274</v>
      </c>
      <c r="C12" s="154" t="s">
        <v>267</v>
      </c>
      <c r="D12" s="154" t="s">
        <v>160</v>
      </c>
      <c r="E12" s="154" t="s">
        <v>160</v>
      </c>
      <c r="F12" s="154" t="s">
        <v>160</v>
      </c>
      <c r="G12" s="154" t="s">
        <v>160</v>
      </c>
      <c r="H12" s="154" t="s">
        <v>160</v>
      </c>
      <c r="I12" s="237" t="s">
        <v>258</v>
      </c>
      <c r="J12" s="154" t="s">
        <v>160</v>
      </c>
      <c r="K12" s="240" t="s">
        <v>268</v>
      </c>
      <c r="L12" s="242" t="s">
        <v>256</v>
      </c>
      <c r="M12" s="240" t="s">
        <v>259</v>
      </c>
      <c r="N12" s="27" t="s">
        <v>31</v>
      </c>
      <c r="O12" s="223"/>
      <c r="P12" s="185" t="s">
        <v>30</v>
      </c>
      <c r="Q12" s="32"/>
      <c r="R12" s="220"/>
    </row>
    <row r="13" spans="2:53" ht="27">
      <c r="B13" s="21" t="s">
        <v>275</v>
      </c>
      <c r="C13" s="154" t="s">
        <v>267</v>
      </c>
      <c r="D13" s="154" t="s">
        <v>160</v>
      </c>
      <c r="E13" s="154" t="s">
        <v>160</v>
      </c>
      <c r="F13" s="154" t="s">
        <v>160</v>
      </c>
      <c r="G13" s="154" t="s">
        <v>160</v>
      </c>
      <c r="H13" s="154" t="s">
        <v>160</v>
      </c>
      <c r="I13" s="237" t="s">
        <v>258</v>
      </c>
      <c r="J13" s="154" t="s">
        <v>160</v>
      </c>
      <c r="K13" s="240" t="s">
        <v>268</v>
      </c>
      <c r="L13" s="242" t="s">
        <v>256</v>
      </c>
      <c r="M13" s="240" t="s">
        <v>258</v>
      </c>
      <c r="N13" s="27" t="s">
        <v>240</v>
      </c>
      <c r="O13" s="223"/>
      <c r="P13" s="185" t="s">
        <v>250</v>
      </c>
      <c r="Q13" s="32"/>
      <c r="R13" s="220"/>
    </row>
    <row r="14" spans="2:53">
      <c r="B14" s="21" t="s">
        <v>276</v>
      </c>
      <c r="C14" s="154" t="s">
        <v>267</v>
      </c>
      <c r="D14" s="154" t="s">
        <v>160</v>
      </c>
      <c r="E14" s="154" t="s">
        <v>160</v>
      </c>
      <c r="F14" s="154" t="s">
        <v>160</v>
      </c>
      <c r="G14" s="154" t="s">
        <v>160</v>
      </c>
      <c r="H14" s="154" t="s">
        <v>160</v>
      </c>
      <c r="I14" s="237" t="s">
        <v>258</v>
      </c>
      <c r="J14" s="154" t="s">
        <v>160</v>
      </c>
      <c r="K14" s="240" t="s">
        <v>269</v>
      </c>
      <c r="L14" s="242" t="s">
        <v>256</v>
      </c>
      <c r="M14" s="240" t="s">
        <v>257</v>
      </c>
      <c r="N14" s="27" t="s">
        <v>31</v>
      </c>
      <c r="O14" s="32"/>
      <c r="P14" s="185" t="s">
        <v>200</v>
      </c>
      <c r="Q14" s="32"/>
      <c r="R14" s="220"/>
    </row>
    <row r="15" spans="2:53">
      <c r="B15" s="21" t="s">
        <v>277</v>
      </c>
      <c r="C15" s="154" t="s">
        <v>267</v>
      </c>
      <c r="D15" s="154" t="s">
        <v>160</v>
      </c>
      <c r="E15" s="154" t="s">
        <v>160</v>
      </c>
      <c r="F15" s="154" t="s">
        <v>160</v>
      </c>
      <c r="G15" s="154" t="s">
        <v>160</v>
      </c>
      <c r="H15" s="154" t="s">
        <v>160</v>
      </c>
      <c r="I15" s="237" t="s">
        <v>258</v>
      </c>
      <c r="J15" s="154" t="s">
        <v>160</v>
      </c>
      <c r="K15" s="240" t="s">
        <v>270</v>
      </c>
      <c r="L15" s="242" t="s">
        <v>268</v>
      </c>
      <c r="M15" s="240" t="s">
        <v>257</v>
      </c>
      <c r="N15" s="27" t="s">
        <v>31</v>
      </c>
      <c r="O15" s="32"/>
      <c r="P15" s="185" t="s">
        <v>200</v>
      </c>
      <c r="Q15" s="32"/>
      <c r="R15" s="220"/>
    </row>
    <row r="16" spans="2:53">
      <c r="B16" s="21" t="s">
        <v>278</v>
      </c>
      <c r="C16" s="154" t="s">
        <v>267</v>
      </c>
      <c r="D16" s="154" t="s">
        <v>160</v>
      </c>
      <c r="E16" s="154" t="s">
        <v>160</v>
      </c>
      <c r="F16" s="154" t="s">
        <v>160</v>
      </c>
      <c r="G16" s="154" t="s">
        <v>160</v>
      </c>
      <c r="H16" s="154" t="s">
        <v>160</v>
      </c>
      <c r="I16" s="237" t="s">
        <v>258</v>
      </c>
      <c r="J16" s="154" t="s">
        <v>160</v>
      </c>
      <c r="K16" s="240" t="s">
        <v>270</v>
      </c>
      <c r="L16" s="242" t="s">
        <v>269</v>
      </c>
      <c r="M16" s="240" t="s">
        <v>257</v>
      </c>
      <c r="N16" s="27" t="s">
        <v>31</v>
      </c>
      <c r="O16" s="223"/>
      <c r="P16" s="185" t="s">
        <v>30</v>
      </c>
      <c r="Q16" s="32"/>
      <c r="R16" s="220"/>
    </row>
    <row r="17" spans="2:53">
      <c r="B17" s="21" t="s">
        <v>279</v>
      </c>
      <c r="C17" s="154" t="s">
        <v>267</v>
      </c>
      <c r="D17" s="154" t="s">
        <v>160</v>
      </c>
      <c r="E17" s="154" t="s">
        <v>160</v>
      </c>
      <c r="F17" s="154" t="s">
        <v>160</v>
      </c>
      <c r="G17" s="154" t="s">
        <v>160</v>
      </c>
      <c r="H17" s="154" t="s">
        <v>160</v>
      </c>
      <c r="I17" s="237" t="s">
        <v>258</v>
      </c>
      <c r="J17" s="154" t="s">
        <v>160</v>
      </c>
      <c r="K17" s="240" t="s">
        <v>270</v>
      </c>
      <c r="L17" s="242" t="s">
        <v>270</v>
      </c>
      <c r="M17" s="240" t="s">
        <v>259</v>
      </c>
      <c r="N17" s="27" t="s">
        <v>31</v>
      </c>
      <c r="O17" s="223"/>
      <c r="P17" s="185" t="s">
        <v>30</v>
      </c>
      <c r="Q17" s="32"/>
      <c r="R17" s="220"/>
    </row>
    <row r="18" spans="2:53" ht="27">
      <c r="B18" s="21" t="s">
        <v>280</v>
      </c>
      <c r="C18" s="154" t="s">
        <v>267</v>
      </c>
      <c r="D18" s="154" t="s">
        <v>160</v>
      </c>
      <c r="E18" s="154" t="s">
        <v>160</v>
      </c>
      <c r="F18" s="154" t="s">
        <v>160</v>
      </c>
      <c r="G18" s="154" t="s">
        <v>160</v>
      </c>
      <c r="H18" s="154" t="s">
        <v>160</v>
      </c>
      <c r="I18" s="237" t="s">
        <v>258</v>
      </c>
      <c r="J18" s="154" t="s">
        <v>160</v>
      </c>
      <c r="K18" s="240" t="s">
        <v>270</v>
      </c>
      <c r="L18" s="242" t="s">
        <v>270</v>
      </c>
      <c r="M18" s="240" t="s">
        <v>258</v>
      </c>
      <c r="N18" s="27" t="s">
        <v>240</v>
      </c>
      <c r="O18" s="223"/>
      <c r="P18" s="185" t="s">
        <v>250</v>
      </c>
      <c r="Q18" s="32"/>
      <c r="R18" s="220"/>
    </row>
    <row r="19" spans="2:53">
      <c r="B19" s="21" t="s">
        <v>281</v>
      </c>
      <c r="C19" s="154" t="s">
        <v>267</v>
      </c>
      <c r="D19" s="154" t="s">
        <v>160</v>
      </c>
      <c r="E19" s="154" t="s">
        <v>160</v>
      </c>
      <c r="F19" s="154" t="s">
        <v>160</v>
      </c>
      <c r="G19" s="154" t="s">
        <v>160</v>
      </c>
      <c r="H19" s="154" t="s">
        <v>160</v>
      </c>
      <c r="I19" s="237" t="s">
        <v>258</v>
      </c>
      <c r="J19" s="154" t="s">
        <v>160</v>
      </c>
      <c r="K19" s="240" t="s">
        <v>270</v>
      </c>
      <c r="L19" s="242" t="s">
        <v>271</v>
      </c>
      <c r="M19" s="240" t="s">
        <v>257</v>
      </c>
      <c r="N19" s="27" t="s">
        <v>31</v>
      </c>
      <c r="O19" s="223"/>
      <c r="P19" s="185" t="s">
        <v>30</v>
      </c>
      <c r="Q19" s="32"/>
      <c r="R19" s="220"/>
    </row>
    <row r="20" spans="2:53" ht="14.25" thickBot="1">
      <c r="B20" s="178" t="s">
        <v>282</v>
      </c>
      <c r="C20" s="179" t="s">
        <v>267</v>
      </c>
      <c r="D20" s="179" t="s">
        <v>160</v>
      </c>
      <c r="E20" s="179" t="s">
        <v>160</v>
      </c>
      <c r="F20" s="179" t="s">
        <v>160</v>
      </c>
      <c r="G20" s="179" t="s">
        <v>160</v>
      </c>
      <c r="H20" s="179" t="s">
        <v>160</v>
      </c>
      <c r="I20" s="238" t="s">
        <v>258</v>
      </c>
      <c r="J20" s="179" t="s">
        <v>160</v>
      </c>
      <c r="K20" s="239" t="s">
        <v>271</v>
      </c>
      <c r="L20" s="243" t="s">
        <v>256</v>
      </c>
      <c r="M20" s="239" t="s">
        <v>257</v>
      </c>
      <c r="N20" s="84" t="s">
        <v>31</v>
      </c>
      <c r="O20" s="225"/>
      <c r="P20" s="226" t="s">
        <v>30</v>
      </c>
      <c r="Q20" s="245"/>
      <c r="R20" s="221"/>
    </row>
    <row r="23" spans="2:53">
      <c r="W23" s="174" t="s">
        <v>199</v>
      </c>
      <c r="X23" s="174"/>
      <c r="Y23" s="174"/>
      <c r="Z23" s="174"/>
      <c r="AA23" s="174"/>
      <c r="AB23" s="174"/>
      <c r="AC23" s="174"/>
      <c r="AD23" s="174"/>
      <c r="AE23" s="174"/>
      <c r="AF23" s="174"/>
      <c r="AG23" s="174"/>
      <c r="AH23" s="174"/>
      <c r="AI23" s="174"/>
      <c r="AJ23" s="174"/>
      <c r="AK23" s="174"/>
      <c r="AL23" s="174"/>
      <c r="AM23" s="174"/>
      <c r="AN23" s="174"/>
      <c r="AO23" s="174"/>
      <c r="AP23" s="174"/>
      <c r="AQ23" s="174"/>
      <c r="AR23" s="174"/>
      <c r="AS23" s="174"/>
      <c r="AT23" s="174"/>
      <c r="AU23" s="174"/>
      <c r="AV23" s="174"/>
      <c r="AW23" s="174"/>
      <c r="AX23" s="174"/>
      <c r="AY23" s="174"/>
      <c r="AZ23" s="174"/>
      <c r="BA23" s="174"/>
    </row>
    <row r="82" spans="23:53">
      <c r="W82" s="174" t="s">
        <v>252</v>
      </c>
      <c r="X82" s="174"/>
      <c r="Y82" s="174"/>
      <c r="Z82" s="174"/>
      <c r="AA82" s="174"/>
      <c r="AB82" s="174"/>
      <c r="AC82" s="174"/>
      <c r="AD82" s="174"/>
      <c r="AE82" s="174"/>
      <c r="AF82" s="174"/>
      <c r="AG82" s="174"/>
      <c r="AH82" s="174"/>
      <c r="AI82" s="174"/>
      <c r="AJ82" s="174"/>
      <c r="AK82" s="174"/>
      <c r="AL82" s="174"/>
      <c r="AM82" s="174"/>
      <c r="AN82" s="174"/>
      <c r="AO82" s="174"/>
      <c r="AP82" s="174"/>
      <c r="AQ82" s="174"/>
      <c r="AR82" s="174"/>
      <c r="AS82" s="174"/>
      <c r="AT82" s="174"/>
      <c r="AU82" s="174"/>
      <c r="AV82" s="174"/>
      <c r="AW82" s="174"/>
      <c r="AX82" s="174"/>
      <c r="AY82" s="174"/>
      <c r="AZ82" s="174"/>
      <c r="BA82" s="174"/>
    </row>
    <row r="97" spans="23:53">
      <c r="W97" s="174" t="s">
        <v>253</v>
      </c>
      <c r="X97" s="174"/>
      <c r="Y97" s="174"/>
      <c r="Z97" s="174"/>
      <c r="AA97" s="174"/>
      <c r="AB97" s="174"/>
      <c r="AC97" s="174"/>
      <c r="AD97" s="174"/>
      <c r="AE97" s="174"/>
      <c r="AF97" s="174"/>
      <c r="AG97" s="174"/>
      <c r="AH97" s="174"/>
      <c r="AI97" s="174"/>
      <c r="AJ97" s="174"/>
      <c r="AK97" s="174"/>
      <c r="AL97" s="174"/>
      <c r="AM97" s="174"/>
      <c r="AN97" s="174"/>
      <c r="AO97" s="174"/>
      <c r="AP97" s="174"/>
      <c r="AQ97" s="174"/>
      <c r="AR97" s="174"/>
      <c r="AS97" s="174"/>
      <c r="AT97" s="174"/>
      <c r="AU97" s="174"/>
      <c r="AV97" s="174"/>
      <c r="AW97" s="174"/>
      <c r="AX97" s="174"/>
      <c r="AY97" s="174"/>
      <c r="AZ97" s="174"/>
      <c r="BA97" s="174"/>
    </row>
    <row r="208" spans="22:22">
      <c r="V208" s="180"/>
    </row>
    <row r="240" spans="23:47">
      <c r="W240" s="180"/>
      <c r="X240" s="180"/>
      <c r="Y240" s="180"/>
      <c r="Z240" s="180"/>
      <c r="AA240" s="180"/>
      <c r="AB240" s="180"/>
      <c r="AC240" s="180"/>
      <c r="AD240" s="180"/>
      <c r="AE240" s="180"/>
      <c r="AF240" s="180"/>
      <c r="AG240" s="180"/>
      <c r="AH240" s="180"/>
      <c r="AI240" s="180"/>
      <c r="AJ240" s="180"/>
      <c r="AK240" s="180"/>
      <c r="AL240" s="180"/>
      <c r="AM240" s="180"/>
      <c r="AN240" s="180"/>
      <c r="AO240" s="180"/>
      <c r="AP240" s="180"/>
      <c r="AQ240" s="180"/>
      <c r="AR240" s="180"/>
      <c r="AS240" s="180"/>
      <c r="AT240" s="180"/>
      <c r="AU240" s="180"/>
    </row>
  </sheetData>
  <mergeCells count="3">
    <mergeCell ref="C6:J6"/>
    <mergeCell ref="C8:J8"/>
    <mergeCell ref="C4:J4"/>
  </mergeCells>
  <phoneticPr fontId="2"/>
  <dataValidations disablePrompts="1" count="1">
    <dataValidation type="list" allowBlank="1" showInputMessage="1" showErrorMessage="1" sqref="C4" xr:uid="{4A7A61C4-7F99-4790-8174-0AA85BC02EC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74" t="s">
        <v>84</v>
      </c>
      <c r="C2" s="75">
        <f>MAX(B4:B28)</f>
        <v>19</v>
      </c>
      <c r="D2" s="75"/>
    </row>
    <row r="3" spans="2:4" ht="14.25" thickBot="1">
      <c r="B3" s="68" t="s">
        <v>84</v>
      </c>
      <c r="C3" s="76" t="s">
        <v>88</v>
      </c>
      <c r="D3" s="69" t="s">
        <v>85</v>
      </c>
    </row>
    <row r="4" spans="2:4" ht="14.25" thickTop="1">
      <c r="B4" s="12">
        <v>0</v>
      </c>
      <c r="C4" s="77" t="s">
        <v>89</v>
      </c>
      <c r="D4" s="14" t="s">
        <v>20</v>
      </c>
    </row>
    <row r="5" spans="2:4" ht="40.5">
      <c r="B5" s="2">
        <v>1</v>
      </c>
      <c r="C5" s="78" t="s">
        <v>89</v>
      </c>
      <c r="D5" s="80" t="s">
        <v>90</v>
      </c>
    </row>
    <row r="6" spans="2:4" ht="27">
      <c r="B6" s="2">
        <v>2</v>
      </c>
      <c r="C6" s="78" t="s">
        <v>92</v>
      </c>
      <c r="D6" s="80" t="s">
        <v>93</v>
      </c>
    </row>
    <row r="7" spans="2:4" ht="54">
      <c r="B7" s="2">
        <v>3</v>
      </c>
      <c r="C7" s="78" t="s">
        <v>89</v>
      </c>
      <c r="D7" s="80" t="s">
        <v>96</v>
      </c>
    </row>
    <row r="8" spans="2:4" ht="81">
      <c r="B8" s="2">
        <v>4</v>
      </c>
      <c r="C8" s="78" t="s">
        <v>104</v>
      </c>
      <c r="D8" s="80" t="s">
        <v>110</v>
      </c>
    </row>
    <row r="9" spans="2:4" ht="41.25" customHeight="1">
      <c r="B9" s="2">
        <v>5</v>
      </c>
      <c r="C9" s="78" t="s">
        <v>105</v>
      </c>
      <c r="D9" s="80" t="s">
        <v>106</v>
      </c>
    </row>
    <row r="10" spans="2:4" ht="27">
      <c r="B10" s="2">
        <v>6</v>
      </c>
      <c r="C10" s="78" t="s">
        <v>89</v>
      </c>
      <c r="D10" s="80" t="s">
        <v>109</v>
      </c>
    </row>
    <row r="11" spans="2:4" ht="27">
      <c r="B11" s="2">
        <v>7</v>
      </c>
      <c r="C11" s="78" t="s">
        <v>104</v>
      </c>
      <c r="D11" s="80" t="s">
        <v>108</v>
      </c>
    </row>
    <row r="12" spans="2:4" ht="27">
      <c r="B12" s="2">
        <v>8</v>
      </c>
      <c r="C12" s="78" t="s">
        <v>89</v>
      </c>
      <c r="D12" s="80" t="s">
        <v>111</v>
      </c>
    </row>
    <row r="13" spans="2:4" ht="27">
      <c r="B13" s="2">
        <v>9</v>
      </c>
      <c r="C13" s="78" t="s">
        <v>89</v>
      </c>
      <c r="D13" s="80" t="s">
        <v>112</v>
      </c>
    </row>
    <row r="14" spans="2:4" ht="27">
      <c r="B14" s="2">
        <v>10</v>
      </c>
      <c r="C14" s="78" t="s">
        <v>113</v>
      </c>
      <c r="D14" s="80" t="s">
        <v>114</v>
      </c>
    </row>
    <row r="15" spans="2:4" ht="135">
      <c r="B15" s="2">
        <v>11</v>
      </c>
      <c r="C15" s="78" t="s">
        <v>89</v>
      </c>
      <c r="D15" s="80" t="s">
        <v>126</v>
      </c>
    </row>
    <row r="16" spans="2:4" ht="191.25" customHeight="1">
      <c r="B16" s="2">
        <v>12</v>
      </c>
      <c r="C16" s="78" t="s">
        <v>155</v>
      </c>
      <c r="D16" s="80" t="s">
        <v>164</v>
      </c>
    </row>
    <row r="17" spans="2:4" ht="27">
      <c r="B17" s="2">
        <v>13</v>
      </c>
      <c r="C17" s="78" t="s">
        <v>92</v>
      </c>
      <c r="D17" s="80" t="s">
        <v>167</v>
      </c>
    </row>
    <row r="18" spans="2:4" ht="67.5">
      <c r="B18" s="2">
        <v>14</v>
      </c>
      <c r="C18" s="78" t="s">
        <v>92</v>
      </c>
      <c r="D18" s="80" t="s">
        <v>169</v>
      </c>
    </row>
    <row r="19" spans="2:4" ht="40.5">
      <c r="B19" s="2">
        <v>15</v>
      </c>
      <c r="C19" s="78" t="s">
        <v>105</v>
      </c>
      <c r="D19" s="80" t="s">
        <v>172</v>
      </c>
    </row>
    <row r="20" spans="2:4" ht="64.5" customHeight="1">
      <c r="B20" s="2">
        <v>16</v>
      </c>
      <c r="C20" s="78" t="s">
        <v>105</v>
      </c>
      <c r="D20" s="80" t="s">
        <v>176</v>
      </c>
    </row>
    <row r="21" spans="2:4" ht="66.75" customHeight="1">
      <c r="B21" s="2">
        <v>17</v>
      </c>
      <c r="C21" s="78" t="s">
        <v>104</v>
      </c>
      <c r="D21" s="80" t="s">
        <v>191</v>
      </c>
    </row>
    <row r="22" spans="2:4" ht="27">
      <c r="B22" s="2">
        <v>18</v>
      </c>
      <c r="C22" s="78" t="s">
        <v>216</v>
      </c>
      <c r="D22" s="80" t="s">
        <v>217</v>
      </c>
    </row>
    <row r="23" spans="2:4" ht="27">
      <c r="B23" s="2">
        <v>19</v>
      </c>
      <c r="C23" s="78" t="s">
        <v>216</v>
      </c>
      <c r="D23" s="80" t="s">
        <v>218</v>
      </c>
    </row>
    <row r="24" spans="2:4">
      <c r="B24" s="2"/>
      <c r="C24" s="78"/>
      <c r="D24" s="80"/>
    </row>
    <row r="25" spans="2:4">
      <c r="B25" s="2"/>
      <c r="C25" s="78"/>
      <c r="D25" s="64"/>
    </row>
    <row r="26" spans="2:4">
      <c r="B26" s="2"/>
      <c r="C26" s="78"/>
      <c r="D26" s="64"/>
    </row>
    <row r="27" spans="2:4" ht="14.25"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D_SECDDC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2026-02-13T08:57:43Z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2025-03-13T08:58:24Z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881f31e5-fa80-41ba-b49e-e25f8cbffbe0</vt:lpwstr>
  </property>
  <property fmtid="{D5CDD505-2E9C-101B-9397-08002B2CF9AE}" pid="8" name="MSIP_Label_7ed1414a-99f2-46f9-bbe5-740af8d1b502_ContentBits">
    <vt:lpwstr>1</vt:lpwstr>
  </property>
</Properties>
</file>