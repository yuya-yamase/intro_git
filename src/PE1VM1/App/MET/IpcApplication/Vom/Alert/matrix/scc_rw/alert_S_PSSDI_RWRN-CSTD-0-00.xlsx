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A69BCFA8-C207-4663-9036-E2070C9C38AD}" xr6:coauthVersionLast="47" xr6:coauthVersionMax="47" xr10:uidLastSave="{00000000-0000-0000-0000-000000000000}"/>
  <bookViews>
    <workbookView xWindow="-28920" yWindow="-120" windowWidth="29040" windowHeight="15840" xr2:uid="{00000000-000D-0000-FFFF-FFFF00000000}"/>
  </bookViews>
  <sheets>
    <sheet name="表紙（承認欄）" sheetId="23" r:id="rId1"/>
    <sheet name="表紙" sheetId="1" r:id="rId2"/>
    <sheet name="はじめに" sheetId="10" r:id="rId3"/>
    <sheet name="Matrix" sheetId="4" r:id="rId4"/>
    <sheet name="Config_IF" sheetId="11" r:id="rId5"/>
    <sheet name="CH_Design" sheetId="5" r:id="rId6"/>
    <sheet name="S_PSSDI_RWRN" sheetId="8" r:id="rId7"/>
    <sheet name="Reference" sheetId="14"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3" l="1"/>
  <c r="C2" i="7" l="1"/>
  <c r="B3" i="8"/>
  <c r="B11" i="1"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S48" i="8"/>
  <c r="AS65" i="8"/>
  <c r="AO189" i="8"/>
  <c r="AS67" i="8"/>
  <c r="AL182" i="8"/>
  <c r="AS46" i="8"/>
  <c r="AU11" i="8"/>
  <c r="AU10" i="8"/>
  <c r="AS40" i="8"/>
  <c r="AO138" i="8"/>
  <c r="AM138" i="8"/>
  <c r="AM195" i="8"/>
  <c r="AM89" i="8"/>
  <c r="AR39" i="8"/>
  <c r="AR51" i="8"/>
  <c r="AR50" i="8"/>
  <c r="AN130" i="8"/>
  <c r="AN136" i="8"/>
  <c r="AN138" i="8"/>
  <c r="AL138" i="8"/>
  <c r="AQ138" i="8" s="1"/>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Q144" i="8" s="1"/>
  <c r="AN149" i="8"/>
  <c r="AL149" i="8"/>
  <c r="AM172" i="8"/>
  <c r="AM181" i="8"/>
  <c r="AN186" i="8"/>
  <c r="AO194" i="8"/>
  <c r="AM76" i="8"/>
  <c r="AL76" i="8"/>
  <c r="AQ76" i="8" s="1"/>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Q74" i="8" s="1"/>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M176" i="8"/>
  <c r="AL180" i="8"/>
  <c r="AO188" i="8"/>
  <c r="AM188" i="8"/>
  <c r="AL188" i="8"/>
  <c r="AO199" i="8"/>
  <c r="AN199" i="8"/>
  <c r="AM199" i="8"/>
  <c r="AL199" i="8"/>
  <c r="AQ77" i="8" l="1"/>
  <c r="AR12" i="8" s="1"/>
  <c r="AQ86" i="8"/>
  <c r="AR22" i="8" s="1"/>
  <c r="AQ139" i="8"/>
  <c r="AQ73" i="8"/>
  <c r="AQ81" i="8"/>
  <c r="AQ83" i="8"/>
  <c r="AR19" i="8" s="1"/>
  <c r="AQ142" i="8"/>
  <c r="AS12" i="8" s="1"/>
  <c r="AQ150" i="8"/>
  <c r="AR36" i="8"/>
  <c r="AQ141" i="8"/>
  <c r="AS11" i="8" s="1"/>
  <c r="AQ79" i="8"/>
  <c r="AQ82" i="8"/>
  <c r="AQ80" i="8"/>
  <c r="AR15" i="8" s="1"/>
  <c r="AQ147" i="8"/>
  <c r="AS18" i="8" s="1"/>
  <c r="AQ78" i="8"/>
  <c r="AR13" i="8" s="1"/>
  <c r="AQ146" i="8"/>
  <c r="AS16" i="8" s="1"/>
  <c r="AQ149" i="8"/>
  <c r="AS19" i="8" s="1"/>
  <c r="AQ75" i="8"/>
  <c r="AR10" i="8" s="1"/>
  <c r="AR17" i="8"/>
  <c r="AS15" i="8"/>
  <c r="AR11" i="8"/>
  <c r="AS9" i="8"/>
  <c r="AR9" i="8"/>
  <c r="AS13" i="8"/>
  <c r="AS30" i="8"/>
  <c r="AS31" i="8"/>
  <c r="AR35" i="8"/>
  <c r="AR29" i="8"/>
  <c r="AS23" i="8"/>
  <c r="AR25" i="8"/>
  <c r="AS22" i="8"/>
  <c r="AS34" i="8"/>
  <c r="AS36" i="8"/>
  <c r="AR18" i="8"/>
  <c r="AR31" i="8"/>
  <c r="AS21" i="8"/>
  <c r="AS14" i="8"/>
  <c r="AR20" i="8"/>
  <c r="AS25" i="8"/>
  <c r="AS10" i="8"/>
  <c r="AS26" i="8"/>
  <c r="AR23" i="8"/>
  <c r="AR27" i="8"/>
  <c r="AS29" i="8"/>
  <c r="AS35" i="8"/>
  <c r="AR26" i="8"/>
  <c r="AR38" i="8"/>
  <c r="AR37" i="8"/>
  <c r="AS38" i="8"/>
  <c r="AS37" i="8"/>
  <c r="AR34" i="8"/>
  <c r="AQ137" i="8"/>
  <c r="AS8" i="8" s="1"/>
  <c r="AQ72" i="8"/>
  <c r="AR8" i="8" s="1"/>
  <c r="AQ71" i="8"/>
  <c r="AR6" i="8" s="1"/>
  <c r="AQ136" i="8"/>
  <c r="AS6" i="8" s="1"/>
  <c r="B136" i="8"/>
  <c r="B71" i="8"/>
  <c r="D7" i="4"/>
  <c r="M13" i="4"/>
  <c r="N13" i="4" s="1"/>
  <c r="AR16" i="8" l="1"/>
  <c r="AR14" i="8"/>
  <c r="AR21" i="8"/>
  <c r="AS17" i="8"/>
  <c r="AS20" i="8"/>
  <c r="AS7" i="8"/>
  <c r="AR7" i="8"/>
  <c r="D3" i="1"/>
  <c r="D5" i="4" s="1"/>
  <c r="D4" i="4" l="1"/>
  <c r="D6" i="4" s="1"/>
  <c r="G13"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W12" i="8" l="1"/>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3" i="1"/>
  <c r="B12" i="1"/>
  <c r="B10" i="1"/>
  <c r="B9" i="1"/>
  <c r="G14" i="4" l="1"/>
  <c r="H14" i="4"/>
  <c r="I14" i="4"/>
  <c r="H15" i="4"/>
  <c r="I15" i="4"/>
  <c r="H16" i="4"/>
  <c r="I16" i="4"/>
  <c r="G17" i="4"/>
  <c r="H17" i="4"/>
  <c r="G18" i="4"/>
  <c r="H18" i="4"/>
  <c r="G19" i="4"/>
  <c r="H19" i="4"/>
  <c r="G20" i="4"/>
  <c r="H20" i="4"/>
  <c r="G21" i="4"/>
  <c r="H21"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8" l="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C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C00-000002000000}">
      <text>
        <r>
          <rPr>
            <b/>
            <sz val="9"/>
            <color indexed="81"/>
            <rFont val="MS P ゴシック"/>
            <family val="3"/>
            <charset val="128"/>
          </rPr>
          <t xml:space="preserve">リモート送信条件成立：IG ON 且つ PTS ONが15[s]以上
</t>
        </r>
      </text>
    </comment>
    <comment ref="E9" authorId="1" shapeId="0" xr:uid="{00000000-0006-0000-0C00-000003000000}">
      <text>
        <r>
          <rPr>
            <b/>
            <sz val="9"/>
            <color indexed="81"/>
            <rFont val="MS P ゴシック"/>
            <family val="3"/>
            <charset val="128"/>
          </rPr>
          <t xml:space="preserve">IG ON 且つ ST OFF
</t>
        </r>
      </text>
    </comment>
    <comment ref="F9" authorId="1" shapeId="0" xr:uid="{00000000-0006-0000-0C00-000004000000}">
      <text>
        <r>
          <rPr>
            <b/>
            <sz val="9"/>
            <color indexed="81"/>
            <rFont val="MS P ゴシック"/>
            <family val="3"/>
            <charset val="128"/>
          </rPr>
          <t>IG ON</t>
        </r>
      </text>
    </comment>
    <comment ref="G9" authorId="1" shapeId="0" xr:uid="{00000000-0006-0000-0C00-000005000000}">
      <text>
        <r>
          <rPr>
            <b/>
            <sz val="9"/>
            <color indexed="81"/>
            <rFont val="MS P ゴシック"/>
            <family val="3"/>
            <charset val="128"/>
          </rPr>
          <t xml:space="preserve">IG OFF 且つ IG OFF後25[m]未満
</t>
        </r>
      </text>
    </comment>
    <comment ref="H9" authorId="1" shapeId="0" xr:uid="{00000000-0006-0000-0C00-000006000000}">
      <text>
        <r>
          <rPr>
            <b/>
            <sz val="9"/>
            <color indexed="81"/>
            <rFont val="MS P ゴシック"/>
            <family val="3"/>
            <charset val="128"/>
          </rPr>
          <t xml:space="preserve">IG OFF
</t>
        </r>
      </text>
    </comment>
    <comment ref="I9" authorId="1" shapeId="0" xr:uid="{00000000-0006-0000-0C00-000007000000}">
      <text>
        <r>
          <rPr>
            <b/>
            <sz val="9"/>
            <color indexed="81"/>
            <rFont val="MS P ゴシック"/>
            <family val="3"/>
            <charset val="128"/>
          </rPr>
          <t xml:space="preserve">IG ON 又は IG OFF後25[m]未満
</t>
        </r>
      </text>
    </comment>
    <comment ref="J9" authorId="1" shapeId="0" xr:uid="{00000000-0006-0000-0C00-000008000000}">
      <text>
        <r>
          <rPr>
            <b/>
            <sz val="9"/>
            <color indexed="81"/>
            <rFont val="MS P ゴシック"/>
            <family val="3"/>
            <charset val="128"/>
          </rPr>
          <t>+B ON 又は ACC ON</t>
        </r>
      </text>
    </comment>
    <comment ref="B46" authorId="0" shapeId="0" xr:uid="{00000000-0006-0000-0C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9" authorId="1" shapeId="0" xr:uid="{00000000-0006-0000-0C00-00000A000000}">
      <text>
        <r>
          <rPr>
            <b/>
            <sz val="9"/>
            <color indexed="81"/>
            <rFont val="MS P ゴシック"/>
            <family val="3"/>
            <charset val="128"/>
          </rPr>
          <t xml:space="preserve">リモート送信条件成立：IG ON 且つ PTS ONが15[s]以上
</t>
        </r>
      </text>
    </comment>
    <comment ref="E49" authorId="1" shapeId="0" xr:uid="{00000000-0006-0000-0C00-00000B000000}">
      <text>
        <r>
          <rPr>
            <b/>
            <sz val="9"/>
            <color indexed="81"/>
            <rFont val="MS P ゴシック"/>
            <family val="3"/>
            <charset val="128"/>
          </rPr>
          <t xml:space="preserve">IG ON 且つ ST OFF
</t>
        </r>
      </text>
    </comment>
    <comment ref="F49" authorId="1" shapeId="0" xr:uid="{00000000-0006-0000-0C00-00000C000000}">
      <text>
        <r>
          <rPr>
            <b/>
            <sz val="9"/>
            <color indexed="81"/>
            <rFont val="MS P ゴシック"/>
            <family val="3"/>
            <charset val="128"/>
          </rPr>
          <t>IG ON</t>
        </r>
      </text>
    </comment>
    <comment ref="G49" authorId="1" shapeId="0" xr:uid="{00000000-0006-0000-0C00-00000D000000}">
      <text>
        <r>
          <rPr>
            <b/>
            <sz val="9"/>
            <color indexed="81"/>
            <rFont val="MS P ゴシック"/>
            <family val="3"/>
            <charset val="128"/>
          </rPr>
          <t xml:space="preserve">IG OFF 且つ IG OFF後25[m]未満
</t>
        </r>
      </text>
    </comment>
    <comment ref="H49" authorId="1" shapeId="0" xr:uid="{00000000-0006-0000-0C00-00000E000000}">
      <text>
        <r>
          <rPr>
            <b/>
            <sz val="9"/>
            <color indexed="81"/>
            <rFont val="MS P ゴシック"/>
            <family val="3"/>
            <charset val="128"/>
          </rPr>
          <t xml:space="preserve">IG OFF
</t>
        </r>
      </text>
    </comment>
    <comment ref="I49" authorId="1" shapeId="0" xr:uid="{00000000-0006-0000-0C00-00000F000000}">
      <text>
        <r>
          <rPr>
            <b/>
            <sz val="9"/>
            <color indexed="81"/>
            <rFont val="MS P ゴシック"/>
            <family val="3"/>
            <charset val="128"/>
          </rPr>
          <t xml:space="preserve">IG ON 又は IG OFF後25[m]未満
</t>
        </r>
      </text>
    </comment>
    <comment ref="J49" authorId="1" shapeId="0" xr:uid="{00000000-0006-0000-0C00-000010000000}">
      <text>
        <r>
          <rPr>
            <b/>
            <sz val="9"/>
            <color indexed="81"/>
            <rFont val="MS P ゴシック"/>
            <family val="3"/>
            <charset val="128"/>
          </rPr>
          <t>+B ON 又は ACC ON</t>
        </r>
      </text>
    </comment>
    <comment ref="B75" authorId="0" shapeId="0" xr:uid="{00000000-0006-0000-0C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8" authorId="1" shapeId="0" xr:uid="{00000000-0006-0000-0C00-000012000000}">
      <text>
        <r>
          <rPr>
            <b/>
            <sz val="9"/>
            <color indexed="81"/>
            <rFont val="MS P ゴシック"/>
            <family val="3"/>
            <charset val="128"/>
          </rPr>
          <t xml:space="preserve">リモート送信条件成立：IG ON 且つ PTS ONが15[s]以上
</t>
        </r>
      </text>
    </comment>
    <comment ref="E78" authorId="1" shapeId="0" xr:uid="{00000000-0006-0000-0C00-000013000000}">
      <text>
        <r>
          <rPr>
            <b/>
            <sz val="9"/>
            <color indexed="81"/>
            <rFont val="MS P ゴシック"/>
            <family val="3"/>
            <charset val="128"/>
          </rPr>
          <t xml:space="preserve">IG ON 且つ ST OFF
</t>
        </r>
      </text>
    </comment>
    <comment ref="F78" authorId="1" shapeId="0" xr:uid="{00000000-0006-0000-0C00-000014000000}">
      <text>
        <r>
          <rPr>
            <b/>
            <sz val="9"/>
            <color indexed="81"/>
            <rFont val="MS P ゴシック"/>
            <family val="3"/>
            <charset val="128"/>
          </rPr>
          <t>IG ON</t>
        </r>
      </text>
    </comment>
    <comment ref="G78" authorId="1" shapeId="0" xr:uid="{00000000-0006-0000-0C00-000015000000}">
      <text>
        <r>
          <rPr>
            <b/>
            <sz val="9"/>
            <color indexed="81"/>
            <rFont val="MS P ゴシック"/>
            <family val="3"/>
            <charset val="128"/>
          </rPr>
          <t xml:space="preserve">IG OFF 且つ IG OFF後25[m]未満
</t>
        </r>
      </text>
    </comment>
    <comment ref="H78" authorId="1" shapeId="0" xr:uid="{00000000-0006-0000-0C00-000016000000}">
      <text>
        <r>
          <rPr>
            <b/>
            <sz val="9"/>
            <color indexed="81"/>
            <rFont val="MS P ゴシック"/>
            <family val="3"/>
            <charset val="128"/>
          </rPr>
          <t xml:space="preserve">IG OFF
</t>
        </r>
      </text>
    </comment>
    <comment ref="I78" authorId="1" shapeId="0" xr:uid="{00000000-0006-0000-0C00-000017000000}">
      <text>
        <r>
          <rPr>
            <b/>
            <sz val="9"/>
            <color indexed="81"/>
            <rFont val="MS P ゴシック"/>
            <family val="3"/>
            <charset val="128"/>
          </rPr>
          <t xml:space="preserve">IG ON 又は IG OFF後25[m]未満
</t>
        </r>
      </text>
    </comment>
    <comment ref="J78" authorId="1" shapeId="0" xr:uid="{00000000-0006-0000-0C00-000018000000}">
      <text>
        <r>
          <rPr>
            <b/>
            <sz val="9"/>
            <color indexed="81"/>
            <rFont val="MS P ゴシック"/>
            <family val="3"/>
            <charset val="128"/>
          </rPr>
          <t>+B ON 又は ACC ON</t>
        </r>
      </text>
    </comment>
    <comment ref="B120" authorId="0" shapeId="0" xr:uid="{00000000-0006-0000-0C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3" authorId="1" shapeId="0" xr:uid="{00000000-0006-0000-0C00-00001A000000}">
      <text>
        <r>
          <rPr>
            <b/>
            <sz val="9"/>
            <color indexed="81"/>
            <rFont val="MS P ゴシック"/>
            <family val="3"/>
            <charset val="128"/>
          </rPr>
          <t xml:space="preserve">リモート送信条件成立：IG ON 且つ PTS ONが15[s]以上
</t>
        </r>
      </text>
    </comment>
    <comment ref="E123" authorId="1" shapeId="0" xr:uid="{00000000-0006-0000-0C00-00001B000000}">
      <text>
        <r>
          <rPr>
            <b/>
            <sz val="9"/>
            <color indexed="81"/>
            <rFont val="MS P ゴシック"/>
            <family val="3"/>
            <charset val="128"/>
          </rPr>
          <t xml:space="preserve">IG ON 且つ ST OFF
</t>
        </r>
      </text>
    </comment>
    <comment ref="F123" authorId="1" shapeId="0" xr:uid="{00000000-0006-0000-0C00-00001C000000}">
      <text>
        <r>
          <rPr>
            <b/>
            <sz val="9"/>
            <color indexed="81"/>
            <rFont val="MS P ゴシック"/>
            <family val="3"/>
            <charset val="128"/>
          </rPr>
          <t>IG ON</t>
        </r>
      </text>
    </comment>
    <comment ref="G123" authorId="1" shapeId="0" xr:uid="{00000000-0006-0000-0C00-00001D000000}">
      <text>
        <r>
          <rPr>
            <b/>
            <sz val="9"/>
            <color indexed="81"/>
            <rFont val="MS P ゴシック"/>
            <family val="3"/>
            <charset val="128"/>
          </rPr>
          <t xml:space="preserve">IG OFF 且つ IG OFF後25[m]未満
</t>
        </r>
      </text>
    </comment>
    <comment ref="H123" authorId="1" shapeId="0" xr:uid="{00000000-0006-0000-0C00-00001E000000}">
      <text>
        <r>
          <rPr>
            <b/>
            <sz val="9"/>
            <color indexed="81"/>
            <rFont val="MS P ゴシック"/>
            <family val="3"/>
            <charset val="128"/>
          </rPr>
          <t xml:space="preserve">IG OFF
</t>
        </r>
      </text>
    </comment>
    <comment ref="I123" authorId="1" shapeId="0" xr:uid="{00000000-0006-0000-0C00-00001F000000}">
      <text>
        <r>
          <rPr>
            <b/>
            <sz val="9"/>
            <color indexed="81"/>
            <rFont val="MS P ゴシック"/>
            <family val="3"/>
            <charset val="128"/>
          </rPr>
          <t xml:space="preserve">IG ON 又は IG OFF後25[m]未満
</t>
        </r>
      </text>
    </comment>
    <comment ref="J123" authorId="1" shapeId="0" xr:uid="{00000000-0006-0000-0C00-000020000000}">
      <text>
        <r>
          <rPr>
            <b/>
            <sz val="9"/>
            <color indexed="81"/>
            <rFont val="MS P ゴシック"/>
            <family val="3"/>
            <charset val="128"/>
          </rPr>
          <t>+B ON 又は ACC ON</t>
        </r>
      </text>
    </comment>
    <comment ref="B143" authorId="0" shapeId="0" xr:uid="{00000000-0006-0000-0C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6" authorId="1" shapeId="0" xr:uid="{00000000-0006-0000-0C00-000022000000}">
      <text>
        <r>
          <rPr>
            <b/>
            <sz val="9"/>
            <color indexed="81"/>
            <rFont val="MS P ゴシック"/>
            <family val="3"/>
            <charset val="128"/>
          </rPr>
          <t xml:space="preserve">リモート送信条件成立：IG ON 且つ PTS ONが15[s]以上
</t>
        </r>
      </text>
    </comment>
    <comment ref="E146" authorId="1" shapeId="0" xr:uid="{00000000-0006-0000-0C00-000023000000}">
      <text>
        <r>
          <rPr>
            <b/>
            <sz val="9"/>
            <color indexed="81"/>
            <rFont val="MS P ゴシック"/>
            <family val="3"/>
            <charset val="128"/>
          </rPr>
          <t xml:space="preserve">IG ON 且つ ST OFF
</t>
        </r>
      </text>
    </comment>
    <comment ref="F146" authorId="1" shapeId="0" xr:uid="{00000000-0006-0000-0C00-000024000000}">
      <text>
        <r>
          <rPr>
            <b/>
            <sz val="9"/>
            <color indexed="81"/>
            <rFont val="MS P ゴシック"/>
            <family val="3"/>
            <charset val="128"/>
          </rPr>
          <t>IG ON</t>
        </r>
      </text>
    </comment>
    <comment ref="G146" authorId="1" shapeId="0" xr:uid="{00000000-0006-0000-0C00-000025000000}">
      <text>
        <r>
          <rPr>
            <b/>
            <sz val="9"/>
            <color indexed="81"/>
            <rFont val="MS P ゴシック"/>
            <family val="3"/>
            <charset val="128"/>
          </rPr>
          <t xml:space="preserve">IG OFF 且つ IG OFF後25[m]未満
</t>
        </r>
      </text>
    </comment>
    <comment ref="H146" authorId="1" shapeId="0" xr:uid="{00000000-0006-0000-0C00-000026000000}">
      <text>
        <r>
          <rPr>
            <b/>
            <sz val="9"/>
            <color indexed="81"/>
            <rFont val="MS P ゴシック"/>
            <family val="3"/>
            <charset val="128"/>
          </rPr>
          <t xml:space="preserve">IG OFF
</t>
        </r>
      </text>
    </comment>
    <comment ref="I146" authorId="1" shapeId="0" xr:uid="{00000000-0006-0000-0C00-000027000000}">
      <text>
        <r>
          <rPr>
            <b/>
            <sz val="9"/>
            <color indexed="81"/>
            <rFont val="MS P ゴシック"/>
            <family val="3"/>
            <charset val="128"/>
          </rPr>
          <t xml:space="preserve">IG ON 又は IG OFF後25[m]未満
</t>
        </r>
      </text>
    </comment>
    <comment ref="J146" authorId="1" shapeId="0" xr:uid="{00000000-0006-0000-0C00-000028000000}">
      <text>
        <r>
          <rPr>
            <b/>
            <sz val="9"/>
            <color indexed="81"/>
            <rFont val="MS P ゴシック"/>
            <family val="3"/>
            <charset val="128"/>
          </rPr>
          <t>+B ON 又は ACC ON</t>
        </r>
      </text>
    </comment>
    <comment ref="B166" authorId="0" shapeId="0" xr:uid="{00000000-0006-0000-0C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9" authorId="1" shapeId="0" xr:uid="{00000000-0006-0000-0C00-00002A000000}">
      <text>
        <r>
          <rPr>
            <b/>
            <sz val="9"/>
            <color indexed="81"/>
            <rFont val="MS P ゴシック"/>
            <family val="3"/>
            <charset val="128"/>
          </rPr>
          <t xml:space="preserve">リモート送信条件成立：IG ON 且つ PTS ONが15[s]以上
</t>
        </r>
      </text>
    </comment>
    <comment ref="E169" authorId="1" shapeId="0" xr:uid="{00000000-0006-0000-0C00-00002B000000}">
      <text>
        <r>
          <rPr>
            <b/>
            <sz val="9"/>
            <color indexed="81"/>
            <rFont val="MS P ゴシック"/>
            <family val="3"/>
            <charset val="128"/>
          </rPr>
          <t xml:space="preserve">IG ON 且つ ST OFF
</t>
        </r>
      </text>
    </comment>
    <comment ref="F169" authorId="1" shapeId="0" xr:uid="{00000000-0006-0000-0C00-00002C000000}">
      <text>
        <r>
          <rPr>
            <b/>
            <sz val="9"/>
            <color indexed="81"/>
            <rFont val="MS P ゴシック"/>
            <family val="3"/>
            <charset val="128"/>
          </rPr>
          <t>IG ON</t>
        </r>
      </text>
    </comment>
    <comment ref="G169" authorId="1" shapeId="0" xr:uid="{00000000-0006-0000-0C00-00002D000000}">
      <text>
        <r>
          <rPr>
            <b/>
            <sz val="9"/>
            <color indexed="81"/>
            <rFont val="MS P ゴシック"/>
            <family val="3"/>
            <charset val="128"/>
          </rPr>
          <t xml:space="preserve">IG OFF 且つ IG OFF後25[m]未満
</t>
        </r>
      </text>
    </comment>
    <comment ref="H169" authorId="1" shapeId="0" xr:uid="{00000000-0006-0000-0C00-00002E000000}">
      <text>
        <r>
          <rPr>
            <b/>
            <sz val="9"/>
            <color indexed="81"/>
            <rFont val="MS P ゴシック"/>
            <family val="3"/>
            <charset val="128"/>
          </rPr>
          <t xml:space="preserve">IG OFF
</t>
        </r>
      </text>
    </comment>
    <comment ref="I169" authorId="1" shapeId="0" xr:uid="{00000000-0006-0000-0C00-00002F000000}">
      <text>
        <r>
          <rPr>
            <b/>
            <sz val="9"/>
            <color indexed="81"/>
            <rFont val="MS P ゴシック"/>
            <family val="3"/>
            <charset val="128"/>
          </rPr>
          <t xml:space="preserve">IG ON 又は IG OFF後25[m]未満
</t>
        </r>
      </text>
    </comment>
    <comment ref="J169" authorId="1" shapeId="0" xr:uid="{00000000-0006-0000-0C00-000030000000}">
      <text>
        <r>
          <rPr>
            <b/>
            <sz val="9"/>
            <color indexed="81"/>
            <rFont val="MS P ゴシック"/>
            <family val="3"/>
            <charset val="128"/>
          </rPr>
          <t>+B ON 又は ACC ON</t>
        </r>
      </text>
    </comment>
    <comment ref="B198" authorId="0" shapeId="0" xr:uid="{00000000-0006-0000-0C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1" authorId="1" shapeId="0" xr:uid="{00000000-0006-0000-0C00-000032000000}">
      <text>
        <r>
          <rPr>
            <b/>
            <sz val="9"/>
            <color indexed="81"/>
            <rFont val="MS P ゴシック"/>
            <family val="3"/>
            <charset val="128"/>
          </rPr>
          <t xml:space="preserve">リモート送信条件成立：IG ON 且つ PTS ONが15[s]以上
</t>
        </r>
      </text>
    </comment>
    <comment ref="E201" authorId="1" shapeId="0" xr:uid="{00000000-0006-0000-0C00-000033000000}">
      <text>
        <r>
          <rPr>
            <b/>
            <sz val="9"/>
            <color indexed="81"/>
            <rFont val="MS P ゴシック"/>
            <family val="3"/>
            <charset val="128"/>
          </rPr>
          <t xml:space="preserve">IG ON 且つ ST OFF
</t>
        </r>
      </text>
    </comment>
    <comment ref="F201" authorId="1" shapeId="0" xr:uid="{00000000-0006-0000-0C00-000034000000}">
      <text>
        <r>
          <rPr>
            <b/>
            <sz val="9"/>
            <color indexed="81"/>
            <rFont val="MS P ゴシック"/>
            <family val="3"/>
            <charset val="128"/>
          </rPr>
          <t>IG ON</t>
        </r>
      </text>
    </comment>
    <comment ref="G201" authorId="1" shapeId="0" xr:uid="{00000000-0006-0000-0C00-000035000000}">
      <text>
        <r>
          <rPr>
            <b/>
            <sz val="9"/>
            <color indexed="81"/>
            <rFont val="MS P ゴシック"/>
            <family val="3"/>
            <charset val="128"/>
          </rPr>
          <t xml:space="preserve">IG OFF 且つ IG OFF後25[m]未満
</t>
        </r>
      </text>
    </comment>
    <comment ref="H201" authorId="1" shapeId="0" xr:uid="{00000000-0006-0000-0C00-000036000000}">
      <text>
        <r>
          <rPr>
            <b/>
            <sz val="9"/>
            <color indexed="81"/>
            <rFont val="MS P ゴシック"/>
            <family val="3"/>
            <charset val="128"/>
          </rPr>
          <t xml:space="preserve">IG OFF
</t>
        </r>
      </text>
    </comment>
    <comment ref="I201" authorId="1" shapeId="0" xr:uid="{00000000-0006-0000-0C00-000037000000}">
      <text>
        <r>
          <rPr>
            <b/>
            <sz val="9"/>
            <color indexed="81"/>
            <rFont val="MS P ゴシック"/>
            <family val="3"/>
            <charset val="128"/>
          </rPr>
          <t xml:space="preserve">IG ON 又は IG OFF後25[m]未満
</t>
        </r>
      </text>
    </comment>
    <comment ref="J201" authorId="1" shapeId="0" xr:uid="{00000000-0006-0000-0C00-000038000000}">
      <text>
        <r>
          <rPr>
            <b/>
            <sz val="9"/>
            <color indexed="81"/>
            <rFont val="MS P ゴシック"/>
            <family val="3"/>
            <charset val="128"/>
          </rPr>
          <t>+B ON 又は ACC ON</t>
        </r>
      </text>
    </comment>
    <comment ref="B230" authorId="0" shapeId="0" xr:uid="{00000000-0006-0000-0C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3" authorId="1" shapeId="0" xr:uid="{00000000-0006-0000-0C00-00003A000000}">
      <text>
        <r>
          <rPr>
            <b/>
            <sz val="9"/>
            <color indexed="81"/>
            <rFont val="MS P ゴシック"/>
            <family val="3"/>
            <charset val="128"/>
          </rPr>
          <t xml:space="preserve">リモート送信条件成立：IG ON 且つ PTS ONが15[s]以上
</t>
        </r>
      </text>
    </comment>
    <comment ref="E233" authorId="1" shapeId="0" xr:uid="{00000000-0006-0000-0C00-00003B000000}">
      <text>
        <r>
          <rPr>
            <b/>
            <sz val="9"/>
            <color indexed="81"/>
            <rFont val="MS P ゴシック"/>
            <family val="3"/>
            <charset val="128"/>
          </rPr>
          <t xml:space="preserve">IG ON 且つ ST OFF
</t>
        </r>
      </text>
    </comment>
    <comment ref="F233" authorId="1" shapeId="0" xr:uid="{00000000-0006-0000-0C00-00003C000000}">
      <text>
        <r>
          <rPr>
            <b/>
            <sz val="9"/>
            <color indexed="81"/>
            <rFont val="MS P ゴシック"/>
            <family val="3"/>
            <charset val="128"/>
          </rPr>
          <t>IG ON</t>
        </r>
      </text>
    </comment>
    <comment ref="G233" authorId="1" shapeId="0" xr:uid="{00000000-0006-0000-0C00-00003D000000}">
      <text>
        <r>
          <rPr>
            <b/>
            <sz val="9"/>
            <color indexed="81"/>
            <rFont val="MS P ゴシック"/>
            <family val="3"/>
            <charset val="128"/>
          </rPr>
          <t xml:space="preserve">IG OFF 且つ IG OFF後25[m]未満
</t>
        </r>
      </text>
    </comment>
    <comment ref="H233" authorId="1" shapeId="0" xr:uid="{00000000-0006-0000-0C00-00003E000000}">
      <text>
        <r>
          <rPr>
            <b/>
            <sz val="9"/>
            <color indexed="81"/>
            <rFont val="MS P ゴシック"/>
            <family val="3"/>
            <charset val="128"/>
          </rPr>
          <t xml:space="preserve">IG OFF
</t>
        </r>
      </text>
    </comment>
    <comment ref="I233" authorId="1" shapeId="0" xr:uid="{00000000-0006-0000-0C00-00003F000000}">
      <text>
        <r>
          <rPr>
            <b/>
            <sz val="9"/>
            <color indexed="81"/>
            <rFont val="MS P ゴシック"/>
            <family val="3"/>
            <charset val="128"/>
          </rPr>
          <t xml:space="preserve">IG ON 又は IG OFF後25[m]未満
</t>
        </r>
      </text>
    </comment>
    <comment ref="J233" authorId="1" shapeId="0" xr:uid="{00000000-0006-0000-0C00-00004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<sst xmlns="http://schemas.openxmlformats.org/spreadsheetml/2006/main" count="3461" uniqueCount="338">
  <si>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</si>
  <si>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</si>
  <si>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</si>
  <si>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</si>
  <si>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</si>
  <si>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</si>
  <si>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</si>
  <si>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</si>
  <si>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</si>
  <si>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</si>
  <si>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</si>
  <si>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</si>
  <si>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</si>
  <si>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</si>
  <si>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</si>
  <si>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</si>
  <si>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</si>
  <si>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</si>
  <si>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</si>
  <si>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</si>
  <si>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</si>
  <si>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</si>
  <si>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</si>
  <si>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</si>
  <si>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</si>
  <si>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</si>
  <si>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</si>
  <si>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</si>
  <si>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</si>
  <si>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</si>
  <si>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</si>
  <si>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</si>
  <si>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</si>
  <si>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</si>
  <si>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</si>
  <si>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</si>
  <si>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</si>
  <si>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</si>
  <si>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</si>
  <si>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</si>
  <si>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</si>
  <si>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</si>
  <si>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</si>
  <si>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</si>
  <si>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</si>
  <si>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</si>
  <si>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</si>
  <si>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</si>
  <si>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</si>
  <si>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</si>
  <si>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</si>
  <si>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</si>
  <si>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</si>
  <si>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</si>
  <si>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</si>
  <si>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</si>
  <si>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</si>
  <si>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</si>
  <si>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</si>
  <si>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</si>
  <si>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</si>
  <si>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</si>
  <si>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</si>
  <si>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</si>
  <si>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</si>
  <si>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</si>
  <si>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</si>
  <si>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</si>
  <si>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</si>
  <si>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</si>
  <si>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</si>
  <si>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</si>
  <si>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</si>
  <si>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</si>
  <si>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</si>
  <si>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</si>
  <si>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</si>
  <si>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</si>
  <si>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</si>
  <si>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</si>
  <si>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</si>
  <si>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</si>
  <si>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</si>
  <si>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</si>
  <si>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</si>
  <si>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</si>
  <si>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</si>
  <si>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</si>
  <si>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</si>
  <si>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</si>
  <si>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</si>
  <si>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</si>
  <si>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</si>
  <si>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</si>
  <si>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</si>
  <si>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</si>
  <si>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</si>
  <si>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</si>
  <si>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</si>
  <si>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</si>
  <si>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</si>
  <si>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</si>
  <si>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</si>
  <si>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</si>
  <si>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</si>
  <si>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</si>
  <si>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</si>
  <si>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</si>
  <si>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</si>
  <si>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</si>
  <si>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</si>
  <si>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</si>
  <si>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</si>
  <si>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</si>
  <si>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</si>
  <si>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</si>
  <si>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</si>
  <si>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</si>
  <si>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</si>
  <si>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</si>
  <si>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</si>
  <si>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</si>
  <si>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</si>
  <si>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</si>
  <si>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</si>
  <si>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</si>
  <si>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</si>
  <si>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</si>
  <si>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</si>
  <si>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</si>
  <si>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</si>
  <si>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</si>
  <si>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</si>
  <si>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</si>
  <si>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</si>
  <si>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</si>
  <si>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</si>
  <si>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</si>
  <si>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</si>
  <si>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</si>
  <si>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</si>
  <si>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</si>
  <si>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</si>
  <si>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</si>
  <si>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</si>
  <si>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</si>
  <si>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</si>
  <si>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</si>
  <si>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</si>
  <si>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</si>
  <si>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</si>
  <si>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</si>
  <si>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</si>
  <si>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</si>
  <si>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</si>
  <si>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</si>
  <si>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</si>
  <si>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</si>
  <si>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</si>
  <si>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</si>
  <si>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</si>
  <si>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</si>
  <si>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</si>
  <si>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</si>
  <si>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</si>
  <si>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</si>
  <si>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</si>
  <si>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</si>
  <si>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</si>
  <si>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</si>
  <si>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</si>
  <si>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</si>
  <si>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</si>
  <si>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</si>
  <si>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</si>
  <si>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</si>
  <si>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</si>
  <si>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</si>
  <si>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</si>
  <si>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</si>
  <si>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</si>
  <si>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</si>
  <si>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</si>
  <si>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</si>
  <si>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</si>
  <si>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</si>
  <si>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</si>
  <si>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</si>
  <si>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</si>
  <si>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</si>
  <si>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</si>
  <si>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</si>
  <si>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</si>
  <si>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</si>
  <si>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</si>
  <si>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</si>
  <si>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</si>
  <si>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</si>
  <si>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</si>
  <si>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</si>
  <si>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</si>
  <si>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</si>
  <si>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</si>
  <si>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</si>
  <si>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</si>
  <si>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</si>
  <si>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</si>
  <si>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Index</t>
  </si>
  <si>
    <t>-/
要求有り</t>
    <rPh sb="4" eb="6">
      <t>ヨウキュウ</t>
    </rPh>
    <rPh sb="6" eb="7">
      <t>ア</t>
    </rPh>
    <phoneticPr fontId="2"/>
  </si>
  <si>
    <t>*b</t>
  </si>
  <si>
    <t>IG-OFF</t>
    <phoneticPr fontId="2"/>
  </si>
  <si>
    <t>ALERT_VOM_IGN_ON</t>
    <phoneticPr fontId="2"/>
  </si>
  <si>
    <t>NULL</t>
  </si>
  <si>
    <t>00b</t>
  </si>
  <si>
    <t>00b</t>
    <phoneticPr fontId="2"/>
  </si>
  <si>
    <t>CSR1S08</t>
    <phoneticPr fontId="2"/>
  </si>
  <si>
    <t>IG-ON</t>
  </si>
  <si>
    <t>CAN</t>
    <phoneticPr fontId="2"/>
  </si>
  <si>
    <t>非表示(00b)/
クリアランスソナー、検知カメラ故障(01b)/
クリアランスソナー、検知カメラ一時使用不可等(10b)/
非表示(11b)</t>
    <rPh sb="0" eb="3">
      <t>ヒヒョウジ</t>
    </rPh>
    <rPh sb="63" eb="66">
      <t>ヒヒョウジ</t>
    </rPh>
    <phoneticPr fontId="2"/>
  </si>
  <si>
    <t>通常(00b)/
未受信(01b)/
通信途絶(10b)/
未受信通信途絶(11b)</t>
    <phoneticPr fontId="2"/>
  </si>
  <si>
    <t>ALERT_CH_S_PSSDI_PKSS</t>
  </si>
  <si>
    <t>01b</t>
    <phoneticPr fontId="2"/>
  </si>
  <si>
    <t>10b</t>
    <phoneticPr fontId="2"/>
  </si>
  <si>
    <t>11b</t>
    <phoneticPr fontId="2"/>
  </si>
  <si>
    <t>**b</t>
  </si>
  <si>
    <t>**b</t>
    <phoneticPr fontId="2"/>
  </si>
  <si>
    <t>要求有り</t>
    <phoneticPr fontId="2"/>
  </si>
  <si>
    <t>PKSW</t>
    <phoneticPr fontId="2"/>
  </si>
  <si>
    <t>未受信</t>
    <rPh sb="0" eb="1">
      <t>ミ</t>
    </rPh>
    <rPh sb="1" eb="3">
      <t>ジュシン</t>
    </rPh>
    <phoneticPr fontId="2"/>
  </si>
  <si>
    <t>通信途絶</t>
    <rPh sb="0" eb="2">
      <t>ツウシン</t>
    </rPh>
    <rPh sb="2" eb="4">
      <t>トゼツ</t>
    </rPh>
    <phoneticPr fontId="2"/>
  </si>
  <si>
    <t>未受信通信途絶</t>
    <rPh sb="0" eb="7">
      <t>ミジュシンツウシントゼツ</t>
    </rPh>
    <phoneticPr fontId="2"/>
  </si>
  <si>
    <t>ソナー汚れ表示２判定</t>
    <rPh sb="8" eb="10">
      <t>ハンテイ</t>
    </rPh>
    <phoneticPr fontId="2"/>
  </si>
  <si>
    <t>ALERT_CH_S_PSSDI_CSR</t>
  </si>
  <si>
    <t>非表示(0b)/
ソナー汚れを検知し、システム停止(1b)</t>
    <rPh sb="0" eb="3">
      <t>ヒヒョウジ</t>
    </rPh>
    <rPh sb="12" eb="13">
      <t>ヨゴ</t>
    </rPh>
    <rPh sb="15" eb="17">
      <t>ケンチ</t>
    </rPh>
    <rPh sb="23" eb="25">
      <t>テイシ</t>
    </rPh>
    <phoneticPr fontId="2"/>
  </si>
  <si>
    <t>0b</t>
    <phoneticPr fontId="2"/>
  </si>
  <si>
    <t>0b</t>
    <phoneticPr fontId="2"/>
  </si>
  <si>
    <t>1b</t>
    <phoneticPr fontId="2"/>
  </si>
  <si>
    <t>1b</t>
    <phoneticPr fontId="2"/>
  </si>
  <si>
    <t>周辺カメラシステム汚れ表示判定</t>
    <rPh sb="13" eb="15">
      <t>ハンテイ</t>
    </rPh>
    <phoneticPr fontId="2"/>
  </si>
  <si>
    <t>非表示(0b)/
リアカメラ又はPVMカメラの汚れ検知(1b)</t>
    <rPh sb="0" eb="3">
      <t>ヒヒョウジ</t>
    </rPh>
    <rPh sb="14" eb="15">
      <t>マタ</t>
    </rPh>
    <rPh sb="23" eb="24">
      <t>ヨゴ</t>
    </rPh>
    <rPh sb="25" eb="27">
      <t>ケンチ</t>
    </rPh>
    <phoneticPr fontId="2"/>
  </si>
  <si>
    <t>ALERT_CH_S_PSSDI_CAM</t>
  </si>
  <si>
    <t>S_PSSDI-CSTD-0-MEV01-REQ05/
-</t>
    <phoneticPr fontId="2"/>
  </si>
  <si>
    <t>MET1S36</t>
    <phoneticPr fontId="2"/>
  </si>
  <si>
    <t>DIRT</t>
    <phoneticPr fontId="2"/>
  </si>
  <si>
    <t>通常 + 非表示</t>
    <rPh sb="0" eb="2">
      <t>ツウジョウ</t>
    </rPh>
    <rPh sb="5" eb="8">
      <t>ヒヒョウジ</t>
    </rPh>
    <phoneticPr fontId="2"/>
  </si>
  <si>
    <t>通常 + 故障</t>
    <rPh sb="0" eb="2">
      <t>ツウジョウ</t>
    </rPh>
    <rPh sb="5" eb="7">
      <t>コショウ</t>
    </rPh>
    <phoneticPr fontId="2"/>
  </si>
  <si>
    <t>UNKNOWN/
UNAVLBL</t>
    <phoneticPr fontId="2"/>
  </si>
  <si>
    <t>UNAVLBL</t>
    <phoneticPr fontId="2"/>
  </si>
  <si>
    <t>REQ05</t>
    <phoneticPr fontId="2"/>
  </si>
  <si>
    <t>REQ06</t>
    <phoneticPr fontId="2"/>
  </si>
  <si>
    <t>CSR使用不可アイコン表示判定 [2]</t>
    <rPh sb="3" eb="5">
      <t>シヨウ</t>
    </rPh>
    <rPh sb="5" eb="7">
      <t>フカ</t>
    </rPh>
    <rPh sb="11" eb="13">
      <t>ヒョウジ</t>
    </rPh>
    <rPh sb="13" eb="15">
      <t>ハンテイ</t>
    </rPh>
    <phoneticPr fontId="2"/>
  </si>
  <si>
    <t>CSR1S08</t>
    <phoneticPr fontId="2"/>
  </si>
  <si>
    <t>REQ02</t>
    <phoneticPr fontId="2"/>
  </si>
  <si>
    <t>UNKNOWN/
ON</t>
    <phoneticPr fontId="2"/>
  </si>
  <si>
    <t>ON</t>
  </si>
  <si>
    <t>ON</t>
    <phoneticPr fontId="2"/>
  </si>
  <si>
    <t>PKSB使用不可アイコン表示判定 [3]</t>
    <rPh sb="4" eb="6">
      <t>シヨウ</t>
    </rPh>
    <rPh sb="6" eb="8">
      <t>フカ</t>
    </rPh>
    <rPh sb="12" eb="14">
      <t>ヒョウジ</t>
    </rPh>
    <rPh sb="14" eb="16">
      <t>ハンテイ</t>
    </rPh>
    <phoneticPr fontId="2"/>
  </si>
  <si>
    <t>非表示(0b)/
CSR使用不可1b)</t>
    <rPh sb="0" eb="3">
      <t>ヒヒョウジ</t>
    </rPh>
    <phoneticPr fontId="2"/>
  </si>
  <si>
    <t>非表示(0b)/
PKSB使用不可(1b)</t>
    <rPh sb="0" eb="3">
      <t>ヒヒョウジ</t>
    </rPh>
    <rPh sb="13" eb="15">
      <t>シヨウ</t>
    </rPh>
    <rPh sb="15" eb="17">
      <t>フカ</t>
    </rPh>
    <phoneticPr fontId="2"/>
  </si>
  <si>
    <t>非表示(0b)/
RCD使用不可(1b)</t>
    <rPh sb="0" eb="3">
      <t>ヒヒョウジ</t>
    </rPh>
    <rPh sb="12" eb="14">
      <t>シヨウ</t>
    </rPh>
    <rPh sb="14" eb="16">
      <t>フカ</t>
    </rPh>
    <phoneticPr fontId="2"/>
  </si>
  <si>
    <t>全周囲PKSA使用不可アイコン表示判定 [2]</t>
    <rPh sb="0" eb="1">
      <t>ゼン</t>
    </rPh>
    <rPh sb="1" eb="3">
      <t>シュウイ</t>
    </rPh>
    <rPh sb="7" eb="9">
      <t>シヨウ</t>
    </rPh>
    <rPh sb="9" eb="11">
      <t>フカ</t>
    </rPh>
    <rPh sb="15" eb="17">
      <t>ヒョウジ</t>
    </rPh>
    <rPh sb="17" eb="19">
      <t>ハンテイ</t>
    </rPh>
    <phoneticPr fontId="2"/>
  </si>
  <si>
    <t>非表示(0b)/
全周囲PKSA使用不可(1b)</t>
    <rPh sb="0" eb="3">
      <t>ヒヒョウジ</t>
    </rPh>
    <rPh sb="9" eb="10">
      <t>ゼン</t>
    </rPh>
    <rPh sb="10" eb="12">
      <t>シュウイ</t>
    </rPh>
    <rPh sb="16" eb="18">
      <t>シヨウ</t>
    </rPh>
    <rPh sb="18" eb="20">
      <t>フカ</t>
    </rPh>
    <phoneticPr fontId="2"/>
  </si>
  <si>
    <t>ALERT_CH_S_PSSDI_IC_PKSB</t>
    <phoneticPr fontId="2"/>
  </si>
  <si>
    <t>ALERT_CH_S_PSSDI_IC_PKSA</t>
    <phoneticPr fontId="2"/>
  </si>
  <si>
    <t>ALERT_CH_S_PSSDI_ML_CSR</t>
    <phoneticPr fontId="2"/>
  </si>
  <si>
    <t>ALERT_CH_S_PSSDI_ML_PKSB</t>
    <phoneticPr fontId="2"/>
  </si>
  <si>
    <t>ALERT_CH_S_PSSDI_ML_RCD</t>
    <phoneticPr fontId="2"/>
  </si>
  <si>
    <t>UNKNOWN/
DIRT</t>
    <phoneticPr fontId="2"/>
  </si>
  <si>
    <t>S_PSSDI-CSTD-0-MEV01-REQ06/
-</t>
    <phoneticPr fontId="2"/>
  </si>
  <si>
    <t>S_PSSDI-CSTD-0-VM05-GSY02-REQ02/
-</t>
    <phoneticPr fontId="2"/>
  </si>
  <si>
    <t>×</t>
  </si>
  <si>
    <t>RCD使用不可アイコン表示判定 [4]</t>
    <rPh sb="3" eb="5">
      <t>シヨウ</t>
    </rPh>
    <rPh sb="5" eb="7">
      <t>フカ</t>
    </rPh>
    <rPh sb="11" eb="13">
      <t>ヒョウジ</t>
    </rPh>
    <rPh sb="13" eb="15">
      <t>ハンテイ</t>
    </rPh>
    <phoneticPr fontId="2"/>
  </si>
  <si>
    <t>REQ02</t>
  </si>
  <si>
    <t>UNKNOWN/
ON</t>
  </si>
  <si>
    <t>S_PSSDI-CSTD-0-VM01-GSY04-REQ02,
S_PSSDI-CSTD-0-VM02-GSY04-REQ02,
S_PSSDI-CSTD-0-VM05-GSY04-REQ02/
-</t>
    <phoneticPr fontId="2"/>
  </si>
  <si>
    <t>PKSB使用不可アイコン表示判定 [3] - ソナー汚れ表示２画面用</t>
    <rPh sb="4" eb="6">
      <t>シヨウ</t>
    </rPh>
    <rPh sb="6" eb="8">
      <t>フカ</t>
    </rPh>
    <rPh sb="12" eb="14">
      <t>ヒョウジ</t>
    </rPh>
    <rPh sb="14" eb="16">
      <t>ハンテイ</t>
    </rPh>
    <phoneticPr fontId="2"/>
  </si>
  <si>
    <t>S_PSSDI-CSTD-0-VM04-GSY03-REQ02/
-</t>
    <phoneticPr fontId="2"/>
  </si>
  <si>
    <t>S_PSSDI-CSTD-0-VM01-GSY02-REQ02,
S_PSSDI-CSTD-0-VM02-GSY02-REQ02,
S_PSSDI-CSTD-0-VM04-GSY02-REQ02/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</si>
  <si>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</si>
  <si>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</si>
  <si>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</si>
  <si>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CSR1S08_STS</t>
    <phoneticPr fontId="2"/>
  </si>
  <si>
    <t>PKSSINFO_SIG</t>
    <phoneticPr fontId="2"/>
  </si>
  <si>
    <t>CSR_INF2_SIG</t>
    <phoneticPr fontId="2"/>
  </si>
  <si>
    <t>CAM_INF1_SIG</t>
    <phoneticPr fontId="2"/>
  </si>
  <si>
    <t>CSRAVABL_SIG</t>
    <phoneticPr fontId="2"/>
  </si>
  <si>
    <t>ICSAVABL_SIG</t>
    <phoneticPr fontId="2"/>
  </si>
  <si>
    <t>RCDAVABL_SIG</t>
    <phoneticPr fontId="2"/>
  </si>
  <si>
    <t>MOVAVABL_SIG</t>
    <phoneticPr fontId="2"/>
  </si>
  <si>
    <t>-</t>
    <phoneticPr fontId="2"/>
  </si>
  <si>
    <t>IG-ON + 通常 + 非表示</t>
    <rPh sb="8" eb="10">
      <t>ツウジョウ</t>
    </rPh>
    <rPh sb="13" eb="16">
      <t>ヒヒョウジ</t>
    </rPh>
    <phoneticPr fontId="2"/>
  </si>
  <si>
    <t>IG-ON + 未受信 + *</t>
    <rPh sb="8" eb="9">
      <t>ミ</t>
    </rPh>
    <rPh sb="9" eb="11">
      <t>ジュシン</t>
    </rPh>
    <phoneticPr fontId="2"/>
  </si>
  <si>
    <t>IG-ON + 通信途絶 + *</t>
    <rPh sb="8" eb="10">
      <t>ツウシン</t>
    </rPh>
    <rPh sb="10" eb="12">
      <t>トゼツ</t>
    </rPh>
    <phoneticPr fontId="2"/>
  </si>
  <si>
    <t>IG-ON + 未受信通信途絶 + *</t>
    <rPh sb="8" eb="15">
      <t>ミジュシンツウシントゼツ</t>
    </rPh>
    <phoneticPr fontId="2"/>
  </si>
  <si>
    <t>IG-OFF + * + *</t>
    <phoneticPr fontId="2"/>
  </si>
  <si>
    <t>IG-ON + 通常 + クリアランスソナー、検知カメラ故障</t>
    <rPh sb="8" eb="10">
      <t>ツウジョウ</t>
    </rPh>
    <phoneticPr fontId="2"/>
  </si>
  <si>
    <t>IG-ON + 通常 + クリアランスソナー、検知カメラ一時使用不可等</t>
    <rPh sb="8" eb="10">
      <t>ツウジョウ</t>
    </rPh>
    <phoneticPr fontId="2"/>
  </si>
  <si>
    <t>IG-ON + 通常 + ソナー汚れを検知し、システム停止</t>
    <rPh sb="8" eb="10">
      <t>ツウジョウ</t>
    </rPh>
    <phoneticPr fontId="2"/>
  </si>
  <si>
    <t>IG-ON + 通常 + リアカメラ又はPVMカメラの汚れ検知</t>
    <rPh sb="8" eb="10">
      <t>ツウジョウ</t>
    </rPh>
    <phoneticPr fontId="2"/>
  </si>
  <si>
    <t>IG-ON + 通常 + CSR使用不可</t>
    <rPh sb="8" eb="10">
      <t>ツウジョウ</t>
    </rPh>
    <phoneticPr fontId="2"/>
  </si>
  <si>
    <t>IG-ON + 通常 + PKSB使用不可</t>
    <rPh sb="8" eb="10">
      <t>ツウジョウ</t>
    </rPh>
    <phoneticPr fontId="2"/>
  </si>
  <si>
    <t>IG-ON + 通常 + RCD使用不可</t>
    <rPh sb="8" eb="10">
      <t>ツウジョウ</t>
    </rPh>
    <phoneticPr fontId="2"/>
  </si>
  <si>
    <t>IG-ON + 通常 + 全周囲PKSA使用不可</t>
    <rPh sb="8" eb="10">
      <t>ツウジョウ</t>
    </rPh>
    <phoneticPr fontId="2"/>
  </si>
  <si>
    <r>
      <t xml:space="preserve">S_PSSDI-CSTD-0-VM01-GSY03-REQ02,
S_PSSDI-CSTD-0-VM02-GSY03-REQ02,
</t>
    </r>
    <r>
      <rPr>
        <sz val="11"/>
        <rFont val="ＭＳ Ｐゴシック"/>
        <family val="3"/>
        <charset val="128"/>
        <scheme val="minor"/>
      </rPr>
      <t>S_PSSDI-CSTD-0-VM04-GSY03-REQ02,</t>
    </r>
    <r>
      <rPr>
        <sz val="11"/>
        <color theme="1"/>
        <rFont val="ＭＳ Ｐゴシック"/>
        <family val="2"/>
        <charset val="128"/>
        <scheme val="minor"/>
      </rPr>
      <t xml:space="preserve">
S_PSSDI-CSTD-0-VM05-GSY03-REQ02/
-</t>
    </r>
    <phoneticPr fontId="2"/>
  </si>
  <si>
    <t>https://aip01.dndev.net/svn/aip/tmcapp/sd/evidence/trunk/02_Design/01_Vom/Alert/03_Component/alert_design.pptx</t>
    <phoneticPr fontId="2"/>
  </si>
  <si>
    <t xml:space="preserve">    {</t>
    <phoneticPr fontId="2"/>
  </si>
  <si>
    <t xml:space="preserve">    }</t>
    <phoneticPr fontId="2"/>
  </si>
  <si>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</si>
  <si>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</si>
  <si>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</si>
  <si>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承認欄 [DT]</t>
    <phoneticPr fontId="2"/>
  </si>
  <si>
    <t>承認者</t>
    <phoneticPr fontId="2"/>
  </si>
  <si>
    <t>DT Anna</t>
    <phoneticPr fontId="2"/>
  </si>
  <si>
    <t>(流用元：alert_S_PSSDI-CSTD-0-02-C-C0)
19PFv3 対応
・PKSWのRW送信を対応</t>
    <phoneticPr fontId="2"/>
  </si>
  <si>
    <t>https://aip01.dndev.net/svn/met/toyota/std/rd/spec/19PFver3/tags/00.Product/v0.9.d/</t>
    <phoneticPr fontId="2"/>
  </si>
  <si>
    <t>MET-M_REMWAR-CSTD-1-14-A-C0.xlsx</t>
    <phoneticPr fontId="2"/>
  </si>
  <si>
    <t>RWT_EN
機能有無：-</t>
    <rPh sb="7" eb="9">
      <t>キノウ</t>
    </rPh>
    <rPh sb="9" eb="11">
      <t>ウム</t>
    </rPh>
    <phoneticPr fontId="2"/>
  </si>
  <si>
    <t>UNKNOWN/
RW</t>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</si>
  <si>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</si>
  <si>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</si>
  <si>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</si>
  <si>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</si>
  <si>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</si>
  <si>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</si>
  <si>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</si>
  <si>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</si>
  <si>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</si>
  <si>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</si>
  <si>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</si>
  <si>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</si>
  <si>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</si>
  <si>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</si>
  <si>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</si>
  <si>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PKSW要求判定</t>
    <rPh sb="4" eb="6">
      <t>ヨウキュウ</t>
    </rPh>
    <rPh sb="6" eb="8">
      <t>ハンテイ</t>
    </rPh>
    <phoneticPr fontId="2"/>
  </si>
  <si>
    <t>PKSWREQ</t>
  </si>
  <si>
    <t>PKSWREQ</t>
    <phoneticPr fontId="2"/>
  </si>
  <si>
    <t>S_PSSDI固有の仕様書がない</t>
    <phoneticPr fontId="2"/>
  </si>
  <si>
    <t>ALERT_CH_S_PSSDI_RWRN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</si>
</sst>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7" xfId="0" applyFill="1" applyBorder="1" applyAlignment="1">
      <alignment vertical="center" wrapText="1"/>
    </xf>
    <xf numFmtId="0" fontId="0" fillId="22" borderId="2" xfId="0" applyFill="1" applyBorder="1">
      <alignment vertical="center"/>
    </xf>
    <xf numFmtId="0" fontId="0" fillId="22" borderId="16" xfId="0" applyFill="1" applyBorder="1" applyAlignment="1">
      <alignment vertical="center" wrapText="1"/>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9" xfId="0" applyFill="1" applyBorder="1" applyAlignment="1">
      <alignment horizontal="center" vertical="center"/>
    </xf>
    <xf numFmtId="0" fontId="0" fillId="22" borderId="7" xfId="0" applyFill="1" applyBorder="1">
      <alignment vertical="center"/>
    </xf>
    <xf numFmtId="0" fontId="0" fillId="22" borderId="15" xfId="0" applyFill="1" applyBorder="1" applyAlignment="1">
      <alignment horizontal="center" vertical="center"/>
    </xf>
    <xf numFmtId="0" fontId="0" fillId="22" borderId="7" xfId="0" applyFill="1" applyBorder="1" applyAlignment="1">
      <alignment horizontal="center" vertical="center"/>
    </xf>
    <xf numFmtId="0" fontId="0" fillId="22" borderId="10" xfId="0" applyFill="1" applyBorder="1" applyAlignment="1">
      <alignment horizontal="center" vertical="center"/>
    </xf>
    <xf numFmtId="0" fontId="0" fillId="22" borderId="7" xfId="0" applyFill="1" applyBorder="1" applyAlignment="1">
      <alignment vertical="center" wrapText="1"/>
    </xf>
    <xf numFmtId="0" fontId="0" fillId="0" borderId="12" xfId="0" applyBorder="1" applyAlignment="1">
      <alignment vertical="center"/>
    </xf>
    <xf numFmtId="0" fontId="0" fillId="22" borderId="17" xfId="0" quotePrefix="1" applyFill="1" applyBorder="1" applyAlignment="1">
      <alignment vertical="center" wrapText="1"/>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29"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12" borderId="15" xfId="0" applyFill="1" applyBorder="1" applyProtection="1">
      <alignment vertical="center"/>
    </xf>
    <xf numFmtId="0" fontId="0" fillId="12" borderId="7" xfId="0" applyFill="1" applyBorder="1" applyProtection="1">
      <alignment vertical="center"/>
    </xf>
    <xf numFmtId="0" fontId="0" fillId="12" borderId="15" xfId="0" applyFill="1" applyBorder="1" applyAlignment="1">
      <alignment vertical="center" wrapText="1"/>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4" xfId="0" applyFill="1" applyBorder="1" applyAlignment="1">
      <alignment horizontal="center" vertical="center"/>
    </xf>
    <xf numFmtId="0" fontId="0" fillId="0" borderId="33" xfId="0" applyFill="1" applyBorder="1" applyAlignment="1">
      <alignment horizontal="center" vertical="center"/>
    </xf>
    <xf numFmtId="0" fontId="0" fillId="0" borderId="35" xfId="0" applyFill="1" applyBorder="1" applyAlignment="1">
      <alignment horizontal="center" vertical="center"/>
    </xf>
    <xf numFmtId="0" fontId="0" fillId="12" borderId="7" xfId="0" applyFill="1" applyBorder="1" applyAlignment="1" applyProtection="1">
      <alignment vertical="center" wrapText="1"/>
    </xf>
    <xf numFmtId="0" fontId="0" fillId="12" borderId="6" xfId="0" applyFill="1" applyBorder="1" applyAlignment="1" applyProtection="1">
      <alignment vertical="center" wrapText="1"/>
    </xf>
    <xf numFmtId="14" fontId="0" fillId="0" borderId="14" xfId="0" applyNumberFormat="1" applyBorder="1">
      <alignment vertical="center"/>
    </xf>
    <xf numFmtId="0" fontId="0" fillId="12" borderId="2" xfId="0" applyFill="1" applyBorder="1" applyAlignment="1" applyProtection="1">
      <alignment horizontal="left" vertical="center"/>
    </xf>
    <xf numFmtId="0" fontId="0" fillId="0" borderId="2" xfId="0" applyBorder="1" applyAlignment="1">
      <alignment vertical="center" wrapText="1"/>
    </xf>
    <xf numFmtId="14" fontId="0" fillId="0" borderId="7" xfId="0" applyNumberFormat="1" applyBorder="1">
      <alignment vertical="center"/>
    </xf>
    <xf numFmtId="0" fontId="20" fillId="0" borderId="0" xfId="0" applyFont="1" applyAlignment="1"/>
    <xf numFmtId="0" fontId="0" fillId="24" borderId="2" xfId="0" applyFill="1" applyBorder="1">
      <alignment vertical="center"/>
    </xf>
    <xf numFmtId="0" fontId="0" fillId="12" borderId="13" xfId="0" applyFill="1" applyBorder="1" applyAlignment="1">
      <alignment vertical="center" wrapText="1"/>
    </xf>
    <xf numFmtId="0" fontId="16" fillId="7" borderId="62" xfId="0" applyFont="1" applyFill="1" applyBorder="1" applyAlignment="1">
      <alignment vertical="center"/>
    </xf>
    <xf numFmtId="14" fontId="0" fillId="0" borderId="2" xfId="0" applyNumberFormat="1" applyBorder="1">
      <alignment vertical="center"/>
    </xf>
    <xf numFmtId="0" fontId="0" fillId="0" borderId="27" xfId="0" applyFill="1" applyBorder="1">
      <alignment vertical="center"/>
    </xf>
    <xf numFmtId="0" fontId="0" fillId="0" borderId="0" xfId="0" applyFill="1">
      <alignment vertical="center"/>
    </xf>
    <xf numFmtId="0" fontId="0" fillId="4" borderId="31"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31" xfId="0" applyBorder="1">
      <alignment vertical="center"/>
    </xf>
    <xf numFmtId="0" fontId="0" fillId="0" borderId="26" xfId="0"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7"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8" xfId="2" applyFont="1" applyBorder="1">
      <alignment vertical="center"/>
    </xf>
    <xf numFmtId="0" fontId="22" fillId="0" borderId="79" xfId="2" applyFont="1" applyBorder="1">
      <alignment vertical="center"/>
    </xf>
    <xf numFmtId="0" fontId="22" fillId="0" borderId="79" xfId="2" applyFont="1" applyBorder="1" applyAlignment="1">
      <alignment horizontal="center" vertical="center"/>
    </xf>
    <xf numFmtId="0" fontId="22" fillId="0" borderId="78"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23" borderId="27" xfId="0" applyFill="1" applyBorder="1" applyAlignment="1">
      <alignment vertical="center" textRotation="90"/>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7"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3" borderId="27" xfId="0" applyFill="1" applyBorder="1" applyAlignment="1">
      <alignment horizontal="center" vertical="center" textRotation="90"/>
    </xf>
    <xf numFmtId="0" fontId="0" fillId="23"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05E89BD0-E578-4C67-A74E-600033DCB102}"/>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99FF"/>
      <color rgb="FF66FFFF"/>
      <color rgb="FF0000FF"/>
      <color rgb="FFCCFDB1"/>
      <color rgb="FFFFCCFF"/>
      <color rgb="FFCCCCFF"/>
      <color rgb="FFFFCC99"/>
      <color rgb="FFFBBDBD"/>
      <color rgb="FF79D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30721" name="inei1_ASUNCIO ANNA MA"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231069</xdr:colOff>
      <xdr:row>20</xdr:row>
      <xdr:rowOff>122960</xdr:rowOff>
    </xdr:from>
    <xdr:to>
      <xdr:col>12</xdr:col>
      <xdr:colOff>613117</xdr:colOff>
      <xdr:row>26</xdr:row>
      <xdr:rowOff>44825</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6286248" y="9090067"/>
          <a:ext cx="5579976" cy="983222"/>
        </a:xfrm>
        <a:prstGeom prst="borderCallout1">
          <a:avLst>
            <a:gd name="adj1" fmla="val -15"/>
            <a:gd name="adj2" fmla="val 49587"/>
            <a:gd name="adj3" fmla="val -68017"/>
            <a:gd name="adj4" fmla="val 3994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情報は、通信状態に含めは入力にはしない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7</xdr:row>
      <xdr:rowOff>0</xdr:rowOff>
    </xdr:from>
    <xdr:to>
      <xdr:col>43</xdr:col>
      <xdr:colOff>328991</xdr:colOff>
      <xdr:row>8</xdr:row>
      <xdr:rowOff>2539689</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16301357" y="2190750"/>
          <a:ext cx="17337920" cy="4267796"/>
        </a:xfrm>
        <a:prstGeom prst="rect">
          <a:avLst/>
        </a:prstGeom>
      </xdr:spPr>
    </xdr:pic>
    <xdr:clientData/>
  </xdr:twoCellAnchor>
  <xdr:twoCellAnchor>
    <xdr:from>
      <xdr:col>18</xdr:col>
      <xdr:colOff>500743</xdr:colOff>
      <xdr:row>9</xdr:row>
      <xdr:rowOff>10885</xdr:rowOff>
    </xdr:from>
    <xdr:to>
      <xdr:col>26</xdr:col>
      <xdr:colOff>152649</xdr:colOff>
      <xdr:row>13</xdr:row>
      <xdr:rowOff>47946</xdr:rowOff>
    </xdr:to>
    <xdr:sp macro="" textlink="">
      <xdr:nvSpPr>
        <xdr:cNvPr id="6" name="線吹き出し 1 (枠付き) 175">
          <a:extLst>
            <a:ext uri="{FF2B5EF4-FFF2-40B4-BE49-F238E27FC236}">
              <a16:creationId xmlns:a16="http://schemas.microsoft.com/office/drawing/2014/main" id="{00000000-0008-0000-0700-000006000000}"/>
            </a:ext>
          </a:extLst>
        </xdr:cNvPr>
        <xdr:cNvSpPr/>
      </xdr:nvSpPr>
      <xdr:spPr>
        <a:xfrm>
          <a:off x="16802100" y="6964135"/>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636814</xdr:colOff>
      <xdr:row>8</xdr:row>
      <xdr:rowOff>2242458</xdr:rowOff>
    </xdr:from>
    <xdr:to>
      <xdr:col>37</xdr:col>
      <xdr:colOff>568779</xdr:colOff>
      <xdr:row>8</xdr:row>
      <xdr:rowOff>2569029</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6257814" y="6161315"/>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789214</xdr:colOff>
      <xdr:row>3</xdr:row>
      <xdr:rowOff>136072</xdr:rowOff>
    </xdr:from>
    <xdr:to>
      <xdr:col>17</xdr:col>
      <xdr:colOff>54429</xdr:colOff>
      <xdr:row>17</xdr:row>
      <xdr:rowOff>40821</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14600464" y="693965"/>
          <a:ext cx="1074965" cy="778328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65000"/>
          </a:schemeClr>
        </a:solidFill>
        <a:ln w="9525" cmpd="sng">
          <a:solidFill>
            <a:schemeClr val="lt1">
              <a:shade val="50000"/>
            </a:schemeClr>
          </a:solidFill>
        </a:ln>
      </a:spPr>
      <a:bodyPr vertOverflow="clip" horz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0F64-D841-4F4F-808A-F4D31D8CC411}">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37" customWidth="1"/>
    <col min="53" max="16384" width="8.125" style="23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8"/>
    </row>
    <row r="11" spans="6:20" ht="13.15" customHeight="1"/>
    <row r="12" spans="6:20" ht="13.15" customHeight="1"/>
    <row r="13" spans="6:20" ht="13.15" customHeight="1">
      <c r="T13" s="239" t="str">
        <f ca="1">MID(CELL("filename",A1),FIND("[",CELL("filename",A1))+1,FIND("]",CELL("filename",A1))-FIND("[",CELL("filename",A1))-1)</f>
        <v>alert_S_PSSDI_RWRN-CSTD-0-00.xlsx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0"/>
      <c r="V32" s="240"/>
    </row>
    <row r="33" spans="3:39" ht="13.15" customHeight="1">
      <c r="M33" s="241"/>
      <c r="N33" s="241"/>
      <c r="O33" s="241"/>
      <c r="P33" s="241"/>
      <c r="Q33" s="241"/>
      <c r="AF33" s="241"/>
      <c r="AG33" s="241"/>
      <c r="AH33" s="241"/>
      <c r="AI33" s="241"/>
      <c r="AJ33" s="241"/>
    </row>
    <row r="34" spans="3:39" ht="13.15" customHeight="1">
      <c r="Y34" s="240" t="s">
        <v>318</v>
      </c>
    </row>
    <row r="35" spans="3:39" ht="13.15" customHeight="1">
      <c r="Y35" s="254" t="s">
        <v>319</v>
      </c>
      <c r="Z35" s="255"/>
      <c r="AA35" s="255"/>
      <c r="AB35" s="255"/>
      <c r="AC35" s="256"/>
      <c r="AD35" s="254" t="s">
        <v>320</v>
      </c>
      <c r="AE35" s="255"/>
      <c r="AF35" s="255"/>
      <c r="AG35" s="255"/>
      <c r="AH35" s="256"/>
      <c r="AI35" s="254" t="s">
        <v>321</v>
      </c>
      <c r="AJ35" s="255"/>
      <c r="AK35" s="255"/>
      <c r="AL35" s="255"/>
      <c r="AM35" s="256"/>
    </row>
    <row r="36" spans="3:39" ht="13.15" customHeight="1">
      <c r="D36" s="241"/>
      <c r="E36" s="242"/>
      <c r="F36" s="241"/>
      <c r="G36" s="241"/>
      <c r="I36" s="241"/>
      <c r="J36" s="242"/>
      <c r="K36" s="241"/>
      <c r="L36" s="241"/>
      <c r="M36" s="241"/>
      <c r="N36" s="241"/>
      <c r="O36" s="242"/>
      <c r="P36" s="241"/>
      <c r="Q36" s="241"/>
      <c r="W36" s="241"/>
      <c r="X36" s="242"/>
      <c r="Y36" s="243"/>
      <c r="Z36" s="244"/>
      <c r="AA36" s="244"/>
      <c r="AB36" s="244"/>
      <c r="AC36" s="245"/>
      <c r="AD36" s="243"/>
      <c r="AE36" s="244"/>
      <c r="AF36" s="244"/>
      <c r="AG36" s="244"/>
      <c r="AH36" s="245"/>
      <c r="AI36" s="243"/>
      <c r="AJ36" s="244"/>
      <c r="AK36" s="244"/>
      <c r="AL36" s="244"/>
      <c r="AM36" s="245"/>
    </row>
    <row r="37" spans="3:39" ht="13.15" customHeight="1">
      <c r="Y37" s="246"/>
      <c r="AC37" s="247"/>
      <c r="AD37" s="246"/>
      <c r="AH37" s="247"/>
      <c r="AI37" s="246"/>
      <c r="AM37" s="247"/>
    </row>
    <row r="38" spans="3:39" ht="13.15" customHeight="1">
      <c r="Y38" s="246"/>
      <c r="Z38" s="241"/>
      <c r="AA38" s="242" t="s">
        <v>322</v>
      </c>
      <c r="AB38" s="241"/>
      <c r="AC38" s="248"/>
      <c r="AD38" s="246"/>
      <c r="AE38" s="241"/>
      <c r="AF38" s="242" t="s">
        <v>323</v>
      </c>
      <c r="AG38" s="241"/>
      <c r="AH38" s="248"/>
      <c r="AI38" s="249"/>
      <c r="AJ38" s="241"/>
      <c r="AK38" s="242" t="s">
        <v>324</v>
      </c>
      <c r="AL38" s="241"/>
      <c r="AM38" s="248"/>
    </row>
    <row r="39" spans="3:39" ht="13.15" customHeight="1">
      <c r="Y39" s="246"/>
      <c r="AC39" s="247"/>
      <c r="AD39" s="246"/>
      <c r="AH39" s="247"/>
      <c r="AI39" s="246"/>
      <c r="AM39" s="247"/>
    </row>
    <row r="40" spans="3:39" ht="13.15" customHeight="1">
      <c r="C40" s="240"/>
      <c r="V40" s="240"/>
      <c r="Y40" s="250"/>
      <c r="Z40" s="251"/>
      <c r="AA40" s="251"/>
      <c r="AB40" s="251"/>
      <c r="AC40" s="252"/>
      <c r="AD40" s="250"/>
      <c r="AE40" s="251"/>
      <c r="AF40" s="251"/>
      <c r="AG40" s="251"/>
      <c r="AH40" s="252"/>
      <c r="AI40" s="250"/>
      <c r="AJ40" s="251"/>
      <c r="AK40" s="251"/>
      <c r="AL40" s="251"/>
      <c r="AM40" s="252"/>
    </row>
    <row r="41" spans="3:39" ht="13.15" customHeight="1"/>
    <row r="42" spans="3:39" ht="13.15" customHeight="1">
      <c r="Y42" s="240" t="s">
        <v>325</v>
      </c>
    </row>
    <row r="43" spans="3:39" ht="13.15" customHeight="1">
      <c r="Y43" s="254" t="s">
        <v>319</v>
      </c>
      <c r="Z43" s="255"/>
      <c r="AA43" s="255"/>
      <c r="AB43" s="255"/>
      <c r="AC43" s="256"/>
      <c r="AD43" s="254" t="s">
        <v>320</v>
      </c>
      <c r="AE43" s="255"/>
      <c r="AF43" s="255"/>
      <c r="AG43" s="255"/>
      <c r="AH43" s="256"/>
      <c r="AI43" s="254" t="s">
        <v>321</v>
      </c>
      <c r="AJ43" s="255"/>
      <c r="AK43" s="255"/>
      <c r="AL43" s="255"/>
      <c r="AM43" s="256"/>
    </row>
    <row r="44" spans="3:39" ht="13.15" customHeight="1">
      <c r="D44" s="241"/>
      <c r="E44" s="242"/>
      <c r="F44" s="241"/>
      <c r="G44" s="241"/>
      <c r="H44" s="241"/>
      <c r="I44" s="241"/>
      <c r="J44" s="242"/>
      <c r="K44" s="241"/>
      <c r="L44" s="241"/>
      <c r="M44" s="241"/>
      <c r="N44" s="241"/>
      <c r="O44" s="242"/>
      <c r="P44" s="241"/>
      <c r="Q44" s="241"/>
      <c r="W44" s="241"/>
      <c r="X44" s="242"/>
      <c r="Y44" s="243"/>
      <c r="Z44" s="244"/>
      <c r="AA44" s="244"/>
      <c r="AB44" s="244"/>
      <c r="AC44" s="245"/>
      <c r="AD44" s="244"/>
      <c r="AE44" s="244"/>
      <c r="AF44" s="244"/>
      <c r="AG44" s="244"/>
      <c r="AH44" s="245"/>
      <c r="AI44" s="243"/>
      <c r="AJ44" s="244"/>
      <c r="AK44" s="244"/>
      <c r="AL44" s="244"/>
      <c r="AM44" s="245"/>
    </row>
    <row r="45" spans="3:39" ht="13.15" customHeight="1">
      <c r="Y45" s="246"/>
      <c r="AC45" s="247"/>
      <c r="AH45" s="247"/>
      <c r="AI45" s="246"/>
      <c r="AM45" s="247"/>
    </row>
    <row r="46" spans="3:39" ht="13.15" customHeight="1">
      <c r="Y46" s="246"/>
      <c r="Z46" s="241"/>
      <c r="AA46" s="242" t="s">
        <v>326</v>
      </c>
      <c r="AB46" s="241"/>
      <c r="AC46" s="248"/>
      <c r="AD46" s="241"/>
      <c r="AE46" s="241"/>
      <c r="AF46" s="242" t="s">
        <v>327</v>
      </c>
      <c r="AG46" s="241"/>
      <c r="AH46" s="248"/>
      <c r="AI46" s="249"/>
      <c r="AJ46" s="241"/>
      <c r="AK46" s="242" t="s">
        <v>328</v>
      </c>
      <c r="AL46" s="241"/>
      <c r="AM46" s="248"/>
    </row>
    <row r="47" spans="3:39" ht="13.15" customHeight="1">
      <c r="Y47" s="246"/>
      <c r="AC47" s="247"/>
      <c r="AH47" s="247"/>
      <c r="AI47" s="246"/>
      <c r="AM47" s="247"/>
    </row>
    <row r="48" spans="3:39" ht="13.15" customHeight="1">
      <c r="C48" s="240"/>
      <c r="V48" s="240"/>
      <c r="Y48" s="250"/>
      <c r="Z48" s="251"/>
      <c r="AA48" s="251"/>
      <c r="AB48" s="251"/>
      <c r="AC48" s="252"/>
      <c r="AD48" s="251"/>
      <c r="AE48" s="251"/>
      <c r="AF48" s="251"/>
      <c r="AG48" s="251"/>
      <c r="AH48" s="252"/>
      <c r="AI48" s="250"/>
      <c r="AJ48" s="251"/>
      <c r="AK48" s="251"/>
      <c r="AL48" s="251"/>
      <c r="AM48" s="252"/>
    </row>
    <row r="49" spans="4:39" ht="13.15" customHeight="1"/>
    <row r="50" spans="4:39" ht="13.15" customHeight="1">
      <c r="Y50" s="240" t="s">
        <v>329</v>
      </c>
    </row>
    <row r="51" spans="4:39" ht="13.15" customHeight="1">
      <c r="Y51" s="254" t="s">
        <v>319</v>
      </c>
      <c r="Z51" s="255"/>
      <c r="AA51" s="255"/>
      <c r="AB51" s="255"/>
      <c r="AC51" s="256"/>
      <c r="AD51" s="254" t="s">
        <v>320</v>
      </c>
      <c r="AE51" s="255"/>
      <c r="AF51" s="255"/>
      <c r="AG51" s="255"/>
      <c r="AH51" s="256"/>
      <c r="AI51" s="254" t="s">
        <v>321</v>
      </c>
      <c r="AJ51" s="255"/>
      <c r="AK51" s="255"/>
      <c r="AL51" s="255"/>
      <c r="AM51" s="256"/>
    </row>
    <row r="52" spans="4:39" ht="13.15" customHeight="1">
      <c r="D52" s="241"/>
      <c r="E52" s="242"/>
      <c r="F52" s="241"/>
      <c r="G52" s="241"/>
      <c r="H52" s="241"/>
      <c r="I52" s="241"/>
      <c r="J52" s="242"/>
      <c r="K52" s="241"/>
      <c r="L52" s="241"/>
      <c r="M52" s="241"/>
      <c r="N52" s="241"/>
      <c r="O52" s="242"/>
      <c r="P52" s="241"/>
      <c r="Q52" s="241"/>
      <c r="W52" s="241"/>
      <c r="X52" s="242"/>
      <c r="Y52" s="243"/>
      <c r="Z52" s="244"/>
      <c r="AA52" s="244"/>
      <c r="AB52" s="244"/>
      <c r="AC52" s="245"/>
      <c r="AD52" s="244"/>
      <c r="AE52" s="244"/>
      <c r="AF52" s="244"/>
      <c r="AG52" s="244"/>
      <c r="AH52" s="245"/>
      <c r="AI52" s="243"/>
      <c r="AJ52" s="244"/>
      <c r="AK52" s="244"/>
      <c r="AL52" s="244"/>
      <c r="AM52" s="245"/>
    </row>
    <row r="53" spans="4:39" ht="13.15" customHeight="1">
      <c r="Y53" s="246"/>
      <c r="AC53" s="247"/>
      <c r="AH53" s="247"/>
      <c r="AI53" s="246"/>
      <c r="AM53" s="247"/>
    </row>
    <row r="54" spans="4:39" ht="13.15" customHeight="1">
      <c r="Y54" s="246"/>
      <c r="Z54" s="241"/>
      <c r="AA54" s="242" t="s">
        <v>330</v>
      </c>
      <c r="AB54" s="241"/>
      <c r="AC54" s="248"/>
      <c r="AD54" s="241"/>
      <c r="AE54" s="241"/>
      <c r="AF54" s="242" t="s">
        <v>331</v>
      </c>
      <c r="AG54" s="241"/>
      <c r="AH54" s="248"/>
      <c r="AI54" s="249"/>
      <c r="AJ54" s="241"/>
      <c r="AK54" s="242" t="s">
        <v>328</v>
      </c>
      <c r="AL54" s="241"/>
      <c r="AM54" s="248"/>
    </row>
    <row r="55" spans="4:39" ht="13.15" customHeight="1">
      <c r="Y55" s="246"/>
      <c r="AC55" s="247"/>
      <c r="AH55" s="247"/>
      <c r="AI55" s="246"/>
      <c r="AM55" s="247"/>
    </row>
    <row r="56" spans="4:39" ht="13.15" customHeight="1">
      <c r="Y56" s="250"/>
      <c r="Z56" s="251"/>
      <c r="AA56" s="251"/>
      <c r="AB56" s="251"/>
      <c r="AC56" s="252"/>
      <c r="AD56" s="251"/>
      <c r="AE56" s="251"/>
      <c r="AF56" s="251"/>
      <c r="AG56" s="251"/>
      <c r="AH56" s="252"/>
      <c r="AI56" s="250"/>
      <c r="AJ56" s="251"/>
      <c r="AK56" s="251"/>
      <c r="AL56" s="251"/>
      <c r="AM56" s="252"/>
    </row>
    <row r="57" spans="4:39" ht="13.15" customHeight="1">
      <c r="AK57" s="237" t="s">
        <v>332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0721"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3072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57" t="s">
        <v>14</v>
      </c>
      <c r="J2" s="257"/>
      <c r="K2" s="257"/>
      <c r="L2" s="257"/>
      <c r="M2" s="257"/>
      <c r="N2" s="257"/>
      <c r="O2" s="257"/>
      <c r="P2" s="257"/>
      <c r="Q2" s="257"/>
      <c r="R2" s="257"/>
    </row>
    <row r="3" spans="2:24" ht="25.5" customHeight="1">
      <c r="C3" s="7"/>
      <c r="D3" s="11" t="str">
        <f ca="1">REPLACE(LEFT(CELL("filename",$B$1),FIND(".xls",CELL("filename",$B$1))-1),1,FIND("[",CELL("filename",$B$1)),)</f>
        <v>alert_S_PSSDI_RWRN-CSTD-0-00</v>
      </c>
      <c r="E3" s="7"/>
      <c r="F3" s="7"/>
      <c r="H3" s="9" t="s">
        <v>184</v>
      </c>
      <c r="I3" s="258" t="s">
        <v>183</v>
      </c>
      <c r="J3" s="259"/>
      <c r="K3" s="259"/>
      <c r="L3" s="259"/>
      <c r="M3" s="259"/>
      <c r="N3" s="259"/>
      <c r="O3" s="259"/>
      <c r="P3" s="259"/>
      <c r="Q3" s="259"/>
      <c r="R3" s="259"/>
    </row>
    <row r="4" spans="2:24" ht="25.5" customHeight="1">
      <c r="C4" s="7"/>
      <c r="D4" s="7"/>
      <c r="E4" s="25" t="str">
        <f>DGET(B8:C15,"Ver.",H4:H5)</f>
        <v>1.0.0</v>
      </c>
      <c r="F4" s="7"/>
      <c r="H4" s="10" t="s">
        <v>16</v>
      </c>
    </row>
    <row r="5" spans="2:24" ht="25.5" customHeight="1">
      <c r="C5" s="7"/>
      <c r="D5" s="7"/>
      <c r="E5" s="7"/>
      <c r="F5" s="7"/>
      <c r="H5" s="12">
        <f>MAX(B9:B15)</f>
        <v>1</v>
      </c>
    </row>
    <row r="6" spans="2:24" ht="14.25" thickBot="1"/>
    <row r="7" spans="2:24">
      <c r="C7" s="263" t="s">
        <v>0</v>
      </c>
      <c r="D7" s="264"/>
      <c r="E7" s="265" t="s">
        <v>2</v>
      </c>
      <c r="F7" s="265"/>
      <c r="G7" s="266" t="s">
        <v>5</v>
      </c>
      <c r="H7" s="266"/>
      <c r="I7" s="266"/>
      <c r="J7" s="266"/>
      <c r="K7" s="266"/>
      <c r="L7" s="266"/>
      <c r="M7" s="267" t="s">
        <v>12</v>
      </c>
      <c r="N7" s="267"/>
      <c r="O7" s="267"/>
      <c r="P7" s="267"/>
      <c r="Q7" s="267"/>
      <c r="R7" s="268"/>
      <c r="S7" s="260" t="s">
        <v>310</v>
      </c>
      <c r="T7" s="261"/>
      <c r="U7" s="261"/>
      <c r="V7" s="261"/>
      <c r="W7" s="261"/>
      <c r="X7" s="262"/>
    </row>
    <row r="8" spans="2:24" ht="27.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32" t="s">
        <v>311</v>
      </c>
      <c r="T8" s="233" t="s">
        <v>7</v>
      </c>
      <c r="U8" s="233" t="s">
        <v>8</v>
      </c>
      <c r="V8" s="233" t="s">
        <v>9</v>
      </c>
      <c r="W8" s="233" t="s">
        <v>10</v>
      </c>
      <c r="X8" s="234" t="s">
        <v>11</v>
      </c>
    </row>
    <row r="9" spans="2:24" ht="54.75" thickTop="1">
      <c r="B9" s="10">
        <f>IF(C9=0,0,ROW()-ROW($B$8))</f>
        <v>1</v>
      </c>
      <c r="C9" s="13" t="s">
        <v>15</v>
      </c>
      <c r="D9" s="223" t="s">
        <v>313</v>
      </c>
      <c r="E9" s="14" t="s">
        <v>289</v>
      </c>
      <c r="F9" s="14" t="s">
        <v>206</v>
      </c>
      <c r="G9" s="14" t="s">
        <v>289</v>
      </c>
      <c r="H9" s="14" t="s">
        <v>289</v>
      </c>
      <c r="I9" s="14" t="s">
        <v>289</v>
      </c>
      <c r="J9" s="14" t="s">
        <v>289</v>
      </c>
      <c r="K9" s="14" t="s">
        <v>289</v>
      </c>
      <c r="L9" s="14" t="s">
        <v>289</v>
      </c>
      <c r="M9" s="14"/>
      <c r="N9" s="221"/>
      <c r="O9" s="14"/>
      <c r="P9" s="221"/>
      <c r="Q9" s="14"/>
      <c r="R9" s="188"/>
      <c r="S9" s="235"/>
      <c r="T9" s="1"/>
      <c r="U9" s="1"/>
      <c r="V9" s="1"/>
      <c r="W9" s="1" t="s">
        <v>312</v>
      </c>
      <c r="X9" s="224">
        <v>45387</v>
      </c>
    </row>
    <row r="10" spans="2:24">
      <c r="B10" s="10">
        <f t="shared" ref="B10:B14" si="0">IF(C10=0,0,ROW()-ROW($B$8))</f>
        <v>0</v>
      </c>
      <c r="C10" s="2"/>
      <c r="D10" s="223"/>
      <c r="E10" s="14"/>
      <c r="F10" s="14"/>
      <c r="G10" s="14"/>
      <c r="H10" s="14"/>
      <c r="I10" s="14"/>
      <c r="J10" s="14"/>
      <c r="K10" s="14"/>
      <c r="L10" s="14"/>
      <c r="M10" s="14"/>
      <c r="N10" s="221"/>
      <c r="O10" s="14"/>
      <c r="P10" s="221"/>
      <c r="Q10" s="14"/>
      <c r="R10" s="188"/>
      <c r="S10" s="235"/>
      <c r="T10" s="1"/>
      <c r="U10" s="1"/>
      <c r="V10" s="1"/>
      <c r="W10" s="1"/>
      <c r="X10" s="224"/>
    </row>
    <row r="11" spans="2:24">
      <c r="B11" s="10">
        <f t="shared" ref="B11" si="1">IF(C11=0,0,ROW()-ROW($B$8))</f>
        <v>0</v>
      </c>
      <c r="C11" s="2"/>
      <c r="D11" s="223"/>
      <c r="E11" s="1"/>
      <c r="F11" s="1"/>
      <c r="G11" s="1"/>
      <c r="H11" s="1"/>
      <c r="I11" s="1"/>
      <c r="J11" s="1"/>
      <c r="K11" s="1"/>
      <c r="L11" s="1"/>
      <c r="M11" s="1"/>
      <c r="N11" s="229"/>
      <c r="O11" s="1"/>
      <c r="P11" s="229"/>
      <c r="Q11" s="1"/>
      <c r="R11" s="224"/>
      <c r="S11" s="235"/>
      <c r="T11" s="1"/>
      <c r="U11" s="1"/>
      <c r="V11" s="1"/>
      <c r="W11" s="1"/>
      <c r="X11" s="72"/>
    </row>
    <row r="12" spans="2:24">
      <c r="B12" s="10">
        <f t="shared" si="0"/>
        <v>0</v>
      </c>
      <c r="C12" s="2"/>
      <c r="D12" s="223"/>
      <c r="E12" s="1"/>
      <c r="F12" s="1"/>
      <c r="G12" s="1"/>
      <c r="H12" s="1"/>
      <c r="I12" s="1"/>
      <c r="J12" s="1"/>
      <c r="K12" s="1"/>
      <c r="L12" s="1"/>
      <c r="M12" s="1"/>
      <c r="N12" s="229"/>
      <c r="O12" s="1"/>
      <c r="P12" s="229"/>
      <c r="Q12" s="1"/>
      <c r="R12" s="224"/>
      <c r="S12" s="235"/>
      <c r="T12" s="1"/>
      <c r="U12" s="1"/>
      <c r="V12" s="1"/>
      <c r="W12" s="1"/>
      <c r="X12" s="72"/>
    </row>
    <row r="13" spans="2:24" ht="14.25" thickBot="1">
      <c r="B13" s="10">
        <f t="shared" si="0"/>
        <v>0</v>
      </c>
      <c r="C13" s="2"/>
      <c r="D13" s="1"/>
      <c r="E13" s="1"/>
      <c r="F13" s="1"/>
      <c r="G13" s="1"/>
      <c r="H13" s="1"/>
      <c r="I13" s="1"/>
      <c r="J13" s="1"/>
      <c r="K13" s="1"/>
      <c r="L13" s="1"/>
      <c r="M13" s="1"/>
      <c r="N13" s="1"/>
      <c r="O13" s="1"/>
      <c r="P13" s="1"/>
      <c r="Q13" s="1"/>
      <c r="R13" s="3"/>
      <c r="S13" s="236"/>
      <c r="T13" s="5"/>
      <c r="U13" s="5"/>
      <c r="V13" s="5"/>
      <c r="W13" s="5"/>
      <c r="X13" s="6"/>
    </row>
    <row r="14" spans="2:24" ht="14.25" thickBot="1">
      <c r="B14" s="10">
        <f t="shared" si="0"/>
        <v>0</v>
      </c>
      <c r="C14" s="4"/>
      <c r="D14" s="5"/>
      <c r="E14" s="5"/>
      <c r="F14" s="5"/>
      <c r="G14" s="5"/>
      <c r="H14" s="5"/>
      <c r="I14" s="5"/>
      <c r="J14" s="5"/>
      <c r="K14" s="5"/>
      <c r="L14" s="5"/>
      <c r="M14" s="5"/>
      <c r="N14" s="5"/>
      <c r="O14" s="5"/>
      <c r="P14" s="5"/>
      <c r="Q14" s="5"/>
      <c r="R14"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0" t="s">
        <v>129</v>
      </c>
    </row>
    <row r="3" spans="2:5">
      <c r="C3" t="s">
        <v>139</v>
      </c>
    </row>
    <row r="6" spans="2:5" ht="14.25" thickBot="1">
      <c r="B6" s="150" t="s">
        <v>130</v>
      </c>
      <c r="C6" s="150"/>
    </row>
    <row r="7" spans="2:5" ht="14.25" thickBot="1">
      <c r="C7" s="76" t="s">
        <v>132</v>
      </c>
      <c r="D7" s="84"/>
      <c r="E7" s="77" t="s">
        <v>140</v>
      </c>
    </row>
    <row r="8" spans="2:5" ht="20.25" customHeight="1" thickTop="1">
      <c r="C8" s="154">
        <v>0</v>
      </c>
      <c r="D8" s="85" t="s">
        <v>141</v>
      </c>
      <c r="E8" s="153" t="s">
        <v>304</v>
      </c>
    </row>
    <row r="9" spans="2:5">
      <c r="C9" s="160"/>
      <c r="D9" s="162"/>
      <c r="E9" s="161"/>
    </row>
    <row r="10" spans="2:5" ht="14.25" thickBot="1">
      <c r="C10" s="158"/>
      <c r="D10" s="87"/>
      <c r="E10" s="6"/>
    </row>
    <row r="11" spans="2:5">
      <c r="C11" s="156"/>
    </row>
    <row r="12" spans="2:5" ht="14.25" thickBot="1">
      <c r="B12" s="151" t="s">
        <v>131</v>
      </c>
      <c r="C12" s="83"/>
      <c r="D12" s="83"/>
    </row>
    <row r="13" spans="2:5" ht="14.25" thickBot="1">
      <c r="B13" s="152"/>
      <c r="C13" s="157" t="s">
        <v>132</v>
      </c>
      <c r="D13" s="84" t="s">
        <v>133</v>
      </c>
      <c r="E13" s="77" t="s">
        <v>134</v>
      </c>
    </row>
    <row r="14" spans="2:5" ht="14.25" thickTop="1">
      <c r="C14" s="154">
        <v>0</v>
      </c>
      <c r="D14" s="85" t="s">
        <v>146</v>
      </c>
      <c r="E14" s="159" t="s">
        <v>147</v>
      </c>
    </row>
    <row r="15" spans="2:5">
      <c r="C15" s="155">
        <v>1</v>
      </c>
      <c r="D15" s="86" t="s">
        <v>23</v>
      </c>
      <c r="E15" s="72" t="s">
        <v>135</v>
      </c>
    </row>
    <row r="16" spans="2:5">
      <c r="C16" s="155">
        <v>2</v>
      </c>
      <c r="D16" s="86" t="s">
        <v>24</v>
      </c>
      <c r="E16" s="72" t="s">
        <v>136</v>
      </c>
    </row>
    <row r="17" spans="2:5">
      <c r="C17" s="155">
        <v>3</v>
      </c>
      <c r="D17" s="86" t="s">
        <v>25</v>
      </c>
      <c r="E17" s="72" t="s">
        <v>137</v>
      </c>
    </row>
    <row r="18" spans="2:5">
      <c r="C18" s="155">
        <v>4</v>
      </c>
      <c r="D18" s="86" t="s">
        <v>26</v>
      </c>
      <c r="E18" s="72" t="s">
        <v>138</v>
      </c>
    </row>
    <row r="19" spans="2:5">
      <c r="C19" s="155">
        <v>5</v>
      </c>
      <c r="D19" s="86" t="s">
        <v>148</v>
      </c>
      <c r="E19" s="72" t="s">
        <v>150</v>
      </c>
    </row>
    <row r="20" spans="2:5">
      <c r="C20" s="155">
        <v>6</v>
      </c>
      <c r="D20" s="86" t="s">
        <v>155</v>
      </c>
      <c r="E20" s="72" t="s">
        <v>178</v>
      </c>
    </row>
    <row r="21" spans="2:5" ht="14.25" thickBot="1">
      <c r="C21" s="158"/>
      <c r="D21" s="87"/>
      <c r="E21" s="6"/>
    </row>
    <row r="24" spans="2:5" ht="14.25" thickBot="1">
      <c r="B24" s="150" t="s">
        <v>142</v>
      </c>
    </row>
    <row r="25" spans="2:5" ht="14.25" thickBot="1">
      <c r="C25" s="157" t="s">
        <v>132</v>
      </c>
      <c r="D25" s="84" t="s">
        <v>133</v>
      </c>
      <c r="E25" s="77" t="s">
        <v>134</v>
      </c>
    </row>
    <row r="26" spans="2:5" ht="30.75" customHeight="1" thickTop="1">
      <c r="C26" s="154">
        <v>0</v>
      </c>
      <c r="D26" s="85" t="s">
        <v>143</v>
      </c>
      <c r="E26" s="159" t="s">
        <v>152</v>
      </c>
    </row>
    <row r="27" spans="2:5" ht="120" customHeight="1">
      <c r="C27" s="155">
        <v>1</v>
      </c>
      <c r="D27" s="86" t="s">
        <v>180</v>
      </c>
      <c r="E27" s="88" t="s">
        <v>182</v>
      </c>
    </row>
    <row r="28" spans="2:5" ht="81" customHeight="1">
      <c r="C28" s="155">
        <v>2</v>
      </c>
      <c r="D28" s="86" t="s">
        <v>177</v>
      </c>
      <c r="E28" s="88" t="s">
        <v>188</v>
      </c>
    </row>
    <row r="29" spans="2:5" ht="45" customHeight="1">
      <c r="C29" s="155">
        <v>3</v>
      </c>
      <c r="D29" s="86" t="s">
        <v>149</v>
      </c>
      <c r="E29" s="88" t="s">
        <v>153</v>
      </c>
    </row>
    <row r="30" spans="2:5" ht="16.5" customHeight="1">
      <c r="C30" s="155">
        <v>4</v>
      </c>
      <c r="D30" s="86" t="s">
        <v>144</v>
      </c>
      <c r="E30" s="72" t="s">
        <v>160</v>
      </c>
    </row>
    <row r="31" spans="2:5" ht="16.5" customHeight="1">
      <c r="C31" s="155">
        <v>5</v>
      </c>
      <c r="D31" s="86" t="s">
        <v>145</v>
      </c>
      <c r="E31" s="72" t="s">
        <v>154</v>
      </c>
    </row>
    <row r="32" spans="2:5">
      <c r="C32" s="155"/>
      <c r="D32" s="86"/>
      <c r="E32" s="72"/>
    </row>
    <row r="33" spans="2:5">
      <c r="C33" s="155"/>
      <c r="D33" s="86"/>
      <c r="E33" s="72"/>
    </row>
    <row r="34" spans="2:5" ht="14.25" thickBot="1">
      <c r="C34" s="158"/>
      <c r="D34" s="87"/>
      <c r="E34" s="6"/>
    </row>
    <row r="37" spans="2:5" ht="14.25" thickBot="1">
      <c r="B37" s="150" t="s">
        <v>174</v>
      </c>
    </row>
    <row r="38" spans="2:5">
      <c r="C38" s="269"/>
      <c r="D38" s="270"/>
      <c r="E38" s="112" t="s">
        <v>115</v>
      </c>
    </row>
    <row r="39" spans="2:5" ht="14.25" thickBot="1">
      <c r="C39" s="271"/>
      <c r="D39" s="272"/>
      <c r="E39" s="6"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73" t="s">
        <v>19</v>
      </c>
      <c r="C2" s="274"/>
      <c r="D2" s="279" t="s">
        <v>315</v>
      </c>
      <c r="E2" s="280"/>
      <c r="F2" s="280"/>
      <c r="G2" s="280"/>
      <c r="H2" s="281"/>
      <c r="O2" t="s">
        <v>336</v>
      </c>
    </row>
    <row r="3" spans="2:15">
      <c r="B3" s="275" t="s">
        <v>113</v>
      </c>
      <c r="C3" s="276"/>
      <c r="D3" s="282" t="s">
        <v>314</v>
      </c>
      <c r="E3" s="283"/>
      <c r="F3" s="283"/>
      <c r="G3" s="283"/>
      <c r="H3" s="284"/>
    </row>
    <row r="4" spans="2:15" ht="14.25" thickBot="1">
      <c r="B4" s="277" t="s">
        <v>18</v>
      </c>
      <c r="C4" s="278"/>
      <c r="D4" s="285" t="str">
        <f ca="1">表紙!D3&amp;".c"</f>
        <v>alert_S_PSSDI_RWRN-CSTD-0-00.c</v>
      </c>
      <c r="E4" s="286"/>
      <c r="F4" s="286"/>
      <c r="G4" s="286"/>
      <c r="H4" s="287"/>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73" t="s">
        <v>36</v>
      </c>
      <c r="C6" s="274"/>
      <c r="D6" s="288" t="str">
        <f ca="1">MID(D4, LEN("alert_") + 1, FIND("-",D4,1) - LEN("alert_") - 1)</f>
        <v>S_PSSDI_RWRN</v>
      </c>
      <c r="E6" s="289"/>
      <c r="F6" s="289"/>
      <c r="G6" s="289"/>
      <c r="H6" s="290"/>
    </row>
    <row r="7" spans="2:15">
      <c r="B7" s="275" t="s">
        <v>37</v>
      </c>
      <c r="C7" s="276"/>
      <c r="D7" s="291">
        <f>COUNTA($D$13:$D$37)</f>
        <v>1</v>
      </c>
      <c r="E7" s="292"/>
      <c r="F7" s="292"/>
      <c r="G7" s="292"/>
      <c r="H7" s="293"/>
    </row>
    <row r="8" spans="2:15">
      <c r="B8" s="275" t="s">
        <v>92</v>
      </c>
      <c r="C8" s="276"/>
      <c r="D8" s="291" t="str">
        <f ca="1">"st_gp_ALERT_"&amp;UPPER(D6)&amp;"_MTRX"</f>
        <v>st_gp_ALERT_S_PSSDI_RWRN_MTRX</v>
      </c>
      <c r="E8" s="292"/>
      <c r="F8" s="292"/>
      <c r="G8" s="292"/>
      <c r="H8" s="293"/>
    </row>
    <row r="9" spans="2:15">
      <c r="B9" s="275" t="s">
        <v>38</v>
      </c>
      <c r="C9" s="276"/>
      <c r="D9" s="294" t="s">
        <v>212</v>
      </c>
      <c r="E9" s="295"/>
      <c r="F9" s="295"/>
      <c r="G9" s="295"/>
      <c r="H9" s="296"/>
    </row>
    <row r="10" spans="2:15" ht="14.25" thickBot="1">
      <c r="B10" s="277" t="s">
        <v>44</v>
      </c>
      <c r="C10" s="278"/>
      <c r="D10" s="297"/>
      <c r="E10" s="298"/>
      <c r="F10" s="298"/>
      <c r="G10" s="298"/>
      <c r="H10" s="299"/>
    </row>
    <row r="11" spans="2:15" ht="14.25" thickBot="1"/>
    <row r="12" spans="2:15" ht="14.25" thickBot="1">
      <c r="B12" s="141" t="s">
        <v>34</v>
      </c>
      <c r="C12" s="102" t="s">
        <v>43</v>
      </c>
      <c r="D12" s="103" t="s">
        <v>35</v>
      </c>
      <c r="E12" s="103" t="s">
        <v>39</v>
      </c>
      <c r="F12" s="103" t="s">
        <v>40</v>
      </c>
      <c r="G12" s="103" t="s">
        <v>41</v>
      </c>
      <c r="H12" s="104" t="s">
        <v>42</v>
      </c>
      <c r="I12" s="146" t="s">
        <v>51</v>
      </c>
      <c r="K12" s="43" t="s">
        <v>45</v>
      </c>
      <c r="L12" s="43" t="s">
        <v>38</v>
      </c>
      <c r="M12" t="s">
        <v>84</v>
      </c>
    </row>
    <row r="13" spans="2:15" ht="14.25" thickTop="1">
      <c r="B13" s="105">
        <v>1</v>
      </c>
      <c r="C13" s="110" t="s">
        <v>125</v>
      </c>
      <c r="D13" s="111" t="s">
        <v>48</v>
      </c>
      <c r="E13" s="111" t="s">
        <v>123</v>
      </c>
      <c r="F13" s="49" t="str">
        <f t="shared" ref="F13:F37" ca="1" si="0">IF($D13&lt;&gt;"","u4_s_Alert"&amp;UPPER(LEFT($D$6,1))&amp;LOWER(MID($D$6,2,100))&amp;IF($D$7=1,"",N13)&amp;"Srcchk","")</f>
        <v>u4_s_AlertS_pssdi_rwrnSrcchk</v>
      </c>
      <c r="G13" s="49" t="str">
        <f ca="1">IF($D13&lt;&gt;"",IF($E13="○","vd_s_Alert"&amp;UPPER(LEFT($D$6,1))&amp;LOWER(MID($D$6,2,100))&amp;IF($D$7=1,"",N13)&amp;"RwTx","NULL"),"")</f>
        <v>vd_s_AlertS_pssdi_rwrnRwTx</v>
      </c>
      <c r="H13" s="109" t="str">
        <f ca="1">IF($D13&lt;&gt;"","ALERT_CH_"&amp;UPPER($D$6)&amp;IF($D$7=1,"","_"&amp;UPPER($C13)),"")</f>
        <v>ALERT_CH_S_PSSDI_RWRN</v>
      </c>
      <c r="I13" s="147" t="str">
        <f ca="1">IF($D13&lt;&gt;"","ALERT_REQ_"&amp;UPPER($D$6)&amp;IF($D$7=1,"","_"&amp;UPPER($C13)),"")</f>
        <v>ALERT_REQ_S_PSSDI_RWRN</v>
      </c>
      <c r="K13" t="s">
        <v>46</v>
      </c>
      <c r="L13" t="s">
        <v>50</v>
      </c>
      <c r="M13" t="e">
        <f t="shared" ref="M13:M37" si="1">FIND("_",C13,1)</f>
        <v>#VALUE!</v>
      </c>
      <c r="N13" t="str">
        <f t="shared" ref="N13:N37" si="2">IF(IFERROR(M13,0),UPPER(LEFT(C13,1))&amp;LOWER(MID(C13,2,M13-2))&amp;UPPER(MID(C13,M13+1,1))&amp;LOWER(MID(C13,M13+2,100)),UPPER(LEFT(C13,1))&amp;LOWER(MID(C13,2,100)))</f>
        <v>-</v>
      </c>
    </row>
    <row r="14" spans="2:15">
      <c r="B14" s="95">
        <v>2</v>
      </c>
      <c r="C14" s="144"/>
      <c r="D14" s="145"/>
      <c r="E14" s="145"/>
      <c r="F14" s="44" t="str">
        <f t="shared" si="0"/>
        <v/>
      </c>
      <c r="G14" s="44" t="str">
        <f t="shared" ref="G13:G37" si="3">IF($D14&lt;&gt;"",IF($E14="○","vd_s_Alert"&amp;UPPER(LEFT($D$6,1))&amp;LOWER(MID($D$6,2,100))&amp;IF($D$7=1,"",N14)&amp;"RwTx","NULL"),"")</f>
        <v/>
      </c>
      <c r="H14" s="65" t="str">
        <f t="shared" ref="H14:H37" si="4">IF($D14&lt;&gt;"","ALERT_CH_"&amp;UPPER($D$6)&amp;IF($D$7=1,"","_"&amp;UPPER($C14)),"")</f>
        <v/>
      </c>
      <c r="I14" s="148" t="str">
        <f t="shared" ref="I14:I37" si="5">IF($D14&lt;&gt;"","ALERT_REQ_"&amp;UPPER($D$6)&amp;IF($D$7=1,"","_"&amp;UPPER($C14)),"")</f>
        <v/>
      </c>
      <c r="K14" t="s">
        <v>47</v>
      </c>
      <c r="L14" t="str">
        <f ca="1">"vd_g_Alert"&amp;UPPER(LEFT(D6,1))&amp;LOWER(MID(D6,2,100))&amp;"Init"</f>
        <v>vd_g_AlertS_pssdi_rwrnInit</v>
      </c>
      <c r="M14" t="e">
        <f t="shared" si="1"/>
        <v>#VALUE!</v>
      </c>
      <c r="N14" t="str">
        <f t="shared" si="2"/>
        <v/>
      </c>
    </row>
    <row r="15" spans="2:15">
      <c r="B15" s="95">
        <v>3</v>
      </c>
      <c r="C15" s="144"/>
      <c r="D15" s="145"/>
      <c r="E15" s="145"/>
      <c r="F15" s="44" t="str">
        <f t="shared" si="0"/>
        <v/>
      </c>
      <c r="G15" s="44" t="str">
        <f t="shared" si="3"/>
        <v/>
      </c>
      <c r="H15" s="65" t="str">
        <f t="shared" si="4"/>
        <v/>
      </c>
      <c r="I15" s="148" t="str">
        <f t="shared" si="5"/>
        <v/>
      </c>
      <c r="K15" t="s">
        <v>117</v>
      </c>
      <c r="M15" t="e">
        <f t="shared" si="1"/>
        <v>#VALUE!</v>
      </c>
      <c r="N15" t="str">
        <f t="shared" si="2"/>
        <v/>
      </c>
    </row>
    <row r="16" spans="2:15">
      <c r="B16" s="95">
        <v>4</v>
      </c>
      <c r="C16" s="144"/>
      <c r="D16" s="145"/>
      <c r="E16" s="145"/>
      <c r="F16" s="44" t="str">
        <f t="shared" si="0"/>
        <v/>
      </c>
      <c r="G16" s="44" t="str">
        <f t="shared" si="3"/>
        <v/>
      </c>
      <c r="H16" s="65" t="str">
        <f t="shared" si="4"/>
        <v/>
      </c>
      <c r="I16" s="148" t="str">
        <f t="shared" si="5"/>
        <v/>
      </c>
      <c r="K16" t="s">
        <v>118</v>
      </c>
      <c r="M16" t="e">
        <f t="shared" si="1"/>
        <v>#VALUE!</v>
      </c>
      <c r="N16" t="str">
        <f t="shared" si="2"/>
        <v/>
      </c>
    </row>
    <row r="17" spans="2:14">
      <c r="B17" s="95">
        <v>5</v>
      </c>
      <c r="C17" s="144"/>
      <c r="D17" s="222"/>
      <c r="E17" s="222"/>
      <c r="F17" s="44" t="str">
        <f t="shared" si="0"/>
        <v/>
      </c>
      <c r="G17" s="44" t="str">
        <f t="shared" si="3"/>
        <v/>
      </c>
      <c r="H17" s="65" t="str">
        <f t="shared" si="4"/>
        <v/>
      </c>
      <c r="I17" s="148" t="str">
        <f t="shared" si="5"/>
        <v/>
      </c>
      <c r="K17" t="s">
        <v>48</v>
      </c>
      <c r="M17" t="e">
        <f t="shared" si="1"/>
        <v>#VALUE!</v>
      </c>
      <c r="N17" t="str">
        <f t="shared" si="2"/>
        <v/>
      </c>
    </row>
    <row r="18" spans="2:14">
      <c r="B18" s="95">
        <v>6</v>
      </c>
      <c r="C18" s="144"/>
      <c r="D18" s="222"/>
      <c r="E18" s="222"/>
      <c r="F18" s="44" t="str">
        <f t="shared" si="0"/>
        <v/>
      </c>
      <c r="G18" s="44" t="str">
        <f t="shared" si="3"/>
        <v/>
      </c>
      <c r="H18" s="65" t="str">
        <f t="shared" si="4"/>
        <v/>
      </c>
      <c r="I18" s="148" t="str">
        <f t="shared" si="5"/>
        <v/>
      </c>
      <c r="K18" t="s">
        <v>49</v>
      </c>
      <c r="M18" t="e">
        <f t="shared" si="1"/>
        <v>#VALUE!</v>
      </c>
      <c r="N18" t="str">
        <f t="shared" si="2"/>
        <v/>
      </c>
    </row>
    <row r="19" spans="2:14">
      <c r="B19" s="95">
        <v>7</v>
      </c>
      <c r="C19" s="144"/>
      <c r="D19" s="222"/>
      <c r="E19" s="222"/>
      <c r="F19" s="44" t="str">
        <f t="shared" si="0"/>
        <v/>
      </c>
      <c r="G19" s="44" t="str">
        <f t="shared" si="3"/>
        <v/>
      </c>
      <c r="H19" s="65" t="str">
        <f t="shared" si="4"/>
        <v/>
      </c>
      <c r="I19" s="148" t="str">
        <f t="shared" si="5"/>
        <v/>
      </c>
      <c r="K19" t="s">
        <v>49</v>
      </c>
      <c r="M19" t="e">
        <f t="shared" si="1"/>
        <v>#VALUE!</v>
      </c>
      <c r="N19" t="str">
        <f t="shared" si="2"/>
        <v/>
      </c>
    </row>
    <row r="20" spans="2:14">
      <c r="B20" s="95">
        <v>8</v>
      </c>
      <c r="C20" s="144"/>
      <c r="D20" s="222"/>
      <c r="E20" s="222"/>
      <c r="F20" s="44" t="str">
        <f t="shared" si="0"/>
        <v/>
      </c>
      <c r="G20" s="44" t="str">
        <f t="shared" si="3"/>
        <v/>
      </c>
      <c r="H20" s="65" t="str">
        <f t="shared" si="4"/>
        <v/>
      </c>
      <c r="I20" s="148" t="str">
        <f t="shared" si="5"/>
        <v/>
      </c>
      <c r="K20" t="s">
        <v>49</v>
      </c>
      <c r="M20" t="e">
        <f t="shared" si="1"/>
        <v>#VALUE!</v>
      </c>
      <c r="N20" t="str">
        <f t="shared" si="2"/>
        <v/>
      </c>
    </row>
    <row r="21" spans="2:14">
      <c r="B21" s="95">
        <v>9</v>
      </c>
      <c r="C21" s="144"/>
      <c r="D21" s="222"/>
      <c r="E21" s="222"/>
      <c r="F21" s="44" t="str">
        <f t="shared" si="0"/>
        <v/>
      </c>
      <c r="G21" s="44" t="str">
        <f t="shared" si="3"/>
        <v/>
      </c>
      <c r="H21" s="65" t="str">
        <f t="shared" si="4"/>
        <v/>
      </c>
      <c r="I21" s="148" t="str">
        <f t="shared" si="5"/>
        <v/>
      </c>
      <c r="K21" t="s">
        <v>49</v>
      </c>
      <c r="M21" t="e">
        <f t="shared" si="1"/>
        <v>#VALUE!</v>
      </c>
      <c r="N21" t="str">
        <f t="shared" si="2"/>
        <v/>
      </c>
    </row>
    <row r="22" spans="2:14">
      <c r="B22" s="95">
        <v>10</v>
      </c>
      <c r="C22" s="144"/>
      <c r="D22" s="222"/>
      <c r="E22" s="222"/>
      <c r="F22" s="44" t="str">
        <f t="shared" si="0"/>
        <v/>
      </c>
      <c r="G22" s="44" t="str">
        <f t="shared" si="3"/>
        <v/>
      </c>
      <c r="H22" s="65" t="str">
        <f t="shared" si="4"/>
        <v/>
      </c>
      <c r="I22" s="148" t="str">
        <f t="shared" si="5"/>
        <v/>
      </c>
      <c r="K22" t="s">
        <v>49</v>
      </c>
      <c r="M22" t="e">
        <f t="shared" si="1"/>
        <v>#VALUE!</v>
      </c>
      <c r="N22" t="str">
        <f t="shared" si="2"/>
        <v/>
      </c>
    </row>
    <row r="23" spans="2:14">
      <c r="B23" s="95">
        <v>11</v>
      </c>
      <c r="C23" s="144"/>
      <c r="D23" s="145"/>
      <c r="E23" s="145"/>
      <c r="F23" s="44" t="str">
        <f t="shared" si="0"/>
        <v/>
      </c>
      <c r="G23" s="44" t="str">
        <f t="shared" si="3"/>
        <v/>
      </c>
      <c r="H23" s="65" t="str">
        <f t="shared" si="4"/>
        <v/>
      </c>
      <c r="I23" s="148" t="str">
        <f t="shared" si="5"/>
        <v/>
      </c>
      <c r="K23" t="s">
        <v>49</v>
      </c>
      <c r="M23" t="e">
        <f t="shared" si="1"/>
        <v>#VALUE!</v>
      </c>
      <c r="N23" t="str">
        <f t="shared" si="2"/>
        <v/>
      </c>
    </row>
    <row r="24" spans="2:14">
      <c r="B24" s="95">
        <v>12</v>
      </c>
      <c r="C24" s="144"/>
      <c r="D24" s="145"/>
      <c r="E24" s="145"/>
      <c r="F24" s="44" t="str">
        <f t="shared" si="0"/>
        <v/>
      </c>
      <c r="G24" s="44" t="str">
        <f t="shared" si="3"/>
        <v/>
      </c>
      <c r="H24" s="65" t="str">
        <f t="shared" si="4"/>
        <v/>
      </c>
      <c r="I24" s="148" t="str">
        <f t="shared" si="5"/>
        <v/>
      </c>
      <c r="K24" t="s">
        <v>49</v>
      </c>
      <c r="M24" t="e">
        <f t="shared" si="1"/>
        <v>#VALUE!</v>
      </c>
      <c r="N24" t="str">
        <f t="shared" si="2"/>
        <v/>
      </c>
    </row>
    <row r="25" spans="2:14">
      <c r="B25" s="95">
        <v>13</v>
      </c>
      <c r="C25" s="144"/>
      <c r="D25" s="145"/>
      <c r="E25" s="145"/>
      <c r="F25" s="44" t="str">
        <f t="shared" si="0"/>
        <v/>
      </c>
      <c r="G25" s="44" t="str">
        <f t="shared" si="3"/>
        <v/>
      </c>
      <c r="H25" s="65" t="str">
        <f t="shared" si="4"/>
        <v/>
      </c>
      <c r="I25" s="148" t="str">
        <f t="shared" si="5"/>
        <v/>
      </c>
      <c r="K25" t="s">
        <v>49</v>
      </c>
      <c r="M25" t="e">
        <f t="shared" si="1"/>
        <v>#VALUE!</v>
      </c>
      <c r="N25" t="str">
        <f t="shared" si="2"/>
        <v/>
      </c>
    </row>
    <row r="26" spans="2:14">
      <c r="B26" s="95">
        <v>14</v>
      </c>
      <c r="C26" s="144"/>
      <c r="D26" s="145"/>
      <c r="E26" s="145"/>
      <c r="F26" s="44" t="str">
        <f t="shared" si="0"/>
        <v/>
      </c>
      <c r="G26" s="44" t="str">
        <f t="shared" si="3"/>
        <v/>
      </c>
      <c r="H26" s="65" t="str">
        <f t="shared" si="4"/>
        <v/>
      </c>
      <c r="I26" s="148" t="str">
        <f t="shared" si="5"/>
        <v/>
      </c>
      <c r="K26" t="s">
        <v>49</v>
      </c>
      <c r="M26" t="e">
        <f t="shared" si="1"/>
        <v>#VALUE!</v>
      </c>
      <c r="N26" t="str">
        <f t="shared" si="2"/>
        <v/>
      </c>
    </row>
    <row r="27" spans="2:14">
      <c r="B27" s="95">
        <v>15</v>
      </c>
      <c r="C27" s="144"/>
      <c r="D27" s="145"/>
      <c r="E27" s="145"/>
      <c r="F27" s="44" t="str">
        <f t="shared" si="0"/>
        <v/>
      </c>
      <c r="G27" s="44" t="str">
        <f t="shared" si="3"/>
        <v/>
      </c>
      <c r="H27" s="65" t="str">
        <f t="shared" si="4"/>
        <v/>
      </c>
      <c r="I27" s="148" t="str">
        <f t="shared" si="5"/>
        <v/>
      </c>
      <c r="K27" t="s">
        <v>49</v>
      </c>
      <c r="M27" t="e">
        <f t="shared" si="1"/>
        <v>#VALUE!</v>
      </c>
      <c r="N27" t="str">
        <f t="shared" si="2"/>
        <v/>
      </c>
    </row>
    <row r="28" spans="2:14">
      <c r="B28" s="95">
        <v>16</v>
      </c>
      <c r="C28" s="144"/>
      <c r="D28" s="145"/>
      <c r="E28" s="145"/>
      <c r="F28" s="44" t="str">
        <f t="shared" si="0"/>
        <v/>
      </c>
      <c r="G28" s="44" t="str">
        <f t="shared" si="3"/>
        <v/>
      </c>
      <c r="H28" s="65" t="str">
        <f t="shared" si="4"/>
        <v/>
      </c>
      <c r="I28" s="148" t="str">
        <f t="shared" si="5"/>
        <v/>
      </c>
      <c r="K28" t="s">
        <v>49</v>
      </c>
      <c r="M28" t="e">
        <f t="shared" si="1"/>
        <v>#VALUE!</v>
      </c>
      <c r="N28" t="str">
        <f t="shared" si="2"/>
        <v/>
      </c>
    </row>
    <row r="29" spans="2:14">
      <c r="B29" s="95">
        <v>17</v>
      </c>
      <c r="C29" s="144"/>
      <c r="D29" s="145"/>
      <c r="E29" s="145"/>
      <c r="F29" s="44" t="str">
        <f t="shared" si="0"/>
        <v/>
      </c>
      <c r="G29" s="44" t="str">
        <f t="shared" si="3"/>
        <v/>
      </c>
      <c r="H29" s="65" t="str">
        <f t="shared" si="4"/>
        <v/>
      </c>
      <c r="I29" s="148" t="str">
        <f t="shared" si="5"/>
        <v/>
      </c>
      <c r="K29" t="s">
        <v>49</v>
      </c>
      <c r="M29" t="e">
        <f t="shared" si="1"/>
        <v>#VALUE!</v>
      </c>
      <c r="N29" t="str">
        <f t="shared" si="2"/>
        <v/>
      </c>
    </row>
    <row r="30" spans="2:14">
      <c r="B30" s="95">
        <v>18</v>
      </c>
      <c r="C30" s="144"/>
      <c r="D30" s="145"/>
      <c r="E30" s="145"/>
      <c r="F30" s="44" t="str">
        <f t="shared" si="0"/>
        <v/>
      </c>
      <c r="G30" s="44" t="str">
        <f t="shared" si="3"/>
        <v/>
      </c>
      <c r="H30" s="65" t="str">
        <f t="shared" si="4"/>
        <v/>
      </c>
      <c r="I30" s="148" t="str">
        <f t="shared" si="5"/>
        <v/>
      </c>
      <c r="K30" t="s">
        <v>49</v>
      </c>
      <c r="M30" t="e">
        <f t="shared" si="1"/>
        <v>#VALUE!</v>
      </c>
      <c r="N30" t="str">
        <f t="shared" si="2"/>
        <v/>
      </c>
    </row>
    <row r="31" spans="2:14">
      <c r="B31" s="95">
        <v>19</v>
      </c>
      <c r="C31" s="144"/>
      <c r="D31" s="145"/>
      <c r="E31" s="145"/>
      <c r="F31" s="44" t="str">
        <f t="shared" si="0"/>
        <v/>
      </c>
      <c r="G31" s="44" t="str">
        <f t="shared" si="3"/>
        <v/>
      </c>
      <c r="H31" s="65" t="str">
        <f t="shared" si="4"/>
        <v/>
      </c>
      <c r="I31" s="148" t="str">
        <f t="shared" si="5"/>
        <v/>
      </c>
      <c r="K31" t="s">
        <v>49</v>
      </c>
      <c r="M31" t="e">
        <f t="shared" si="1"/>
        <v>#VALUE!</v>
      </c>
      <c r="N31" t="str">
        <f t="shared" si="2"/>
        <v/>
      </c>
    </row>
    <row r="32" spans="2:14">
      <c r="B32" s="95">
        <v>20</v>
      </c>
      <c r="C32" s="144"/>
      <c r="D32" s="145"/>
      <c r="E32" s="145"/>
      <c r="F32" s="44" t="str">
        <f t="shared" si="0"/>
        <v/>
      </c>
      <c r="G32" s="44" t="str">
        <f t="shared" si="3"/>
        <v/>
      </c>
      <c r="H32" s="65" t="str">
        <f t="shared" si="4"/>
        <v/>
      </c>
      <c r="I32" s="148" t="str">
        <f t="shared" si="5"/>
        <v/>
      </c>
      <c r="K32" t="s">
        <v>49</v>
      </c>
      <c r="M32" t="e">
        <f t="shared" si="1"/>
        <v>#VALUE!</v>
      </c>
      <c r="N32" t="str">
        <f t="shared" si="2"/>
        <v/>
      </c>
    </row>
    <row r="33" spans="2:14">
      <c r="B33" s="95">
        <v>21</v>
      </c>
      <c r="C33" s="144"/>
      <c r="D33" s="145"/>
      <c r="E33" s="145"/>
      <c r="F33" s="44" t="str">
        <f t="shared" si="0"/>
        <v/>
      </c>
      <c r="G33" s="44" t="str">
        <f t="shared" si="3"/>
        <v/>
      </c>
      <c r="H33" s="65" t="str">
        <f t="shared" si="4"/>
        <v/>
      </c>
      <c r="I33" s="148" t="str">
        <f t="shared" si="5"/>
        <v/>
      </c>
      <c r="K33" t="s">
        <v>49</v>
      </c>
      <c r="M33" t="e">
        <f t="shared" si="1"/>
        <v>#VALUE!</v>
      </c>
      <c r="N33" t="str">
        <f t="shared" si="2"/>
        <v/>
      </c>
    </row>
    <row r="34" spans="2:14">
      <c r="B34" s="95">
        <v>22</v>
      </c>
      <c r="C34" s="144"/>
      <c r="D34" s="145"/>
      <c r="E34" s="145"/>
      <c r="F34" s="44" t="str">
        <f t="shared" si="0"/>
        <v/>
      </c>
      <c r="G34" s="44" t="str">
        <f t="shared" si="3"/>
        <v/>
      </c>
      <c r="H34" s="65" t="str">
        <f t="shared" si="4"/>
        <v/>
      </c>
      <c r="I34" s="148" t="str">
        <f t="shared" si="5"/>
        <v/>
      </c>
      <c r="K34" t="s">
        <v>49</v>
      </c>
      <c r="M34" t="e">
        <f t="shared" si="1"/>
        <v>#VALUE!</v>
      </c>
      <c r="N34" t="str">
        <f t="shared" si="2"/>
        <v/>
      </c>
    </row>
    <row r="35" spans="2:14">
      <c r="B35" s="95">
        <v>23</v>
      </c>
      <c r="C35" s="144"/>
      <c r="D35" s="145"/>
      <c r="E35" s="145"/>
      <c r="F35" s="44" t="str">
        <f t="shared" si="0"/>
        <v/>
      </c>
      <c r="G35" s="44" t="str">
        <f t="shared" si="3"/>
        <v/>
      </c>
      <c r="H35" s="65" t="str">
        <f t="shared" si="4"/>
        <v/>
      </c>
      <c r="I35" s="148" t="str">
        <f t="shared" si="5"/>
        <v/>
      </c>
      <c r="K35" t="s">
        <v>49</v>
      </c>
      <c r="M35" t="e">
        <f t="shared" si="1"/>
        <v>#VALUE!</v>
      </c>
      <c r="N35" t="str">
        <f t="shared" si="2"/>
        <v/>
      </c>
    </row>
    <row r="36" spans="2:14">
      <c r="B36" s="95">
        <v>24</v>
      </c>
      <c r="C36" s="144"/>
      <c r="D36" s="145"/>
      <c r="E36" s="145"/>
      <c r="F36" s="44" t="str">
        <f t="shared" si="0"/>
        <v/>
      </c>
      <c r="G36" s="44" t="str">
        <f t="shared" si="3"/>
        <v/>
      </c>
      <c r="H36" s="65" t="str">
        <f t="shared" si="4"/>
        <v/>
      </c>
      <c r="I36" s="148" t="str">
        <f t="shared" si="5"/>
        <v/>
      </c>
      <c r="K36" t="s">
        <v>49</v>
      </c>
      <c r="M36" t="e">
        <f t="shared" si="1"/>
        <v>#VALUE!</v>
      </c>
      <c r="N36" t="str">
        <f t="shared" si="2"/>
        <v/>
      </c>
    </row>
    <row r="37" spans="2:14" ht="14.25" thickBot="1">
      <c r="B37" s="96">
        <v>25</v>
      </c>
      <c r="C37" s="142"/>
      <c r="D37" s="143"/>
      <c r="E37" s="143"/>
      <c r="F37" s="52" t="str">
        <f t="shared" si="0"/>
        <v/>
      </c>
      <c r="G37" s="52" t="str">
        <f t="shared" si="3"/>
        <v/>
      </c>
      <c r="H37" s="66" t="str">
        <f t="shared" si="4"/>
        <v/>
      </c>
      <c r="I37" s="149" t="str">
        <f t="shared" si="5"/>
        <v/>
      </c>
      <c r="K37" t="s">
        <v>49</v>
      </c>
      <c r="M37" t="e">
        <f t="shared" si="1"/>
        <v>#VALUE!</v>
      </c>
      <c r="N37" t="str">
        <f t="shared" si="2"/>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41" t="s">
        <v>34</v>
      </c>
      <c r="C3" s="103" t="s">
        <v>190</v>
      </c>
      <c r="D3" s="103" t="s">
        <v>196</v>
      </c>
      <c r="E3" s="104" t="s">
        <v>197</v>
      </c>
      <c r="F3" s="185" t="s">
        <v>192</v>
      </c>
      <c r="G3" s="182" t="s">
        <v>205</v>
      </c>
      <c r="H3" s="43"/>
      <c r="I3" s="43"/>
      <c r="J3" s="43"/>
      <c r="K3" s="43"/>
      <c r="L3" s="43"/>
      <c r="M3" s="43"/>
      <c r="O3" s="141" t="s">
        <v>34</v>
      </c>
      <c r="P3" s="181" t="s">
        <v>186</v>
      </c>
      <c r="Q3" s="181" t="s">
        <v>199</v>
      </c>
      <c r="R3" s="182" t="s">
        <v>192</v>
      </c>
    </row>
    <row r="4" spans="2:18" ht="14.25" hidden="1" thickTop="1">
      <c r="B4" s="173">
        <v>0</v>
      </c>
      <c r="C4" s="174" t="s">
        <v>175</v>
      </c>
      <c r="D4" s="174"/>
      <c r="E4" s="175"/>
      <c r="F4" s="186"/>
      <c r="G4" s="187"/>
      <c r="H4" s="43"/>
      <c r="I4" s="43"/>
      <c r="J4" s="43"/>
      <c r="K4" s="43"/>
      <c r="L4" s="43"/>
      <c r="M4" s="43"/>
      <c r="O4" s="183">
        <v>0</v>
      </c>
      <c r="P4" s="180" t="s">
        <v>175</v>
      </c>
      <c r="Q4" s="180" t="s">
        <v>175</v>
      </c>
      <c r="R4" s="140"/>
    </row>
    <row r="5" spans="2:18" ht="14.25" thickTop="1">
      <c r="B5" s="176">
        <v>1</v>
      </c>
      <c r="C5" s="145"/>
      <c r="D5" s="26"/>
      <c r="E5" s="65" t="str">
        <f>IF($C5&lt;&gt;"","ALERT_" &amp; D5 &amp; "_ID_"&amp;UPPER(Matrix!$D$6) &amp; "_" &amp; $C5,"")</f>
        <v/>
      </c>
      <c r="F5" s="116"/>
      <c r="G5" s="65" t="str">
        <f>IF(E5&lt;&gt;"",LEN(E5),"")</f>
        <v/>
      </c>
      <c r="O5" s="176">
        <v>1</v>
      </c>
      <c r="P5" s="145"/>
      <c r="Q5" s="145"/>
      <c r="R5" s="189"/>
    </row>
    <row r="6" spans="2:18">
      <c r="B6" s="176">
        <v>2</v>
      </c>
      <c r="C6" s="145"/>
      <c r="D6" s="26"/>
      <c r="E6" s="65" t="str">
        <f>IF($C6&lt;&gt;"","ALERT_" &amp; D6 &amp; "_ID_"&amp;UPPER(Matrix!$D$6) &amp; "_" &amp; $C6,"")</f>
        <v/>
      </c>
      <c r="F6" s="116"/>
      <c r="G6" s="65" t="str">
        <f t="shared" ref="G6:G29" si="0">IF(E6&lt;&gt;"",LEN(E6),"")</f>
        <v/>
      </c>
      <c r="O6" s="176">
        <v>2</v>
      </c>
      <c r="P6" s="145"/>
      <c r="Q6" s="145"/>
      <c r="R6" s="117"/>
    </row>
    <row r="7" spans="2:18">
      <c r="B7" s="176">
        <v>3</v>
      </c>
      <c r="C7" s="145"/>
      <c r="D7" s="107"/>
      <c r="E7" s="65" t="str">
        <f>IF($C7&lt;&gt;"","ALERT_" &amp; D7 &amp; "_ID_"&amp;UPPER(Matrix!$D$6) &amp; "_" &amp; $C7,"")</f>
        <v/>
      </c>
      <c r="F7" s="121"/>
      <c r="G7" s="65" t="str">
        <f t="shared" si="0"/>
        <v/>
      </c>
      <c r="O7" s="176">
        <v>3</v>
      </c>
      <c r="P7" s="145"/>
      <c r="Q7" s="145"/>
      <c r="R7" s="117"/>
    </row>
    <row r="8" spans="2:18">
      <c r="B8" s="176">
        <v>4</v>
      </c>
      <c r="C8" s="145"/>
      <c r="D8" s="26"/>
      <c r="E8" s="65" t="str">
        <f>IF($C8&lt;&gt;"","ALERT_" &amp; D8 &amp; "_ID_"&amp;UPPER(Matrix!$D$6) &amp; "_" &amp; $C8,"")</f>
        <v/>
      </c>
      <c r="F8" s="116"/>
      <c r="G8" s="65" t="str">
        <f t="shared" si="0"/>
        <v/>
      </c>
      <c r="O8" s="176">
        <v>4</v>
      </c>
      <c r="P8" s="145"/>
      <c r="Q8" s="145"/>
      <c r="R8" s="117"/>
    </row>
    <row r="9" spans="2:18">
      <c r="B9" s="176">
        <v>5</v>
      </c>
      <c r="C9" s="145"/>
      <c r="D9" s="26"/>
      <c r="E9" s="65" t="str">
        <f>IF($C9&lt;&gt;"","ALERT_" &amp; D9 &amp; "_ID_"&amp;UPPER(Matrix!$D$6) &amp; "_" &amp; $C9,"")</f>
        <v/>
      </c>
      <c r="F9" s="116"/>
      <c r="G9" s="65" t="str">
        <f t="shared" si="0"/>
        <v/>
      </c>
      <c r="O9" s="176">
        <v>5</v>
      </c>
      <c r="P9" s="145"/>
      <c r="Q9" s="145"/>
      <c r="R9" s="117"/>
    </row>
    <row r="10" spans="2:18">
      <c r="B10" s="176">
        <v>6</v>
      </c>
      <c r="C10" s="145"/>
      <c r="D10" s="26"/>
      <c r="E10" s="65" t="str">
        <f>IF($C10&lt;&gt;"","ALERT_" &amp; D10 &amp; "_ID_"&amp;UPPER(Matrix!$D$6) &amp; "_" &amp; $C10,"")</f>
        <v/>
      </c>
      <c r="F10" s="116"/>
      <c r="G10" s="65" t="str">
        <f t="shared" si="0"/>
        <v/>
      </c>
      <c r="O10" s="176">
        <v>6</v>
      </c>
      <c r="P10" s="145"/>
      <c r="Q10" s="145"/>
      <c r="R10" s="117"/>
    </row>
    <row r="11" spans="2:18">
      <c r="B11" s="176">
        <v>7</v>
      </c>
      <c r="C11" s="145"/>
      <c r="D11" s="26"/>
      <c r="E11" s="65" t="str">
        <f>IF($C11&lt;&gt;"","ALERT_" &amp; D11 &amp; "_ID_"&amp;UPPER(Matrix!$D$6) &amp; "_" &amp; $C11,"")</f>
        <v/>
      </c>
      <c r="F11" s="116"/>
      <c r="G11" s="65" t="str">
        <f t="shared" si="0"/>
        <v/>
      </c>
      <c r="O11" s="176">
        <v>7</v>
      </c>
      <c r="P11" s="145"/>
      <c r="Q11" s="145"/>
      <c r="R11" s="117"/>
    </row>
    <row r="12" spans="2:18">
      <c r="B12" s="176">
        <v>8</v>
      </c>
      <c r="C12" s="145"/>
      <c r="D12" s="26"/>
      <c r="E12" s="65" t="str">
        <f>IF($C12&lt;&gt;"","ALERT_" &amp; D12 &amp; "_ID_"&amp;UPPER(Matrix!$D$6) &amp; "_" &amp; $C12,"")</f>
        <v/>
      </c>
      <c r="F12" s="116"/>
      <c r="G12" s="65" t="str">
        <f t="shared" si="0"/>
        <v/>
      </c>
      <c r="O12" s="176">
        <v>8</v>
      </c>
      <c r="P12" s="145"/>
      <c r="Q12" s="145"/>
      <c r="R12" s="117"/>
    </row>
    <row r="13" spans="2:18">
      <c r="B13" s="176">
        <v>9</v>
      </c>
      <c r="C13" s="145"/>
      <c r="D13" s="26"/>
      <c r="E13" s="65" t="str">
        <f>IF($C13&lt;&gt;"","ALERT_" &amp; D13 &amp; "_ID_"&amp;UPPER(Matrix!$D$6) &amp; "_" &amp; $C13,"")</f>
        <v/>
      </c>
      <c r="F13" s="116"/>
      <c r="G13" s="65" t="str">
        <f t="shared" si="0"/>
        <v/>
      </c>
      <c r="O13" s="176">
        <v>9</v>
      </c>
      <c r="P13" s="145"/>
      <c r="Q13" s="145"/>
      <c r="R13" s="117"/>
    </row>
    <row r="14" spans="2:18">
      <c r="B14" s="176">
        <v>10</v>
      </c>
      <c r="C14" s="145"/>
      <c r="D14" s="26"/>
      <c r="E14" s="65" t="str">
        <f>IF($C14&lt;&gt;"","ALERT_" &amp; D14 &amp; "_ID_"&amp;UPPER(Matrix!$D$6) &amp; "_" &amp; $C14,"")</f>
        <v/>
      </c>
      <c r="F14" s="116"/>
      <c r="G14" s="65" t="str">
        <f t="shared" si="0"/>
        <v/>
      </c>
      <c r="O14" s="176">
        <v>10</v>
      </c>
      <c r="P14" s="145"/>
      <c r="Q14" s="145"/>
      <c r="R14" s="117"/>
    </row>
    <row r="15" spans="2:18">
      <c r="B15" s="176">
        <v>11</v>
      </c>
      <c r="C15" s="145"/>
      <c r="D15" s="26"/>
      <c r="E15" s="65" t="str">
        <f>IF($C15&lt;&gt;"","ALERT_" &amp; D15 &amp; "_ID_"&amp;UPPER(Matrix!$D$6) &amp; "_" &amp; $C15,"")</f>
        <v/>
      </c>
      <c r="F15" s="116"/>
      <c r="G15" s="65" t="str">
        <f t="shared" si="0"/>
        <v/>
      </c>
      <c r="O15" s="176">
        <v>11</v>
      </c>
      <c r="P15" s="145"/>
      <c r="Q15" s="145"/>
      <c r="R15" s="117"/>
    </row>
    <row r="16" spans="2:18">
      <c r="B16" s="176">
        <v>12</v>
      </c>
      <c r="C16" s="145"/>
      <c r="D16" s="26"/>
      <c r="E16" s="65" t="str">
        <f>IF($C16&lt;&gt;"","ALERT_" &amp; D16 &amp; "_ID_"&amp;UPPER(Matrix!$D$6) &amp; "_" &amp; $C16,"")</f>
        <v/>
      </c>
      <c r="F16" s="116"/>
      <c r="G16" s="65" t="str">
        <f t="shared" si="0"/>
        <v/>
      </c>
      <c r="O16" s="176">
        <v>12</v>
      </c>
      <c r="P16" s="145"/>
      <c r="Q16" s="145"/>
      <c r="R16" s="117"/>
    </row>
    <row r="17" spans="2:18">
      <c r="B17" s="176">
        <v>13</v>
      </c>
      <c r="C17" s="145"/>
      <c r="D17" s="26"/>
      <c r="E17" s="65" t="str">
        <f>IF($C17&lt;&gt;"","ALERT_" &amp; D17 &amp; "_ID_"&amp;UPPER(Matrix!$D$6) &amp; "_" &amp; $C17,"")</f>
        <v/>
      </c>
      <c r="F17" s="116"/>
      <c r="G17" s="65" t="str">
        <f t="shared" si="0"/>
        <v/>
      </c>
      <c r="O17" s="176">
        <v>13</v>
      </c>
      <c r="P17" s="145"/>
      <c r="Q17" s="145"/>
      <c r="R17" s="117"/>
    </row>
    <row r="18" spans="2:18">
      <c r="B18" s="176">
        <v>14</v>
      </c>
      <c r="C18" s="145"/>
      <c r="D18" s="26"/>
      <c r="E18" s="65" t="str">
        <f>IF($C18&lt;&gt;"","ALERT_" &amp; D18 &amp; "_ID_"&amp;UPPER(Matrix!$D$6) &amp; "_" &amp; $C18,"")</f>
        <v/>
      </c>
      <c r="F18" s="116"/>
      <c r="G18" s="65" t="str">
        <f t="shared" si="0"/>
        <v/>
      </c>
      <c r="O18" s="176">
        <v>14</v>
      </c>
      <c r="P18" s="145"/>
      <c r="Q18" s="145"/>
      <c r="R18" s="117"/>
    </row>
    <row r="19" spans="2:18">
      <c r="B19" s="176">
        <v>15</v>
      </c>
      <c r="C19" s="145"/>
      <c r="D19" s="26"/>
      <c r="E19" s="65" t="str">
        <f>IF($C19&lt;&gt;"","ALERT_" &amp; D19 &amp; "_ID_"&amp;UPPER(Matrix!$D$6) &amp; "_" &amp; $C19,"")</f>
        <v/>
      </c>
      <c r="F19" s="116"/>
      <c r="G19" s="65" t="str">
        <f t="shared" si="0"/>
        <v/>
      </c>
      <c r="O19" s="176">
        <v>15</v>
      </c>
      <c r="P19" s="145"/>
      <c r="Q19" s="145"/>
      <c r="R19" s="117"/>
    </row>
    <row r="20" spans="2:18">
      <c r="B20" s="176">
        <v>16</v>
      </c>
      <c r="C20" s="145"/>
      <c r="D20" s="26"/>
      <c r="E20" s="65" t="str">
        <f>IF($C20&lt;&gt;"","ALERT_" &amp; D20 &amp; "_ID_"&amp;UPPER(Matrix!$D$6) &amp; "_" &amp; $C20,"")</f>
        <v/>
      </c>
      <c r="F20" s="116"/>
      <c r="G20" s="65" t="str">
        <f t="shared" si="0"/>
        <v/>
      </c>
      <c r="O20" s="176">
        <v>16</v>
      </c>
      <c r="P20" s="145"/>
      <c r="Q20" s="145"/>
      <c r="R20" s="117"/>
    </row>
    <row r="21" spans="2:18">
      <c r="B21" s="176">
        <v>17</v>
      </c>
      <c r="C21" s="145"/>
      <c r="D21" s="26"/>
      <c r="E21" s="65" t="str">
        <f>IF($C21&lt;&gt;"","ALERT_" &amp; D21 &amp; "_ID_"&amp;UPPER(Matrix!$D$6) &amp; "_" &amp; $C21,"")</f>
        <v/>
      </c>
      <c r="F21" s="116"/>
      <c r="G21" s="65" t="str">
        <f t="shared" si="0"/>
        <v/>
      </c>
      <c r="O21" s="176">
        <v>17</v>
      </c>
      <c r="P21" s="145"/>
      <c r="Q21" s="145"/>
      <c r="R21" s="117"/>
    </row>
    <row r="22" spans="2:18">
      <c r="B22" s="176">
        <v>18</v>
      </c>
      <c r="C22" s="145"/>
      <c r="D22" s="26"/>
      <c r="E22" s="65" t="str">
        <f>IF($C22&lt;&gt;"","ALERT_" &amp; D22 &amp; "_ID_"&amp;UPPER(Matrix!$D$6) &amp; "_" &amp; $C22,"")</f>
        <v/>
      </c>
      <c r="F22" s="116"/>
      <c r="G22" s="65" t="str">
        <f t="shared" si="0"/>
        <v/>
      </c>
      <c r="O22" s="176">
        <v>18</v>
      </c>
      <c r="P22" s="145"/>
      <c r="Q22" s="145"/>
      <c r="R22" s="117"/>
    </row>
    <row r="23" spans="2:18">
      <c r="B23" s="176">
        <v>19</v>
      </c>
      <c r="C23" s="145"/>
      <c r="D23" s="26"/>
      <c r="E23" s="65" t="str">
        <f>IF($C23&lt;&gt;"","ALERT_" &amp; D23 &amp; "_ID_"&amp;UPPER(Matrix!$D$6) &amp; "_" &amp; $C23,"")</f>
        <v/>
      </c>
      <c r="F23" s="116"/>
      <c r="G23" s="65" t="str">
        <f t="shared" si="0"/>
        <v/>
      </c>
      <c r="O23" s="176">
        <v>19</v>
      </c>
      <c r="P23" s="145"/>
      <c r="Q23" s="145"/>
      <c r="R23" s="117"/>
    </row>
    <row r="24" spans="2:18">
      <c r="B24" s="176">
        <v>20</v>
      </c>
      <c r="C24" s="145"/>
      <c r="D24" s="26"/>
      <c r="E24" s="65" t="str">
        <f>IF($C24&lt;&gt;"","ALERT_" &amp; D24 &amp; "_ID_"&amp;UPPER(Matrix!$D$6) &amp; "_" &amp; $C24,"")</f>
        <v/>
      </c>
      <c r="F24" s="116"/>
      <c r="G24" s="65" t="str">
        <f t="shared" si="0"/>
        <v/>
      </c>
      <c r="O24" s="176">
        <v>20</v>
      </c>
      <c r="P24" s="145"/>
      <c r="Q24" s="145"/>
      <c r="R24" s="117"/>
    </row>
    <row r="25" spans="2:18">
      <c r="B25" s="176">
        <v>21</v>
      </c>
      <c r="C25" s="145"/>
      <c r="D25" s="26"/>
      <c r="E25" s="65" t="str">
        <f>IF($C25&lt;&gt;"","ALERT_" &amp; D25 &amp; "_ID_"&amp;UPPER(Matrix!$D$6) &amp; "_" &amp; $C25,"")</f>
        <v/>
      </c>
      <c r="F25" s="116"/>
      <c r="G25" s="65" t="str">
        <f t="shared" si="0"/>
        <v/>
      </c>
      <c r="O25" s="176">
        <v>21</v>
      </c>
      <c r="P25" s="145"/>
      <c r="Q25" s="145"/>
      <c r="R25" s="117"/>
    </row>
    <row r="26" spans="2:18">
      <c r="B26" s="176">
        <v>22</v>
      </c>
      <c r="C26" s="145"/>
      <c r="D26" s="26"/>
      <c r="E26" s="65" t="str">
        <f>IF($C26&lt;&gt;"","ALERT_" &amp; D26 &amp; "_ID_"&amp;UPPER(Matrix!$D$6) &amp; "_" &amp; $C26,"")</f>
        <v/>
      </c>
      <c r="F26" s="116"/>
      <c r="G26" s="65" t="str">
        <f t="shared" si="0"/>
        <v/>
      </c>
      <c r="O26" s="176">
        <v>22</v>
      </c>
      <c r="P26" s="145"/>
      <c r="Q26" s="145"/>
      <c r="R26" s="117"/>
    </row>
    <row r="27" spans="2:18">
      <c r="B27" s="176">
        <v>23</v>
      </c>
      <c r="C27" s="145"/>
      <c r="D27" s="26"/>
      <c r="E27" s="65" t="str">
        <f>IF($C27&lt;&gt;"","ALERT_" &amp; D27 &amp; "_ID_"&amp;UPPER(Matrix!$D$6) &amp; "_" &amp; $C27,"")</f>
        <v/>
      </c>
      <c r="F27" s="116"/>
      <c r="G27" s="65" t="str">
        <f t="shared" si="0"/>
        <v/>
      </c>
      <c r="O27" s="176">
        <v>23</v>
      </c>
      <c r="P27" s="145"/>
      <c r="Q27" s="145"/>
      <c r="R27" s="117"/>
    </row>
    <row r="28" spans="2:18">
      <c r="B28" s="176">
        <v>24</v>
      </c>
      <c r="C28" s="145"/>
      <c r="D28" s="26"/>
      <c r="E28" s="65" t="str">
        <f>IF($C28&lt;&gt;"","ALERT_" &amp; D28 &amp; "_ID_"&amp;UPPER(Matrix!$D$6) &amp; "_" &amp; $C28,"")</f>
        <v/>
      </c>
      <c r="F28" s="116"/>
      <c r="G28" s="65" t="str">
        <f t="shared" si="0"/>
        <v/>
      </c>
      <c r="O28" s="176">
        <v>24</v>
      </c>
      <c r="P28" s="145"/>
      <c r="Q28" s="145"/>
      <c r="R28" s="117"/>
    </row>
    <row r="29" spans="2:18" ht="14.25" thickBot="1">
      <c r="B29" s="177">
        <v>25</v>
      </c>
      <c r="C29" s="143"/>
      <c r="D29" s="51"/>
      <c r="E29" s="66" t="str">
        <f>IF($C29&lt;&gt;"","ALERT_" &amp; D29 &amp; "_ID_"&amp;UPPER(Matrix!$D$6) &amp; "_" &amp; $C29,"")</f>
        <v/>
      </c>
      <c r="F29" s="118"/>
      <c r="G29" s="66" t="str">
        <f t="shared" si="0"/>
        <v/>
      </c>
      <c r="O29" s="177">
        <v>25</v>
      </c>
      <c r="P29" s="143"/>
      <c r="Q29" s="143"/>
      <c r="R29" s="119"/>
    </row>
    <row r="32" spans="2:18" ht="14.25" thickBot="1">
      <c r="B32" t="s">
        <v>201</v>
      </c>
      <c r="O32" t="s">
        <v>198</v>
      </c>
    </row>
    <row r="33" spans="2:18" ht="14.25" thickBot="1">
      <c r="B33" s="141" t="s">
        <v>34</v>
      </c>
      <c r="C33" s="103" t="s">
        <v>190</v>
      </c>
      <c r="D33" s="103" t="s">
        <v>195</v>
      </c>
      <c r="E33" s="104" t="s">
        <v>193</v>
      </c>
      <c r="F33" s="182" t="s">
        <v>194</v>
      </c>
      <c r="G33" s="182" t="s">
        <v>205</v>
      </c>
      <c r="O33" s="141" t="s">
        <v>34</v>
      </c>
      <c r="P33" s="181" t="s">
        <v>187</v>
      </c>
      <c r="Q33" s="181" t="s">
        <v>203</v>
      </c>
      <c r="R33" s="182" t="s">
        <v>191</v>
      </c>
    </row>
    <row r="34" spans="2:18" ht="14.25" hidden="1" thickTop="1">
      <c r="B34" s="173">
        <v>0</v>
      </c>
      <c r="C34" s="174" t="s">
        <v>175</v>
      </c>
      <c r="D34" s="174"/>
      <c r="E34" s="175"/>
      <c r="F34" s="184" t="s">
        <v>175</v>
      </c>
      <c r="G34" s="187"/>
      <c r="O34" s="183">
        <v>0</v>
      </c>
      <c r="P34" s="180" t="s">
        <v>175</v>
      </c>
      <c r="Q34" s="180" t="s">
        <v>175</v>
      </c>
      <c r="R34" s="184" t="s">
        <v>175</v>
      </c>
    </row>
    <row r="35" spans="2:18" ht="14.25" thickTop="1">
      <c r="B35" s="176">
        <v>1</v>
      </c>
      <c r="C35" s="145"/>
      <c r="D35" s="26"/>
      <c r="E35" s="65" t="str">
        <f>IF($C35&lt;&gt;"","ALERT_" &amp; UPPER(Matrix!$D$6) &amp; "_" &amp; $C35,"")</f>
        <v/>
      </c>
      <c r="F35" s="178"/>
      <c r="G35" s="65" t="str">
        <f>IF(E35&lt;&gt;"",LEN(E35),"")</f>
        <v/>
      </c>
      <c r="O35" s="176">
        <v>1</v>
      </c>
      <c r="P35" s="145"/>
      <c r="Q35" s="145"/>
      <c r="R35" s="178"/>
    </row>
    <row r="36" spans="2:18">
      <c r="B36" s="176">
        <v>2</v>
      </c>
      <c r="C36" s="145"/>
      <c r="D36" s="26"/>
      <c r="E36" s="65" t="str">
        <f>IF($C36&lt;&gt;"","ALERT_" &amp; UPPER(Matrix!$D$6) &amp; "_" &amp; $C36,"")</f>
        <v/>
      </c>
      <c r="F36" s="178"/>
      <c r="G36" s="65" t="str">
        <f>IF(E36&lt;&gt;"",LEN(E36),"")</f>
        <v/>
      </c>
      <c r="O36" s="176">
        <v>2</v>
      </c>
      <c r="P36" s="145"/>
      <c r="Q36" s="145"/>
      <c r="R36" s="178"/>
    </row>
    <row r="37" spans="2:18">
      <c r="B37" s="176">
        <v>3</v>
      </c>
      <c r="C37" s="145"/>
      <c r="D37" s="26"/>
      <c r="E37" s="65" t="str">
        <f>IF($C37&lt;&gt;"","ALERT_" &amp; UPPER(Matrix!$D$6) &amp; "_" &amp; $C37,"")</f>
        <v/>
      </c>
      <c r="F37" s="178"/>
      <c r="G37" s="65" t="str">
        <f>IF(E37&lt;&gt;"",LEN(E37),"")</f>
        <v/>
      </c>
      <c r="O37" s="176">
        <v>3</v>
      </c>
      <c r="P37" s="145"/>
      <c r="Q37" s="145"/>
      <c r="R37" s="178"/>
    </row>
    <row r="38" spans="2:18">
      <c r="B38" s="176">
        <v>4</v>
      </c>
      <c r="C38" s="145"/>
      <c r="D38" s="26"/>
      <c r="E38" s="65" t="str">
        <f>IF($C38&lt;&gt;"","ALERT_" &amp; UPPER(Matrix!$D$6) &amp; "_" &amp; $C38,"")</f>
        <v/>
      </c>
      <c r="F38" s="178"/>
      <c r="G38" s="65" t="str">
        <f t="shared" ref="G38:G59" si="1">IF(E38&lt;&gt;"",LEN(E38),"")</f>
        <v/>
      </c>
      <c r="O38" s="176">
        <v>4</v>
      </c>
      <c r="P38" s="145"/>
      <c r="Q38" s="145"/>
      <c r="R38" s="178"/>
    </row>
    <row r="39" spans="2:18">
      <c r="B39" s="176">
        <v>5</v>
      </c>
      <c r="C39" s="145"/>
      <c r="D39" s="26"/>
      <c r="E39" s="65" t="str">
        <f>IF($C39&lt;&gt;"","ALERT_" &amp; UPPER(Matrix!$D$6) &amp; "_" &amp; $C39,"")</f>
        <v/>
      </c>
      <c r="F39" s="178"/>
      <c r="G39" s="65" t="str">
        <f t="shared" si="1"/>
        <v/>
      </c>
      <c r="O39" s="176">
        <v>5</v>
      </c>
      <c r="P39" s="145"/>
      <c r="Q39" s="145"/>
      <c r="R39" s="178"/>
    </row>
    <row r="40" spans="2:18">
      <c r="B40" s="176">
        <v>6</v>
      </c>
      <c r="C40" s="145"/>
      <c r="D40" s="26"/>
      <c r="E40" s="65" t="str">
        <f>IF($C40&lt;&gt;"","ALERT_" &amp; UPPER(Matrix!$D$6) &amp; "_" &amp; $C40,"")</f>
        <v/>
      </c>
      <c r="F40" s="178"/>
      <c r="G40" s="65" t="str">
        <f t="shared" si="1"/>
        <v/>
      </c>
      <c r="O40" s="176">
        <v>6</v>
      </c>
      <c r="P40" s="145"/>
      <c r="Q40" s="145"/>
      <c r="R40" s="178"/>
    </row>
    <row r="41" spans="2:18">
      <c r="B41" s="176">
        <v>7</v>
      </c>
      <c r="C41" s="145"/>
      <c r="D41" s="26"/>
      <c r="E41" s="65" t="str">
        <f>IF($C41&lt;&gt;"","ALERT_" &amp; UPPER(Matrix!$D$6) &amp; "_" &amp; $C41,"")</f>
        <v/>
      </c>
      <c r="F41" s="178"/>
      <c r="G41" s="65" t="str">
        <f t="shared" si="1"/>
        <v/>
      </c>
      <c r="O41" s="176">
        <v>7</v>
      </c>
      <c r="P41" s="145"/>
      <c r="Q41" s="145"/>
      <c r="R41" s="178"/>
    </row>
    <row r="42" spans="2:18">
      <c r="B42" s="176">
        <v>8</v>
      </c>
      <c r="C42" s="145"/>
      <c r="D42" s="26"/>
      <c r="E42" s="65" t="str">
        <f>IF($C42&lt;&gt;"","ALERT_" &amp; UPPER(Matrix!$D$6) &amp; "_" &amp; $C42,"")</f>
        <v/>
      </c>
      <c r="F42" s="178"/>
      <c r="G42" s="65" t="str">
        <f t="shared" si="1"/>
        <v/>
      </c>
      <c r="O42" s="176">
        <v>8</v>
      </c>
      <c r="P42" s="145"/>
      <c r="Q42" s="145"/>
      <c r="R42" s="178"/>
    </row>
    <row r="43" spans="2:18">
      <c r="B43" s="176">
        <v>9</v>
      </c>
      <c r="C43" s="145"/>
      <c r="D43" s="26"/>
      <c r="E43" s="65" t="str">
        <f>IF($C43&lt;&gt;"","ALERT_" &amp; UPPER(Matrix!$D$6) &amp; "_" &amp; $C43,"")</f>
        <v/>
      </c>
      <c r="F43" s="178"/>
      <c r="G43" s="65" t="str">
        <f t="shared" si="1"/>
        <v/>
      </c>
      <c r="O43" s="176">
        <v>9</v>
      </c>
      <c r="P43" s="145"/>
      <c r="Q43" s="145"/>
      <c r="R43" s="178"/>
    </row>
    <row r="44" spans="2:18">
      <c r="B44" s="176">
        <v>10</v>
      </c>
      <c r="C44" s="145"/>
      <c r="D44" s="26"/>
      <c r="E44" s="65" t="str">
        <f>IF($C44&lt;&gt;"","ALERT_" &amp; UPPER(Matrix!$D$6) &amp; "_" &amp; $C44,"")</f>
        <v/>
      </c>
      <c r="F44" s="178"/>
      <c r="G44" s="65" t="str">
        <f t="shared" si="1"/>
        <v/>
      </c>
      <c r="O44" s="176">
        <v>10</v>
      </c>
      <c r="P44" s="145"/>
      <c r="Q44" s="145"/>
      <c r="R44" s="178"/>
    </row>
    <row r="45" spans="2:18">
      <c r="B45" s="176">
        <v>11</v>
      </c>
      <c r="C45" s="145"/>
      <c r="D45" s="26"/>
      <c r="E45" s="65" t="str">
        <f>IF($C45&lt;&gt;"","ALERT_" &amp; UPPER(Matrix!$D$6) &amp; "_" &amp; $C45,"")</f>
        <v/>
      </c>
      <c r="F45" s="178"/>
      <c r="G45" s="65" t="str">
        <f t="shared" si="1"/>
        <v/>
      </c>
      <c r="O45" s="176">
        <v>11</v>
      </c>
      <c r="P45" s="145"/>
      <c r="Q45" s="145"/>
      <c r="R45" s="178"/>
    </row>
    <row r="46" spans="2:18">
      <c r="B46" s="176">
        <v>12</v>
      </c>
      <c r="C46" s="145"/>
      <c r="D46" s="26"/>
      <c r="E46" s="65" t="str">
        <f>IF($C46&lt;&gt;"","ALERT_" &amp; UPPER(Matrix!$D$6) &amp; "_" &amp; $C46,"")</f>
        <v/>
      </c>
      <c r="F46" s="178"/>
      <c r="G46" s="65" t="str">
        <f t="shared" si="1"/>
        <v/>
      </c>
      <c r="O46" s="176">
        <v>12</v>
      </c>
      <c r="P46" s="145"/>
      <c r="Q46" s="145"/>
      <c r="R46" s="178"/>
    </row>
    <row r="47" spans="2:18">
      <c r="B47" s="176">
        <v>13</v>
      </c>
      <c r="C47" s="145"/>
      <c r="D47" s="26"/>
      <c r="E47" s="65" t="str">
        <f>IF($C47&lt;&gt;"","ALERT_" &amp; UPPER(Matrix!$D$6) &amp; "_" &amp; $C47,"")</f>
        <v/>
      </c>
      <c r="F47" s="178"/>
      <c r="G47" s="65" t="str">
        <f t="shared" si="1"/>
        <v/>
      </c>
      <c r="O47" s="176">
        <v>13</v>
      </c>
      <c r="P47" s="145"/>
      <c r="Q47" s="145"/>
      <c r="R47" s="178"/>
    </row>
    <row r="48" spans="2:18">
      <c r="B48" s="176">
        <v>14</v>
      </c>
      <c r="C48" s="145"/>
      <c r="D48" s="26"/>
      <c r="E48" s="65" t="str">
        <f>IF($C48&lt;&gt;"","ALERT_" &amp; UPPER(Matrix!$D$6) &amp; "_" &amp; $C48,"")</f>
        <v/>
      </c>
      <c r="F48" s="178"/>
      <c r="G48" s="65" t="str">
        <f t="shared" si="1"/>
        <v/>
      </c>
      <c r="O48" s="176">
        <v>14</v>
      </c>
      <c r="P48" s="145"/>
      <c r="Q48" s="145"/>
      <c r="R48" s="178"/>
    </row>
    <row r="49" spans="2:18">
      <c r="B49" s="176">
        <v>15</v>
      </c>
      <c r="C49" s="145"/>
      <c r="D49" s="26"/>
      <c r="E49" s="65" t="str">
        <f>IF($C49&lt;&gt;"","ALERT_" &amp; UPPER(Matrix!$D$6) &amp; "_" &amp; $C49,"")</f>
        <v/>
      </c>
      <c r="F49" s="178"/>
      <c r="G49" s="65" t="str">
        <f t="shared" si="1"/>
        <v/>
      </c>
      <c r="O49" s="176">
        <v>15</v>
      </c>
      <c r="P49" s="145"/>
      <c r="Q49" s="145"/>
      <c r="R49" s="178"/>
    </row>
    <row r="50" spans="2:18">
      <c r="B50" s="176">
        <v>16</v>
      </c>
      <c r="C50" s="145"/>
      <c r="D50" s="26"/>
      <c r="E50" s="65" t="str">
        <f>IF($C50&lt;&gt;"","ALERT_" &amp; UPPER(Matrix!$D$6) &amp; "_" &amp; $C50,"")</f>
        <v/>
      </c>
      <c r="F50" s="178"/>
      <c r="G50" s="65" t="str">
        <f t="shared" si="1"/>
        <v/>
      </c>
      <c r="O50" s="176">
        <v>16</v>
      </c>
      <c r="P50" s="145"/>
      <c r="Q50" s="145"/>
      <c r="R50" s="178"/>
    </row>
    <row r="51" spans="2:18">
      <c r="B51" s="176">
        <v>17</v>
      </c>
      <c r="C51" s="145"/>
      <c r="D51" s="26"/>
      <c r="E51" s="65" t="str">
        <f>IF($C51&lt;&gt;"","ALERT_" &amp; UPPER(Matrix!$D$6) &amp; "_" &amp; $C51,"")</f>
        <v/>
      </c>
      <c r="F51" s="178"/>
      <c r="G51" s="65" t="str">
        <f t="shared" si="1"/>
        <v/>
      </c>
      <c r="O51" s="176">
        <v>17</v>
      </c>
      <c r="P51" s="145"/>
      <c r="Q51" s="145"/>
      <c r="R51" s="178"/>
    </row>
    <row r="52" spans="2:18">
      <c r="B52" s="176">
        <v>18</v>
      </c>
      <c r="C52" s="145"/>
      <c r="D52" s="26"/>
      <c r="E52" s="65" t="str">
        <f>IF($C52&lt;&gt;"","ALERT_" &amp; UPPER(Matrix!$D$6) &amp; "_" &amp; $C52,"")</f>
        <v/>
      </c>
      <c r="F52" s="178"/>
      <c r="G52" s="65" t="str">
        <f t="shared" si="1"/>
        <v/>
      </c>
      <c r="O52" s="176">
        <v>18</v>
      </c>
      <c r="P52" s="145"/>
      <c r="Q52" s="145"/>
      <c r="R52" s="178"/>
    </row>
    <row r="53" spans="2:18">
      <c r="B53" s="176">
        <v>19</v>
      </c>
      <c r="C53" s="145"/>
      <c r="D53" s="26"/>
      <c r="E53" s="65" t="str">
        <f>IF($C53&lt;&gt;"","ALERT_" &amp; UPPER(Matrix!$D$6) &amp; "_" &amp; $C53,"")</f>
        <v/>
      </c>
      <c r="F53" s="178"/>
      <c r="G53" s="65" t="str">
        <f t="shared" si="1"/>
        <v/>
      </c>
      <c r="O53" s="176">
        <v>19</v>
      </c>
      <c r="P53" s="145"/>
      <c r="Q53" s="145"/>
      <c r="R53" s="178"/>
    </row>
    <row r="54" spans="2:18">
      <c r="B54" s="176">
        <v>20</v>
      </c>
      <c r="C54" s="145"/>
      <c r="D54" s="26"/>
      <c r="E54" s="65" t="str">
        <f>IF($C54&lt;&gt;"","ALERT_" &amp; UPPER(Matrix!$D$6) &amp; "_" &amp; $C54,"")</f>
        <v/>
      </c>
      <c r="F54" s="178"/>
      <c r="G54" s="65" t="str">
        <f t="shared" si="1"/>
        <v/>
      </c>
      <c r="O54" s="176">
        <v>20</v>
      </c>
      <c r="P54" s="145"/>
      <c r="Q54" s="145"/>
      <c r="R54" s="178"/>
    </row>
    <row r="55" spans="2:18">
      <c r="B55" s="176">
        <v>21</v>
      </c>
      <c r="C55" s="145"/>
      <c r="D55" s="26"/>
      <c r="E55" s="65" t="str">
        <f>IF($C55&lt;&gt;"","ALERT_" &amp; UPPER(Matrix!$D$6) &amp; "_" &amp; $C55,"")</f>
        <v/>
      </c>
      <c r="F55" s="178"/>
      <c r="G55" s="65" t="str">
        <f t="shared" si="1"/>
        <v/>
      </c>
      <c r="O55" s="176">
        <v>21</v>
      </c>
      <c r="P55" s="145"/>
      <c r="Q55" s="145"/>
      <c r="R55" s="178"/>
    </row>
    <row r="56" spans="2:18">
      <c r="B56" s="176">
        <v>22</v>
      </c>
      <c r="C56" s="145"/>
      <c r="D56" s="26"/>
      <c r="E56" s="65" t="str">
        <f>IF($C56&lt;&gt;"","ALERT_" &amp; UPPER(Matrix!$D$6) &amp; "_" &amp; $C56,"")</f>
        <v/>
      </c>
      <c r="F56" s="178"/>
      <c r="G56" s="65" t="str">
        <f t="shared" si="1"/>
        <v/>
      </c>
      <c r="O56" s="176">
        <v>22</v>
      </c>
      <c r="P56" s="145"/>
      <c r="Q56" s="145"/>
      <c r="R56" s="178"/>
    </row>
    <row r="57" spans="2:18">
      <c r="B57" s="176">
        <v>23</v>
      </c>
      <c r="C57" s="145"/>
      <c r="D57" s="26"/>
      <c r="E57" s="65" t="str">
        <f>IF($C57&lt;&gt;"","ALERT_" &amp; UPPER(Matrix!$D$6) &amp; "_" &amp; $C57,"")</f>
        <v/>
      </c>
      <c r="F57" s="178"/>
      <c r="G57" s="65" t="str">
        <f t="shared" si="1"/>
        <v/>
      </c>
      <c r="O57" s="176">
        <v>23</v>
      </c>
      <c r="P57" s="145"/>
      <c r="Q57" s="145"/>
      <c r="R57" s="178"/>
    </row>
    <row r="58" spans="2:18">
      <c r="B58" s="176">
        <v>24</v>
      </c>
      <c r="C58" s="145"/>
      <c r="D58" s="26"/>
      <c r="E58" s="65" t="str">
        <f>IF($C58&lt;&gt;"","ALERT_" &amp; UPPER(Matrix!$D$6) &amp; "_" &amp; $C58,"")</f>
        <v/>
      </c>
      <c r="F58" s="178"/>
      <c r="G58" s="65" t="str">
        <f t="shared" si="1"/>
        <v/>
      </c>
      <c r="O58" s="176">
        <v>24</v>
      </c>
      <c r="P58" s="145"/>
      <c r="Q58" s="145"/>
      <c r="R58" s="178"/>
    </row>
    <row r="59" spans="2:18" ht="14.25" thickBot="1">
      <c r="B59" s="177">
        <v>25</v>
      </c>
      <c r="C59" s="143"/>
      <c r="D59" s="51"/>
      <c r="E59" s="66" t="str">
        <f>IF($C59&lt;&gt;"","ALERT_" &amp; UPPER(Matrix!$D$6) &amp; "_" &amp; $C59,"")</f>
        <v/>
      </c>
      <c r="F59" s="179"/>
      <c r="G59" s="66" t="str">
        <f t="shared" si="1"/>
        <v/>
      </c>
      <c r="O59" s="177">
        <v>25</v>
      </c>
      <c r="P59" s="143"/>
      <c r="Q59" s="143"/>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101</v>
      </c>
    </row>
    <row r="2" spans="2:21" ht="14.25" thickBot="1">
      <c r="B2" s="97" t="s">
        <v>58</v>
      </c>
      <c r="C2" s="98" t="s">
        <v>119</v>
      </c>
      <c r="D2" s="99" t="s">
        <v>52</v>
      </c>
      <c r="E2" s="100" t="s">
        <v>53</v>
      </c>
      <c r="F2" s="101" t="s">
        <v>23</v>
      </c>
      <c r="G2" s="100" t="s">
        <v>54</v>
      </c>
      <c r="H2" s="101" t="s">
        <v>25</v>
      </c>
      <c r="I2" s="100" t="s">
        <v>55</v>
      </c>
      <c r="J2" s="101" t="s">
        <v>173</v>
      </c>
      <c r="K2" s="100" t="s">
        <v>56</v>
      </c>
      <c r="L2" s="101" t="s">
        <v>26</v>
      </c>
      <c r="M2" s="98" t="s">
        <v>57</v>
      </c>
      <c r="N2" s="101" t="s">
        <v>114</v>
      </c>
      <c r="O2" s="122" t="s">
        <v>80</v>
      </c>
    </row>
    <row r="3" spans="2:21" ht="15" hidden="1" thickTop="1" thickBot="1">
      <c r="B3" s="27"/>
      <c r="C3" s="48" t="s">
        <v>105</v>
      </c>
      <c r="D3" s="113"/>
      <c r="E3" s="13"/>
      <c r="F3" s="15"/>
      <c r="G3" s="13"/>
      <c r="H3" s="15"/>
      <c r="I3" s="13"/>
      <c r="J3" s="15"/>
      <c r="K3" s="13"/>
      <c r="L3" s="15"/>
      <c r="M3" s="49"/>
      <c r="N3" s="109"/>
      <c r="O3" s="123"/>
      <c r="U3" s="93" t="s">
        <v>95</v>
      </c>
    </row>
    <row r="4" spans="2:21" ht="14.25" thickTop="1">
      <c r="B4" s="27" t="s">
        <v>337</v>
      </c>
      <c r="C4" s="48" t="s">
        <v>335</v>
      </c>
      <c r="D4" s="113">
        <v>0</v>
      </c>
      <c r="E4" s="114" t="s">
        <v>124</v>
      </c>
      <c r="F4" s="208" t="s">
        <v>126</v>
      </c>
      <c r="G4" s="114" t="s">
        <v>124</v>
      </c>
      <c r="H4" s="115" t="s">
        <v>126</v>
      </c>
      <c r="I4" s="220" t="s">
        <v>124</v>
      </c>
      <c r="J4" s="210" t="s">
        <v>125</v>
      </c>
      <c r="K4" s="227" t="s">
        <v>124</v>
      </c>
      <c r="L4" s="209" t="s">
        <v>227</v>
      </c>
      <c r="M4" s="49">
        <f ca="1">LEN(N4)</f>
        <v>30</v>
      </c>
      <c r="N4" s="109" t="str">
        <f ca="1">VLOOKUP($B4,Matrix!$H$13:$I$37,2,FALSE)&amp;"_"&amp;C4</f>
        <v>ALERT_REQ_S_PSSDI_RWRN_PKSWREQ</v>
      </c>
      <c r="O4" s="123" t="str">
        <f t="shared" ref="O4:O35" ca="1" si="0">"#define "&amp;N4&amp;REPT(" ",48-M4)&amp;"("&amp;D4&amp;"U)"</f>
        <v>#define ALERT_REQ_S_PSSDI_RWRN_PKSWREQ                  (0U)</v>
      </c>
      <c r="U4" s="93" t="s">
        <v>95</v>
      </c>
    </row>
    <row r="5" spans="2:21">
      <c r="B5" s="108"/>
      <c r="C5" s="26"/>
      <c r="D5" s="116"/>
      <c r="E5" s="27"/>
      <c r="F5" s="208"/>
      <c r="G5" s="27"/>
      <c r="H5" s="117"/>
      <c r="I5" s="108"/>
      <c r="J5" s="189"/>
      <c r="K5" s="108"/>
      <c r="L5" s="209"/>
      <c r="M5" s="44" t="e">
        <f t="shared" ref="M5:M68" ca="1" si="1">LEN(N5)</f>
        <v>#N/A</v>
      </c>
      <c r="N5" s="109" t="e">
        <f ca="1">VLOOKUP($B5,Matrix!$H$13:$I$37,2,FALSE)&amp;"_"&amp;C5</f>
        <v>#N/A</v>
      </c>
      <c r="O5" s="124" t="e">
        <f t="shared" ca="1" si="0"/>
        <v>#N/A</v>
      </c>
      <c r="U5" s="91" t="s">
        <v>96</v>
      </c>
    </row>
    <row r="6" spans="2:21">
      <c r="B6" s="27"/>
      <c r="C6" s="106"/>
      <c r="D6" s="120"/>
      <c r="E6" s="108"/>
      <c r="F6" s="208"/>
      <c r="G6" s="108"/>
      <c r="H6" s="209"/>
      <c r="I6" s="108"/>
      <c r="J6" s="219"/>
      <c r="K6" s="108"/>
      <c r="L6" s="209"/>
      <c r="M6" s="44" t="e">
        <f t="shared" ca="1" si="1"/>
        <v>#N/A</v>
      </c>
      <c r="N6" s="109" t="e">
        <f ca="1">VLOOKUP($B6,Matrix!$H$13:$I$37,2,FALSE)&amp;"_"&amp;C6</f>
        <v>#N/A</v>
      </c>
      <c r="O6" s="124" t="e">
        <f t="shared" ca="1" si="0"/>
        <v>#N/A</v>
      </c>
      <c r="U6" s="33" t="s">
        <v>97</v>
      </c>
    </row>
    <row r="7" spans="2:21">
      <c r="B7" s="108"/>
      <c r="C7" s="107"/>
      <c r="D7" s="121"/>
      <c r="E7" s="108"/>
      <c r="F7" s="208"/>
      <c r="G7" s="108"/>
      <c r="H7" s="209"/>
      <c r="I7" s="108"/>
      <c r="J7" s="219"/>
      <c r="K7" s="108"/>
      <c r="L7" s="209"/>
      <c r="M7" s="44" t="e">
        <f t="shared" ca="1" si="1"/>
        <v>#N/A</v>
      </c>
      <c r="N7" s="109" t="e">
        <f ca="1">VLOOKUP($B7,Matrix!$H$13:$I$37,2,FALSE)&amp;"_"&amp;C7</f>
        <v>#N/A</v>
      </c>
      <c r="O7" s="124" t="e">
        <f t="shared" ca="1" si="0"/>
        <v>#N/A</v>
      </c>
      <c r="U7" s="33" t="s">
        <v>98</v>
      </c>
    </row>
    <row r="8" spans="2:21">
      <c r="B8" s="108"/>
      <c r="C8" s="107"/>
      <c r="D8" s="121"/>
      <c r="E8" s="108"/>
      <c r="F8" s="208"/>
      <c r="G8" s="108"/>
      <c r="H8" s="209"/>
      <c r="I8" s="108"/>
      <c r="J8" s="219"/>
      <c r="K8" s="108"/>
      <c r="L8" s="209"/>
      <c r="M8" s="44" t="e">
        <f t="shared" ca="1" si="1"/>
        <v>#N/A</v>
      </c>
      <c r="N8" s="109" t="e">
        <f ca="1">VLOOKUP($B8,Matrix!$H$13:$I$37,2,FALSE)&amp;"_"&amp;C8</f>
        <v>#N/A</v>
      </c>
      <c r="O8" s="124" t="e">
        <f t="shared" ca="1" si="0"/>
        <v>#N/A</v>
      </c>
      <c r="U8" s="33" t="s">
        <v>99</v>
      </c>
    </row>
    <row r="9" spans="2:21">
      <c r="B9" s="27"/>
      <c r="C9" s="107"/>
      <c r="D9" s="121"/>
      <c r="E9" s="108"/>
      <c r="F9" s="208"/>
      <c r="G9" s="108"/>
      <c r="H9" s="209"/>
      <c r="I9" s="108"/>
      <c r="J9" s="219"/>
      <c r="K9" s="108"/>
      <c r="L9" s="209"/>
      <c r="M9" s="44" t="e">
        <f t="shared" ca="1" si="1"/>
        <v>#N/A</v>
      </c>
      <c r="N9" s="109" t="e">
        <f ca="1">VLOOKUP($B9,Matrix!$H$13:$I$37,2,FALSE)&amp;"_"&amp;C9</f>
        <v>#N/A</v>
      </c>
      <c r="O9" s="124" t="e">
        <f t="shared" ca="1" si="0"/>
        <v>#N/A</v>
      </c>
      <c r="U9" s="33" t="s">
        <v>100</v>
      </c>
    </row>
    <row r="10" spans="2:21">
      <c r="B10" s="27"/>
      <c r="C10" s="107"/>
      <c r="D10" s="121"/>
      <c r="E10" s="108"/>
      <c r="F10" s="208"/>
      <c r="G10" s="108"/>
      <c r="H10" s="209"/>
      <c r="I10" s="108"/>
      <c r="J10" s="219"/>
      <c r="K10" s="108"/>
      <c r="L10" s="209"/>
      <c r="M10" s="44" t="e">
        <f t="shared" ca="1" si="1"/>
        <v>#N/A</v>
      </c>
      <c r="N10" s="109" t="e">
        <f ca="1">VLOOKUP($B10,Matrix!$H$13:$I$37,2,FALSE)&amp;"_"&amp;C10</f>
        <v>#N/A</v>
      </c>
      <c r="O10" s="124" t="e">
        <f t="shared" ca="1" si="0"/>
        <v>#N/A</v>
      </c>
      <c r="U10" s="33"/>
    </row>
    <row r="11" spans="2:21">
      <c r="B11" s="27"/>
      <c r="C11" s="107"/>
      <c r="D11" s="121"/>
      <c r="E11" s="108"/>
      <c r="F11" s="208"/>
      <c r="G11" s="108"/>
      <c r="H11" s="209"/>
      <c r="I11" s="108"/>
      <c r="J11" s="219"/>
      <c r="K11" s="108"/>
      <c r="L11" s="209"/>
      <c r="M11" s="44" t="e">
        <f t="shared" ca="1" si="1"/>
        <v>#N/A</v>
      </c>
      <c r="N11" s="109" t="e">
        <f ca="1">VLOOKUP($B11,Matrix!$H$13:$I$37,2,FALSE)&amp;"_"&amp;C11</f>
        <v>#N/A</v>
      </c>
      <c r="O11" s="124" t="e">
        <f t="shared" ca="1" si="0"/>
        <v>#N/A</v>
      </c>
      <c r="U11" s="33"/>
    </row>
    <row r="12" spans="2:21">
      <c r="B12" s="27"/>
      <c r="C12" s="107"/>
      <c r="D12" s="121"/>
      <c r="E12" s="108"/>
      <c r="F12" s="208"/>
      <c r="G12" s="108"/>
      <c r="H12" s="209"/>
      <c r="I12" s="108"/>
      <c r="J12" s="219"/>
      <c r="K12" s="108"/>
      <c r="L12" s="209"/>
      <c r="M12" s="44" t="e">
        <f t="shared" ca="1" si="1"/>
        <v>#N/A</v>
      </c>
      <c r="N12" s="109" t="e">
        <f ca="1">VLOOKUP($B12,Matrix!$H$13:$I$37,2,FALSE)&amp;"_"&amp;C12</f>
        <v>#N/A</v>
      </c>
      <c r="O12" s="124" t="e">
        <f t="shared" ca="1" si="0"/>
        <v>#N/A</v>
      </c>
      <c r="U12" s="33"/>
    </row>
    <row r="13" spans="2:21" ht="14.25" thickBot="1">
      <c r="B13" s="27"/>
      <c r="C13" s="107"/>
      <c r="D13" s="121"/>
      <c r="E13" s="108"/>
      <c r="F13" s="208"/>
      <c r="G13" s="108"/>
      <c r="H13" s="209"/>
      <c r="I13" s="108"/>
      <c r="J13" s="219"/>
      <c r="K13" s="108"/>
      <c r="L13" s="209"/>
      <c r="M13" s="44" t="e">
        <f t="shared" ca="1" si="1"/>
        <v>#N/A</v>
      </c>
      <c r="N13" s="109" t="e">
        <f ca="1">VLOOKUP($B13,Matrix!$H$13:$I$37,2,FALSE)&amp;"_"&amp;C13</f>
        <v>#N/A</v>
      </c>
      <c r="O13" s="124" t="e">
        <f t="shared" ca="1" si="0"/>
        <v>#N/A</v>
      </c>
      <c r="U13" s="92"/>
    </row>
    <row r="14" spans="2:21">
      <c r="B14" s="27"/>
      <c r="C14" s="107"/>
      <c r="D14" s="121"/>
      <c r="E14" s="108"/>
      <c r="F14" s="208"/>
      <c r="G14" s="108"/>
      <c r="H14" s="209"/>
      <c r="I14" s="108"/>
      <c r="J14" s="219"/>
      <c r="K14" s="108"/>
      <c r="L14" s="209"/>
      <c r="M14" s="44" t="e">
        <f t="shared" ca="1" si="1"/>
        <v>#N/A</v>
      </c>
      <c r="N14" s="109" t="e">
        <f ca="1">VLOOKUP($B14,Matrix!$H$13:$I$37,2,FALSE)&amp;"_"&amp;C14</f>
        <v>#N/A</v>
      </c>
      <c r="O14" s="124" t="e">
        <f t="shared" ca="1" si="0"/>
        <v>#N/A</v>
      </c>
    </row>
    <row r="15" spans="2:21">
      <c r="B15" s="27"/>
      <c r="C15" s="26"/>
      <c r="D15" s="116"/>
      <c r="E15" s="108"/>
      <c r="F15" s="208"/>
      <c r="G15" s="108"/>
      <c r="H15" s="209"/>
      <c r="I15" s="108"/>
      <c r="J15" s="189"/>
      <c r="K15" s="108"/>
      <c r="L15" s="209"/>
      <c r="M15" s="44" t="e">
        <f t="shared" ca="1" si="1"/>
        <v>#N/A</v>
      </c>
      <c r="N15" s="109" t="e">
        <f ca="1">VLOOKUP($B15,Matrix!$H$13:$I$37,2,FALSE)&amp;"_"&amp;C15</f>
        <v>#N/A</v>
      </c>
      <c r="O15" s="124" t="e">
        <f t="shared" ca="1" si="0"/>
        <v>#N/A</v>
      </c>
    </row>
    <row r="16" spans="2:21">
      <c r="B16" s="108"/>
      <c r="C16" s="26"/>
      <c r="D16" s="116"/>
      <c r="E16" s="108"/>
      <c r="F16" s="208"/>
      <c r="G16" s="108"/>
      <c r="H16" s="209"/>
      <c r="I16" s="108"/>
      <c r="J16" s="189"/>
      <c r="K16" s="108"/>
      <c r="L16" s="209"/>
      <c r="M16" s="44" t="e">
        <f t="shared" ca="1" si="1"/>
        <v>#N/A</v>
      </c>
      <c r="N16" s="109" t="e">
        <f ca="1">VLOOKUP($B16,Matrix!$H$13:$I$37,2,FALSE)&amp;"_"&amp;C16</f>
        <v>#N/A</v>
      </c>
      <c r="O16" s="124" t="e">
        <f t="shared" ca="1" si="0"/>
        <v>#N/A</v>
      </c>
    </row>
    <row r="17" spans="2:15">
      <c r="B17" s="108"/>
      <c r="C17" s="26"/>
      <c r="D17" s="116"/>
      <c r="E17" s="108"/>
      <c r="F17" s="208"/>
      <c r="G17" s="108"/>
      <c r="H17" s="209"/>
      <c r="I17" s="108"/>
      <c r="J17" s="189"/>
      <c r="K17" s="108"/>
      <c r="L17" s="209"/>
      <c r="M17" s="44" t="e">
        <f t="shared" ca="1" si="1"/>
        <v>#N/A</v>
      </c>
      <c r="N17" s="109" t="e">
        <f ca="1">VLOOKUP($B17,Matrix!$H$13:$I$37,2,FALSE)&amp;"_"&amp;C17</f>
        <v>#N/A</v>
      </c>
      <c r="O17" s="124" t="e">
        <f t="shared" ca="1" si="0"/>
        <v>#N/A</v>
      </c>
    </row>
    <row r="18" spans="2:15">
      <c r="B18" s="27"/>
      <c r="C18" s="26"/>
      <c r="D18" s="116"/>
      <c r="E18" s="108"/>
      <c r="F18" s="208"/>
      <c r="G18" s="108"/>
      <c r="H18" s="209"/>
      <c r="I18" s="108"/>
      <c r="J18" s="219"/>
      <c r="K18" s="108"/>
      <c r="L18" s="209"/>
      <c r="M18" s="44" t="e">
        <f t="shared" ca="1" si="1"/>
        <v>#N/A</v>
      </c>
      <c r="N18" s="109" t="e">
        <f ca="1">VLOOKUP($B18,Matrix!$H$13:$I$37,2,FALSE)&amp;"_"&amp;C18</f>
        <v>#N/A</v>
      </c>
      <c r="O18" s="124" t="e">
        <f t="shared" ca="1" si="0"/>
        <v>#N/A</v>
      </c>
    </row>
    <row r="19" spans="2:15">
      <c r="B19" s="108"/>
      <c r="C19" s="26"/>
      <c r="D19" s="116"/>
      <c r="E19" s="108"/>
      <c r="F19" s="208"/>
      <c r="G19" s="108"/>
      <c r="H19" s="209"/>
      <c r="I19" s="108"/>
      <c r="J19" s="219"/>
      <c r="K19" s="108"/>
      <c r="L19" s="209"/>
      <c r="M19" s="44" t="e">
        <f t="shared" ca="1" si="1"/>
        <v>#N/A</v>
      </c>
      <c r="N19" s="109" t="e">
        <f ca="1">VLOOKUP($B19,Matrix!$H$13:$I$37,2,FALSE)&amp;"_"&amp;C19</f>
        <v>#N/A</v>
      </c>
      <c r="O19" s="124" t="e">
        <f t="shared" ca="1" si="0"/>
        <v>#N/A</v>
      </c>
    </row>
    <row r="20" spans="2:15">
      <c r="B20" s="108"/>
      <c r="C20" s="26"/>
      <c r="D20" s="116"/>
      <c r="E20" s="108"/>
      <c r="F20" s="208"/>
      <c r="G20" s="108"/>
      <c r="H20" s="209"/>
      <c r="I20" s="108"/>
      <c r="J20" s="219"/>
      <c r="K20" s="108"/>
      <c r="L20" s="209"/>
      <c r="M20" s="44" t="e">
        <f t="shared" ca="1" si="1"/>
        <v>#N/A</v>
      </c>
      <c r="N20" s="109" t="e">
        <f ca="1">VLOOKUP($B20,Matrix!$H$13:$I$37,2,FALSE)&amp;"_"&amp;C20</f>
        <v>#N/A</v>
      </c>
      <c r="O20" s="124" t="e">
        <f t="shared" ca="1" si="0"/>
        <v>#N/A</v>
      </c>
    </row>
    <row r="21" spans="2:15">
      <c r="B21" s="27"/>
      <c r="C21" s="26"/>
      <c r="D21" s="116"/>
      <c r="E21" s="108"/>
      <c r="F21" s="208"/>
      <c r="G21" s="108"/>
      <c r="H21" s="209"/>
      <c r="I21" s="108"/>
      <c r="J21" s="219"/>
      <c r="K21" s="108"/>
      <c r="L21" s="209"/>
      <c r="M21" s="44" t="e">
        <f t="shared" ca="1" si="1"/>
        <v>#N/A</v>
      </c>
      <c r="N21" s="109" t="e">
        <f ca="1">VLOOKUP($B21,Matrix!$H$13:$I$37,2,FALSE)&amp;"_"&amp;C21</f>
        <v>#N/A</v>
      </c>
      <c r="O21" s="124" t="e">
        <f t="shared" ca="1" si="0"/>
        <v>#N/A</v>
      </c>
    </row>
    <row r="22" spans="2:15">
      <c r="B22" s="108"/>
      <c r="C22" s="26"/>
      <c r="D22" s="116"/>
      <c r="E22" s="108"/>
      <c r="F22" s="208"/>
      <c r="G22" s="108"/>
      <c r="H22" s="209"/>
      <c r="I22" s="108"/>
      <c r="J22" s="219"/>
      <c r="K22" s="108"/>
      <c r="L22" s="209"/>
      <c r="M22" s="44" t="e">
        <f t="shared" ca="1" si="1"/>
        <v>#N/A</v>
      </c>
      <c r="N22" s="109" t="e">
        <f ca="1">VLOOKUP($B22,Matrix!$H$13:$I$37,2,FALSE)&amp;"_"&amp;C22</f>
        <v>#N/A</v>
      </c>
      <c r="O22" s="124" t="e">
        <f t="shared" ca="1" si="0"/>
        <v>#N/A</v>
      </c>
    </row>
    <row r="23" spans="2:15">
      <c r="B23" s="108"/>
      <c r="C23" s="26"/>
      <c r="D23" s="116"/>
      <c r="E23" s="108"/>
      <c r="F23" s="208"/>
      <c r="G23" s="108"/>
      <c r="H23" s="209"/>
      <c r="I23" s="108"/>
      <c r="J23" s="219"/>
      <c r="K23" s="108"/>
      <c r="L23" s="209"/>
      <c r="M23" s="44" t="e">
        <f t="shared" ca="1" si="1"/>
        <v>#N/A</v>
      </c>
      <c r="N23" s="109" t="e">
        <f ca="1">VLOOKUP($B23,Matrix!$H$13:$I$37,2,FALSE)&amp;"_"&amp;C23</f>
        <v>#N/A</v>
      </c>
      <c r="O23" s="124" t="e">
        <f t="shared" ca="1" si="0"/>
        <v>#N/A</v>
      </c>
    </row>
    <row r="24" spans="2:15">
      <c r="B24" s="108"/>
      <c r="C24" s="26"/>
      <c r="D24" s="116"/>
      <c r="E24" s="108"/>
      <c r="F24" s="208"/>
      <c r="G24" s="108"/>
      <c r="H24" s="209"/>
      <c r="I24" s="108"/>
      <c r="J24" s="219"/>
      <c r="K24" s="108"/>
      <c r="L24" s="209"/>
      <c r="M24" s="44" t="e">
        <f t="shared" ca="1" si="1"/>
        <v>#N/A</v>
      </c>
      <c r="N24" s="109" t="e">
        <f ca="1">VLOOKUP($B24,Matrix!$H$13:$I$37,2,FALSE)&amp;"_"&amp;C24</f>
        <v>#N/A</v>
      </c>
      <c r="O24" s="124" t="e">
        <f t="shared" ca="1" si="0"/>
        <v>#N/A</v>
      </c>
    </row>
    <row r="25" spans="2:15">
      <c r="B25" s="108"/>
      <c r="C25" s="26"/>
      <c r="D25" s="116"/>
      <c r="E25" s="108"/>
      <c r="F25" s="208"/>
      <c r="G25" s="108"/>
      <c r="H25" s="209"/>
      <c r="I25" s="108"/>
      <c r="J25" s="219"/>
      <c r="K25" s="108"/>
      <c r="L25" s="209"/>
      <c r="M25" s="44" t="e">
        <f t="shared" ca="1" si="1"/>
        <v>#N/A</v>
      </c>
      <c r="N25" s="109" t="e">
        <f ca="1">VLOOKUP($B25,Matrix!$H$13:$I$37,2,FALSE)&amp;"_"&amp;C25</f>
        <v>#N/A</v>
      </c>
      <c r="O25" s="124" t="e">
        <f t="shared" ca="1" si="0"/>
        <v>#N/A</v>
      </c>
    </row>
    <row r="26" spans="2:15">
      <c r="B26" s="108"/>
      <c r="C26" s="26"/>
      <c r="D26" s="116"/>
      <c r="E26" s="108"/>
      <c r="F26" s="208"/>
      <c r="G26" s="108"/>
      <c r="H26" s="209"/>
      <c r="I26" s="108"/>
      <c r="J26" s="219"/>
      <c r="K26" s="108"/>
      <c r="L26" s="209"/>
      <c r="M26" s="44" t="e">
        <f t="shared" ca="1" si="1"/>
        <v>#N/A</v>
      </c>
      <c r="N26" s="109" t="e">
        <f ca="1">VLOOKUP($B26,Matrix!$H$13:$I$37,2,FALSE)&amp;"_"&amp;C26</f>
        <v>#N/A</v>
      </c>
      <c r="O26" s="124" t="e">
        <f t="shared" ca="1" si="0"/>
        <v>#N/A</v>
      </c>
    </row>
    <row r="27" spans="2:15">
      <c r="B27" s="108"/>
      <c r="C27" s="26"/>
      <c r="D27" s="116"/>
      <c r="E27" s="108"/>
      <c r="F27" s="208"/>
      <c r="G27" s="108"/>
      <c r="H27" s="209"/>
      <c r="I27" s="108"/>
      <c r="J27" s="219"/>
      <c r="K27" s="108"/>
      <c r="L27" s="209"/>
      <c r="M27" s="44" t="e">
        <f t="shared" ca="1" si="1"/>
        <v>#N/A</v>
      </c>
      <c r="N27" s="109" t="e">
        <f ca="1">VLOOKUP($B27,Matrix!$H$13:$I$37,2,FALSE)&amp;"_"&amp;C27</f>
        <v>#N/A</v>
      </c>
      <c r="O27" s="124" t="e">
        <f t="shared" ca="1" si="0"/>
        <v>#N/A</v>
      </c>
    </row>
    <row r="28" spans="2:15">
      <c r="B28" s="27"/>
      <c r="C28" s="26"/>
      <c r="D28" s="116"/>
      <c r="E28" s="27"/>
      <c r="F28" s="117"/>
      <c r="G28" s="27"/>
      <c r="H28" s="117"/>
      <c r="I28" s="27"/>
      <c r="J28" s="117"/>
      <c r="K28" s="27"/>
      <c r="L28" s="117"/>
      <c r="M28" s="44" t="e">
        <f t="shared" ca="1" si="1"/>
        <v>#N/A</v>
      </c>
      <c r="N28" s="109" t="e">
        <f ca="1">VLOOKUP($B28,Matrix!$H$13:$I$37,2,FALSE)&amp;"_"&amp;C28</f>
        <v>#N/A</v>
      </c>
      <c r="O28" s="124" t="e">
        <f t="shared" ca="1" si="0"/>
        <v>#N/A</v>
      </c>
    </row>
    <row r="29" spans="2:15">
      <c r="B29" s="27"/>
      <c r="C29" s="26"/>
      <c r="D29" s="116"/>
      <c r="E29" s="27"/>
      <c r="F29" s="117"/>
      <c r="G29" s="27"/>
      <c r="H29" s="117"/>
      <c r="I29" s="27"/>
      <c r="J29" s="117"/>
      <c r="K29" s="27"/>
      <c r="L29" s="117"/>
      <c r="M29" s="44" t="e">
        <f t="shared" ca="1" si="1"/>
        <v>#N/A</v>
      </c>
      <c r="N29" s="109" t="e">
        <f ca="1">VLOOKUP($B29,Matrix!$H$13:$I$37,2,FALSE)&amp;"_"&amp;C29</f>
        <v>#N/A</v>
      </c>
      <c r="O29" s="124" t="e">
        <f t="shared" ca="1" si="0"/>
        <v>#N/A</v>
      </c>
    </row>
    <row r="30" spans="2:15">
      <c r="B30" s="27"/>
      <c r="C30" s="26"/>
      <c r="D30" s="116"/>
      <c r="E30" s="27"/>
      <c r="F30" s="117"/>
      <c r="G30" s="27"/>
      <c r="H30" s="117"/>
      <c r="I30" s="27"/>
      <c r="J30" s="117"/>
      <c r="K30" s="27"/>
      <c r="L30" s="117"/>
      <c r="M30" s="44" t="e">
        <f t="shared" ca="1" si="1"/>
        <v>#N/A</v>
      </c>
      <c r="N30" s="109" t="e">
        <f ca="1">VLOOKUP($B30,Matrix!$H$13:$I$37,2,FALSE)&amp;"_"&amp;C30</f>
        <v>#N/A</v>
      </c>
      <c r="O30" s="124" t="e">
        <f t="shared" ca="1" si="0"/>
        <v>#N/A</v>
      </c>
    </row>
    <row r="31" spans="2:15">
      <c r="B31" s="27"/>
      <c r="C31" s="26"/>
      <c r="D31" s="116"/>
      <c r="E31" s="27"/>
      <c r="F31" s="117"/>
      <c r="G31" s="27"/>
      <c r="H31" s="117"/>
      <c r="I31" s="27"/>
      <c r="J31" s="117"/>
      <c r="K31" s="27"/>
      <c r="L31" s="117"/>
      <c r="M31" s="44" t="e">
        <f t="shared" ca="1" si="1"/>
        <v>#N/A</v>
      </c>
      <c r="N31" s="109" t="e">
        <f ca="1">VLOOKUP($B31,Matrix!$H$13:$I$37,2,FALSE)&amp;"_"&amp;C31</f>
        <v>#N/A</v>
      </c>
      <c r="O31" s="124" t="e">
        <f t="shared" ca="1" si="0"/>
        <v>#N/A</v>
      </c>
    </row>
    <row r="32" spans="2:15">
      <c r="B32" s="27"/>
      <c r="C32" s="26"/>
      <c r="D32" s="116"/>
      <c r="E32" s="27"/>
      <c r="F32" s="117"/>
      <c r="G32" s="27"/>
      <c r="H32" s="117"/>
      <c r="I32" s="27"/>
      <c r="J32" s="117"/>
      <c r="K32" s="27"/>
      <c r="L32" s="117"/>
      <c r="M32" s="44" t="e">
        <f t="shared" ca="1" si="1"/>
        <v>#N/A</v>
      </c>
      <c r="N32" s="109" t="e">
        <f ca="1">VLOOKUP($B32,Matrix!$H$13:$I$37,2,FALSE)&amp;"_"&amp;C32</f>
        <v>#N/A</v>
      </c>
      <c r="O32" s="124" t="e">
        <f t="shared" ca="1" si="0"/>
        <v>#N/A</v>
      </c>
    </row>
    <row r="33" spans="2:15">
      <c r="B33" s="27"/>
      <c r="C33" s="26"/>
      <c r="D33" s="116"/>
      <c r="E33" s="27"/>
      <c r="F33" s="117"/>
      <c r="G33" s="27"/>
      <c r="H33" s="117"/>
      <c r="I33" s="27"/>
      <c r="J33" s="117"/>
      <c r="K33" s="27"/>
      <c r="L33" s="117"/>
      <c r="M33" s="44" t="e">
        <f t="shared" ca="1" si="1"/>
        <v>#N/A</v>
      </c>
      <c r="N33" s="109" t="e">
        <f ca="1">VLOOKUP($B33,Matrix!$H$13:$I$37,2,FALSE)&amp;"_"&amp;C33</f>
        <v>#N/A</v>
      </c>
      <c r="O33" s="124" t="e">
        <f t="shared" ca="1" si="0"/>
        <v>#N/A</v>
      </c>
    </row>
    <row r="34" spans="2:15">
      <c r="B34" s="27"/>
      <c r="C34" s="26"/>
      <c r="D34" s="116"/>
      <c r="E34" s="27"/>
      <c r="F34" s="117"/>
      <c r="G34" s="27"/>
      <c r="H34" s="117"/>
      <c r="I34" s="27"/>
      <c r="J34" s="117"/>
      <c r="K34" s="27"/>
      <c r="L34" s="117"/>
      <c r="M34" s="44" t="e">
        <f t="shared" ca="1" si="1"/>
        <v>#N/A</v>
      </c>
      <c r="N34" s="109" t="e">
        <f ca="1">VLOOKUP($B34,Matrix!$H$13:$I$37,2,FALSE)&amp;"_"&amp;C34</f>
        <v>#N/A</v>
      </c>
      <c r="O34" s="124" t="e">
        <f t="shared" ca="1" si="0"/>
        <v>#N/A</v>
      </c>
    </row>
    <row r="35" spans="2:15">
      <c r="B35" s="27"/>
      <c r="C35" s="26"/>
      <c r="D35" s="116"/>
      <c r="E35" s="27"/>
      <c r="F35" s="117"/>
      <c r="G35" s="27"/>
      <c r="H35" s="117"/>
      <c r="I35" s="27"/>
      <c r="J35" s="117"/>
      <c r="K35" s="27"/>
      <c r="L35" s="117"/>
      <c r="M35" s="44" t="e">
        <f t="shared" ca="1" si="1"/>
        <v>#N/A</v>
      </c>
      <c r="N35" s="109" t="e">
        <f ca="1">VLOOKUP($B35,Matrix!$H$13:$I$37,2,FALSE)&amp;"_"&amp;C35</f>
        <v>#N/A</v>
      </c>
      <c r="O35" s="124" t="e">
        <f t="shared" ca="1" si="0"/>
        <v>#N/A</v>
      </c>
    </row>
    <row r="36" spans="2:15">
      <c r="B36" s="27"/>
      <c r="C36" s="26"/>
      <c r="D36" s="116"/>
      <c r="E36" s="27"/>
      <c r="F36" s="117"/>
      <c r="G36" s="27"/>
      <c r="H36" s="117"/>
      <c r="I36" s="27"/>
      <c r="J36" s="117"/>
      <c r="K36" s="27"/>
      <c r="L36" s="117"/>
      <c r="M36" s="44" t="e">
        <f t="shared" ca="1" si="1"/>
        <v>#N/A</v>
      </c>
      <c r="N36" s="109" t="e">
        <f ca="1">VLOOKUP($B36,Matrix!$H$13:$I$37,2,FALSE)&amp;"_"&amp;C36</f>
        <v>#N/A</v>
      </c>
      <c r="O36" s="124" t="e">
        <f t="shared" ref="O36:O67" ca="1" si="2">"#define "&amp;N36&amp;REPT(" ",48-M36)&amp;"("&amp;D36&amp;"U)"</f>
        <v>#N/A</v>
      </c>
    </row>
    <row r="37" spans="2:15">
      <c r="B37" s="27"/>
      <c r="C37" s="26"/>
      <c r="D37" s="116"/>
      <c r="E37" s="27"/>
      <c r="F37" s="117"/>
      <c r="G37" s="27"/>
      <c r="H37" s="117"/>
      <c r="I37" s="27"/>
      <c r="J37" s="117"/>
      <c r="K37" s="27"/>
      <c r="L37" s="117"/>
      <c r="M37" s="44" t="e">
        <f t="shared" ca="1" si="1"/>
        <v>#N/A</v>
      </c>
      <c r="N37" s="109" t="e">
        <f ca="1">VLOOKUP($B37,Matrix!$H$13:$I$37,2,FALSE)&amp;"_"&amp;C37</f>
        <v>#N/A</v>
      </c>
      <c r="O37" s="124" t="e">
        <f t="shared" ca="1" si="2"/>
        <v>#N/A</v>
      </c>
    </row>
    <row r="38" spans="2:15">
      <c r="B38" s="27"/>
      <c r="C38" s="26"/>
      <c r="D38" s="116"/>
      <c r="E38" s="27"/>
      <c r="F38" s="117"/>
      <c r="G38" s="27"/>
      <c r="H38" s="117"/>
      <c r="I38" s="27"/>
      <c r="J38" s="117"/>
      <c r="K38" s="27"/>
      <c r="L38" s="117"/>
      <c r="M38" s="44" t="e">
        <f t="shared" ca="1" si="1"/>
        <v>#N/A</v>
      </c>
      <c r="N38" s="109" t="e">
        <f ca="1">VLOOKUP($B38,Matrix!$H$13:$I$37,2,FALSE)&amp;"_"&amp;C38</f>
        <v>#N/A</v>
      </c>
      <c r="O38" s="124" t="e">
        <f t="shared" ca="1" si="2"/>
        <v>#N/A</v>
      </c>
    </row>
    <row r="39" spans="2:15">
      <c r="B39" s="27"/>
      <c r="C39" s="26"/>
      <c r="D39" s="116"/>
      <c r="E39" s="27"/>
      <c r="F39" s="117"/>
      <c r="G39" s="27"/>
      <c r="H39" s="117"/>
      <c r="I39" s="27"/>
      <c r="J39" s="117"/>
      <c r="K39" s="27"/>
      <c r="L39" s="117"/>
      <c r="M39" s="44" t="e">
        <f t="shared" ca="1" si="1"/>
        <v>#N/A</v>
      </c>
      <c r="N39" s="109" t="e">
        <f ca="1">VLOOKUP($B39,Matrix!$H$13:$I$37,2,FALSE)&amp;"_"&amp;C39</f>
        <v>#N/A</v>
      </c>
      <c r="O39" s="124" t="e">
        <f t="shared" ca="1" si="2"/>
        <v>#N/A</v>
      </c>
    </row>
    <row r="40" spans="2:15">
      <c r="B40" s="27"/>
      <c r="C40" s="26"/>
      <c r="D40" s="116"/>
      <c r="E40" s="27"/>
      <c r="F40" s="117"/>
      <c r="G40" s="27"/>
      <c r="H40" s="117"/>
      <c r="I40" s="27"/>
      <c r="J40" s="117"/>
      <c r="K40" s="27"/>
      <c r="L40" s="117"/>
      <c r="M40" s="44" t="e">
        <f t="shared" ca="1" si="1"/>
        <v>#N/A</v>
      </c>
      <c r="N40" s="109" t="e">
        <f ca="1">VLOOKUP($B40,Matrix!$H$13:$I$37,2,FALSE)&amp;"_"&amp;C40</f>
        <v>#N/A</v>
      </c>
      <c r="O40" s="124" t="e">
        <f t="shared" ca="1" si="2"/>
        <v>#N/A</v>
      </c>
    </row>
    <row r="41" spans="2:15">
      <c r="B41" s="27"/>
      <c r="C41" s="26"/>
      <c r="D41" s="116"/>
      <c r="E41" s="27"/>
      <c r="F41" s="117"/>
      <c r="G41" s="27"/>
      <c r="H41" s="117"/>
      <c r="I41" s="27"/>
      <c r="J41" s="117"/>
      <c r="K41" s="27"/>
      <c r="L41" s="117"/>
      <c r="M41" s="44" t="e">
        <f t="shared" ca="1" si="1"/>
        <v>#N/A</v>
      </c>
      <c r="N41" s="109" t="e">
        <f ca="1">VLOOKUP($B41,Matrix!$H$13:$I$37,2,FALSE)&amp;"_"&amp;C41</f>
        <v>#N/A</v>
      </c>
      <c r="O41" s="124" t="e">
        <f t="shared" ca="1" si="2"/>
        <v>#N/A</v>
      </c>
    </row>
    <row r="42" spans="2:15">
      <c r="B42" s="27"/>
      <c r="C42" s="26"/>
      <c r="D42" s="116"/>
      <c r="E42" s="27"/>
      <c r="F42" s="117"/>
      <c r="G42" s="27"/>
      <c r="H42" s="117"/>
      <c r="I42" s="27"/>
      <c r="J42" s="117"/>
      <c r="K42" s="27"/>
      <c r="L42" s="117"/>
      <c r="M42" s="44" t="e">
        <f t="shared" ca="1" si="1"/>
        <v>#N/A</v>
      </c>
      <c r="N42" s="109" t="e">
        <f ca="1">VLOOKUP($B42,Matrix!$H$13:$I$37,2,FALSE)&amp;"_"&amp;C42</f>
        <v>#N/A</v>
      </c>
      <c r="O42" s="124" t="e">
        <f t="shared" ca="1" si="2"/>
        <v>#N/A</v>
      </c>
    </row>
    <row r="43" spans="2:15">
      <c r="B43" s="27"/>
      <c r="C43" s="26"/>
      <c r="D43" s="116"/>
      <c r="E43" s="27"/>
      <c r="F43" s="117"/>
      <c r="G43" s="27"/>
      <c r="H43" s="117"/>
      <c r="I43" s="27"/>
      <c r="J43" s="117"/>
      <c r="K43" s="27"/>
      <c r="L43" s="117"/>
      <c r="M43" s="44" t="e">
        <f t="shared" ca="1" si="1"/>
        <v>#N/A</v>
      </c>
      <c r="N43" s="109" t="e">
        <f ca="1">VLOOKUP($B43,Matrix!$H$13:$I$37,2,FALSE)&amp;"_"&amp;C43</f>
        <v>#N/A</v>
      </c>
      <c r="O43" s="124" t="e">
        <f t="shared" ca="1" si="2"/>
        <v>#N/A</v>
      </c>
    </row>
    <row r="44" spans="2:15">
      <c r="B44" s="27"/>
      <c r="C44" s="26"/>
      <c r="D44" s="116"/>
      <c r="E44" s="27"/>
      <c r="F44" s="117"/>
      <c r="G44" s="27"/>
      <c r="H44" s="117"/>
      <c r="I44" s="27"/>
      <c r="J44" s="117"/>
      <c r="K44" s="27"/>
      <c r="L44" s="117"/>
      <c r="M44" s="44" t="e">
        <f t="shared" ca="1" si="1"/>
        <v>#N/A</v>
      </c>
      <c r="N44" s="109" t="e">
        <f ca="1">VLOOKUP($B44,Matrix!$H$13:$I$37,2,FALSE)&amp;"_"&amp;C44</f>
        <v>#N/A</v>
      </c>
      <c r="O44" s="124" t="e">
        <f t="shared" ca="1" si="2"/>
        <v>#N/A</v>
      </c>
    </row>
    <row r="45" spans="2:15">
      <c r="B45" s="27"/>
      <c r="C45" s="26"/>
      <c r="D45" s="116"/>
      <c r="E45" s="27"/>
      <c r="F45" s="117"/>
      <c r="G45" s="27"/>
      <c r="H45" s="117"/>
      <c r="I45" s="27"/>
      <c r="J45" s="117"/>
      <c r="K45" s="27"/>
      <c r="L45" s="117"/>
      <c r="M45" s="44" t="e">
        <f t="shared" ca="1" si="1"/>
        <v>#N/A</v>
      </c>
      <c r="N45" s="109" t="e">
        <f ca="1">VLOOKUP($B45,Matrix!$H$13:$I$37,2,FALSE)&amp;"_"&amp;C45</f>
        <v>#N/A</v>
      </c>
      <c r="O45" s="124" t="e">
        <f t="shared" ca="1" si="2"/>
        <v>#N/A</v>
      </c>
    </row>
    <row r="46" spans="2:15">
      <c r="B46" s="27"/>
      <c r="C46" s="26"/>
      <c r="D46" s="116"/>
      <c r="E46" s="27"/>
      <c r="F46" s="117"/>
      <c r="G46" s="27"/>
      <c r="H46" s="117"/>
      <c r="I46" s="27"/>
      <c r="J46" s="117"/>
      <c r="K46" s="27"/>
      <c r="L46" s="117"/>
      <c r="M46" s="44" t="e">
        <f t="shared" ca="1" si="1"/>
        <v>#N/A</v>
      </c>
      <c r="N46" s="109" t="e">
        <f ca="1">VLOOKUP($B46,Matrix!$H$13:$I$37,2,FALSE)&amp;"_"&amp;C46</f>
        <v>#N/A</v>
      </c>
      <c r="O46" s="124" t="e">
        <f t="shared" ca="1" si="2"/>
        <v>#N/A</v>
      </c>
    </row>
    <row r="47" spans="2:15">
      <c r="B47" s="27"/>
      <c r="C47" s="26"/>
      <c r="D47" s="116"/>
      <c r="E47" s="27"/>
      <c r="F47" s="117"/>
      <c r="G47" s="27"/>
      <c r="H47" s="117"/>
      <c r="I47" s="27"/>
      <c r="J47" s="117"/>
      <c r="K47" s="27"/>
      <c r="L47" s="117"/>
      <c r="M47" s="44" t="e">
        <f t="shared" ca="1" si="1"/>
        <v>#N/A</v>
      </c>
      <c r="N47" s="109" t="e">
        <f ca="1">VLOOKUP($B47,Matrix!$H$13:$I$37,2,FALSE)&amp;"_"&amp;C47</f>
        <v>#N/A</v>
      </c>
      <c r="O47" s="124" t="e">
        <f t="shared" ca="1" si="2"/>
        <v>#N/A</v>
      </c>
    </row>
    <row r="48" spans="2:15">
      <c r="B48" s="27"/>
      <c r="C48" s="26"/>
      <c r="D48" s="116"/>
      <c r="E48" s="27"/>
      <c r="F48" s="117"/>
      <c r="G48" s="27"/>
      <c r="H48" s="117"/>
      <c r="I48" s="27"/>
      <c r="J48" s="117"/>
      <c r="K48" s="27"/>
      <c r="L48" s="117"/>
      <c r="M48" s="44" t="e">
        <f t="shared" ca="1" si="1"/>
        <v>#N/A</v>
      </c>
      <c r="N48" s="109" t="e">
        <f ca="1">VLOOKUP($B48,Matrix!$H$13:$I$37,2,FALSE)&amp;"_"&amp;C48</f>
        <v>#N/A</v>
      </c>
      <c r="O48" s="124" t="e">
        <f t="shared" ca="1" si="2"/>
        <v>#N/A</v>
      </c>
    </row>
    <row r="49" spans="2:15">
      <c r="B49" s="27"/>
      <c r="C49" s="26"/>
      <c r="D49" s="116"/>
      <c r="E49" s="27"/>
      <c r="F49" s="117"/>
      <c r="G49" s="27"/>
      <c r="H49" s="117"/>
      <c r="I49" s="27"/>
      <c r="J49" s="117"/>
      <c r="K49" s="27"/>
      <c r="L49" s="117"/>
      <c r="M49" s="44" t="e">
        <f t="shared" ca="1" si="1"/>
        <v>#N/A</v>
      </c>
      <c r="N49" s="109" t="e">
        <f ca="1">VLOOKUP($B49,Matrix!$H$13:$I$37,2,FALSE)&amp;"_"&amp;C49</f>
        <v>#N/A</v>
      </c>
      <c r="O49" s="124" t="e">
        <f t="shared" ca="1" si="2"/>
        <v>#N/A</v>
      </c>
    </row>
    <row r="50" spans="2:15">
      <c r="B50" s="27"/>
      <c r="C50" s="26"/>
      <c r="D50" s="116"/>
      <c r="E50" s="27"/>
      <c r="F50" s="117"/>
      <c r="G50" s="27"/>
      <c r="H50" s="117"/>
      <c r="I50" s="27"/>
      <c r="J50" s="117"/>
      <c r="K50" s="27"/>
      <c r="L50" s="117"/>
      <c r="M50" s="44" t="e">
        <f t="shared" ca="1" si="1"/>
        <v>#N/A</v>
      </c>
      <c r="N50" s="109" t="e">
        <f ca="1">VLOOKUP($B50,Matrix!$H$13:$I$37,2,FALSE)&amp;"_"&amp;C50</f>
        <v>#N/A</v>
      </c>
      <c r="O50" s="124" t="e">
        <f t="shared" ca="1" si="2"/>
        <v>#N/A</v>
      </c>
    </row>
    <row r="51" spans="2:15">
      <c r="B51" s="27"/>
      <c r="C51" s="26"/>
      <c r="D51" s="116"/>
      <c r="E51" s="27"/>
      <c r="F51" s="117"/>
      <c r="G51" s="27"/>
      <c r="H51" s="117"/>
      <c r="I51" s="27"/>
      <c r="J51" s="117"/>
      <c r="K51" s="27"/>
      <c r="L51" s="117"/>
      <c r="M51" s="44" t="e">
        <f t="shared" ca="1" si="1"/>
        <v>#N/A</v>
      </c>
      <c r="N51" s="109" t="e">
        <f ca="1">VLOOKUP($B51,Matrix!$H$13:$I$37,2,FALSE)&amp;"_"&amp;C51</f>
        <v>#N/A</v>
      </c>
      <c r="O51" s="124" t="e">
        <f t="shared" ca="1" si="2"/>
        <v>#N/A</v>
      </c>
    </row>
    <row r="52" spans="2:15">
      <c r="B52" s="27"/>
      <c r="C52" s="26"/>
      <c r="D52" s="116"/>
      <c r="E52" s="27"/>
      <c r="F52" s="117"/>
      <c r="G52" s="27"/>
      <c r="H52" s="117"/>
      <c r="I52" s="27"/>
      <c r="J52" s="117"/>
      <c r="K52" s="27"/>
      <c r="L52" s="117"/>
      <c r="M52" s="44" t="e">
        <f t="shared" ca="1" si="1"/>
        <v>#N/A</v>
      </c>
      <c r="N52" s="109" t="e">
        <f ca="1">VLOOKUP($B52,Matrix!$H$13:$I$37,2,FALSE)&amp;"_"&amp;C52</f>
        <v>#N/A</v>
      </c>
      <c r="O52" s="124" t="e">
        <f t="shared" ca="1" si="2"/>
        <v>#N/A</v>
      </c>
    </row>
    <row r="53" spans="2:15">
      <c r="B53" s="27"/>
      <c r="C53" s="26"/>
      <c r="D53" s="116"/>
      <c r="E53" s="27"/>
      <c r="F53" s="117"/>
      <c r="G53" s="27"/>
      <c r="H53" s="117"/>
      <c r="I53" s="27"/>
      <c r="J53" s="117"/>
      <c r="K53" s="27"/>
      <c r="L53" s="117"/>
      <c r="M53" s="44" t="e">
        <f t="shared" ca="1" si="1"/>
        <v>#N/A</v>
      </c>
      <c r="N53" s="109" t="e">
        <f ca="1">VLOOKUP($B53,Matrix!$H$13:$I$37,2,FALSE)&amp;"_"&amp;C53</f>
        <v>#N/A</v>
      </c>
      <c r="O53" s="124" t="e">
        <f t="shared" ca="1" si="2"/>
        <v>#N/A</v>
      </c>
    </row>
    <row r="54" spans="2:15">
      <c r="B54" s="27"/>
      <c r="C54" s="26"/>
      <c r="D54" s="116"/>
      <c r="E54" s="27"/>
      <c r="F54" s="117"/>
      <c r="G54" s="27"/>
      <c r="H54" s="117"/>
      <c r="I54" s="27"/>
      <c r="J54" s="117"/>
      <c r="K54" s="27"/>
      <c r="L54" s="117"/>
      <c r="M54" s="44" t="e">
        <f t="shared" ca="1" si="1"/>
        <v>#N/A</v>
      </c>
      <c r="N54" s="109" t="e">
        <f ca="1">VLOOKUP($B54,Matrix!$H$13:$I$37,2,FALSE)&amp;"_"&amp;C54</f>
        <v>#N/A</v>
      </c>
      <c r="O54" s="124" t="e">
        <f t="shared" ca="1" si="2"/>
        <v>#N/A</v>
      </c>
    </row>
    <row r="55" spans="2:15">
      <c r="B55" s="27"/>
      <c r="C55" s="26"/>
      <c r="D55" s="116"/>
      <c r="E55" s="27"/>
      <c r="F55" s="117"/>
      <c r="G55" s="27"/>
      <c r="H55" s="117"/>
      <c r="I55" s="27"/>
      <c r="J55" s="117"/>
      <c r="K55" s="27"/>
      <c r="L55" s="117"/>
      <c r="M55" s="44" t="e">
        <f t="shared" ca="1" si="1"/>
        <v>#N/A</v>
      </c>
      <c r="N55" s="109" t="e">
        <f ca="1">VLOOKUP($B55,Matrix!$H$13:$I$37,2,FALSE)&amp;"_"&amp;C55</f>
        <v>#N/A</v>
      </c>
      <c r="O55" s="124" t="e">
        <f t="shared" ca="1" si="2"/>
        <v>#N/A</v>
      </c>
    </row>
    <row r="56" spans="2:15">
      <c r="B56" s="27"/>
      <c r="C56" s="26"/>
      <c r="D56" s="116"/>
      <c r="E56" s="27"/>
      <c r="F56" s="117"/>
      <c r="G56" s="27"/>
      <c r="H56" s="117"/>
      <c r="I56" s="27"/>
      <c r="J56" s="117"/>
      <c r="K56" s="27"/>
      <c r="L56" s="117"/>
      <c r="M56" s="44" t="e">
        <f t="shared" ca="1" si="1"/>
        <v>#N/A</v>
      </c>
      <c r="N56" s="109" t="e">
        <f ca="1">VLOOKUP($B56,Matrix!$H$13:$I$37,2,FALSE)&amp;"_"&amp;C56</f>
        <v>#N/A</v>
      </c>
      <c r="O56" s="124" t="e">
        <f t="shared" ca="1" si="2"/>
        <v>#N/A</v>
      </c>
    </row>
    <row r="57" spans="2:15">
      <c r="B57" s="27"/>
      <c r="C57" s="26"/>
      <c r="D57" s="116"/>
      <c r="E57" s="27"/>
      <c r="F57" s="117"/>
      <c r="G57" s="27"/>
      <c r="H57" s="117"/>
      <c r="I57" s="27"/>
      <c r="J57" s="117"/>
      <c r="K57" s="27"/>
      <c r="L57" s="117"/>
      <c r="M57" s="44" t="e">
        <f t="shared" ca="1" si="1"/>
        <v>#N/A</v>
      </c>
      <c r="N57" s="109" t="e">
        <f ca="1">VLOOKUP($B57,Matrix!$H$13:$I$37,2,FALSE)&amp;"_"&amp;C57</f>
        <v>#N/A</v>
      </c>
      <c r="O57" s="124" t="e">
        <f t="shared" ca="1" si="2"/>
        <v>#N/A</v>
      </c>
    </row>
    <row r="58" spans="2:15">
      <c r="B58" s="27"/>
      <c r="C58" s="26"/>
      <c r="D58" s="116"/>
      <c r="E58" s="27"/>
      <c r="F58" s="117"/>
      <c r="G58" s="27"/>
      <c r="H58" s="117"/>
      <c r="I58" s="27"/>
      <c r="J58" s="117"/>
      <c r="K58" s="27"/>
      <c r="L58" s="117"/>
      <c r="M58" s="44" t="e">
        <f t="shared" ca="1" si="1"/>
        <v>#N/A</v>
      </c>
      <c r="N58" s="109" t="e">
        <f ca="1">VLOOKUP($B58,Matrix!$H$13:$I$37,2,FALSE)&amp;"_"&amp;C58</f>
        <v>#N/A</v>
      </c>
      <c r="O58" s="124" t="e">
        <f t="shared" ca="1" si="2"/>
        <v>#N/A</v>
      </c>
    </row>
    <row r="59" spans="2:15">
      <c r="B59" s="27"/>
      <c r="C59" s="26"/>
      <c r="D59" s="116"/>
      <c r="E59" s="27"/>
      <c r="F59" s="117"/>
      <c r="G59" s="27"/>
      <c r="H59" s="117"/>
      <c r="I59" s="27"/>
      <c r="J59" s="117"/>
      <c r="K59" s="27"/>
      <c r="L59" s="117"/>
      <c r="M59" s="44" t="e">
        <f t="shared" ca="1" si="1"/>
        <v>#N/A</v>
      </c>
      <c r="N59" s="109" t="e">
        <f ca="1">VLOOKUP($B59,Matrix!$H$13:$I$37,2,FALSE)&amp;"_"&amp;C59</f>
        <v>#N/A</v>
      </c>
      <c r="O59" s="124" t="e">
        <f t="shared" ca="1" si="2"/>
        <v>#N/A</v>
      </c>
    </row>
    <row r="60" spans="2:15">
      <c r="B60" s="27"/>
      <c r="C60" s="26"/>
      <c r="D60" s="116"/>
      <c r="E60" s="27"/>
      <c r="F60" s="117"/>
      <c r="G60" s="27"/>
      <c r="H60" s="117"/>
      <c r="I60" s="27"/>
      <c r="J60" s="117"/>
      <c r="K60" s="27"/>
      <c r="L60" s="117"/>
      <c r="M60" s="44" t="e">
        <f t="shared" ca="1" si="1"/>
        <v>#N/A</v>
      </c>
      <c r="N60" s="109" t="e">
        <f ca="1">VLOOKUP($B60,Matrix!$H$13:$I$37,2,FALSE)&amp;"_"&amp;C60</f>
        <v>#N/A</v>
      </c>
      <c r="O60" s="124" t="e">
        <f t="shared" ca="1" si="2"/>
        <v>#N/A</v>
      </c>
    </row>
    <row r="61" spans="2:15">
      <c r="B61" s="27"/>
      <c r="C61" s="26"/>
      <c r="D61" s="116"/>
      <c r="E61" s="27"/>
      <c r="F61" s="117"/>
      <c r="G61" s="27"/>
      <c r="H61" s="117"/>
      <c r="I61" s="27"/>
      <c r="J61" s="117"/>
      <c r="K61" s="27"/>
      <c r="L61" s="117"/>
      <c r="M61" s="44" t="e">
        <f t="shared" ca="1" si="1"/>
        <v>#N/A</v>
      </c>
      <c r="N61" s="109" t="e">
        <f ca="1">VLOOKUP($B61,Matrix!$H$13:$I$37,2,FALSE)&amp;"_"&amp;C61</f>
        <v>#N/A</v>
      </c>
      <c r="O61" s="124" t="e">
        <f t="shared" ca="1" si="2"/>
        <v>#N/A</v>
      </c>
    </row>
    <row r="62" spans="2:15">
      <c r="B62" s="27"/>
      <c r="C62" s="26"/>
      <c r="D62" s="116"/>
      <c r="E62" s="27"/>
      <c r="F62" s="117"/>
      <c r="G62" s="27"/>
      <c r="H62" s="117"/>
      <c r="I62" s="27"/>
      <c r="J62" s="117"/>
      <c r="K62" s="27"/>
      <c r="L62" s="117"/>
      <c r="M62" s="44" t="e">
        <f t="shared" ca="1" si="1"/>
        <v>#N/A</v>
      </c>
      <c r="N62" s="109" t="e">
        <f ca="1">VLOOKUP($B62,Matrix!$H$13:$I$37,2,FALSE)&amp;"_"&amp;C62</f>
        <v>#N/A</v>
      </c>
      <c r="O62" s="124" t="e">
        <f t="shared" ca="1" si="2"/>
        <v>#N/A</v>
      </c>
    </row>
    <row r="63" spans="2:15">
      <c r="B63" s="27"/>
      <c r="C63" s="26"/>
      <c r="D63" s="116"/>
      <c r="E63" s="27"/>
      <c r="F63" s="117"/>
      <c r="G63" s="27"/>
      <c r="H63" s="117"/>
      <c r="I63" s="27"/>
      <c r="J63" s="117"/>
      <c r="K63" s="27"/>
      <c r="L63" s="117"/>
      <c r="M63" s="44" t="e">
        <f t="shared" ca="1" si="1"/>
        <v>#N/A</v>
      </c>
      <c r="N63" s="109" t="e">
        <f ca="1">VLOOKUP($B63,Matrix!$H$13:$I$37,2,FALSE)&amp;"_"&amp;C63</f>
        <v>#N/A</v>
      </c>
      <c r="O63" s="124" t="e">
        <f t="shared" ca="1" si="2"/>
        <v>#N/A</v>
      </c>
    </row>
    <row r="64" spans="2:15">
      <c r="B64" s="27"/>
      <c r="C64" s="26"/>
      <c r="D64" s="116"/>
      <c r="E64" s="27"/>
      <c r="F64" s="117"/>
      <c r="G64" s="27"/>
      <c r="H64" s="117"/>
      <c r="I64" s="27"/>
      <c r="J64" s="117"/>
      <c r="K64" s="27"/>
      <c r="L64" s="117"/>
      <c r="M64" s="44" t="e">
        <f t="shared" ca="1" si="1"/>
        <v>#N/A</v>
      </c>
      <c r="N64" s="109" t="e">
        <f ca="1">VLOOKUP($B64,Matrix!$H$13:$I$37,2,FALSE)&amp;"_"&amp;C64</f>
        <v>#N/A</v>
      </c>
      <c r="O64" s="124" t="e">
        <f t="shared" ca="1" si="2"/>
        <v>#N/A</v>
      </c>
    </row>
    <row r="65" spans="2:15">
      <c r="B65" s="27"/>
      <c r="C65" s="26"/>
      <c r="D65" s="116"/>
      <c r="E65" s="27"/>
      <c r="F65" s="117"/>
      <c r="G65" s="27"/>
      <c r="H65" s="117"/>
      <c r="I65" s="27"/>
      <c r="J65" s="117"/>
      <c r="K65" s="27"/>
      <c r="L65" s="117"/>
      <c r="M65" s="44" t="e">
        <f t="shared" ca="1" si="1"/>
        <v>#N/A</v>
      </c>
      <c r="N65" s="109" t="e">
        <f ca="1">VLOOKUP($B65,Matrix!$H$13:$I$37,2,FALSE)&amp;"_"&amp;C65</f>
        <v>#N/A</v>
      </c>
      <c r="O65" s="124" t="e">
        <f t="shared" ca="1" si="2"/>
        <v>#N/A</v>
      </c>
    </row>
    <row r="66" spans="2:15">
      <c r="B66" s="27"/>
      <c r="C66" s="26"/>
      <c r="D66" s="116"/>
      <c r="E66" s="27"/>
      <c r="F66" s="117"/>
      <c r="G66" s="27"/>
      <c r="H66" s="117"/>
      <c r="I66" s="27"/>
      <c r="J66" s="117"/>
      <c r="K66" s="27"/>
      <c r="L66" s="117"/>
      <c r="M66" s="44" t="e">
        <f t="shared" ca="1" si="1"/>
        <v>#N/A</v>
      </c>
      <c r="N66" s="109" t="e">
        <f ca="1">VLOOKUP($B66,Matrix!$H$13:$I$37,2,FALSE)&amp;"_"&amp;C66</f>
        <v>#N/A</v>
      </c>
      <c r="O66" s="124" t="e">
        <f t="shared" ca="1" si="2"/>
        <v>#N/A</v>
      </c>
    </row>
    <row r="67" spans="2:15">
      <c r="B67" s="27"/>
      <c r="C67" s="26"/>
      <c r="D67" s="116"/>
      <c r="E67" s="27"/>
      <c r="F67" s="117"/>
      <c r="G67" s="27"/>
      <c r="H67" s="117"/>
      <c r="I67" s="27"/>
      <c r="J67" s="117"/>
      <c r="K67" s="27"/>
      <c r="L67" s="117"/>
      <c r="M67" s="44" t="e">
        <f t="shared" ca="1" si="1"/>
        <v>#N/A</v>
      </c>
      <c r="N67" s="109" t="e">
        <f ca="1">VLOOKUP($B67,Matrix!$H$13:$I$37,2,FALSE)&amp;"_"&amp;C67</f>
        <v>#N/A</v>
      </c>
      <c r="O67" s="124" t="e">
        <f t="shared" ca="1" si="2"/>
        <v>#N/A</v>
      </c>
    </row>
    <row r="68" spans="2:15">
      <c r="B68" s="27"/>
      <c r="C68" s="26"/>
      <c r="D68" s="116"/>
      <c r="E68" s="27"/>
      <c r="F68" s="117"/>
      <c r="G68" s="27"/>
      <c r="H68" s="117"/>
      <c r="I68" s="27"/>
      <c r="J68" s="117"/>
      <c r="K68" s="27"/>
      <c r="L68" s="117"/>
      <c r="M68" s="44" t="e">
        <f t="shared" ca="1" si="1"/>
        <v>#N/A</v>
      </c>
      <c r="N68" s="109" t="e">
        <f ca="1">VLOOKUP($B68,Matrix!$H$13:$I$37,2,FALSE)&amp;"_"&amp;C68</f>
        <v>#N/A</v>
      </c>
      <c r="O68" s="124" t="e">
        <f t="shared" ref="O68:O99" ca="1" si="3">"#define "&amp;N68&amp;REPT(" ",48-M68)&amp;"("&amp;D68&amp;"U)"</f>
        <v>#N/A</v>
      </c>
    </row>
    <row r="69" spans="2:15">
      <c r="B69" s="27"/>
      <c r="C69" s="26"/>
      <c r="D69" s="116"/>
      <c r="E69" s="27"/>
      <c r="F69" s="117"/>
      <c r="G69" s="27"/>
      <c r="H69" s="117"/>
      <c r="I69" s="27"/>
      <c r="J69" s="117"/>
      <c r="K69" s="27"/>
      <c r="L69" s="117"/>
      <c r="M69" s="44" t="e">
        <f t="shared" ref="M69:M103" ca="1" si="4">LEN(N69)</f>
        <v>#N/A</v>
      </c>
      <c r="N69" s="109" t="e">
        <f ca="1">VLOOKUP($B69,Matrix!$H$13:$I$37,2,FALSE)&amp;"_"&amp;C69</f>
        <v>#N/A</v>
      </c>
      <c r="O69" s="124" t="e">
        <f t="shared" ca="1" si="3"/>
        <v>#N/A</v>
      </c>
    </row>
    <row r="70" spans="2:15">
      <c r="B70" s="27"/>
      <c r="C70" s="26"/>
      <c r="D70" s="116"/>
      <c r="E70" s="27"/>
      <c r="F70" s="117"/>
      <c r="G70" s="27"/>
      <c r="H70" s="117"/>
      <c r="I70" s="27"/>
      <c r="J70" s="117"/>
      <c r="K70" s="27"/>
      <c r="L70" s="117"/>
      <c r="M70" s="44" t="e">
        <f t="shared" ca="1" si="4"/>
        <v>#N/A</v>
      </c>
      <c r="N70" s="109" t="e">
        <f ca="1">VLOOKUP($B70,Matrix!$H$13:$I$37,2,FALSE)&amp;"_"&amp;C70</f>
        <v>#N/A</v>
      </c>
      <c r="O70" s="124" t="e">
        <f t="shared" ca="1" si="3"/>
        <v>#N/A</v>
      </c>
    </row>
    <row r="71" spans="2:15">
      <c r="B71" s="27"/>
      <c r="C71" s="26"/>
      <c r="D71" s="116"/>
      <c r="E71" s="27"/>
      <c r="F71" s="117"/>
      <c r="G71" s="27"/>
      <c r="H71" s="117"/>
      <c r="I71" s="27"/>
      <c r="J71" s="117"/>
      <c r="K71" s="27"/>
      <c r="L71" s="117"/>
      <c r="M71" s="44" t="e">
        <f t="shared" ca="1" si="4"/>
        <v>#N/A</v>
      </c>
      <c r="N71" s="109" t="e">
        <f ca="1">VLOOKUP($B71,Matrix!$H$13:$I$37,2,FALSE)&amp;"_"&amp;C71</f>
        <v>#N/A</v>
      </c>
      <c r="O71" s="124" t="e">
        <f t="shared" ca="1" si="3"/>
        <v>#N/A</v>
      </c>
    </row>
    <row r="72" spans="2:15">
      <c r="B72" s="27"/>
      <c r="C72" s="26"/>
      <c r="D72" s="116"/>
      <c r="E72" s="27"/>
      <c r="F72" s="117"/>
      <c r="G72" s="27"/>
      <c r="H72" s="117"/>
      <c r="I72" s="27"/>
      <c r="J72" s="117"/>
      <c r="K72" s="27"/>
      <c r="L72" s="117"/>
      <c r="M72" s="44" t="e">
        <f t="shared" ca="1" si="4"/>
        <v>#N/A</v>
      </c>
      <c r="N72" s="109" t="e">
        <f ca="1">VLOOKUP($B72,Matrix!$H$13:$I$37,2,FALSE)&amp;"_"&amp;C72</f>
        <v>#N/A</v>
      </c>
      <c r="O72" s="124" t="e">
        <f t="shared" ca="1" si="3"/>
        <v>#N/A</v>
      </c>
    </row>
    <row r="73" spans="2:15">
      <c r="B73" s="27"/>
      <c r="C73" s="26"/>
      <c r="D73" s="116"/>
      <c r="E73" s="27"/>
      <c r="F73" s="117"/>
      <c r="G73" s="27"/>
      <c r="H73" s="117"/>
      <c r="I73" s="27"/>
      <c r="J73" s="117"/>
      <c r="K73" s="27"/>
      <c r="L73" s="117"/>
      <c r="M73" s="44" t="e">
        <f t="shared" ca="1" si="4"/>
        <v>#N/A</v>
      </c>
      <c r="N73" s="109" t="e">
        <f ca="1">VLOOKUP($B73,Matrix!$H$13:$I$37,2,FALSE)&amp;"_"&amp;C73</f>
        <v>#N/A</v>
      </c>
      <c r="O73" s="124" t="e">
        <f t="shared" ca="1" si="3"/>
        <v>#N/A</v>
      </c>
    </row>
    <row r="74" spans="2:15">
      <c r="B74" s="27"/>
      <c r="C74" s="26"/>
      <c r="D74" s="116"/>
      <c r="E74" s="27"/>
      <c r="F74" s="117"/>
      <c r="G74" s="27"/>
      <c r="H74" s="117"/>
      <c r="I74" s="27"/>
      <c r="J74" s="117"/>
      <c r="K74" s="27"/>
      <c r="L74" s="117"/>
      <c r="M74" s="44" t="e">
        <f t="shared" ca="1" si="4"/>
        <v>#N/A</v>
      </c>
      <c r="N74" s="109" t="e">
        <f ca="1">VLOOKUP($B74,Matrix!$H$13:$I$37,2,FALSE)&amp;"_"&amp;C74</f>
        <v>#N/A</v>
      </c>
      <c r="O74" s="124" t="e">
        <f t="shared" ca="1" si="3"/>
        <v>#N/A</v>
      </c>
    </row>
    <row r="75" spans="2:15">
      <c r="B75" s="27"/>
      <c r="C75" s="26"/>
      <c r="D75" s="116"/>
      <c r="E75" s="27"/>
      <c r="F75" s="117"/>
      <c r="G75" s="27"/>
      <c r="H75" s="117"/>
      <c r="I75" s="27"/>
      <c r="J75" s="117"/>
      <c r="K75" s="27"/>
      <c r="L75" s="117"/>
      <c r="M75" s="44" t="e">
        <f t="shared" ca="1" si="4"/>
        <v>#N/A</v>
      </c>
      <c r="N75" s="109" t="e">
        <f ca="1">VLOOKUP($B75,Matrix!$H$13:$I$37,2,FALSE)&amp;"_"&amp;C75</f>
        <v>#N/A</v>
      </c>
      <c r="O75" s="124" t="e">
        <f t="shared" ca="1" si="3"/>
        <v>#N/A</v>
      </c>
    </row>
    <row r="76" spans="2:15">
      <c r="B76" s="27"/>
      <c r="C76" s="26"/>
      <c r="D76" s="116"/>
      <c r="E76" s="27"/>
      <c r="F76" s="117"/>
      <c r="G76" s="27"/>
      <c r="H76" s="117"/>
      <c r="I76" s="27"/>
      <c r="J76" s="117"/>
      <c r="K76" s="27"/>
      <c r="L76" s="117"/>
      <c r="M76" s="44" t="e">
        <f t="shared" ca="1" si="4"/>
        <v>#N/A</v>
      </c>
      <c r="N76" s="109" t="e">
        <f ca="1">VLOOKUP($B76,Matrix!$H$13:$I$37,2,FALSE)&amp;"_"&amp;C76</f>
        <v>#N/A</v>
      </c>
      <c r="O76" s="124" t="e">
        <f t="shared" ca="1" si="3"/>
        <v>#N/A</v>
      </c>
    </row>
    <row r="77" spans="2:15">
      <c r="B77" s="27"/>
      <c r="C77" s="26"/>
      <c r="D77" s="116"/>
      <c r="E77" s="27"/>
      <c r="F77" s="117"/>
      <c r="G77" s="27"/>
      <c r="H77" s="117"/>
      <c r="I77" s="27"/>
      <c r="J77" s="117"/>
      <c r="K77" s="27"/>
      <c r="L77" s="117"/>
      <c r="M77" s="44" t="e">
        <f t="shared" ca="1" si="4"/>
        <v>#N/A</v>
      </c>
      <c r="N77" s="109" t="e">
        <f ca="1">VLOOKUP($B77,Matrix!$H$13:$I$37,2,FALSE)&amp;"_"&amp;C77</f>
        <v>#N/A</v>
      </c>
      <c r="O77" s="124" t="e">
        <f t="shared" ca="1" si="3"/>
        <v>#N/A</v>
      </c>
    </row>
    <row r="78" spans="2:15">
      <c r="B78" s="27"/>
      <c r="C78" s="26"/>
      <c r="D78" s="116"/>
      <c r="E78" s="27"/>
      <c r="F78" s="117"/>
      <c r="G78" s="27"/>
      <c r="H78" s="117"/>
      <c r="I78" s="27"/>
      <c r="J78" s="117"/>
      <c r="K78" s="27"/>
      <c r="L78" s="117"/>
      <c r="M78" s="44" t="e">
        <f t="shared" ca="1" si="4"/>
        <v>#N/A</v>
      </c>
      <c r="N78" s="109" t="e">
        <f ca="1">VLOOKUP($B78,Matrix!$H$13:$I$37,2,FALSE)&amp;"_"&amp;C78</f>
        <v>#N/A</v>
      </c>
      <c r="O78" s="124" t="e">
        <f t="shared" ca="1" si="3"/>
        <v>#N/A</v>
      </c>
    </row>
    <row r="79" spans="2:15">
      <c r="B79" s="27"/>
      <c r="C79" s="26"/>
      <c r="D79" s="116"/>
      <c r="E79" s="27"/>
      <c r="F79" s="117"/>
      <c r="G79" s="27"/>
      <c r="H79" s="117"/>
      <c r="I79" s="27"/>
      <c r="J79" s="117"/>
      <c r="K79" s="27"/>
      <c r="L79" s="117"/>
      <c r="M79" s="44" t="e">
        <f t="shared" ca="1" si="4"/>
        <v>#N/A</v>
      </c>
      <c r="N79" s="109" t="e">
        <f ca="1">VLOOKUP($B79,Matrix!$H$13:$I$37,2,FALSE)&amp;"_"&amp;C79</f>
        <v>#N/A</v>
      </c>
      <c r="O79" s="124" t="e">
        <f t="shared" ca="1" si="3"/>
        <v>#N/A</v>
      </c>
    </row>
    <row r="80" spans="2:15">
      <c r="B80" s="27"/>
      <c r="C80" s="26"/>
      <c r="D80" s="116"/>
      <c r="E80" s="27"/>
      <c r="F80" s="117"/>
      <c r="G80" s="27"/>
      <c r="H80" s="117"/>
      <c r="I80" s="27"/>
      <c r="J80" s="117"/>
      <c r="K80" s="27"/>
      <c r="L80" s="117"/>
      <c r="M80" s="44" t="e">
        <f t="shared" ca="1" si="4"/>
        <v>#N/A</v>
      </c>
      <c r="N80" s="109" t="e">
        <f ca="1">VLOOKUP($B80,Matrix!$H$13:$I$37,2,FALSE)&amp;"_"&amp;C80</f>
        <v>#N/A</v>
      </c>
      <c r="O80" s="124" t="e">
        <f t="shared" ca="1" si="3"/>
        <v>#N/A</v>
      </c>
    </row>
    <row r="81" spans="2:15">
      <c r="B81" s="27"/>
      <c r="C81" s="26"/>
      <c r="D81" s="116"/>
      <c r="E81" s="27"/>
      <c r="F81" s="117"/>
      <c r="G81" s="27"/>
      <c r="H81" s="117"/>
      <c r="I81" s="27"/>
      <c r="J81" s="117"/>
      <c r="K81" s="27"/>
      <c r="L81" s="117"/>
      <c r="M81" s="44" t="e">
        <f t="shared" ca="1" si="4"/>
        <v>#N/A</v>
      </c>
      <c r="N81" s="109" t="e">
        <f ca="1">VLOOKUP($B81,Matrix!$H$13:$I$37,2,FALSE)&amp;"_"&amp;C81</f>
        <v>#N/A</v>
      </c>
      <c r="O81" s="124" t="e">
        <f t="shared" ca="1" si="3"/>
        <v>#N/A</v>
      </c>
    </row>
    <row r="82" spans="2:15">
      <c r="B82" s="27"/>
      <c r="C82" s="26"/>
      <c r="D82" s="116"/>
      <c r="E82" s="27"/>
      <c r="F82" s="117"/>
      <c r="G82" s="27"/>
      <c r="H82" s="117"/>
      <c r="I82" s="27"/>
      <c r="J82" s="117"/>
      <c r="K82" s="27"/>
      <c r="L82" s="117"/>
      <c r="M82" s="44" t="e">
        <f t="shared" ca="1" si="4"/>
        <v>#N/A</v>
      </c>
      <c r="N82" s="109" t="e">
        <f ca="1">VLOOKUP($B82,Matrix!$H$13:$I$37,2,FALSE)&amp;"_"&amp;C82</f>
        <v>#N/A</v>
      </c>
      <c r="O82" s="124" t="e">
        <f t="shared" ca="1" si="3"/>
        <v>#N/A</v>
      </c>
    </row>
    <row r="83" spans="2:15">
      <c r="B83" s="27"/>
      <c r="C83" s="26"/>
      <c r="D83" s="116"/>
      <c r="E83" s="27"/>
      <c r="F83" s="117"/>
      <c r="G83" s="27"/>
      <c r="H83" s="117"/>
      <c r="I83" s="27"/>
      <c r="J83" s="117"/>
      <c r="K83" s="27"/>
      <c r="L83" s="117"/>
      <c r="M83" s="44" t="e">
        <f t="shared" ca="1" si="4"/>
        <v>#N/A</v>
      </c>
      <c r="N83" s="109" t="e">
        <f ca="1">VLOOKUP($B83,Matrix!$H$13:$I$37,2,FALSE)&amp;"_"&amp;C83</f>
        <v>#N/A</v>
      </c>
      <c r="O83" s="124" t="e">
        <f t="shared" ca="1" si="3"/>
        <v>#N/A</v>
      </c>
    </row>
    <row r="84" spans="2:15">
      <c r="B84" s="27"/>
      <c r="C84" s="26"/>
      <c r="D84" s="116"/>
      <c r="E84" s="27"/>
      <c r="F84" s="117"/>
      <c r="G84" s="27"/>
      <c r="H84" s="117"/>
      <c r="I84" s="27"/>
      <c r="J84" s="117"/>
      <c r="K84" s="27"/>
      <c r="L84" s="117"/>
      <c r="M84" s="44" t="e">
        <f t="shared" ca="1" si="4"/>
        <v>#N/A</v>
      </c>
      <c r="N84" s="109" t="e">
        <f ca="1">VLOOKUP($B84,Matrix!$H$13:$I$37,2,FALSE)&amp;"_"&amp;C84</f>
        <v>#N/A</v>
      </c>
      <c r="O84" s="124" t="e">
        <f t="shared" ca="1" si="3"/>
        <v>#N/A</v>
      </c>
    </row>
    <row r="85" spans="2:15">
      <c r="B85" s="27"/>
      <c r="C85" s="26"/>
      <c r="D85" s="116"/>
      <c r="E85" s="27"/>
      <c r="F85" s="117"/>
      <c r="G85" s="27"/>
      <c r="H85" s="117"/>
      <c r="I85" s="27"/>
      <c r="J85" s="117"/>
      <c r="K85" s="27"/>
      <c r="L85" s="117"/>
      <c r="M85" s="44" t="e">
        <f t="shared" ca="1" si="4"/>
        <v>#N/A</v>
      </c>
      <c r="N85" s="109" t="e">
        <f ca="1">VLOOKUP($B85,Matrix!$H$13:$I$37,2,FALSE)&amp;"_"&amp;C85</f>
        <v>#N/A</v>
      </c>
      <c r="O85" s="124" t="e">
        <f t="shared" ca="1" si="3"/>
        <v>#N/A</v>
      </c>
    </row>
    <row r="86" spans="2:15">
      <c r="B86" s="27"/>
      <c r="C86" s="26"/>
      <c r="D86" s="116"/>
      <c r="E86" s="27"/>
      <c r="F86" s="117"/>
      <c r="G86" s="27"/>
      <c r="H86" s="117"/>
      <c r="I86" s="27"/>
      <c r="J86" s="117"/>
      <c r="K86" s="27"/>
      <c r="L86" s="117"/>
      <c r="M86" s="44" t="e">
        <f t="shared" ca="1" si="4"/>
        <v>#N/A</v>
      </c>
      <c r="N86" s="109" t="e">
        <f ca="1">VLOOKUP($B86,Matrix!$H$13:$I$37,2,FALSE)&amp;"_"&amp;C86</f>
        <v>#N/A</v>
      </c>
      <c r="O86" s="124" t="e">
        <f t="shared" ca="1" si="3"/>
        <v>#N/A</v>
      </c>
    </row>
    <row r="87" spans="2:15">
      <c r="B87" s="27"/>
      <c r="C87" s="26"/>
      <c r="D87" s="116"/>
      <c r="E87" s="27"/>
      <c r="F87" s="117"/>
      <c r="G87" s="27"/>
      <c r="H87" s="117"/>
      <c r="I87" s="27"/>
      <c r="J87" s="117"/>
      <c r="K87" s="27"/>
      <c r="L87" s="117"/>
      <c r="M87" s="44" t="e">
        <f t="shared" ca="1" si="4"/>
        <v>#N/A</v>
      </c>
      <c r="N87" s="65" t="e">
        <f ca="1">VLOOKUP($B87,Matrix!$H$13:$I$37,2,FALSE)&amp;"_"&amp;C87</f>
        <v>#N/A</v>
      </c>
      <c r="O87" s="124" t="e">
        <f t="shared" ca="1" si="3"/>
        <v>#N/A</v>
      </c>
    </row>
    <row r="88" spans="2:15">
      <c r="B88" s="27"/>
      <c r="C88" s="26"/>
      <c r="D88" s="116"/>
      <c r="E88" s="27"/>
      <c r="F88" s="117"/>
      <c r="G88" s="27"/>
      <c r="H88" s="117"/>
      <c r="I88" s="27"/>
      <c r="J88" s="117"/>
      <c r="K88" s="27"/>
      <c r="L88" s="117"/>
      <c r="M88" s="44" t="e">
        <f t="shared" ca="1" si="4"/>
        <v>#N/A</v>
      </c>
      <c r="N88" s="65" t="e">
        <f ca="1">VLOOKUP($B88,Matrix!$H$13:$I$37,2,FALSE)&amp;"_"&amp;C88</f>
        <v>#N/A</v>
      </c>
      <c r="O88" s="124" t="e">
        <f t="shared" ca="1" si="3"/>
        <v>#N/A</v>
      </c>
    </row>
    <row r="89" spans="2:15">
      <c r="B89" s="27"/>
      <c r="C89" s="26"/>
      <c r="D89" s="116"/>
      <c r="E89" s="27"/>
      <c r="F89" s="117"/>
      <c r="G89" s="27"/>
      <c r="H89" s="117"/>
      <c r="I89" s="27"/>
      <c r="J89" s="117"/>
      <c r="K89" s="27"/>
      <c r="L89" s="117"/>
      <c r="M89" s="44" t="e">
        <f t="shared" ca="1" si="4"/>
        <v>#N/A</v>
      </c>
      <c r="N89" s="65" t="e">
        <f ca="1">VLOOKUP($B89,Matrix!$H$13:$I$37,2,FALSE)&amp;"_"&amp;C89</f>
        <v>#N/A</v>
      </c>
      <c r="O89" s="124" t="e">
        <f t="shared" ca="1" si="3"/>
        <v>#N/A</v>
      </c>
    </row>
    <row r="90" spans="2:15">
      <c r="B90" s="27"/>
      <c r="C90" s="26"/>
      <c r="D90" s="116"/>
      <c r="E90" s="27"/>
      <c r="F90" s="117"/>
      <c r="G90" s="27"/>
      <c r="H90" s="117"/>
      <c r="I90" s="27"/>
      <c r="J90" s="117"/>
      <c r="K90" s="27"/>
      <c r="L90" s="117"/>
      <c r="M90" s="44" t="e">
        <f t="shared" ca="1" si="4"/>
        <v>#N/A</v>
      </c>
      <c r="N90" s="65" t="e">
        <f ca="1">VLOOKUP($B90,Matrix!$H$13:$I$37,2,FALSE)&amp;"_"&amp;C90</f>
        <v>#N/A</v>
      </c>
      <c r="O90" s="124" t="e">
        <f t="shared" ca="1" si="3"/>
        <v>#N/A</v>
      </c>
    </row>
    <row r="91" spans="2:15">
      <c r="B91" s="27"/>
      <c r="C91" s="26"/>
      <c r="D91" s="116"/>
      <c r="E91" s="27"/>
      <c r="F91" s="117"/>
      <c r="G91" s="27"/>
      <c r="H91" s="117"/>
      <c r="I91" s="27"/>
      <c r="J91" s="117"/>
      <c r="K91" s="27"/>
      <c r="L91" s="117"/>
      <c r="M91" s="44" t="e">
        <f t="shared" ca="1" si="4"/>
        <v>#N/A</v>
      </c>
      <c r="N91" s="65" t="e">
        <f ca="1">VLOOKUP($B91,Matrix!$H$13:$I$37,2,FALSE)&amp;"_"&amp;C91</f>
        <v>#N/A</v>
      </c>
      <c r="O91" s="124" t="e">
        <f t="shared" ca="1" si="3"/>
        <v>#N/A</v>
      </c>
    </row>
    <row r="92" spans="2:15">
      <c r="B92" s="27"/>
      <c r="C92" s="26"/>
      <c r="D92" s="116"/>
      <c r="E92" s="27"/>
      <c r="F92" s="117"/>
      <c r="G92" s="27"/>
      <c r="H92" s="117"/>
      <c r="I92" s="27"/>
      <c r="J92" s="117"/>
      <c r="K92" s="27"/>
      <c r="L92" s="117"/>
      <c r="M92" s="44" t="e">
        <f t="shared" ca="1" si="4"/>
        <v>#N/A</v>
      </c>
      <c r="N92" s="65" t="e">
        <f ca="1">VLOOKUP($B92,Matrix!$H$13:$I$37,2,FALSE)&amp;"_"&amp;C92</f>
        <v>#N/A</v>
      </c>
      <c r="O92" s="124" t="e">
        <f t="shared" ca="1" si="3"/>
        <v>#N/A</v>
      </c>
    </row>
    <row r="93" spans="2:15">
      <c r="B93" s="27"/>
      <c r="C93" s="26"/>
      <c r="D93" s="116"/>
      <c r="E93" s="27"/>
      <c r="F93" s="117"/>
      <c r="G93" s="27"/>
      <c r="H93" s="117"/>
      <c r="I93" s="27"/>
      <c r="J93" s="117"/>
      <c r="K93" s="27"/>
      <c r="L93" s="117"/>
      <c r="M93" s="44" t="e">
        <f t="shared" ca="1" si="4"/>
        <v>#N/A</v>
      </c>
      <c r="N93" s="65" t="e">
        <f ca="1">VLOOKUP($B93,Matrix!$H$13:$I$37,2,FALSE)&amp;"_"&amp;C93</f>
        <v>#N/A</v>
      </c>
      <c r="O93" s="124" t="e">
        <f t="shared" ca="1" si="3"/>
        <v>#N/A</v>
      </c>
    </row>
    <row r="94" spans="2:15">
      <c r="B94" s="27"/>
      <c r="C94" s="26"/>
      <c r="D94" s="116"/>
      <c r="E94" s="27"/>
      <c r="F94" s="117"/>
      <c r="G94" s="27"/>
      <c r="H94" s="117"/>
      <c r="I94" s="27"/>
      <c r="J94" s="117"/>
      <c r="K94" s="27"/>
      <c r="L94" s="117"/>
      <c r="M94" s="44" t="e">
        <f t="shared" ca="1" si="4"/>
        <v>#N/A</v>
      </c>
      <c r="N94" s="65" t="e">
        <f ca="1">VLOOKUP($B94,Matrix!$H$13:$I$37,2,FALSE)&amp;"_"&amp;C94</f>
        <v>#N/A</v>
      </c>
      <c r="O94" s="124" t="e">
        <f t="shared" ca="1" si="3"/>
        <v>#N/A</v>
      </c>
    </row>
    <row r="95" spans="2:15">
      <c r="B95" s="27"/>
      <c r="C95" s="26"/>
      <c r="D95" s="116"/>
      <c r="E95" s="27"/>
      <c r="F95" s="117"/>
      <c r="G95" s="27"/>
      <c r="H95" s="117"/>
      <c r="I95" s="27"/>
      <c r="J95" s="117"/>
      <c r="K95" s="27"/>
      <c r="L95" s="117"/>
      <c r="M95" s="44" t="e">
        <f t="shared" ca="1" si="4"/>
        <v>#N/A</v>
      </c>
      <c r="N95" s="65" t="e">
        <f ca="1">VLOOKUP($B95,Matrix!$H$13:$I$37,2,FALSE)&amp;"_"&amp;C95</f>
        <v>#N/A</v>
      </c>
      <c r="O95" s="124" t="e">
        <f t="shared" ca="1" si="3"/>
        <v>#N/A</v>
      </c>
    </row>
    <row r="96" spans="2:15">
      <c r="B96" s="27"/>
      <c r="C96" s="26"/>
      <c r="D96" s="116"/>
      <c r="E96" s="27"/>
      <c r="F96" s="117"/>
      <c r="G96" s="27"/>
      <c r="H96" s="117"/>
      <c r="I96" s="27"/>
      <c r="J96" s="117"/>
      <c r="K96" s="27"/>
      <c r="L96" s="117"/>
      <c r="M96" s="44" t="e">
        <f t="shared" ca="1" si="4"/>
        <v>#N/A</v>
      </c>
      <c r="N96" s="65" t="e">
        <f ca="1">VLOOKUP($B96,Matrix!$H$13:$I$37,2,FALSE)&amp;"_"&amp;C96</f>
        <v>#N/A</v>
      </c>
      <c r="O96" s="124" t="e">
        <f t="shared" ca="1" si="3"/>
        <v>#N/A</v>
      </c>
    </row>
    <row r="97" spans="2:15">
      <c r="B97" s="27"/>
      <c r="C97" s="26"/>
      <c r="D97" s="116"/>
      <c r="E97" s="27"/>
      <c r="F97" s="117"/>
      <c r="G97" s="27"/>
      <c r="H97" s="117"/>
      <c r="I97" s="27"/>
      <c r="J97" s="117"/>
      <c r="K97" s="27"/>
      <c r="L97" s="117"/>
      <c r="M97" s="44" t="e">
        <f t="shared" ca="1" si="4"/>
        <v>#N/A</v>
      </c>
      <c r="N97" s="65" t="e">
        <f ca="1">VLOOKUP($B97,Matrix!$H$13:$I$37,2,FALSE)&amp;"_"&amp;C97</f>
        <v>#N/A</v>
      </c>
      <c r="O97" s="124" t="e">
        <f t="shared" ca="1" si="3"/>
        <v>#N/A</v>
      </c>
    </row>
    <row r="98" spans="2:15">
      <c r="B98" s="27"/>
      <c r="C98" s="26"/>
      <c r="D98" s="116"/>
      <c r="E98" s="27"/>
      <c r="F98" s="117"/>
      <c r="G98" s="27"/>
      <c r="H98" s="117"/>
      <c r="I98" s="27"/>
      <c r="J98" s="117"/>
      <c r="K98" s="27"/>
      <c r="L98" s="117"/>
      <c r="M98" s="44" t="e">
        <f t="shared" ca="1" si="4"/>
        <v>#N/A</v>
      </c>
      <c r="N98" s="65" t="e">
        <f ca="1">VLOOKUP($B98,Matrix!$H$13:$I$37,2,FALSE)&amp;"_"&amp;C98</f>
        <v>#N/A</v>
      </c>
      <c r="O98" s="124" t="e">
        <f t="shared" ca="1" si="3"/>
        <v>#N/A</v>
      </c>
    </row>
    <row r="99" spans="2:15">
      <c r="B99" s="27"/>
      <c r="C99" s="26"/>
      <c r="D99" s="116"/>
      <c r="E99" s="27"/>
      <c r="F99" s="117"/>
      <c r="G99" s="27"/>
      <c r="H99" s="117"/>
      <c r="I99" s="27"/>
      <c r="J99" s="117"/>
      <c r="K99" s="27"/>
      <c r="L99" s="117"/>
      <c r="M99" s="44" t="e">
        <f t="shared" ca="1" si="4"/>
        <v>#N/A</v>
      </c>
      <c r="N99" s="65" t="e">
        <f ca="1">VLOOKUP($B99,Matrix!$H$13:$I$37,2,FALSE)&amp;"_"&amp;C99</f>
        <v>#N/A</v>
      </c>
      <c r="O99" s="124" t="e">
        <f t="shared" ca="1" si="3"/>
        <v>#N/A</v>
      </c>
    </row>
    <row r="100" spans="2:15">
      <c r="B100" s="27"/>
      <c r="C100" s="26"/>
      <c r="D100" s="116"/>
      <c r="E100" s="27"/>
      <c r="F100" s="117"/>
      <c r="G100" s="27"/>
      <c r="H100" s="117"/>
      <c r="I100" s="27"/>
      <c r="J100" s="117"/>
      <c r="K100" s="27"/>
      <c r="L100" s="117"/>
      <c r="M100" s="44" t="e">
        <f t="shared" ca="1" si="4"/>
        <v>#N/A</v>
      </c>
      <c r="N100" s="65" t="e">
        <f ca="1">VLOOKUP($B100,Matrix!$H$13:$I$37,2,FALSE)&amp;"_"&amp;C100</f>
        <v>#N/A</v>
      </c>
      <c r="O100" s="124" t="e">
        <f t="shared" ref="O100:O103" ca="1" si="5">"#define "&amp;N100&amp;REPT(" ",48-M100)&amp;"("&amp;D100&amp;"U)"</f>
        <v>#N/A</v>
      </c>
    </row>
    <row r="101" spans="2:15">
      <c r="B101" s="27"/>
      <c r="C101" s="26"/>
      <c r="D101" s="116"/>
      <c r="E101" s="27"/>
      <c r="F101" s="117"/>
      <c r="G101" s="27"/>
      <c r="H101" s="117"/>
      <c r="I101" s="27"/>
      <c r="J101" s="117"/>
      <c r="K101" s="27"/>
      <c r="L101" s="117"/>
      <c r="M101" s="44" t="e">
        <f t="shared" ca="1" si="4"/>
        <v>#N/A</v>
      </c>
      <c r="N101" s="65" t="e">
        <f ca="1">VLOOKUP($B101,Matrix!$H$13:$I$37,2,FALSE)&amp;"_"&amp;C101</f>
        <v>#N/A</v>
      </c>
      <c r="O101" s="124" t="e">
        <f t="shared" ca="1" si="5"/>
        <v>#N/A</v>
      </c>
    </row>
    <row r="102" spans="2:15">
      <c r="B102" s="27"/>
      <c r="C102" s="26"/>
      <c r="D102" s="116"/>
      <c r="E102" s="27"/>
      <c r="F102" s="117"/>
      <c r="G102" s="27"/>
      <c r="H102" s="117"/>
      <c r="I102" s="27"/>
      <c r="J102" s="117"/>
      <c r="K102" s="27"/>
      <c r="L102" s="117"/>
      <c r="M102" s="44" t="e">
        <f t="shared" ca="1" si="4"/>
        <v>#N/A</v>
      </c>
      <c r="N102" s="65" t="e">
        <f ca="1">VLOOKUP($B102,Matrix!$H$13:$I$37,2,FALSE)&amp;"_"&amp;C102</f>
        <v>#N/A</v>
      </c>
      <c r="O102" s="124" t="e">
        <f t="shared" ca="1" si="5"/>
        <v>#N/A</v>
      </c>
    </row>
    <row r="103" spans="2:15" ht="14.25" thickBot="1">
      <c r="B103" s="50"/>
      <c r="C103" s="51"/>
      <c r="D103" s="118"/>
      <c r="E103" s="50"/>
      <c r="F103" s="119"/>
      <c r="G103" s="50"/>
      <c r="H103" s="119"/>
      <c r="I103" s="50"/>
      <c r="J103" s="119"/>
      <c r="K103" s="50"/>
      <c r="L103" s="119"/>
      <c r="M103" s="52" t="e">
        <f t="shared" ca="1" si="4"/>
        <v>#N/A</v>
      </c>
      <c r="N103" s="66" t="e">
        <f ca="1">VLOOKUP($B103,Matrix!$H$13:$I$37,2,FALSE)&amp;"_"&amp;C103</f>
        <v>#N/A</v>
      </c>
      <c r="O103" s="125"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allowBlank="1" showInputMessage="1" sqref="J11" xr:uid="{00000000-0002-0000-0400-000001000000}"/>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Matrix!$H$13:$H$37</xm:f>
          </x14:formula1>
          <xm:sqref>B3:B103</xm:sqref>
        </x14:dataValidation>
        <x14:dataValidation type="list" allowBlank="1" showInputMessage="1" showErrorMessage="1" xr:uid="{00000000-0002-0000-0400-000003000000}">
          <x14:formula1>
            <xm:f>Config_IF!$C$4:$C$29</xm:f>
          </x14:formula1>
          <xm:sqref>K5:K103 I5:I10</xm:sqref>
        </x14:dataValidation>
        <x14:dataValidation type="list" allowBlank="1" showInputMessage="1" xr:uid="{00000000-0002-0000-0400-000004000000}">
          <x14:formula1>
            <xm:f>Config_IF!$C$4:$C$29</xm:f>
          </x14:formula1>
          <xm:sqref>K4 I4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6" t="s">
        <v>120</v>
      </c>
      <c r="C2" s="300" t="s">
        <v>81</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302" t="s">
        <v>156</v>
      </c>
    </row>
    <row r="3" spans="1:49" ht="213" customHeight="1" thickBot="1">
      <c r="B3" s="228" t="str">
        <f>IF(OR(IF(COUNTIF(D6:AC69,"0")&lt;&gt;0,TRUE,FALSE),IF(COUNTIF(D6:AC69,"1")&lt;&gt;0,TRUE,FALSE)),"Search Table","Index Table")</f>
        <v>Index Table</v>
      </c>
      <c r="C3" s="301"/>
      <c r="D3" s="128" t="s">
        <v>61</v>
      </c>
      <c r="E3" s="128" t="s">
        <v>66</v>
      </c>
      <c r="F3" s="128" t="s">
        <v>49</v>
      </c>
      <c r="G3" s="128" t="s">
        <v>211</v>
      </c>
      <c r="H3" s="128" t="s">
        <v>118</v>
      </c>
      <c r="I3" s="128" t="s">
        <v>117</v>
      </c>
      <c r="J3" s="128" t="s">
        <v>122</v>
      </c>
      <c r="K3" s="128" t="s">
        <v>121</v>
      </c>
      <c r="L3" s="129" t="s">
        <v>66</v>
      </c>
      <c r="M3" s="129" t="s">
        <v>62</v>
      </c>
      <c r="N3" s="129" t="s">
        <v>62</v>
      </c>
      <c r="O3" s="129" t="s">
        <v>62</v>
      </c>
      <c r="P3" s="129" t="s">
        <v>62</v>
      </c>
      <c r="Q3" s="129" t="s">
        <v>62</v>
      </c>
      <c r="R3" s="129" t="s">
        <v>62</v>
      </c>
      <c r="S3" s="129" t="s">
        <v>62</v>
      </c>
      <c r="T3" s="129" t="s">
        <v>62</v>
      </c>
      <c r="U3" s="129" t="s">
        <v>62</v>
      </c>
      <c r="V3" s="129" t="s">
        <v>62</v>
      </c>
      <c r="W3" s="129" t="s">
        <v>62</v>
      </c>
      <c r="X3" s="129" t="s">
        <v>62</v>
      </c>
      <c r="Y3" s="129" t="s">
        <v>62</v>
      </c>
      <c r="Z3" s="129" t="s">
        <v>62</v>
      </c>
      <c r="AA3" s="129" t="s">
        <v>62</v>
      </c>
      <c r="AB3" s="129" t="s">
        <v>158</v>
      </c>
      <c r="AC3" s="129" t="s">
        <v>158</v>
      </c>
      <c r="AD3" s="129" t="s">
        <v>158</v>
      </c>
      <c r="AE3" s="129" t="s">
        <v>158</v>
      </c>
      <c r="AF3" s="129" t="s">
        <v>66</v>
      </c>
      <c r="AG3" s="253" t="s">
        <v>281</v>
      </c>
      <c r="AH3" s="308" t="s">
        <v>282</v>
      </c>
      <c r="AI3" s="309"/>
      <c r="AJ3" s="303"/>
      <c r="AR3" s="90" t="s">
        <v>93</v>
      </c>
    </row>
    <row r="4" spans="1:49" ht="14.25" thickBot="1">
      <c r="A4" s="304" t="s">
        <v>63</v>
      </c>
      <c r="B4" s="305"/>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78" t="s">
        <v>79</v>
      </c>
      <c r="AS4" s="79"/>
      <c r="AT4" s="79"/>
      <c r="AU4" s="79"/>
      <c r="AV4" s="79"/>
      <c r="AW4" s="80"/>
    </row>
    <row r="5" spans="1:49" ht="14.25" thickBot="1">
      <c r="A5" s="306"/>
      <c r="B5" s="307"/>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1" t="str">
        <f ca="1">"static const U4  "&amp;AW8&amp;"["&amp;AW10&amp;"]"&amp;" = {"</f>
        <v>static const U4  u4_sp_ALERT_S_PSSDI_RWRN_CRIT[ALERT_S_PSSDI_RWRN_NUM_DST] = {</v>
      </c>
      <c r="AS5" s="81" t="str">
        <f ca="1">"static const U4  "&amp;$AW$9&amp;"["&amp;$AW$10&amp;"] = {"</f>
        <v>static const U4  u4_sp_ALERT_S_PSSDI_RWRN_MASK[ALERT_S_PSSDI_RWRN_NUM_DST] = {</v>
      </c>
      <c r="AT5" s="81" t="str">
        <f ca="1">"static const U1  "&amp;$AW$11&amp;"["&amp;$AW$10&amp;"] = {"</f>
        <v>static const U1  u1_sp_ALERT_S_PSSDI_RWRN_DST[ALERT_S_PSSDI_RWRN_NUM_DST] = {</v>
      </c>
      <c r="AU5" s="81" t="str">
        <f ca="1">"const ST_ALERT_MTRX "&amp;$AW$12&amp;" = {"</f>
        <v>const ST_ALERT_MTRX st_gp_ALERT_S_PSSDI_RWRN_MTRX[1] = {</v>
      </c>
      <c r="AV5" s="62" t="str">
        <f ca="1">"#define "&amp;AW10&amp;REPT(" ",41-LEN(AW10))&amp;"("&amp;AW13&amp;"U)"</f>
        <v>#define ALERT_S_PSSDI_RWRN_NUM_DST               (8U)</v>
      </c>
      <c r="AW5" s="63"/>
    </row>
    <row r="6" spans="1:49">
      <c r="B6" s="134" t="str">
        <f ca="1">"Table "&amp;$AW$6</f>
        <v>Table S_PSSDI_RWRN</v>
      </c>
      <c r="C6" s="49">
        <f>ROW()-ROW($C$6)</f>
        <v>0</v>
      </c>
      <c r="D6" s="130" t="s">
        <v>67</v>
      </c>
      <c r="E6" s="130" t="s">
        <v>67</v>
      </c>
      <c r="F6" s="130" t="s">
        <v>67</v>
      </c>
      <c r="G6" s="130" t="s">
        <v>67</v>
      </c>
      <c r="H6" s="130" t="s">
        <v>67</v>
      </c>
      <c r="I6" s="130" t="s">
        <v>67</v>
      </c>
      <c r="J6" s="130" t="s">
        <v>67</v>
      </c>
      <c r="K6" s="130" t="s">
        <v>67</v>
      </c>
      <c r="L6" s="130" t="s">
        <v>67</v>
      </c>
      <c r="M6" s="130" t="s">
        <v>67</v>
      </c>
      <c r="N6" s="130" t="s">
        <v>67</v>
      </c>
      <c r="O6" s="130" t="s">
        <v>67</v>
      </c>
      <c r="P6" s="130" t="s">
        <v>67</v>
      </c>
      <c r="Q6" s="130" t="s">
        <v>67</v>
      </c>
      <c r="R6" s="130" t="s">
        <v>67</v>
      </c>
      <c r="S6" s="130" t="s">
        <v>67</v>
      </c>
      <c r="T6" s="130" t="s">
        <v>67</v>
      </c>
      <c r="U6" s="130" t="s">
        <v>67</v>
      </c>
      <c r="V6" s="130" t="s">
        <v>67</v>
      </c>
      <c r="W6" s="130" t="s">
        <v>67</v>
      </c>
      <c r="X6" s="130" t="s">
        <v>67</v>
      </c>
      <c r="Y6" s="130" t="s">
        <v>67</v>
      </c>
      <c r="Z6" s="130" t="s">
        <v>67</v>
      </c>
      <c r="AA6" s="130" t="s">
        <v>67</v>
      </c>
      <c r="AB6" s="130" t="s">
        <v>270</v>
      </c>
      <c r="AC6" s="130" t="s">
        <v>270</v>
      </c>
      <c r="AD6" s="130" t="s">
        <v>270</v>
      </c>
      <c r="AE6" s="130" t="s">
        <v>270</v>
      </c>
      <c r="AF6" s="130" t="s">
        <v>270</v>
      </c>
      <c r="AG6" s="130">
        <v>0</v>
      </c>
      <c r="AH6" s="130">
        <v>0</v>
      </c>
      <c r="AI6" s="130">
        <v>0</v>
      </c>
      <c r="AJ6" s="48" t="s">
        <v>32</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305</v>
      </c>
      <c r="AV6" s="45" t="s">
        <v>68</v>
      </c>
      <c r="AW6" s="64" t="str">
        <f ca="1">UPPER(RIGHT(CELL("filename",A1),LEN(CELL("filename",A1))-FIND("]",CELL("filename",A1))))</f>
        <v>S_PSSDI_RWRN</v>
      </c>
    </row>
    <row r="7" spans="1:49">
      <c r="B7" s="134"/>
      <c r="C7" s="44">
        <f t="shared" ref="C7:C69" si="2">ROW()-ROW($C$6)</f>
        <v>1</v>
      </c>
      <c r="D7" s="58" t="s">
        <v>67</v>
      </c>
      <c r="E7" s="58" t="s">
        <v>67</v>
      </c>
      <c r="F7" s="58" t="s">
        <v>67</v>
      </c>
      <c r="G7" s="58" t="s">
        <v>67</v>
      </c>
      <c r="H7" s="58" t="s">
        <v>67</v>
      </c>
      <c r="I7" s="58" t="s">
        <v>67</v>
      </c>
      <c r="J7" s="58" t="s">
        <v>67</v>
      </c>
      <c r="K7" s="130" t="s">
        <v>67</v>
      </c>
      <c r="L7" s="58" t="s">
        <v>67</v>
      </c>
      <c r="M7" s="58" t="s">
        <v>67</v>
      </c>
      <c r="N7" s="58" t="s">
        <v>67</v>
      </c>
      <c r="O7" s="58" t="s">
        <v>67</v>
      </c>
      <c r="P7" s="58" t="s">
        <v>67</v>
      </c>
      <c r="Q7" s="58" t="s">
        <v>67</v>
      </c>
      <c r="R7" s="58" t="s">
        <v>67</v>
      </c>
      <c r="S7" s="58" t="s">
        <v>67</v>
      </c>
      <c r="T7" s="58" t="s">
        <v>67</v>
      </c>
      <c r="U7" s="58" t="s">
        <v>67</v>
      </c>
      <c r="V7" s="58" t="s">
        <v>67</v>
      </c>
      <c r="W7" s="58" t="s">
        <v>67</v>
      </c>
      <c r="X7" s="58" t="s">
        <v>67</v>
      </c>
      <c r="Y7" s="58" t="s">
        <v>67</v>
      </c>
      <c r="Z7" s="58" t="s">
        <v>67</v>
      </c>
      <c r="AA7" s="58" t="s">
        <v>67</v>
      </c>
      <c r="AB7" s="58" t="s">
        <v>270</v>
      </c>
      <c r="AC7" s="58" t="s">
        <v>270</v>
      </c>
      <c r="AD7" s="130" t="s">
        <v>270</v>
      </c>
      <c r="AE7" s="130" t="s">
        <v>270</v>
      </c>
      <c r="AF7" s="130" t="s">
        <v>270</v>
      </c>
      <c r="AG7" s="130">
        <v>0</v>
      </c>
      <c r="AH7" s="130">
        <v>0</v>
      </c>
      <c r="AI7" s="130">
        <v>1</v>
      </c>
      <c r="AJ7" s="26" t="s">
        <v>334</v>
      </c>
      <c r="AL7" t="str">
        <f t="shared" ca="1" si="0"/>
        <v xml:space="preserve">    (U1)ALERT_REQ_S_PSSDI_RWRN_PKSWREQ</v>
      </c>
      <c r="AR7" s="60" t="str">
        <f t="shared" ref="AR7:AR70" si="3">IF(AQ72&lt;&gt;"",AQ72,IF(AQ71&lt;&gt;"","};",""))</f>
        <v xml:space="preserve">    (U4)0x00000001U,                                                           /* 01 PKSWREQ                                         */</v>
      </c>
      <c r="AS7" s="60" t="str">
        <f t="shared" ref="AS7:AS70" si="4">IF(AQ137&lt;&gt;"",AQ137,IF(AQ136&lt;&gt;"","};",""))</f>
        <v xml:space="preserve">    (U4)0x00000007U,                                                           /* 01 PKSWREQ                                         */</v>
      </c>
      <c r="AT7" s="60" t="str">
        <f t="shared" ca="1" si="1"/>
        <v xml:space="preserve">    (U1)ALERT_REQ_S_PSSDI_RWRN_PKSWREQ,                                        /* 01 PKSWREQ                                         */</v>
      </c>
      <c r="AU7" s="60" t="str">
        <f ca="1">"        &amp;"&amp;$AW$14&amp;","&amp;REPT(" ",69-LEN($AW$14))&amp;"/* fp_u4_SRC_CHK                                      */"</f>
        <v xml:space="preserve">        &amp;u4_s_AlertS_pssdi_rwrnSrcchk,                                         /* fp_u4_SRC_CHK                                      */</v>
      </c>
      <c r="AV7" s="46" t="s">
        <v>69</v>
      </c>
      <c r="AW7" s="133">
        <f>IF(B3="Search Table",1,0)</f>
        <v>0</v>
      </c>
    </row>
    <row r="8" spans="1:49">
      <c r="B8" s="134"/>
      <c r="C8" s="44">
        <f t="shared" si="2"/>
        <v>2</v>
      </c>
      <c r="D8" s="58" t="s">
        <v>67</v>
      </c>
      <c r="E8" s="58" t="s">
        <v>67</v>
      </c>
      <c r="F8" s="58" t="s">
        <v>67</v>
      </c>
      <c r="G8" s="58" t="s">
        <v>67</v>
      </c>
      <c r="H8" s="58" t="s">
        <v>67</v>
      </c>
      <c r="I8" s="58" t="s">
        <v>67</v>
      </c>
      <c r="J8" s="58" t="s">
        <v>67</v>
      </c>
      <c r="K8" s="58" t="s">
        <v>67</v>
      </c>
      <c r="L8" s="58" t="s">
        <v>67</v>
      </c>
      <c r="M8" s="58" t="s">
        <v>67</v>
      </c>
      <c r="N8" s="58" t="s">
        <v>67</v>
      </c>
      <c r="O8" s="58" t="s">
        <v>67</v>
      </c>
      <c r="P8" s="58" t="s">
        <v>67</v>
      </c>
      <c r="Q8" s="58" t="s">
        <v>67</v>
      </c>
      <c r="R8" s="58" t="s">
        <v>67</v>
      </c>
      <c r="S8" s="58" t="s">
        <v>67</v>
      </c>
      <c r="T8" s="58" t="s">
        <v>67</v>
      </c>
      <c r="U8" s="58" t="s">
        <v>67</v>
      </c>
      <c r="V8" s="58" t="s">
        <v>67</v>
      </c>
      <c r="W8" s="58" t="s">
        <v>67</v>
      </c>
      <c r="X8" s="58" t="s">
        <v>67</v>
      </c>
      <c r="Y8" s="58" t="s">
        <v>67</v>
      </c>
      <c r="Z8" s="58" t="s">
        <v>67</v>
      </c>
      <c r="AA8" s="58" t="s">
        <v>67</v>
      </c>
      <c r="AB8" s="58" t="s">
        <v>270</v>
      </c>
      <c r="AC8" s="58" t="s">
        <v>270</v>
      </c>
      <c r="AD8" s="130" t="s">
        <v>270</v>
      </c>
      <c r="AE8" s="130" t="s">
        <v>270</v>
      </c>
      <c r="AF8" s="130" t="s">
        <v>270</v>
      </c>
      <c r="AG8" s="130">
        <v>0</v>
      </c>
      <c r="AH8" s="130">
        <v>1</v>
      </c>
      <c r="AI8" s="130">
        <v>0</v>
      </c>
      <c r="AJ8" s="26" t="s">
        <v>32</v>
      </c>
      <c r="AL8" t="str">
        <f t="shared" si="0"/>
        <v xml:space="preserve">    (U1)ALERT_REQ_UNKNOWN</v>
      </c>
      <c r="AR8" s="60" t="str">
        <f t="shared" si="3"/>
        <v xml:space="preserve">    (U4)0x00000002U,                                                           /* 02 UNKNOWN                                         */</v>
      </c>
      <c r="AS8" s="60" t="str">
        <f t="shared" si="4"/>
        <v xml:space="preserve">    (U4)0x00000007U,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&amp;vd_s_AlertS_pssdi_rwrnRwTx,                                           /* fp_vd_XDST                                         */</v>
      </c>
      <c r="AV8" s="46" t="s">
        <v>70</v>
      </c>
      <c r="AW8" s="65" t="str">
        <f ca="1">"u4_sp_ALERT_"&amp;IF(AW6&lt;&gt;AW17,$AW$17&amp;"_"&amp;$AW$6,AW17)&amp;"_CRIT"</f>
        <v>u4_sp_ALERT_S_PSSDI_RWRN_CRIT</v>
      </c>
    </row>
    <row r="9" spans="1:49">
      <c r="B9" s="134"/>
      <c r="C9" s="44">
        <f t="shared" si="2"/>
        <v>3</v>
      </c>
      <c r="D9" s="58" t="s">
        <v>67</v>
      </c>
      <c r="E9" s="58" t="s">
        <v>67</v>
      </c>
      <c r="F9" s="58" t="s">
        <v>67</v>
      </c>
      <c r="G9" s="58" t="s">
        <v>67</v>
      </c>
      <c r="H9" s="58" t="s">
        <v>67</v>
      </c>
      <c r="I9" s="58" t="s">
        <v>67</v>
      </c>
      <c r="J9" s="58" t="s">
        <v>67</v>
      </c>
      <c r="K9" s="58" t="s">
        <v>67</v>
      </c>
      <c r="L9" s="58" t="s">
        <v>67</v>
      </c>
      <c r="M9" s="58" t="s">
        <v>67</v>
      </c>
      <c r="N9" s="58" t="s">
        <v>67</v>
      </c>
      <c r="O9" s="58" t="s">
        <v>67</v>
      </c>
      <c r="P9" s="58" t="s">
        <v>67</v>
      </c>
      <c r="Q9" s="58" t="s">
        <v>67</v>
      </c>
      <c r="R9" s="58" t="s">
        <v>67</v>
      </c>
      <c r="S9" s="58" t="s">
        <v>67</v>
      </c>
      <c r="T9" s="58" t="s">
        <v>67</v>
      </c>
      <c r="U9" s="58" t="s">
        <v>67</v>
      </c>
      <c r="V9" s="58" t="s">
        <v>67</v>
      </c>
      <c r="W9" s="58" t="s">
        <v>67</v>
      </c>
      <c r="X9" s="58" t="s">
        <v>67</v>
      </c>
      <c r="Y9" s="58" t="s">
        <v>67</v>
      </c>
      <c r="Z9" s="58" t="s">
        <v>67</v>
      </c>
      <c r="AA9" s="58" t="s">
        <v>67</v>
      </c>
      <c r="AB9" s="58" t="s">
        <v>270</v>
      </c>
      <c r="AC9" s="58" t="s">
        <v>270</v>
      </c>
      <c r="AD9" s="130" t="s">
        <v>270</v>
      </c>
      <c r="AE9" s="130" t="s">
        <v>270</v>
      </c>
      <c r="AF9" s="130" t="s">
        <v>270</v>
      </c>
      <c r="AG9" s="130">
        <v>0</v>
      </c>
      <c r="AH9" s="130">
        <v>1</v>
      </c>
      <c r="AI9" s="130">
        <v>1</v>
      </c>
      <c r="AJ9" s="26" t="s">
        <v>32</v>
      </c>
      <c r="AL9" t="str">
        <f t="shared" si="0"/>
        <v xml:space="preserve">    (U1)ALERT_REQ_UNKNOWN</v>
      </c>
      <c r="AR9" s="60" t="str">
        <f t="shared" si="3"/>
        <v xml:space="preserve">    (U4)0x00000003U,                                                           /* 03 UNKNOWN                                         */</v>
      </c>
      <c r="AS9" s="60" t="str">
        <f t="shared" si="4"/>
        <v xml:space="preserve">    (U4)0x00000007U,                                                           /* 03 UNKNOWN                                         */</v>
      </c>
      <c r="AT9" s="60" t="str">
        <f t="shared" si="1"/>
        <v xml:space="preserve">    (U1)ALERT_REQ_UNKNOWN,                                                     /* 03 UNKNOWN                                         */</v>
      </c>
      <c r="AU9" s="60"/>
      <c r="AV9" s="46" t="s">
        <v>71</v>
      </c>
      <c r="AW9" s="65" t="str">
        <f ca="1">"u4_sp_ALERT_"&amp;IF(AW6&lt;&gt;AW17,$AW$17&amp;"_"&amp;$AW$6,AW17)&amp;"_MASK"</f>
        <v>u4_sp_ALERT_S_PSSDI_RWRN_MASK</v>
      </c>
    </row>
    <row r="10" spans="1:49">
      <c r="B10" s="134"/>
      <c r="C10" s="44">
        <f t="shared" si="2"/>
        <v>4</v>
      </c>
      <c r="D10" s="58" t="s">
        <v>67</v>
      </c>
      <c r="E10" s="58" t="s">
        <v>67</v>
      </c>
      <c r="F10" s="58" t="s">
        <v>67</v>
      </c>
      <c r="G10" s="58" t="s">
        <v>67</v>
      </c>
      <c r="H10" s="58" t="s">
        <v>67</v>
      </c>
      <c r="I10" s="58" t="s">
        <v>67</v>
      </c>
      <c r="J10" s="58" t="s">
        <v>67</v>
      </c>
      <c r="K10" s="58" t="s">
        <v>67</v>
      </c>
      <c r="L10" s="58" t="s">
        <v>67</v>
      </c>
      <c r="M10" s="58" t="s">
        <v>67</v>
      </c>
      <c r="N10" s="58" t="s">
        <v>67</v>
      </c>
      <c r="O10" s="58" t="s">
        <v>67</v>
      </c>
      <c r="P10" s="58" t="s">
        <v>67</v>
      </c>
      <c r="Q10" s="58" t="s">
        <v>67</v>
      </c>
      <c r="R10" s="58" t="s">
        <v>67</v>
      </c>
      <c r="S10" s="58" t="s">
        <v>67</v>
      </c>
      <c r="T10" s="58" t="s">
        <v>67</v>
      </c>
      <c r="U10" s="58" t="s">
        <v>67</v>
      </c>
      <c r="V10" s="58" t="s">
        <v>67</v>
      </c>
      <c r="W10" s="58" t="s">
        <v>67</v>
      </c>
      <c r="X10" s="58" t="s">
        <v>67</v>
      </c>
      <c r="Y10" s="58" t="s">
        <v>67</v>
      </c>
      <c r="Z10" s="58" t="s">
        <v>67</v>
      </c>
      <c r="AA10" s="58" t="s">
        <v>67</v>
      </c>
      <c r="AB10" s="58" t="s">
        <v>270</v>
      </c>
      <c r="AC10" s="58" t="s">
        <v>270</v>
      </c>
      <c r="AD10" s="130" t="s">
        <v>270</v>
      </c>
      <c r="AE10" s="130" t="s">
        <v>270</v>
      </c>
      <c r="AF10" s="130" t="s">
        <v>270</v>
      </c>
      <c r="AG10" s="130">
        <v>1</v>
      </c>
      <c r="AH10" s="130">
        <v>0</v>
      </c>
      <c r="AI10" s="130">
        <v>0</v>
      </c>
      <c r="AJ10" s="26" t="s">
        <v>32</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6" t="s">
        <v>72</v>
      </c>
      <c r="AW10" s="65" t="str">
        <f ca="1">"ALERT_"&amp;IF(AW6&lt;&gt;AW17,$AW$17&amp;"_"&amp;$AW$6,AW17)&amp;"_NUM_DST"</f>
        <v>ALERT_S_PSSDI_RWRN_NUM_DST</v>
      </c>
    </row>
    <row r="11" spans="1:49">
      <c r="B11" s="134"/>
      <c r="C11" s="44">
        <f t="shared" si="2"/>
        <v>5</v>
      </c>
      <c r="D11" s="58" t="s">
        <v>67</v>
      </c>
      <c r="E11" s="58" t="s">
        <v>67</v>
      </c>
      <c r="F11" s="58" t="s">
        <v>67</v>
      </c>
      <c r="G11" s="58" t="s">
        <v>67</v>
      </c>
      <c r="H11" s="58" t="s">
        <v>67</v>
      </c>
      <c r="I11" s="58" t="s">
        <v>67</v>
      </c>
      <c r="J11" s="58" t="s">
        <v>67</v>
      </c>
      <c r="K11" s="58" t="s">
        <v>67</v>
      </c>
      <c r="L11" s="58" t="s">
        <v>67</v>
      </c>
      <c r="M11" s="58" t="s">
        <v>67</v>
      </c>
      <c r="N11" s="58" t="s">
        <v>67</v>
      </c>
      <c r="O11" s="58" t="s">
        <v>67</v>
      </c>
      <c r="P11" s="58" t="s">
        <v>67</v>
      </c>
      <c r="Q11" s="58" t="s">
        <v>67</v>
      </c>
      <c r="R11" s="58" t="s">
        <v>67</v>
      </c>
      <c r="S11" s="58" t="s">
        <v>67</v>
      </c>
      <c r="T11" s="58" t="s">
        <v>67</v>
      </c>
      <c r="U11" s="58" t="s">
        <v>67</v>
      </c>
      <c r="V11" s="58" t="s">
        <v>67</v>
      </c>
      <c r="W11" s="58" t="s">
        <v>67</v>
      </c>
      <c r="X11" s="58" t="s">
        <v>67</v>
      </c>
      <c r="Y11" s="58" t="s">
        <v>67</v>
      </c>
      <c r="Z11" s="58" t="s">
        <v>67</v>
      </c>
      <c r="AA11" s="58" t="s">
        <v>67</v>
      </c>
      <c r="AB11" s="58" t="s">
        <v>270</v>
      </c>
      <c r="AC11" s="58" t="s">
        <v>270</v>
      </c>
      <c r="AD11" s="130" t="s">
        <v>270</v>
      </c>
      <c r="AE11" s="130" t="s">
        <v>270</v>
      </c>
      <c r="AF11" s="130" t="s">
        <v>270</v>
      </c>
      <c r="AG11" s="130">
        <v>1</v>
      </c>
      <c r="AH11" s="130">
        <v>0</v>
      </c>
      <c r="AI11" s="130">
        <v>1</v>
      </c>
      <c r="AJ11" s="26" t="s">
        <v>32</v>
      </c>
      <c r="AL11" t="str">
        <f t="shared" si="0"/>
        <v xml:space="preserve">    (U1)ALERT_REQ_UNKNOWN</v>
      </c>
      <c r="AR11" s="60" t="str">
        <f t="shared" si="3"/>
        <v xml:space="preserve">    (U4)0x00000005U,                                                           /* 05 UNKNOWN                                         */</v>
      </c>
      <c r="AS11" s="60" t="str">
        <f t="shared" si="4"/>
        <v xml:space="preserve">    (U4)0x00000007U,                                                           /* 05 UNKNOWN                                         */</v>
      </c>
      <c r="AT11" s="60" t="str">
        <f t="shared" si="1"/>
        <v xml:space="preserve">    (U1)ALERT_REQ_UNKNOWN,                                                     /* 05 UNKNOWN                                         */</v>
      </c>
      <c r="AU11" s="60" t="str">
        <f>IF($AW$7=1,"        &amp;"&amp;$AW$8&amp;"[0],"&amp;REPT(" ",66-LEN($AW$8))&amp;"/* u4p_CRIT                                           */","        (const U4 *)vdp_PTR_NA,                                                /* u4p_CRIT                                           */")</f>
        <v xml:space="preserve">        (const U4 *)vdp_PTR_NA,                                                /* u4p_CRIT                                           */</v>
      </c>
      <c r="AV11" s="46" t="s">
        <v>73</v>
      </c>
      <c r="AW11" s="65" t="str">
        <f ca="1">"u1_sp_ALERT_"&amp;IF(AW6&lt;&gt;AW17,$AW$17&amp;"_"&amp;$AW$6,AW17)&amp;"_DST"</f>
        <v>u1_sp_ALERT_S_PSSDI_RWRN_DST</v>
      </c>
    </row>
    <row r="12" spans="1:49">
      <c r="B12" s="134"/>
      <c r="C12" s="44">
        <f t="shared" si="2"/>
        <v>6</v>
      </c>
      <c r="D12" s="58" t="s">
        <v>67</v>
      </c>
      <c r="E12" s="58" t="s">
        <v>67</v>
      </c>
      <c r="F12" s="58" t="s">
        <v>67</v>
      </c>
      <c r="G12" s="58" t="s">
        <v>67</v>
      </c>
      <c r="H12" s="58" t="s">
        <v>67</v>
      </c>
      <c r="I12" s="58" t="s">
        <v>67</v>
      </c>
      <c r="J12" s="58" t="s">
        <v>67</v>
      </c>
      <c r="K12" s="58" t="s">
        <v>67</v>
      </c>
      <c r="L12" s="58" t="s">
        <v>67</v>
      </c>
      <c r="M12" s="58" t="s">
        <v>67</v>
      </c>
      <c r="N12" s="58" t="s">
        <v>67</v>
      </c>
      <c r="O12" s="58" t="s">
        <v>67</v>
      </c>
      <c r="P12" s="58" t="s">
        <v>67</v>
      </c>
      <c r="Q12" s="58" t="s">
        <v>67</v>
      </c>
      <c r="R12" s="58" t="s">
        <v>67</v>
      </c>
      <c r="S12" s="58" t="s">
        <v>67</v>
      </c>
      <c r="T12" s="58" t="s">
        <v>67</v>
      </c>
      <c r="U12" s="58" t="s">
        <v>67</v>
      </c>
      <c r="V12" s="58" t="s">
        <v>67</v>
      </c>
      <c r="W12" s="58" t="s">
        <v>67</v>
      </c>
      <c r="X12" s="58" t="s">
        <v>67</v>
      </c>
      <c r="Y12" s="58" t="s">
        <v>67</v>
      </c>
      <c r="Z12" s="58" t="s">
        <v>67</v>
      </c>
      <c r="AA12" s="58" t="s">
        <v>67</v>
      </c>
      <c r="AB12" s="58" t="s">
        <v>270</v>
      </c>
      <c r="AC12" s="58" t="s">
        <v>270</v>
      </c>
      <c r="AD12" s="130" t="s">
        <v>270</v>
      </c>
      <c r="AE12" s="130" t="s">
        <v>270</v>
      </c>
      <c r="AF12" s="130" t="s">
        <v>270</v>
      </c>
      <c r="AG12" s="130">
        <v>1</v>
      </c>
      <c r="AH12" s="130">
        <v>1</v>
      </c>
      <c r="AI12" s="130">
        <v>0</v>
      </c>
      <c r="AJ12" s="26" t="s">
        <v>32</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6" t="s">
        <v>85</v>
      </c>
      <c r="AW12" s="65" t="str">
        <f ca="1">Matrix!D8&amp;"["&amp;Matrix!D7&amp;"]"</f>
        <v>st_gp_ALERT_S_PSSDI_RWRN_MTRX[1]</v>
      </c>
    </row>
    <row r="13" spans="1:49">
      <c r="B13" s="134"/>
      <c r="C13" s="44">
        <f t="shared" si="2"/>
        <v>7</v>
      </c>
      <c r="D13" s="58" t="s">
        <v>67</v>
      </c>
      <c r="E13" s="58" t="s">
        <v>67</v>
      </c>
      <c r="F13" s="58" t="s">
        <v>67</v>
      </c>
      <c r="G13" s="58" t="s">
        <v>67</v>
      </c>
      <c r="H13" s="58" t="s">
        <v>67</v>
      </c>
      <c r="I13" s="58" t="s">
        <v>67</v>
      </c>
      <c r="J13" s="58" t="s">
        <v>67</v>
      </c>
      <c r="K13" s="58" t="s">
        <v>67</v>
      </c>
      <c r="L13" s="58" t="s">
        <v>67</v>
      </c>
      <c r="M13" s="58" t="s">
        <v>67</v>
      </c>
      <c r="N13" s="58" t="s">
        <v>67</v>
      </c>
      <c r="O13" s="58" t="s">
        <v>67</v>
      </c>
      <c r="P13" s="58" t="s">
        <v>67</v>
      </c>
      <c r="Q13" s="58" t="s">
        <v>67</v>
      </c>
      <c r="R13" s="58" t="s">
        <v>67</v>
      </c>
      <c r="S13" s="58" t="s">
        <v>67</v>
      </c>
      <c r="T13" s="58" t="s">
        <v>67</v>
      </c>
      <c r="U13" s="58" t="s">
        <v>67</v>
      </c>
      <c r="V13" s="58" t="s">
        <v>67</v>
      </c>
      <c r="W13" s="58" t="s">
        <v>67</v>
      </c>
      <c r="X13" s="58" t="s">
        <v>67</v>
      </c>
      <c r="Y13" s="58" t="s">
        <v>67</v>
      </c>
      <c r="Z13" s="58" t="s">
        <v>67</v>
      </c>
      <c r="AA13" s="58" t="s">
        <v>67</v>
      </c>
      <c r="AB13" s="58" t="s">
        <v>270</v>
      </c>
      <c r="AC13" s="58" t="s">
        <v>270</v>
      </c>
      <c r="AD13" s="130" t="s">
        <v>270</v>
      </c>
      <c r="AE13" s="130" t="s">
        <v>270</v>
      </c>
      <c r="AF13" s="130" t="s">
        <v>270</v>
      </c>
      <c r="AG13" s="130">
        <v>1</v>
      </c>
      <c r="AH13" s="130">
        <v>1</v>
      </c>
      <c r="AI13" s="130">
        <v>1</v>
      </c>
      <c r="AJ13" s="26" t="s">
        <v>32</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&amp;u1_sp_ALERT_S_PSSDI_RWRN_DST[0],                                      /* u1p_DST                                            */</v>
      </c>
      <c r="AV13" s="46" t="s">
        <v>74</v>
      </c>
      <c r="AW13" s="133">
        <f>COUNTA($AJ$6:$AJ$69)</f>
        <v>8</v>
      </c>
    </row>
    <row r="14" spans="1:49">
      <c r="B14" s="134"/>
      <c r="C14" s="44">
        <f t="shared" si="2"/>
        <v>8</v>
      </c>
      <c r="D14" s="58" t="s">
        <v>67</v>
      </c>
      <c r="E14" s="58" t="s">
        <v>67</v>
      </c>
      <c r="F14" s="58" t="s">
        <v>67</v>
      </c>
      <c r="G14" s="58" t="s">
        <v>67</v>
      </c>
      <c r="H14" s="58" t="s">
        <v>67</v>
      </c>
      <c r="I14" s="58" t="s">
        <v>67</v>
      </c>
      <c r="J14" s="58" t="s">
        <v>67</v>
      </c>
      <c r="K14" s="58" t="s">
        <v>67</v>
      </c>
      <c r="L14" s="58" t="s">
        <v>67</v>
      </c>
      <c r="M14" s="58" t="s">
        <v>67</v>
      </c>
      <c r="N14" s="58" t="s">
        <v>67</v>
      </c>
      <c r="O14" s="58" t="s">
        <v>67</v>
      </c>
      <c r="P14" s="58" t="s">
        <v>67</v>
      </c>
      <c r="Q14" s="58" t="s">
        <v>67</v>
      </c>
      <c r="R14" s="58" t="s">
        <v>67</v>
      </c>
      <c r="S14" s="58" t="s">
        <v>67</v>
      </c>
      <c r="T14" s="58" t="s">
        <v>67</v>
      </c>
      <c r="U14" s="58" t="s">
        <v>67</v>
      </c>
      <c r="V14" s="58" t="s">
        <v>67</v>
      </c>
      <c r="W14" s="58" t="s">
        <v>67</v>
      </c>
      <c r="X14" s="58" t="s">
        <v>67</v>
      </c>
      <c r="Y14" s="58" t="s">
        <v>67</v>
      </c>
      <c r="Z14" s="58" t="s">
        <v>67</v>
      </c>
      <c r="AA14" s="58" t="s">
        <v>67</v>
      </c>
      <c r="AB14" s="58" t="s">
        <v>270</v>
      </c>
      <c r="AC14" s="58" t="s">
        <v>270</v>
      </c>
      <c r="AD14" s="130" t="s">
        <v>270</v>
      </c>
      <c r="AE14" s="130" t="s">
        <v>270</v>
      </c>
      <c r="AF14" s="130" t="s">
        <v>270</v>
      </c>
      <c r="AG14" s="130" t="s">
        <v>270</v>
      </c>
      <c r="AH14" s="130" t="s">
        <v>270</v>
      </c>
      <c r="AI14" s="130" t="s">
        <v>270</v>
      </c>
      <c r="AJ14" s="26"/>
      <c r="AL14" t="str">
        <f t="shared" ca="1" si="0"/>
        <v xml:space="preserve">    (U1)ALERT_REQ_S_PSSDI_RWRN_</v>
      </c>
      <c r="AR14" s="60" t="str">
        <f t="shared" si="3"/>
        <v>};</v>
      </c>
      <c r="AS14" s="60" t="str">
        <f t="shared" si="4"/>
        <v>};</v>
      </c>
      <c r="AT14" s="60" t="str">
        <f t="shared" si="1"/>
        <v>};</v>
      </c>
      <c r="AU14" s="60" t="str">
        <f ca="1">"        (U2)"&amp;$AW$10&amp;","&amp;REPT(" ",66-LEN($AW$10))&amp;"/* u2_num_srch                                        */"</f>
        <v xml:space="preserve">        (U2)ALERT_S_PSSDI_RWRN_NUM_DST,                                        /* u2_num_srch                                        */</v>
      </c>
      <c r="AV14" s="46" t="s">
        <v>75</v>
      </c>
      <c r="AW14" s="65" t="str">
        <f ca="1">IF(AW6&lt;&gt;AW17,VLOOKUP(AW6,Matrix!$C$13:$G$37,4,FALSE),Matrix!F13)</f>
        <v>u4_s_AlertS_pssdi_rwrnSrcchk</v>
      </c>
    </row>
    <row r="15" spans="1:49">
      <c r="B15" s="134"/>
      <c r="C15" s="44">
        <f t="shared" si="2"/>
        <v>9</v>
      </c>
      <c r="D15" s="58" t="s">
        <v>67</v>
      </c>
      <c r="E15" s="58" t="s">
        <v>67</v>
      </c>
      <c r="F15" s="58" t="s">
        <v>67</v>
      </c>
      <c r="G15" s="58" t="s">
        <v>67</v>
      </c>
      <c r="H15" s="58" t="s">
        <v>67</v>
      </c>
      <c r="I15" s="58" t="s">
        <v>67</v>
      </c>
      <c r="J15" s="58" t="s">
        <v>67</v>
      </c>
      <c r="K15" s="58" t="s">
        <v>67</v>
      </c>
      <c r="L15" s="58" t="s">
        <v>67</v>
      </c>
      <c r="M15" s="58" t="s">
        <v>67</v>
      </c>
      <c r="N15" s="58" t="s">
        <v>67</v>
      </c>
      <c r="O15" s="58" t="s">
        <v>67</v>
      </c>
      <c r="P15" s="58" t="s">
        <v>67</v>
      </c>
      <c r="Q15" s="58" t="s">
        <v>67</v>
      </c>
      <c r="R15" s="58" t="s">
        <v>67</v>
      </c>
      <c r="S15" s="58" t="s">
        <v>67</v>
      </c>
      <c r="T15" s="58" t="s">
        <v>67</v>
      </c>
      <c r="U15" s="58" t="s">
        <v>67</v>
      </c>
      <c r="V15" s="58" t="s">
        <v>67</v>
      </c>
      <c r="W15" s="58" t="s">
        <v>67</v>
      </c>
      <c r="X15" s="58" t="s">
        <v>67</v>
      </c>
      <c r="Y15" s="58" t="s">
        <v>67</v>
      </c>
      <c r="Z15" s="58" t="s">
        <v>67</v>
      </c>
      <c r="AA15" s="58" t="s">
        <v>67</v>
      </c>
      <c r="AB15" s="58" t="s">
        <v>270</v>
      </c>
      <c r="AC15" s="58" t="s">
        <v>270</v>
      </c>
      <c r="AD15" s="130" t="s">
        <v>270</v>
      </c>
      <c r="AE15" s="130" t="s">
        <v>270</v>
      </c>
      <c r="AF15" s="130" t="s">
        <v>270</v>
      </c>
      <c r="AG15" s="130" t="s">
        <v>270</v>
      </c>
      <c r="AH15" s="130" t="s">
        <v>270</v>
      </c>
      <c r="AI15" s="130" t="s">
        <v>270</v>
      </c>
      <c r="AJ15" s="26"/>
      <c r="AL15" t="str">
        <f t="shared" ca="1" si="0"/>
        <v xml:space="preserve">    (U1)ALERT_REQ_S_PSSDI_RWRN_</v>
      </c>
      <c r="AR15" s="60" t="str">
        <f t="shared" si="3"/>
        <v/>
      </c>
      <c r="AS15" s="60" t="str">
        <f t="shared" si="4"/>
        <v/>
      </c>
      <c r="AT15" s="60" t="str">
        <f t="shared" si="1"/>
        <v/>
      </c>
      <c r="AU15" s="60" t="str">
        <f ca="1">"        (U1)"&amp;$AW$16&amp;REPT(" ",67-LEN($AW$16))&amp;"/* u1_vom_act                                         */"</f>
        <v xml:space="preserve">        (U1)ALERT_VOM_IGN_ON                                                   /* u1_vom_act                                         */</v>
      </c>
      <c r="AV15" s="46" t="s">
        <v>78</v>
      </c>
      <c r="AW15" s="65" t="str">
        <f ca="1">IF(AW6&lt;&gt;AW17,VLOOKUP(AW6,Matrix!$C$13:$G$37,5,FALSE),Matrix!G13)</f>
        <v>vd_s_AlertS_pssdi_rwrnRwTx</v>
      </c>
    </row>
    <row r="16" spans="1:49">
      <c r="B16" s="134"/>
      <c r="C16" s="44">
        <f t="shared" si="2"/>
        <v>10</v>
      </c>
      <c r="D16" s="58" t="s">
        <v>67</v>
      </c>
      <c r="E16" s="58" t="s">
        <v>67</v>
      </c>
      <c r="F16" s="58" t="s">
        <v>67</v>
      </c>
      <c r="G16" s="58" t="s">
        <v>67</v>
      </c>
      <c r="H16" s="58" t="s">
        <v>67</v>
      </c>
      <c r="I16" s="58" t="s">
        <v>67</v>
      </c>
      <c r="J16" s="58" t="s">
        <v>67</v>
      </c>
      <c r="K16" s="58" t="s">
        <v>67</v>
      </c>
      <c r="L16" s="58" t="s">
        <v>67</v>
      </c>
      <c r="M16" s="58" t="s">
        <v>67</v>
      </c>
      <c r="N16" s="58" t="s">
        <v>67</v>
      </c>
      <c r="O16" s="58" t="s">
        <v>67</v>
      </c>
      <c r="P16" s="58" t="s">
        <v>67</v>
      </c>
      <c r="Q16" s="58" t="s">
        <v>67</v>
      </c>
      <c r="R16" s="58" t="s">
        <v>67</v>
      </c>
      <c r="S16" s="58" t="s">
        <v>67</v>
      </c>
      <c r="T16" s="58" t="s">
        <v>67</v>
      </c>
      <c r="U16" s="58" t="s">
        <v>67</v>
      </c>
      <c r="V16" s="58" t="s">
        <v>67</v>
      </c>
      <c r="W16" s="58" t="s">
        <v>67</v>
      </c>
      <c r="X16" s="58" t="s">
        <v>67</v>
      </c>
      <c r="Y16" s="58" t="s">
        <v>67</v>
      </c>
      <c r="Z16" s="58" t="s">
        <v>67</v>
      </c>
      <c r="AA16" s="58" t="s">
        <v>67</v>
      </c>
      <c r="AB16" s="58" t="s">
        <v>270</v>
      </c>
      <c r="AC16" s="58" t="s">
        <v>270</v>
      </c>
      <c r="AD16" s="130" t="s">
        <v>270</v>
      </c>
      <c r="AE16" s="130" t="s">
        <v>270</v>
      </c>
      <c r="AF16" s="130" t="s">
        <v>270</v>
      </c>
      <c r="AG16" s="130" t="s">
        <v>270</v>
      </c>
      <c r="AH16" s="130" t="s">
        <v>270</v>
      </c>
      <c r="AI16" s="130" t="s">
        <v>270</v>
      </c>
      <c r="AJ16" s="26"/>
      <c r="AL16" t="str">
        <f t="shared" ca="1" si="0"/>
        <v xml:space="preserve">    (U1)ALERT_REQ_S_PSSDI_RWRN_</v>
      </c>
      <c r="AR16" s="60" t="str">
        <f t="shared" si="3"/>
        <v/>
      </c>
      <c r="AS16" s="60" t="str">
        <f t="shared" si="4"/>
        <v/>
      </c>
      <c r="AT16" s="60" t="str">
        <f t="shared" si="1"/>
        <v/>
      </c>
      <c r="AU16" s="60" t="s">
        <v>306</v>
      </c>
      <c r="AV16" s="46" t="s">
        <v>76</v>
      </c>
      <c r="AW16" s="65" t="str">
        <f ca="1">IF(AW6&lt;&gt;AW17,VLOOKUP(AW6,Matrix!$C$13:$G$37,2,FALSE),Matrix!D13)</f>
        <v>ALERT_VOM_IGN_ON</v>
      </c>
    </row>
    <row r="17" spans="2:49" ht="14.25" thickBot="1">
      <c r="B17" s="134"/>
      <c r="C17" s="44">
        <f t="shared" si="2"/>
        <v>11</v>
      </c>
      <c r="D17" s="58" t="s">
        <v>67</v>
      </c>
      <c r="E17" s="58" t="s">
        <v>67</v>
      </c>
      <c r="F17" s="58" t="s">
        <v>67</v>
      </c>
      <c r="G17" s="58" t="s">
        <v>67</v>
      </c>
      <c r="H17" s="58" t="s">
        <v>67</v>
      </c>
      <c r="I17" s="58" t="s">
        <v>67</v>
      </c>
      <c r="J17" s="58" t="s">
        <v>67</v>
      </c>
      <c r="K17" s="58" t="s">
        <v>67</v>
      </c>
      <c r="L17" s="58" t="s">
        <v>67</v>
      </c>
      <c r="M17" s="58" t="s">
        <v>67</v>
      </c>
      <c r="N17" s="58" t="s">
        <v>67</v>
      </c>
      <c r="O17" s="58" t="s">
        <v>67</v>
      </c>
      <c r="P17" s="58" t="s">
        <v>67</v>
      </c>
      <c r="Q17" s="58" t="s">
        <v>67</v>
      </c>
      <c r="R17" s="58" t="s">
        <v>67</v>
      </c>
      <c r="S17" s="58" t="s">
        <v>67</v>
      </c>
      <c r="T17" s="58" t="s">
        <v>67</v>
      </c>
      <c r="U17" s="58" t="s">
        <v>67</v>
      </c>
      <c r="V17" s="58" t="s">
        <v>67</v>
      </c>
      <c r="W17" s="58" t="s">
        <v>67</v>
      </c>
      <c r="X17" s="58" t="s">
        <v>67</v>
      </c>
      <c r="Y17" s="58" t="s">
        <v>67</v>
      </c>
      <c r="Z17" s="58" t="s">
        <v>67</v>
      </c>
      <c r="AA17" s="58" t="s">
        <v>67</v>
      </c>
      <c r="AB17" s="58" t="s">
        <v>270</v>
      </c>
      <c r="AC17" s="58" t="s">
        <v>270</v>
      </c>
      <c r="AD17" s="130" t="s">
        <v>270</v>
      </c>
      <c r="AE17" s="130" t="s">
        <v>270</v>
      </c>
      <c r="AF17" s="130" t="s">
        <v>270</v>
      </c>
      <c r="AG17" s="130" t="s">
        <v>270</v>
      </c>
      <c r="AH17" s="130" t="s">
        <v>270</v>
      </c>
      <c r="AI17" s="130" t="s">
        <v>270</v>
      </c>
      <c r="AJ17" s="26"/>
      <c r="AL17" t="str">
        <f t="shared" ca="1" si="0"/>
        <v xml:space="preserve">    (U1)ALERT_REQ_S_PSSDI_RWRN_</v>
      </c>
      <c r="AR17" s="60" t="str">
        <f t="shared" si="3"/>
        <v/>
      </c>
      <c r="AS17" s="60" t="str">
        <f t="shared" si="4"/>
        <v/>
      </c>
      <c r="AT17" s="60" t="str">
        <f t="shared" si="1"/>
        <v/>
      </c>
      <c r="AU17" s="61" t="s">
        <v>307</v>
      </c>
      <c r="AV17" s="47" t="s">
        <v>77</v>
      </c>
      <c r="AW17" s="66" t="str">
        <f ca="1">UPPER(Matrix!$D$6)</f>
        <v>S_PSSDI_RWRN</v>
      </c>
    </row>
    <row r="18" spans="2:49">
      <c r="B18" s="134"/>
      <c r="C18" s="44">
        <f t="shared" si="2"/>
        <v>12</v>
      </c>
      <c r="D18" s="58" t="s">
        <v>67</v>
      </c>
      <c r="E18" s="58" t="s">
        <v>67</v>
      </c>
      <c r="F18" s="58" t="s">
        <v>67</v>
      </c>
      <c r="G18" s="58" t="s">
        <v>67</v>
      </c>
      <c r="H18" s="58" t="s">
        <v>67</v>
      </c>
      <c r="I18" s="58" t="s">
        <v>67</v>
      </c>
      <c r="J18" s="58" t="s">
        <v>67</v>
      </c>
      <c r="K18" s="58" t="s">
        <v>67</v>
      </c>
      <c r="L18" s="58" t="s">
        <v>67</v>
      </c>
      <c r="M18" s="58" t="s">
        <v>67</v>
      </c>
      <c r="N18" s="58" t="s">
        <v>67</v>
      </c>
      <c r="O18" s="58" t="s">
        <v>67</v>
      </c>
      <c r="P18" s="58" t="s">
        <v>67</v>
      </c>
      <c r="Q18" s="58" t="s">
        <v>67</v>
      </c>
      <c r="R18" s="58" t="s">
        <v>67</v>
      </c>
      <c r="S18" s="58" t="s">
        <v>67</v>
      </c>
      <c r="T18" s="58" t="s">
        <v>67</v>
      </c>
      <c r="U18" s="58" t="s">
        <v>67</v>
      </c>
      <c r="V18" s="58" t="s">
        <v>67</v>
      </c>
      <c r="W18" s="58" t="s">
        <v>67</v>
      </c>
      <c r="X18" s="58" t="s">
        <v>67</v>
      </c>
      <c r="Y18" s="58" t="s">
        <v>67</v>
      </c>
      <c r="Z18" s="58" t="s">
        <v>67</v>
      </c>
      <c r="AA18" s="58" t="s">
        <v>67</v>
      </c>
      <c r="AB18" s="58" t="s">
        <v>270</v>
      </c>
      <c r="AC18" s="58" t="s">
        <v>270</v>
      </c>
      <c r="AD18" s="130" t="s">
        <v>270</v>
      </c>
      <c r="AE18" s="130" t="s">
        <v>270</v>
      </c>
      <c r="AF18" s="130" t="s">
        <v>270</v>
      </c>
      <c r="AG18" s="130" t="s">
        <v>270</v>
      </c>
      <c r="AH18" s="130" t="s">
        <v>270</v>
      </c>
      <c r="AI18" s="130" t="s">
        <v>270</v>
      </c>
      <c r="AJ18" s="26"/>
      <c r="AL18" t="str">
        <f t="shared" ca="1" si="0"/>
        <v xml:space="preserve">    (U1)ALERT_REQ_S_PSSDI_RWRN_</v>
      </c>
      <c r="AR18" s="60" t="str">
        <f t="shared" si="3"/>
        <v/>
      </c>
      <c r="AS18" s="60" t="str">
        <f t="shared" si="4"/>
        <v/>
      </c>
      <c r="AT18" s="60" t="str">
        <f t="shared" si="1"/>
        <v/>
      </c>
    </row>
    <row r="19" spans="2:49">
      <c r="B19" s="134"/>
      <c r="C19" s="44">
        <f t="shared" si="2"/>
        <v>13</v>
      </c>
      <c r="D19" s="58" t="s">
        <v>67</v>
      </c>
      <c r="E19" s="58" t="s">
        <v>67</v>
      </c>
      <c r="F19" s="58" t="s">
        <v>67</v>
      </c>
      <c r="G19" s="58" t="s">
        <v>67</v>
      </c>
      <c r="H19" s="58" t="s">
        <v>67</v>
      </c>
      <c r="I19" s="58" t="s">
        <v>67</v>
      </c>
      <c r="J19" s="58" t="s">
        <v>67</v>
      </c>
      <c r="K19" s="58" t="s">
        <v>67</v>
      </c>
      <c r="L19" s="58" t="s">
        <v>67</v>
      </c>
      <c r="M19" s="58" t="s">
        <v>67</v>
      </c>
      <c r="N19" s="58" t="s">
        <v>67</v>
      </c>
      <c r="O19" s="58" t="s">
        <v>67</v>
      </c>
      <c r="P19" s="58" t="s">
        <v>67</v>
      </c>
      <c r="Q19" s="58" t="s">
        <v>67</v>
      </c>
      <c r="R19" s="58" t="s">
        <v>67</v>
      </c>
      <c r="S19" s="58" t="s">
        <v>67</v>
      </c>
      <c r="T19" s="58" t="s">
        <v>67</v>
      </c>
      <c r="U19" s="58" t="s">
        <v>67</v>
      </c>
      <c r="V19" s="58" t="s">
        <v>67</v>
      </c>
      <c r="W19" s="58" t="s">
        <v>67</v>
      </c>
      <c r="X19" s="58" t="s">
        <v>67</v>
      </c>
      <c r="Y19" s="58" t="s">
        <v>67</v>
      </c>
      <c r="Z19" s="58" t="s">
        <v>67</v>
      </c>
      <c r="AA19" s="58" t="s">
        <v>67</v>
      </c>
      <c r="AB19" s="58" t="s">
        <v>270</v>
      </c>
      <c r="AC19" s="58" t="s">
        <v>270</v>
      </c>
      <c r="AD19" s="130" t="s">
        <v>270</v>
      </c>
      <c r="AE19" s="130" t="s">
        <v>270</v>
      </c>
      <c r="AF19" s="130" t="s">
        <v>270</v>
      </c>
      <c r="AG19" s="130" t="s">
        <v>270</v>
      </c>
      <c r="AH19" s="130" t="s">
        <v>270</v>
      </c>
      <c r="AI19" s="130" t="s">
        <v>270</v>
      </c>
      <c r="AJ19" s="26"/>
      <c r="AL19" t="str">
        <f t="shared" ca="1" si="0"/>
        <v xml:space="preserve">    (U1)ALERT_REQ_S_PSSDI_RWRN_</v>
      </c>
      <c r="AR19" s="60" t="str">
        <f t="shared" si="3"/>
        <v/>
      </c>
      <c r="AS19" s="60" t="str">
        <f t="shared" si="4"/>
        <v/>
      </c>
      <c r="AT19" s="60" t="str">
        <f t="shared" si="1"/>
        <v/>
      </c>
    </row>
    <row r="20" spans="2:49">
      <c r="B20" s="134"/>
      <c r="C20" s="44">
        <f t="shared" si="2"/>
        <v>14</v>
      </c>
      <c r="D20" s="58" t="s">
        <v>67</v>
      </c>
      <c r="E20" s="58" t="s">
        <v>67</v>
      </c>
      <c r="F20" s="58" t="s">
        <v>67</v>
      </c>
      <c r="G20" s="58" t="s">
        <v>67</v>
      </c>
      <c r="H20" s="58" t="s">
        <v>67</v>
      </c>
      <c r="I20" s="58" t="s">
        <v>67</v>
      </c>
      <c r="J20" s="58" t="s">
        <v>67</v>
      </c>
      <c r="K20" s="58" t="s">
        <v>67</v>
      </c>
      <c r="L20" s="58" t="s">
        <v>67</v>
      </c>
      <c r="M20" s="58" t="s">
        <v>67</v>
      </c>
      <c r="N20" s="58" t="s">
        <v>67</v>
      </c>
      <c r="O20" s="58" t="s">
        <v>67</v>
      </c>
      <c r="P20" s="58" t="s">
        <v>67</v>
      </c>
      <c r="Q20" s="58" t="s">
        <v>67</v>
      </c>
      <c r="R20" s="58" t="s">
        <v>67</v>
      </c>
      <c r="S20" s="58" t="s">
        <v>67</v>
      </c>
      <c r="T20" s="58" t="s">
        <v>67</v>
      </c>
      <c r="U20" s="58" t="s">
        <v>67</v>
      </c>
      <c r="V20" s="58" t="s">
        <v>67</v>
      </c>
      <c r="W20" s="58" t="s">
        <v>67</v>
      </c>
      <c r="X20" s="58" t="s">
        <v>67</v>
      </c>
      <c r="Y20" s="58" t="s">
        <v>67</v>
      </c>
      <c r="Z20" s="58" t="s">
        <v>67</v>
      </c>
      <c r="AA20" s="58" t="s">
        <v>67</v>
      </c>
      <c r="AB20" s="58" t="s">
        <v>270</v>
      </c>
      <c r="AC20" s="58" t="s">
        <v>270</v>
      </c>
      <c r="AD20" s="130" t="s">
        <v>270</v>
      </c>
      <c r="AE20" s="130" t="s">
        <v>270</v>
      </c>
      <c r="AF20" s="130" t="s">
        <v>270</v>
      </c>
      <c r="AG20" s="130" t="s">
        <v>270</v>
      </c>
      <c r="AH20" s="130" t="s">
        <v>270</v>
      </c>
      <c r="AI20" s="130" t="s">
        <v>270</v>
      </c>
      <c r="AJ20" s="26"/>
      <c r="AL20" t="str">
        <f t="shared" ca="1" si="0"/>
        <v xml:space="preserve">    (U1)ALERT_REQ_S_PSSDI_RWRN_</v>
      </c>
      <c r="AR20" s="60" t="str">
        <f t="shared" si="3"/>
        <v/>
      </c>
      <c r="AS20" s="60" t="str">
        <f t="shared" si="4"/>
        <v/>
      </c>
      <c r="AT20" s="60" t="str">
        <f t="shared" si="1"/>
        <v/>
      </c>
    </row>
    <row r="21" spans="2:49">
      <c r="B21" s="134"/>
      <c r="C21" s="44">
        <f t="shared" si="2"/>
        <v>15</v>
      </c>
      <c r="D21" s="58" t="s">
        <v>67</v>
      </c>
      <c r="E21" s="58" t="s">
        <v>67</v>
      </c>
      <c r="F21" s="58" t="s">
        <v>67</v>
      </c>
      <c r="G21" s="58" t="s">
        <v>67</v>
      </c>
      <c r="H21" s="58" t="s">
        <v>67</v>
      </c>
      <c r="I21" s="58" t="s">
        <v>67</v>
      </c>
      <c r="J21" s="58" t="s">
        <v>67</v>
      </c>
      <c r="K21" s="58" t="s">
        <v>67</v>
      </c>
      <c r="L21" s="58" t="s">
        <v>67</v>
      </c>
      <c r="M21" s="58" t="s">
        <v>67</v>
      </c>
      <c r="N21" s="58" t="s">
        <v>67</v>
      </c>
      <c r="O21" s="58" t="s">
        <v>67</v>
      </c>
      <c r="P21" s="58" t="s">
        <v>67</v>
      </c>
      <c r="Q21" s="58" t="s">
        <v>67</v>
      </c>
      <c r="R21" s="58" t="s">
        <v>67</v>
      </c>
      <c r="S21" s="58" t="s">
        <v>67</v>
      </c>
      <c r="T21" s="58" t="s">
        <v>67</v>
      </c>
      <c r="U21" s="58" t="s">
        <v>67</v>
      </c>
      <c r="V21" s="58" t="s">
        <v>67</v>
      </c>
      <c r="W21" s="58" t="s">
        <v>67</v>
      </c>
      <c r="X21" s="58" t="s">
        <v>67</v>
      </c>
      <c r="Y21" s="58" t="s">
        <v>67</v>
      </c>
      <c r="Z21" s="58" t="s">
        <v>67</v>
      </c>
      <c r="AA21" s="58" t="s">
        <v>67</v>
      </c>
      <c r="AB21" s="58" t="s">
        <v>67</v>
      </c>
      <c r="AC21" s="58" t="s">
        <v>67</v>
      </c>
      <c r="AD21" s="58" t="s">
        <v>67</v>
      </c>
      <c r="AE21" s="130" t="s">
        <v>67</v>
      </c>
      <c r="AF21" s="130" t="s">
        <v>270</v>
      </c>
      <c r="AG21" s="130" t="s">
        <v>270</v>
      </c>
      <c r="AH21" s="130" t="s">
        <v>270</v>
      </c>
      <c r="AI21" s="130" t="s">
        <v>270</v>
      </c>
      <c r="AJ21" s="26"/>
      <c r="AL21" t="str">
        <f t="shared" ca="1" si="0"/>
        <v xml:space="preserve">    (U1)ALERT_REQ_S_PSSDI_RWRN_</v>
      </c>
      <c r="AR21" s="60" t="str">
        <f t="shared" si="3"/>
        <v/>
      </c>
      <c r="AS21" s="60" t="str">
        <f t="shared" si="4"/>
        <v/>
      </c>
      <c r="AT21" s="60" t="str">
        <f t="shared" si="1"/>
        <v/>
      </c>
    </row>
    <row r="22" spans="2:49">
      <c r="B22" s="134"/>
      <c r="C22" s="44">
        <f t="shared" si="2"/>
        <v>16</v>
      </c>
      <c r="D22" s="58" t="s">
        <v>67</v>
      </c>
      <c r="E22" s="58" t="s">
        <v>67</v>
      </c>
      <c r="F22" s="58" t="s">
        <v>67</v>
      </c>
      <c r="G22" s="58" t="s">
        <v>67</v>
      </c>
      <c r="H22" s="58" t="s">
        <v>67</v>
      </c>
      <c r="I22" s="58" t="s">
        <v>67</v>
      </c>
      <c r="J22" s="58" t="s">
        <v>67</v>
      </c>
      <c r="K22" s="58" t="s">
        <v>67</v>
      </c>
      <c r="L22" s="58" t="s">
        <v>67</v>
      </c>
      <c r="M22" s="58" t="s">
        <v>67</v>
      </c>
      <c r="N22" s="58" t="s">
        <v>67</v>
      </c>
      <c r="O22" s="58" t="s">
        <v>67</v>
      </c>
      <c r="P22" s="58" t="s">
        <v>67</v>
      </c>
      <c r="Q22" s="58" t="s">
        <v>67</v>
      </c>
      <c r="R22" s="58" t="s">
        <v>67</v>
      </c>
      <c r="S22" s="58" t="s">
        <v>67</v>
      </c>
      <c r="T22" s="58" t="s">
        <v>67</v>
      </c>
      <c r="U22" s="58" t="s">
        <v>67</v>
      </c>
      <c r="V22" s="58" t="s">
        <v>67</v>
      </c>
      <c r="W22" s="58" t="s">
        <v>67</v>
      </c>
      <c r="X22" s="58" t="s">
        <v>67</v>
      </c>
      <c r="Y22" s="58" t="s">
        <v>67</v>
      </c>
      <c r="Z22" s="58" t="s">
        <v>67</v>
      </c>
      <c r="AA22" s="58" t="s">
        <v>67</v>
      </c>
      <c r="AB22" s="58" t="s">
        <v>67</v>
      </c>
      <c r="AC22" s="58" t="s">
        <v>67</v>
      </c>
      <c r="AD22" s="58" t="s">
        <v>67</v>
      </c>
      <c r="AE22" s="130" t="s">
        <v>67</v>
      </c>
      <c r="AF22" s="130" t="s">
        <v>67</v>
      </c>
      <c r="AG22" s="130" t="s">
        <v>67</v>
      </c>
      <c r="AH22" s="130" t="s">
        <v>67</v>
      </c>
      <c r="AI22" s="130" t="s">
        <v>67</v>
      </c>
      <c r="AJ22" s="26"/>
      <c r="AL22" t="str">
        <f t="shared" ca="1" si="0"/>
        <v xml:space="preserve">    (U1)ALERT_REQ_S_PSSDI_RWRN_</v>
      </c>
      <c r="AR22" s="60" t="str">
        <f t="shared" si="3"/>
        <v/>
      </c>
      <c r="AS22" s="60" t="str">
        <f t="shared" si="4"/>
        <v/>
      </c>
      <c r="AT22" s="60" t="str">
        <f t="shared" si="1"/>
        <v/>
      </c>
    </row>
    <row r="23" spans="2:49">
      <c r="B23" s="134"/>
      <c r="C23" s="44">
        <f t="shared" si="2"/>
        <v>17</v>
      </c>
      <c r="D23" s="58" t="s">
        <v>67</v>
      </c>
      <c r="E23" s="58" t="s">
        <v>67</v>
      </c>
      <c r="F23" s="58" t="s">
        <v>67</v>
      </c>
      <c r="G23" s="58" t="s">
        <v>67</v>
      </c>
      <c r="H23" s="58" t="s">
        <v>67</v>
      </c>
      <c r="I23" s="58" t="s">
        <v>67</v>
      </c>
      <c r="J23" s="58" t="s">
        <v>67</v>
      </c>
      <c r="K23" s="58" t="s">
        <v>67</v>
      </c>
      <c r="L23" s="58" t="s">
        <v>67</v>
      </c>
      <c r="M23" s="58" t="s">
        <v>67</v>
      </c>
      <c r="N23" s="58" t="s">
        <v>67</v>
      </c>
      <c r="O23" s="58" t="s">
        <v>67</v>
      </c>
      <c r="P23" s="58" t="s">
        <v>67</v>
      </c>
      <c r="Q23" s="58" t="s">
        <v>67</v>
      </c>
      <c r="R23" s="58" t="s">
        <v>67</v>
      </c>
      <c r="S23" s="58" t="s">
        <v>67</v>
      </c>
      <c r="T23" s="58" t="s">
        <v>67</v>
      </c>
      <c r="U23" s="58" t="s">
        <v>67</v>
      </c>
      <c r="V23" s="58" t="s">
        <v>67</v>
      </c>
      <c r="W23" s="58" t="s">
        <v>67</v>
      </c>
      <c r="X23" s="58" t="s">
        <v>67</v>
      </c>
      <c r="Y23" s="58" t="s">
        <v>67</v>
      </c>
      <c r="Z23" s="58" t="s">
        <v>67</v>
      </c>
      <c r="AA23" s="58" t="s">
        <v>67</v>
      </c>
      <c r="AB23" s="58" t="s">
        <v>67</v>
      </c>
      <c r="AC23" s="58" t="s">
        <v>67</v>
      </c>
      <c r="AD23" s="58" t="s">
        <v>67</v>
      </c>
      <c r="AE23" s="130" t="s">
        <v>67</v>
      </c>
      <c r="AF23" s="130" t="s">
        <v>67</v>
      </c>
      <c r="AG23" s="130" t="s">
        <v>67</v>
      </c>
      <c r="AH23" s="130" t="s">
        <v>67</v>
      </c>
      <c r="AI23" s="130" t="s">
        <v>67</v>
      </c>
      <c r="AJ23" s="26"/>
      <c r="AL23" t="str">
        <f t="shared" ca="1" si="0"/>
        <v xml:space="preserve">    (U1)ALERT_REQ_S_PSSDI_RWRN_</v>
      </c>
      <c r="AR23" s="60" t="str">
        <f t="shared" si="3"/>
        <v/>
      </c>
      <c r="AS23" s="60" t="str">
        <f t="shared" si="4"/>
        <v/>
      </c>
      <c r="AT23" s="60" t="str">
        <f t="shared" si="1"/>
        <v/>
      </c>
    </row>
    <row r="24" spans="2:49">
      <c r="B24" s="134"/>
      <c r="C24" s="44">
        <f t="shared" si="2"/>
        <v>18</v>
      </c>
      <c r="D24" s="58" t="s">
        <v>67</v>
      </c>
      <c r="E24" s="58" t="s">
        <v>67</v>
      </c>
      <c r="F24" s="58" t="s">
        <v>67</v>
      </c>
      <c r="G24" s="58" t="s">
        <v>67</v>
      </c>
      <c r="H24" s="58" t="s">
        <v>67</v>
      </c>
      <c r="I24" s="58" t="s">
        <v>67</v>
      </c>
      <c r="J24" s="58" t="s">
        <v>67</v>
      </c>
      <c r="K24" s="58" t="s">
        <v>67</v>
      </c>
      <c r="L24" s="58" t="s">
        <v>67</v>
      </c>
      <c r="M24" s="58" t="s">
        <v>67</v>
      </c>
      <c r="N24" s="58" t="s">
        <v>67</v>
      </c>
      <c r="O24" s="58" t="s">
        <v>67</v>
      </c>
      <c r="P24" s="58" t="s">
        <v>67</v>
      </c>
      <c r="Q24" s="58" t="s">
        <v>67</v>
      </c>
      <c r="R24" s="58" t="s">
        <v>67</v>
      </c>
      <c r="S24" s="58" t="s">
        <v>67</v>
      </c>
      <c r="T24" s="58" t="s">
        <v>67</v>
      </c>
      <c r="U24" s="58" t="s">
        <v>67</v>
      </c>
      <c r="V24" s="58" t="s">
        <v>67</v>
      </c>
      <c r="W24" s="58" t="s">
        <v>67</v>
      </c>
      <c r="X24" s="58" t="s">
        <v>67</v>
      </c>
      <c r="Y24" s="58" t="s">
        <v>67</v>
      </c>
      <c r="Z24" s="58" t="s">
        <v>67</v>
      </c>
      <c r="AA24" s="58" t="s">
        <v>67</v>
      </c>
      <c r="AB24" s="58" t="s">
        <v>67</v>
      </c>
      <c r="AC24" s="58" t="s">
        <v>67</v>
      </c>
      <c r="AD24" s="58" t="s">
        <v>67</v>
      </c>
      <c r="AE24" s="130" t="s">
        <v>67</v>
      </c>
      <c r="AF24" s="130" t="s">
        <v>67</v>
      </c>
      <c r="AG24" s="130" t="s">
        <v>67</v>
      </c>
      <c r="AH24" s="130" t="s">
        <v>67</v>
      </c>
      <c r="AI24" s="130" t="s">
        <v>67</v>
      </c>
      <c r="AJ24" s="26"/>
      <c r="AL24" t="str">
        <f t="shared" ca="1" si="0"/>
        <v xml:space="preserve">    (U1)ALERT_REQ_S_PSSDI_RWRN_</v>
      </c>
      <c r="AR24" s="60" t="str">
        <f t="shared" si="3"/>
        <v/>
      </c>
      <c r="AS24" s="60" t="str">
        <f t="shared" si="4"/>
        <v/>
      </c>
      <c r="AT24" s="60" t="str">
        <f t="shared" si="1"/>
        <v/>
      </c>
    </row>
    <row r="25" spans="2:49">
      <c r="B25" s="134"/>
      <c r="C25" s="44">
        <f t="shared" si="2"/>
        <v>19</v>
      </c>
      <c r="D25" s="58" t="s">
        <v>67</v>
      </c>
      <c r="E25" s="58" t="s">
        <v>67</v>
      </c>
      <c r="F25" s="58" t="s">
        <v>67</v>
      </c>
      <c r="G25" s="58" t="s">
        <v>67</v>
      </c>
      <c r="H25" s="58" t="s">
        <v>67</v>
      </c>
      <c r="I25" s="58" t="s">
        <v>67</v>
      </c>
      <c r="J25" s="58" t="s">
        <v>67</v>
      </c>
      <c r="K25" s="58" t="s">
        <v>67</v>
      </c>
      <c r="L25" s="58" t="s">
        <v>67</v>
      </c>
      <c r="M25" s="58" t="s">
        <v>67</v>
      </c>
      <c r="N25" s="58" t="s">
        <v>67</v>
      </c>
      <c r="O25" s="58" t="s">
        <v>67</v>
      </c>
      <c r="P25" s="58" t="s">
        <v>67</v>
      </c>
      <c r="Q25" s="58" t="s">
        <v>67</v>
      </c>
      <c r="R25" s="58" t="s">
        <v>67</v>
      </c>
      <c r="S25" s="58" t="s">
        <v>67</v>
      </c>
      <c r="T25" s="58" t="s">
        <v>67</v>
      </c>
      <c r="U25" s="58" t="s">
        <v>67</v>
      </c>
      <c r="V25" s="58" t="s">
        <v>67</v>
      </c>
      <c r="W25" s="58" t="s">
        <v>67</v>
      </c>
      <c r="X25" s="58" t="s">
        <v>67</v>
      </c>
      <c r="Y25" s="58" t="s">
        <v>67</v>
      </c>
      <c r="Z25" s="58" t="s">
        <v>67</v>
      </c>
      <c r="AA25" s="58" t="s">
        <v>67</v>
      </c>
      <c r="AB25" s="58" t="s">
        <v>67</v>
      </c>
      <c r="AC25" s="58" t="s">
        <v>67</v>
      </c>
      <c r="AD25" s="58" t="s">
        <v>67</v>
      </c>
      <c r="AE25" s="130" t="s">
        <v>67</v>
      </c>
      <c r="AF25" s="130" t="s">
        <v>67</v>
      </c>
      <c r="AG25" s="130" t="s">
        <v>67</v>
      </c>
      <c r="AH25" s="130" t="s">
        <v>67</v>
      </c>
      <c r="AI25" s="130" t="s">
        <v>67</v>
      </c>
      <c r="AJ25" s="26"/>
      <c r="AL25" t="str">
        <f t="shared" ca="1" si="0"/>
        <v xml:space="preserve">    (U1)ALERT_REQ_S_PSSDI_RWRN_</v>
      </c>
      <c r="AR25" s="60" t="str">
        <f t="shared" si="3"/>
        <v/>
      </c>
      <c r="AS25" s="60" t="str">
        <f t="shared" si="4"/>
        <v/>
      </c>
      <c r="AT25" s="60" t="str">
        <f t="shared" si="1"/>
        <v/>
      </c>
    </row>
    <row r="26" spans="2:49">
      <c r="B26" s="134"/>
      <c r="C26" s="44">
        <f t="shared" si="2"/>
        <v>20</v>
      </c>
      <c r="D26" s="58" t="s">
        <v>67</v>
      </c>
      <c r="E26" s="58" t="s">
        <v>67</v>
      </c>
      <c r="F26" s="58" t="s">
        <v>67</v>
      </c>
      <c r="G26" s="58" t="s">
        <v>67</v>
      </c>
      <c r="H26" s="58" t="s">
        <v>67</v>
      </c>
      <c r="I26" s="58" t="s">
        <v>67</v>
      </c>
      <c r="J26" s="58" t="s">
        <v>67</v>
      </c>
      <c r="K26" s="58" t="s">
        <v>67</v>
      </c>
      <c r="L26" s="58" t="s">
        <v>67</v>
      </c>
      <c r="M26" s="58" t="s">
        <v>67</v>
      </c>
      <c r="N26" s="58" t="s">
        <v>67</v>
      </c>
      <c r="O26" s="58" t="s">
        <v>67</v>
      </c>
      <c r="P26" s="58" t="s">
        <v>67</v>
      </c>
      <c r="Q26" s="58" t="s">
        <v>67</v>
      </c>
      <c r="R26" s="58" t="s">
        <v>67</v>
      </c>
      <c r="S26" s="58" t="s">
        <v>67</v>
      </c>
      <c r="T26" s="58" t="s">
        <v>67</v>
      </c>
      <c r="U26" s="58" t="s">
        <v>67</v>
      </c>
      <c r="V26" s="58" t="s">
        <v>67</v>
      </c>
      <c r="W26" s="58" t="s">
        <v>67</v>
      </c>
      <c r="X26" s="58" t="s">
        <v>67</v>
      </c>
      <c r="Y26" s="58" t="s">
        <v>67</v>
      </c>
      <c r="Z26" s="58" t="s">
        <v>67</v>
      </c>
      <c r="AA26" s="58" t="s">
        <v>67</v>
      </c>
      <c r="AB26" s="58" t="s">
        <v>67</v>
      </c>
      <c r="AC26" s="58" t="s">
        <v>67</v>
      </c>
      <c r="AD26" s="58" t="s">
        <v>67</v>
      </c>
      <c r="AE26" s="130" t="s">
        <v>67</v>
      </c>
      <c r="AF26" s="130" t="s">
        <v>67</v>
      </c>
      <c r="AG26" s="130" t="s">
        <v>67</v>
      </c>
      <c r="AH26" s="130" t="s">
        <v>67</v>
      </c>
      <c r="AI26" s="130" t="s">
        <v>67</v>
      </c>
      <c r="AJ26" s="26"/>
      <c r="AL26" t="str">
        <f t="shared" ca="1" si="0"/>
        <v xml:space="preserve">    (U1)ALERT_REQ_S_PSSDI_RWRN_</v>
      </c>
      <c r="AR26" s="60" t="str">
        <f t="shared" si="3"/>
        <v/>
      </c>
      <c r="AS26" s="60" t="str">
        <f t="shared" si="4"/>
        <v/>
      </c>
      <c r="AT26" s="60" t="str">
        <f t="shared" si="1"/>
        <v/>
      </c>
    </row>
    <row r="27" spans="2:49">
      <c r="B27" s="134"/>
      <c r="C27" s="44">
        <f t="shared" si="2"/>
        <v>21</v>
      </c>
      <c r="D27" s="58" t="s">
        <v>67</v>
      </c>
      <c r="E27" s="58" t="s">
        <v>67</v>
      </c>
      <c r="F27" s="58" t="s">
        <v>67</v>
      </c>
      <c r="G27" s="58" t="s">
        <v>67</v>
      </c>
      <c r="H27" s="58" t="s">
        <v>67</v>
      </c>
      <c r="I27" s="58" t="s">
        <v>67</v>
      </c>
      <c r="J27" s="58" t="s">
        <v>67</v>
      </c>
      <c r="K27" s="58" t="s">
        <v>67</v>
      </c>
      <c r="L27" s="58" t="s">
        <v>67</v>
      </c>
      <c r="M27" s="58" t="s">
        <v>67</v>
      </c>
      <c r="N27" s="58" t="s">
        <v>67</v>
      </c>
      <c r="O27" s="58" t="s">
        <v>67</v>
      </c>
      <c r="P27" s="58" t="s">
        <v>67</v>
      </c>
      <c r="Q27" s="58" t="s">
        <v>67</v>
      </c>
      <c r="R27" s="58" t="s">
        <v>67</v>
      </c>
      <c r="S27" s="58" t="s">
        <v>67</v>
      </c>
      <c r="T27" s="58" t="s">
        <v>67</v>
      </c>
      <c r="U27" s="58" t="s">
        <v>67</v>
      </c>
      <c r="V27" s="58" t="s">
        <v>67</v>
      </c>
      <c r="W27" s="58" t="s">
        <v>67</v>
      </c>
      <c r="X27" s="58" t="s">
        <v>67</v>
      </c>
      <c r="Y27" s="58" t="s">
        <v>67</v>
      </c>
      <c r="Z27" s="58" t="s">
        <v>67</v>
      </c>
      <c r="AA27" s="58" t="s">
        <v>67</v>
      </c>
      <c r="AB27" s="58" t="s">
        <v>67</v>
      </c>
      <c r="AC27" s="58" t="s">
        <v>67</v>
      </c>
      <c r="AD27" s="58" t="s">
        <v>67</v>
      </c>
      <c r="AE27" s="130" t="s">
        <v>67</v>
      </c>
      <c r="AF27" s="130" t="s">
        <v>67</v>
      </c>
      <c r="AG27" s="130" t="s">
        <v>67</v>
      </c>
      <c r="AH27" s="130" t="s">
        <v>67</v>
      </c>
      <c r="AI27" s="130" t="s">
        <v>67</v>
      </c>
      <c r="AJ27" s="26"/>
      <c r="AL27" t="str">
        <f t="shared" ca="1" si="0"/>
        <v xml:space="preserve">    (U1)ALERT_REQ_S_PSSDI_RWRN_</v>
      </c>
      <c r="AR27" s="60" t="str">
        <f t="shared" si="3"/>
        <v/>
      </c>
      <c r="AS27" s="60" t="str">
        <f t="shared" si="4"/>
        <v/>
      </c>
      <c r="AT27" s="60" t="str">
        <f t="shared" si="1"/>
        <v/>
      </c>
    </row>
    <row r="28" spans="2:49">
      <c r="B28" s="134"/>
      <c r="C28" s="44">
        <f t="shared" si="2"/>
        <v>22</v>
      </c>
      <c r="D28" s="58" t="s">
        <v>67</v>
      </c>
      <c r="E28" s="58" t="s">
        <v>67</v>
      </c>
      <c r="F28" s="58" t="s">
        <v>67</v>
      </c>
      <c r="G28" s="58" t="s">
        <v>67</v>
      </c>
      <c r="H28" s="58" t="s">
        <v>67</v>
      </c>
      <c r="I28" s="58" t="s">
        <v>67</v>
      </c>
      <c r="J28" s="58" t="s">
        <v>67</v>
      </c>
      <c r="K28" s="58" t="s">
        <v>67</v>
      </c>
      <c r="L28" s="58" t="s">
        <v>67</v>
      </c>
      <c r="M28" s="58" t="s">
        <v>67</v>
      </c>
      <c r="N28" s="58" t="s">
        <v>67</v>
      </c>
      <c r="O28" s="58" t="s">
        <v>67</v>
      </c>
      <c r="P28" s="58" t="s">
        <v>67</v>
      </c>
      <c r="Q28" s="58" t="s">
        <v>67</v>
      </c>
      <c r="R28" s="58" t="s">
        <v>67</v>
      </c>
      <c r="S28" s="58" t="s">
        <v>67</v>
      </c>
      <c r="T28" s="58" t="s">
        <v>67</v>
      </c>
      <c r="U28" s="58" t="s">
        <v>67</v>
      </c>
      <c r="V28" s="58" t="s">
        <v>67</v>
      </c>
      <c r="W28" s="58" t="s">
        <v>67</v>
      </c>
      <c r="X28" s="58" t="s">
        <v>67</v>
      </c>
      <c r="Y28" s="58" t="s">
        <v>67</v>
      </c>
      <c r="Z28" s="58" t="s">
        <v>67</v>
      </c>
      <c r="AA28" s="58" t="s">
        <v>67</v>
      </c>
      <c r="AB28" s="58" t="s">
        <v>67</v>
      </c>
      <c r="AC28" s="58" t="s">
        <v>67</v>
      </c>
      <c r="AD28" s="58" t="s">
        <v>67</v>
      </c>
      <c r="AE28" s="130" t="s">
        <v>67</v>
      </c>
      <c r="AF28" s="130" t="s">
        <v>67</v>
      </c>
      <c r="AG28" s="130" t="s">
        <v>67</v>
      </c>
      <c r="AH28" s="130" t="s">
        <v>67</v>
      </c>
      <c r="AI28" s="130" t="s">
        <v>67</v>
      </c>
      <c r="AJ28" s="26"/>
      <c r="AL28" t="str">
        <f t="shared" ca="1" si="0"/>
        <v xml:space="preserve">    (U1)ALERT_REQ_S_PSSDI_RWRN_</v>
      </c>
      <c r="AR28" s="60" t="str">
        <f t="shared" si="3"/>
        <v/>
      </c>
      <c r="AS28" s="60" t="str">
        <f t="shared" si="4"/>
        <v/>
      </c>
      <c r="AT28" s="60" t="str">
        <f t="shared" si="1"/>
        <v/>
      </c>
    </row>
    <row r="29" spans="2:49">
      <c r="B29" s="134"/>
      <c r="C29" s="44">
        <f t="shared" si="2"/>
        <v>23</v>
      </c>
      <c r="D29" s="58" t="s">
        <v>67</v>
      </c>
      <c r="E29" s="58" t="s">
        <v>67</v>
      </c>
      <c r="F29" s="58" t="s">
        <v>67</v>
      </c>
      <c r="G29" s="58" t="s">
        <v>67</v>
      </c>
      <c r="H29" s="58" t="s">
        <v>67</v>
      </c>
      <c r="I29" s="58" t="s">
        <v>67</v>
      </c>
      <c r="J29" s="58" t="s">
        <v>67</v>
      </c>
      <c r="K29" s="58" t="s">
        <v>67</v>
      </c>
      <c r="L29" s="58" t="s">
        <v>67</v>
      </c>
      <c r="M29" s="58" t="s">
        <v>67</v>
      </c>
      <c r="N29" s="58" t="s">
        <v>67</v>
      </c>
      <c r="O29" s="58" t="s">
        <v>67</v>
      </c>
      <c r="P29" s="58" t="s">
        <v>67</v>
      </c>
      <c r="Q29" s="58" t="s">
        <v>67</v>
      </c>
      <c r="R29" s="58" t="s">
        <v>67</v>
      </c>
      <c r="S29" s="58" t="s">
        <v>67</v>
      </c>
      <c r="T29" s="58" t="s">
        <v>67</v>
      </c>
      <c r="U29" s="58" t="s">
        <v>67</v>
      </c>
      <c r="V29" s="58" t="s">
        <v>67</v>
      </c>
      <c r="W29" s="58" t="s">
        <v>67</v>
      </c>
      <c r="X29" s="58" t="s">
        <v>67</v>
      </c>
      <c r="Y29" s="58" t="s">
        <v>67</v>
      </c>
      <c r="Z29" s="58" t="s">
        <v>67</v>
      </c>
      <c r="AA29" s="58" t="s">
        <v>67</v>
      </c>
      <c r="AB29" s="58" t="s">
        <v>67</v>
      </c>
      <c r="AC29" s="58" t="s">
        <v>67</v>
      </c>
      <c r="AD29" s="58" t="s">
        <v>67</v>
      </c>
      <c r="AE29" s="130" t="s">
        <v>67</v>
      </c>
      <c r="AF29" s="130" t="s">
        <v>67</v>
      </c>
      <c r="AG29" s="130" t="s">
        <v>67</v>
      </c>
      <c r="AH29" s="130" t="s">
        <v>67</v>
      </c>
      <c r="AI29" s="130" t="s">
        <v>67</v>
      </c>
      <c r="AJ29" s="26"/>
      <c r="AL29" t="str">
        <f t="shared" ca="1" si="0"/>
        <v xml:space="preserve">    (U1)ALERT_REQ_S_PSSDI_RWRN_</v>
      </c>
      <c r="AR29" s="60" t="str">
        <f t="shared" si="3"/>
        <v/>
      </c>
      <c r="AS29" s="60" t="str">
        <f t="shared" si="4"/>
        <v/>
      </c>
      <c r="AT29" s="60" t="str">
        <f t="shared" si="1"/>
        <v/>
      </c>
    </row>
    <row r="30" spans="2:49">
      <c r="B30" s="134"/>
      <c r="C30" s="44">
        <f t="shared" si="2"/>
        <v>24</v>
      </c>
      <c r="D30" s="58" t="s">
        <v>67</v>
      </c>
      <c r="E30" s="58" t="s">
        <v>67</v>
      </c>
      <c r="F30" s="58" t="s">
        <v>67</v>
      </c>
      <c r="G30" s="58" t="s">
        <v>67</v>
      </c>
      <c r="H30" s="58" t="s">
        <v>67</v>
      </c>
      <c r="I30" s="58" t="s">
        <v>67</v>
      </c>
      <c r="J30" s="58" t="s">
        <v>67</v>
      </c>
      <c r="K30" s="58" t="s">
        <v>67</v>
      </c>
      <c r="L30" s="58" t="s">
        <v>67</v>
      </c>
      <c r="M30" s="58" t="s">
        <v>67</v>
      </c>
      <c r="N30" s="58" t="s">
        <v>67</v>
      </c>
      <c r="O30" s="58" t="s">
        <v>67</v>
      </c>
      <c r="P30" s="58" t="s">
        <v>67</v>
      </c>
      <c r="Q30" s="58" t="s">
        <v>67</v>
      </c>
      <c r="R30" s="58" t="s">
        <v>67</v>
      </c>
      <c r="S30" s="58" t="s">
        <v>67</v>
      </c>
      <c r="T30" s="58" t="s">
        <v>67</v>
      </c>
      <c r="U30" s="58" t="s">
        <v>67</v>
      </c>
      <c r="V30" s="58" t="s">
        <v>67</v>
      </c>
      <c r="W30" s="58" t="s">
        <v>67</v>
      </c>
      <c r="X30" s="58" t="s">
        <v>67</v>
      </c>
      <c r="Y30" s="58" t="s">
        <v>67</v>
      </c>
      <c r="Z30" s="58" t="s">
        <v>67</v>
      </c>
      <c r="AA30" s="58" t="s">
        <v>67</v>
      </c>
      <c r="AB30" s="58" t="s">
        <v>67</v>
      </c>
      <c r="AC30" s="58" t="s">
        <v>67</v>
      </c>
      <c r="AD30" s="58" t="s">
        <v>67</v>
      </c>
      <c r="AE30" s="130" t="s">
        <v>67</v>
      </c>
      <c r="AF30" s="130" t="s">
        <v>67</v>
      </c>
      <c r="AG30" s="130" t="s">
        <v>67</v>
      </c>
      <c r="AH30" s="130" t="s">
        <v>67</v>
      </c>
      <c r="AI30" s="130" t="s">
        <v>67</v>
      </c>
      <c r="AJ30" s="26"/>
      <c r="AL30" t="str">
        <f t="shared" ca="1" si="0"/>
        <v xml:space="preserve">    (U1)ALERT_REQ_S_PSSDI_RWRN_</v>
      </c>
      <c r="AR30" s="60" t="str">
        <f t="shared" si="3"/>
        <v/>
      </c>
      <c r="AS30" s="60" t="str">
        <f t="shared" si="4"/>
        <v/>
      </c>
      <c r="AT30" s="60" t="str">
        <f t="shared" si="1"/>
        <v/>
      </c>
    </row>
    <row r="31" spans="2:49">
      <c r="B31" s="134"/>
      <c r="C31" s="44">
        <f t="shared" si="2"/>
        <v>25</v>
      </c>
      <c r="D31" s="58" t="s">
        <v>67</v>
      </c>
      <c r="E31" s="58" t="s">
        <v>67</v>
      </c>
      <c r="F31" s="58" t="s">
        <v>67</v>
      </c>
      <c r="G31" s="58" t="s">
        <v>67</v>
      </c>
      <c r="H31" s="58" t="s">
        <v>67</v>
      </c>
      <c r="I31" s="58" t="s">
        <v>67</v>
      </c>
      <c r="J31" s="58" t="s">
        <v>67</v>
      </c>
      <c r="K31" s="58" t="s">
        <v>67</v>
      </c>
      <c r="L31" s="58" t="s">
        <v>67</v>
      </c>
      <c r="M31" s="58" t="s">
        <v>67</v>
      </c>
      <c r="N31" s="58" t="s">
        <v>67</v>
      </c>
      <c r="O31" s="58" t="s">
        <v>67</v>
      </c>
      <c r="P31" s="58" t="s">
        <v>67</v>
      </c>
      <c r="Q31" s="58" t="s">
        <v>67</v>
      </c>
      <c r="R31" s="58" t="s">
        <v>67</v>
      </c>
      <c r="S31" s="58" t="s">
        <v>67</v>
      </c>
      <c r="T31" s="58" t="s">
        <v>67</v>
      </c>
      <c r="U31" s="58" t="s">
        <v>67</v>
      </c>
      <c r="V31" s="58" t="s">
        <v>67</v>
      </c>
      <c r="W31" s="58" t="s">
        <v>67</v>
      </c>
      <c r="X31" s="58" t="s">
        <v>67</v>
      </c>
      <c r="Y31" s="58" t="s">
        <v>67</v>
      </c>
      <c r="Z31" s="58" t="s">
        <v>67</v>
      </c>
      <c r="AA31" s="58" t="s">
        <v>67</v>
      </c>
      <c r="AB31" s="58" t="s">
        <v>67</v>
      </c>
      <c r="AC31" s="58" t="s">
        <v>67</v>
      </c>
      <c r="AD31" s="58" t="s">
        <v>67</v>
      </c>
      <c r="AE31" s="130" t="s">
        <v>67</v>
      </c>
      <c r="AF31" s="130" t="s">
        <v>67</v>
      </c>
      <c r="AG31" s="130" t="s">
        <v>67</v>
      </c>
      <c r="AH31" s="130" t="s">
        <v>67</v>
      </c>
      <c r="AI31" s="130" t="s">
        <v>67</v>
      </c>
      <c r="AJ31" s="26"/>
      <c r="AL31" t="str">
        <f t="shared" ca="1" si="0"/>
        <v xml:space="preserve">    (U1)ALERT_REQ_S_PSSDI_RWRN_</v>
      </c>
      <c r="AR31" s="60" t="str">
        <f t="shared" si="3"/>
        <v/>
      </c>
      <c r="AS31" s="60" t="str">
        <f t="shared" si="4"/>
        <v/>
      </c>
      <c r="AT31" s="60" t="str">
        <f t="shared" si="1"/>
        <v/>
      </c>
    </row>
    <row r="32" spans="2:49">
      <c r="B32" s="134"/>
      <c r="C32" s="44">
        <f t="shared" si="2"/>
        <v>26</v>
      </c>
      <c r="D32" s="58" t="s">
        <v>67</v>
      </c>
      <c r="E32" s="58" t="s">
        <v>67</v>
      </c>
      <c r="F32" s="58" t="s">
        <v>67</v>
      </c>
      <c r="G32" s="58" t="s">
        <v>67</v>
      </c>
      <c r="H32" s="58" t="s">
        <v>67</v>
      </c>
      <c r="I32" s="58" t="s">
        <v>67</v>
      </c>
      <c r="J32" s="58" t="s">
        <v>67</v>
      </c>
      <c r="K32" s="58" t="s">
        <v>67</v>
      </c>
      <c r="L32" s="58" t="s">
        <v>67</v>
      </c>
      <c r="M32" s="58" t="s">
        <v>67</v>
      </c>
      <c r="N32" s="58" t="s">
        <v>67</v>
      </c>
      <c r="O32" s="58" t="s">
        <v>67</v>
      </c>
      <c r="P32" s="58" t="s">
        <v>67</v>
      </c>
      <c r="Q32" s="58" t="s">
        <v>67</v>
      </c>
      <c r="R32" s="58" t="s">
        <v>67</v>
      </c>
      <c r="S32" s="58" t="s">
        <v>67</v>
      </c>
      <c r="T32" s="58" t="s">
        <v>67</v>
      </c>
      <c r="U32" s="58" t="s">
        <v>67</v>
      </c>
      <c r="V32" s="58" t="s">
        <v>67</v>
      </c>
      <c r="W32" s="58" t="s">
        <v>67</v>
      </c>
      <c r="X32" s="58" t="s">
        <v>67</v>
      </c>
      <c r="Y32" s="58" t="s">
        <v>67</v>
      </c>
      <c r="Z32" s="58" t="s">
        <v>67</v>
      </c>
      <c r="AA32" s="58" t="s">
        <v>67</v>
      </c>
      <c r="AB32" s="58" t="s">
        <v>67</v>
      </c>
      <c r="AC32" s="58" t="s">
        <v>67</v>
      </c>
      <c r="AD32" s="58" t="s">
        <v>67</v>
      </c>
      <c r="AE32" s="130" t="s">
        <v>67</v>
      </c>
      <c r="AF32" s="130" t="s">
        <v>67</v>
      </c>
      <c r="AG32" s="130" t="s">
        <v>67</v>
      </c>
      <c r="AH32" s="130" t="s">
        <v>67</v>
      </c>
      <c r="AI32" s="130" t="s">
        <v>67</v>
      </c>
      <c r="AJ32" s="26"/>
      <c r="AL32" t="str">
        <f t="shared" ca="1" si="0"/>
        <v xml:space="preserve">    (U1)ALERT_REQ_S_PSSDI_RWRN_</v>
      </c>
      <c r="AR32" s="60" t="str">
        <f t="shared" si="3"/>
        <v/>
      </c>
      <c r="AS32" s="60" t="str">
        <f t="shared" si="4"/>
        <v/>
      </c>
      <c r="AT32" s="60" t="str">
        <f t="shared" si="1"/>
        <v/>
      </c>
    </row>
    <row r="33" spans="2:46">
      <c r="B33" s="134"/>
      <c r="C33" s="44">
        <f t="shared" si="2"/>
        <v>27</v>
      </c>
      <c r="D33" s="58" t="s">
        <v>67</v>
      </c>
      <c r="E33" s="58" t="s">
        <v>67</v>
      </c>
      <c r="F33" s="58" t="s">
        <v>67</v>
      </c>
      <c r="G33" s="58" t="s">
        <v>67</v>
      </c>
      <c r="H33" s="58" t="s">
        <v>67</v>
      </c>
      <c r="I33" s="58" t="s">
        <v>67</v>
      </c>
      <c r="J33" s="58" t="s">
        <v>67</v>
      </c>
      <c r="K33" s="58" t="s">
        <v>67</v>
      </c>
      <c r="L33" s="58" t="s">
        <v>67</v>
      </c>
      <c r="M33" s="58" t="s">
        <v>67</v>
      </c>
      <c r="N33" s="58" t="s">
        <v>67</v>
      </c>
      <c r="O33" s="58" t="s">
        <v>67</v>
      </c>
      <c r="P33" s="58" t="s">
        <v>67</v>
      </c>
      <c r="Q33" s="58" t="s">
        <v>67</v>
      </c>
      <c r="R33" s="58" t="s">
        <v>67</v>
      </c>
      <c r="S33" s="58" t="s">
        <v>67</v>
      </c>
      <c r="T33" s="58" t="s">
        <v>67</v>
      </c>
      <c r="U33" s="58" t="s">
        <v>67</v>
      </c>
      <c r="V33" s="58" t="s">
        <v>67</v>
      </c>
      <c r="W33" s="58" t="s">
        <v>67</v>
      </c>
      <c r="X33" s="58" t="s">
        <v>67</v>
      </c>
      <c r="Y33" s="58" t="s">
        <v>67</v>
      </c>
      <c r="Z33" s="58" t="s">
        <v>67</v>
      </c>
      <c r="AA33" s="58" t="s">
        <v>67</v>
      </c>
      <c r="AB33" s="58" t="s">
        <v>67</v>
      </c>
      <c r="AC33" s="58" t="s">
        <v>67</v>
      </c>
      <c r="AD33" s="58" t="s">
        <v>67</v>
      </c>
      <c r="AE33" s="130" t="s">
        <v>67</v>
      </c>
      <c r="AF33" s="130" t="s">
        <v>67</v>
      </c>
      <c r="AG33" s="130" t="s">
        <v>67</v>
      </c>
      <c r="AH33" s="130" t="s">
        <v>67</v>
      </c>
      <c r="AI33" s="130" t="s">
        <v>67</v>
      </c>
      <c r="AJ33" s="26"/>
      <c r="AL33" t="str">
        <f t="shared" ca="1" si="0"/>
        <v xml:space="preserve">    (U1)ALERT_REQ_S_PSSDI_RWRN_</v>
      </c>
      <c r="AR33" s="60" t="str">
        <f t="shared" si="3"/>
        <v/>
      </c>
      <c r="AS33" s="60" t="str">
        <f t="shared" si="4"/>
        <v/>
      </c>
      <c r="AT33" s="60" t="str">
        <f t="shared" si="1"/>
        <v/>
      </c>
    </row>
    <row r="34" spans="2:46">
      <c r="B34" s="134"/>
      <c r="C34" s="44">
        <f t="shared" si="2"/>
        <v>28</v>
      </c>
      <c r="D34" s="58" t="s">
        <v>67</v>
      </c>
      <c r="E34" s="58" t="s">
        <v>67</v>
      </c>
      <c r="F34" s="58" t="s">
        <v>67</v>
      </c>
      <c r="G34" s="58" t="s">
        <v>67</v>
      </c>
      <c r="H34" s="58" t="s">
        <v>67</v>
      </c>
      <c r="I34" s="58" t="s">
        <v>67</v>
      </c>
      <c r="J34" s="58" t="s">
        <v>67</v>
      </c>
      <c r="K34" s="58" t="s">
        <v>67</v>
      </c>
      <c r="L34" s="58" t="s">
        <v>67</v>
      </c>
      <c r="M34" s="58" t="s">
        <v>67</v>
      </c>
      <c r="N34" s="58" t="s">
        <v>67</v>
      </c>
      <c r="O34" s="58" t="s">
        <v>67</v>
      </c>
      <c r="P34" s="58" t="s">
        <v>67</v>
      </c>
      <c r="Q34" s="58" t="s">
        <v>67</v>
      </c>
      <c r="R34" s="58" t="s">
        <v>67</v>
      </c>
      <c r="S34" s="58" t="s">
        <v>67</v>
      </c>
      <c r="T34" s="58" t="s">
        <v>67</v>
      </c>
      <c r="U34" s="58" t="s">
        <v>67</v>
      </c>
      <c r="V34" s="58" t="s">
        <v>67</v>
      </c>
      <c r="W34" s="58" t="s">
        <v>67</v>
      </c>
      <c r="X34" s="58" t="s">
        <v>67</v>
      </c>
      <c r="Y34" s="58" t="s">
        <v>67</v>
      </c>
      <c r="Z34" s="58" t="s">
        <v>67</v>
      </c>
      <c r="AA34" s="58" t="s">
        <v>67</v>
      </c>
      <c r="AB34" s="58" t="s">
        <v>67</v>
      </c>
      <c r="AC34" s="58" t="s">
        <v>67</v>
      </c>
      <c r="AD34" s="58" t="s">
        <v>67</v>
      </c>
      <c r="AE34" s="130" t="s">
        <v>67</v>
      </c>
      <c r="AF34" s="130" t="s">
        <v>67</v>
      </c>
      <c r="AG34" s="130" t="s">
        <v>67</v>
      </c>
      <c r="AH34" s="130" t="s">
        <v>67</v>
      </c>
      <c r="AI34" s="130" t="s">
        <v>67</v>
      </c>
      <c r="AJ34" s="26"/>
      <c r="AL34" t="str">
        <f t="shared" ca="1" si="0"/>
        <v xml:space="preserve">    (U1)ALERT_REQ_S_PSSDI_RWRN_</v>
      </c>
      <c r="AR34" s="60" t="str">
        <f t="shared" si="3"/>
        <v/>
      </c>
      <c r="AS34" s="60" t="str">
        <f t="shared" si="4"/>
        <v/>
      </c>
      <c r="AT34" s="60" t="str">
        <f t="shared" si="1"/>
        <v/>
      </c>
    </row>
    <row r="35" spans="2:46">
      <c r="B35" s="134"/>
      <c r="C35" s="44">
        <f t="shared" si="2"/>
        <v>29</v>
      </c>
      <c r="D35" s="58" t="s">
        <v>67</v>
      </c>
      <c r="E35" s="58" t="s">
        <v>67</v>
      </c>
      <c r="F35" s="58" t="s">
        <v>67</v>
      </c>
      <c r="G35" s="58" t="s">
        <v>67</v>
      </c>
      <c r="H35" s="58" t="s">
        <v>67</v>
      </c>
      <c r="I35" s="58" t="s">
        <v>67</v>
      </c>
      <c r="J35" s="58" t="s">
        <v>67</v>
      </c>
      <c r="K35" s="58" t="s">
        <v>67</v>
      </c>
      <c r="L35" s="58" t="s">
        <v>67</v>
      </c>
      <c r="M35" s="58" t="s">
        <v>67</v>
      </c>
      <c r="N35" s="58" t="s">
        <v>67</v>
      </c>
      <c r="O35" s="58" t="s">
        <v>67</v>
      </c>
      <c r="P35" s="58" t="s">
        <v>67</v>
      </c>
      <c r="Q35" s="58" t="s">
        <v>67</v>
      </c>
      <c r="R35" s="58" t="s">
        <v>67</v>
      </c>
      <c r="S35" s="58" t="s">
        <v>67</v>
      </c>
      <c r="T35" s="58" t="s">
        <v>67</v>
      </c>
      <c r="U35" s="58" t="s">
        <v>67</v>
      </c>
      <c r="V35" s="58" t="s">
        <v>67</v>
      </c>
      <c r="W35" s="58" t="s">
        <v>67</v>
      </c>
      <c r="X35" s="58" t="s">
        <v>67</v>
      </c>
      <c r="Y35" s="58" t="s">
        <v>67</v>
      </c>
      <c r="Z35" s="58" t="s">
        <v>67</v>
      </c>
      <c r="AA35" s="58" t="s">
        <v>67</v>
      </c>
      <c r="AB35" s="58" t="s">
        <v>67</v>
      </c>
      <c r="AC35" s="58" t="s">
        <v>67</v>
      </c>
      <c r="AD35" s="58" t="s">
        <v>67</v>
      </c>
      <c r="AE35" s="130" t="s">
        <v>67</v>
      </c>
      <c r="AF35" s="130" t="s">
        <v>67</v>
      </c>
      <c r="AG35" s="130" t="s">
        <v>67</v>
      </c>
      <c r="AH35" s="130" t="s">
        <v>67</v>
      </c>
      <c r="AI35" s="130" t="s">
        <v>67</v>
      </c>
      <c r="AJ35" s="26"/>
      <c r="AL35" t="str">
        <f t="shared" ca="1" si="0"/>
        <v xml:space="preserve">    (U1)ALERT_REQ_S_PSSDI_RWRN_</v>
      </c>
      <c r="AR35" s="60" t="str">
        <f t="shared" si="3"/>
        <v/>
      </c>
      <c r="AS35" s="60" t="str">
        <f t="shared" si="4"/>
        <v/>
      </c>
      <c r="AT35" s="60" t="str">
        <f t="shared" si="1"/>
        <v/>
      </c>
    </row>
    <row r="36" spans="2:46">
      <c r="B36" s="134"/>
      <c r="C36" s="44">
        <f t="shared" si="2"/>
        <v>30</v>
      </c>
      <c r="D36" s="58" t="s">
        <v>67</v>
      </c>
      <c r="E36" s="58" t="s">
        <v>67</v>
      </c>
      <c r="F36" s="58" t="s">
        <v>67</v>
      </c>
      <c r="G36" s="58" t="s">
        <v>67</v>
      </c>
      <c r="H36" s="58" t="s">
        <v>67</v>
      </c>
      <c r="I36" s="58" t="s">
        <v>67</v>
      </c>
      <c r="J36" s="58" t="s">
        <v>67</v>
      </c>
      <c r="K36" s="58" t="s">
        <v>67</v>
      </c>
      <c r="L36" s="58" t="s">
        <v>67</v>
      </c>
      <c r="M36" s="58" t="s">
        <v>67</v>
      </c>
      <c r="N36" s="58" t="s">
        <v>67</v>
      </c>
      <c r="O36" s="58" t="s">
        <v>67</v>
      </c>
      <c r="P36" s="58" t="s">
        <v>67</v>
      </c>
      <c r="Q36" s="58" t="s">
        <v>67</v>
      </c>
      <c r="R36" s="58" t="s">
        <v>67</v>
      </c>
      <c r="S36" s="58" t="s">
        <v>67</v>
      </c>
      <c r="T36" s="58" t="s">
        <v>67</v>
      </c>
      <c r="U36" s="58" t="s">
        <v>67</v>
      </c>
      <c r="V36" s="58" t="s">
        <v>67</v>
      </c>
      <c r="W36" s="58" t="s">
        <v>67</v>
      </c>
      <c r="X36" s="58" t="s">
        <v>67</v>
      </c>
      <c r="Y36" s="58" t="s">
        <v>67</v>
      </c>
      <c r="Z36" s="58" t="s">
        <v>67</v>
      </c>
      <c r="AA36" s="58" t="s">
        <v>67</v>
      </c>
      <c r="AB36" s="58" t="s">
        <v>67</v>
      </c>
      <c r="AC36" s="58" t="s">
        <v>67</v>
      </c>
      <c r="AD36" s="58" t="s">
        <v>67</v>
      </c>
      <c r="AE36" s="130" t="s">
        <v>67</v>
      </c>
      <c r="AF36" s="130" t="s">
        <v>67</v>
      </c>
      <c r="AG36" s="130" t="s">
        <v>67</v>
      </c>
      <c r="AH36" s="130" t="s">
        <v>67</v>
      </c>
      <c r="AI36" s="130" t="s">
        <v>67</v>
      </c>
      <c r="AJ36" s="26"/>
      <c r="AL36" t="str">
        <f t="shared" ca="1" si="0"/>
        <v xml:space="preserve">    (U1)ALERT_REQ_S_PSSDI_RWRN_</v>
      </c>
      <c r="AR36" s="60" t="str">
        <f t="shared" si="3"/>
        <v/>
      </c>
      <c r="AS36" s="60" t="str">
        <f t="shared" si="4"/>
        <v/>
      </c>
      <c r="AT36" s="60" t="str">
        <f t="shared" si="1"/>
        <v/>
      </c>
    </row>
    <row r="37" spans="2:46">
      <c r="B37" s="134"/>
      <c r="C37" s="44">
        <f t="shared" si="2"/>
        <v>31</v>
      </c>
      <c r="D37" s="58" t="s">
        <v>67</v>
      </c>
      <c r="E37" s="58" t="s">
        <v>67</v>
      </c>
      <c r="F37" s="58" t="s">
        <v>67</v>
      </c>
      <c r="G37" s="58" t="s">
        <v>67</v>
      </c>
      <c r="H37" s="58" t="s">
        <v>67</v>
      </c>
      <c r="I37" s="58" t="s">
        <v>67</v>
      </c>
      <c r="J37" s="58" t="s">
        <v>67</v>
      </c>
      <c r="K37" s="58" t="s">
        <v>67</v>
      </c>
      <c r="L37" s="58" t="s">
        <v>67</v>
      </c>
      <c r="M37" s="58" t="s">
        <v>67</v>
      </c>
      <c r="N37" s="58" t="s">
        <v>67</v>
      </c>
      <c r="O37" s="58" t="s">
        <v>67</v>
      </c>
      <c r="P37" s="58" t="s">
        <v>67</v>
      </c>
      <c r="Q37" s="58" t="s">
        <v>67</v>
      </c>
      <c r="R37" s="58" t="s">
        <v>67</v>
      </c>
      <c r="S37" s="58" t="s">
        <v>67</v>
      </c>
      <c r="T37" s="58" t="s">
        <v>67</v>
      </c>
      <c r="U37" s="58" t="s">
        <v>67</v>
      </c>
      <c r="V37" s="58" t="s">
        <v>67</v>
      </c>
      <c r="W37" s="58" t="s">
        <v>67</v>
      </c>
      <c r="X37" s="58" t="s">
        <v>67</v>
      </c>
      <c r="Y37" s="58" t="s">
        <v>67</v>
      </c>
      <c r="Z37" s="58" t="s">
        <v>67</v>
      </c>
      <c r="AA37" s="58" t="s">
        <v>67</v>
      </c>
      <c r="AB37" s="58" t="s">
        <v>67</v>
      </c>
      <c r="AC37" s="58" t="s">
        <v>67</v>
      </c>
      <c r="AD37" s="58" t="s">
        <v>67</v>
      </c>
      <c r="AE37" s="130" t="s">
        <v>67</v>
      </c>
      <c r="AF37" s="130" t="s">
        <v>67</v>
      </c>
      <c r="AG37" s="130" t="s">
        <v>67</v>
      </c>
      <c r="AH37" s="130" t="s">
        <v>67</v>
      </c>
      <c r="AI37" s="130" t="s">
        <v>67</v>
      </c>
      <c r="AJ37" s="26"/>
      <c r="AL37" t="str">
        <f t="shared" ca="1" si="0"/>
        <v xml:space="preserve">    (U1)ALERT_REQ_S_PSSDI_RWRN_</v>
      </c>
      <c r="AR37" s="60" t="str">
        <f t="shared" si="3"/>
        <v/>
      </c>
      <c r="AS37" s="60" t="str">
        <f t="shared" si="4"/>
        <v/>
      </c>
      <c r="AT37" s="60" t="str">
        <f t="shared" si="1"/>
        <v/>
      </c>
    </row>
    <row r="38" spans="2:46">
      <c r="B38" s="134"/>
      <c r="C38" s="44">
        <f t="shared" si="2"/>
        <v>32</v>
      </c>
      <c r="D38" s="58" t="s">
        <v>67</v>
      </c>
      <c r="E38" s="58" t="s">
        <v>67</v>
      </c>
      <c r="F38" s="58" t="s">
        <v>67</v>
      </c>
      <c r="G38" s="58" t="s">
        <v>67</v>
      </c>
      <c r="H38" s="58" t="s">
        <v>67</v>
      </c>
      <c r="I38" s="58" t="s">
        <v>67</v>
      </c>
      <c r="J38" s="58" t="s">
        <v>67</v>
      </c>
      <c r="K38" s="58" t="s">
        <v>67</v>
      </c>
      <c r="L38" s="58" t="s">
        <v>67</v>
      </c>
      <c r="M38" s="58" t="s">
        <v>67</v>
      </c>
      <c r="N38" s="58" t="s">
        <v>67</v>
      </c>
      <c r="O38" s="58" t="s">
        <v>67</v>
      </c>
      <c r="P38" s="58" t="s">
        <v>67</v>
      </c>
      <c r="Q38" s="58" t="s">
        <v>67</v>
      </c>
      <c r="R38" s="58" t="s">
        <v>67</v>
      </c>
      <c r="S38" s="58" t="s">
        <v>67</v>
      </c>
      <c r="T38" s="58" t="s">
        <v>67</v>
      </c>
      <c r="U38" s="58" t="s">
        <v>67</v>
      </c>
      <c r="V38" s="58" t="s">
        <v>67</v>
      </c>
      <c r="W38" s="58" t="s">
        <v>67</v>
      </c>
      <c r="X38" s="58" t="s">
        <v>67</v>
      </c>
      <c r="Y38" s="58" t="s">
        <v>67</v>
      </c>
      <c r="Z38" s="58" t="s">
        <v>67</v>
      </c>
      <c r="AA38" s="58" t="s">
        <v>67</v>
      </c>
      <c r="AB38" s="58" t="s">
        <v>67</v>
      </c>
      <c r="AC38" s="58" t="s">
        <v>67</v>
      </c>
      <c r="AD38" s="58" t="s">
        <v>67</v>
      </c>
      <c r="AE38" s="58" t="s">
        <v>67</v>
      </c>
      <c r="AF38" s="58" t="s">
        <v>67</v>
      </c>
      <c r="AG38" s="58" t="s">
        <v>67</v>
      </c>
      <c r="AH38" s="58" t="s">
        <v>67</v>
      </c>
      <c r="AI38" s="58" t="s">
        <v>67</v>
      </c>
      <c r="AJ38" s="26"/>
      <c r="AL38" t="str">
        <f t="shared" ca="1" si="0"/>
        <v xml:space="preserve">    (U1)ALERT_REQ_S_PSSDI_RWRN_</v>
      </c>
      <c r="AR38" s="60" t="str">
        <f t="shared" si="3"/>
        <v/>
      </c>
      <c r="AS38" s="60" t="str">
        <f t="shared" si="4"/>
        <v/>
      </c>
      <c r="AT38" s="60" t="str">
        <f t="shared" si="1"/>
        <v/>
      </c>
    </row>
    <row r="39" spans="2:46">
      <c r="B39" s="134"/>
      <c r="C39" s="44">
        <f t="shared" si="2"/>
        <v>33</v>
      </c>
      <c r="D39" s="58" t="s">
        <v>67</v>
      </c>
      <c r="E39" s="58" t="s">
        <v>67</v>
      </c>
      <c r="F39" s="58" t="s">
        <v>67</v>
      </c>
      <c r="G39" s="58" t="s">
        <v>67</v>
      </c>
      <c r="H39" s="58" t="s">
        <v>67</v>
      </c>
      <c r="I39" s="58" t="s">
        <v>67</v>
      </c>
      <c r="J39" s="58" t="s">
        <v>67</v>
      </c>
      <c r="K39" s="58" t="s">
        <v>67</v>
      </c>
      <c r="L39" s="58" t="s">
        <v>67</v>
      </c>
      <c r="M39" s="58" t="s">
        <v>67</v>
      </c>
      <c r="N39" s="58" t="s">
        <v>67</v>
      </c>
      <c r="O39" s="58" t="s">
        <v>67</v>
      </c>
      <c r="P39" s="58" t="s">
        <v>67</v>
      </c>
      <c r="Q39" s="58" t="s">
        <v>67</v>
      </c>
      <c r="R39" s="58" t="s">
        <v>67</v>
      </c>
      <c r="S39" s="58" t="s">
        <v>67</v>
      </c>
      <c r="T39" s="58" t="s">
        <v>67</v>
      </c>
      <c r="U39" s="58" t="s">
        <v>67</v>
      </c>
      <c r="V39" s="58" t="s">
        <v>67</v>
      </c>
      <c r="W39" s="58" t="s">
        <v>67</v>
      </c>
      <c r="X39" s="58" t="s">
        <v>67</v>
      </c>
      <c r="Y39" s="58" t="s">
        <v>67</v>
      </c>
      <c r="Z39" s="58" t="s">
        <v>67</v>
      </c>
      <c r="AA39" s="58" t="s">
        <v>67</v>
      </c>
      <c r="AB39" s="58" t="s">
        <v>67</v>
      </c>
      <c r="AC39" s="58" t="s">
        <v>67</v>
      </c>
      <c r="AD39" s="58" t="s">
        <v>67</v>
      </c>
      <c r="AE39" s="58" t="s">
        <v>67</v>
      </c>
      <c r="AF39" s="58" t="s">
        <v>67</v>
      </c>
      <c r="AG39" s="58" t="s">
        <v>67</v>
      </c>
      <c r="AH39" s="58" t="s">
        <v>67</v>
      </c>
      <c r="AI39" s="58" t="s">
        <v>67</v>
      </c>
      <c r="AJ39" s="26"/>
      <c r="AL39" t="str">
        <f t="shared" ca="1" si="0"/>
        <v xml:space="preserve">    (U1)ALERT_REQ_S_PSSDI_RWRN_</v>
      </c>
      <c r="AR39" s="60" t="str">
        <f t="shared" si="3"/>
        <v/>
      </c>
      <c r="AS39" s="60" t="str">
        <f t="shared" si="4"/>
        <v/>
      </c>
      <c r="AT39" s="60" t="str">
        <f t="shared" si="1"/>
        <v/>
      </c>
    </row>
    <row r="40" spans="2:46">
      <c r="B40" s="134"/>
      <c r="C40" s="44">
        <f t="shared" si="2"/>
        <v>34</v>
      </c>
      <c r="D40" s="58" t="s">
        <v>67</v>
      </c>
      <c r="E40" s="58" t="s">
        <v>67</v>
      </c>
      <c r="F40" s="58" t="s">
        <v>67</v>
      </c>
      <c r="G40" s="58" t="s">
        <v>67</v>
      </c>
      <c r="H40" s="58" t="s">
        <v>67</v>
      </c>
      <c r="I40" s="58" t="s">
        <v>67</v>
      </c>
      <c r="J40" s="58" t="s">
        <v>67</v>
      </c>
      <c r="K40" s="58" t="s">
        <v>67</v>
      </c>
      <c r="L40" s="58" t="s">
        <v>67</v>
      </c>
      <c r="M40" s="58" t="s">
        <v>67</v>
      </c>
      <c r="N40" s="58" t="s">
        <v>67</v>
      </c>
      <c r="O40" s="58" t="s">
        <v>67</v>
      </c>
      <c r="P40" s="58" t="s">
        <v>67</v>
      </c>
      <c r="Q40" s="58" t="s">
        <v>67</v>
      </c>
      <c r="R40" s="58" t="s">
        <v>67</v>
      </c>
      <c r="S40" s="58" t="s">
        <v>67</v>
      </c>
      <c r="T40" s="58" t="s">
        <v>67</v>
      </c>
      <c r="U40" s="58" t="s">
        <v>67</v>
      </c>
      <c r="V40" s="58" t="s">
        <v>67</v>
      </c>
      <c r="W40" s="58" t="s">
        <v>67</v>
      </c>
      <c r="X40" s="58" t="s">
        <v>67</v>
      </c>
      <c r="Y40" s="58" t="s">
        <v>67</v>
      </c>
      <c r="Z40" s="58" t="s">
        <v>67</v>
      </c>
      <c r="AA40" s="58" t="s">
        <v>67</v>
      </c>
      <c r="AB40" s="58" t="s">
        <v>67</v>
      </c>
      <c r="AC40" s="58" t="s">
        <v>67</v>
      </c>
      <c r="AD40" s="58" t="s">
        <v>67</v>
      </c>
      <c r="AE40" s="58" t="s">
        <v>67</v>
      </c>
      <c r="AF40" s="58" t="s">
        <v>67</v>
      </c>
      <c r="AG40" s="58" t="s">
        <v>67</v>
      </c>
      <c r="AH40" s="58" t="s">
        <v>67</v>
      </c>
      <c r="AI40" s="58" t="s">
        <v>67</v>
      </c>
      <c r="AJ40" s="26"/>
      <c r="AL40" t="str">
        <f t="shared" ca="1" si="0"/>
        <v xml:space="preserve">    (U1)ALERT_REQ_S_PSSDI_RWRN_</v>
      </c>
      <c r="AR40" s="60" t="str">
        <f t="shared" si="3"/>
        <v/>
      </c>
      <c r="AS40" s="60" t="str">
        <f t="shared" si="4"/>
        <v/>
      </c>
      <c r="AT40" s="60" t="str">
        <f t="shared" si="1"/>
        <v/>
      </c>
    </row>
    <row r="41" spans="2:46">
      <c r="B41" s="134"/>
      <c r="C41" s="44">
        <f t="shared" si="2"/>
        <v>35</v>
      </c>
      <c r="D41" s="58" t="s">
        <v>67</v>
      </c>
      <c r="E41" s="58" t="s">
        <v>67</v>
      </c>
      <c r="F41" s="58" t="s">
        <v>67</v>
      </c>
      <c r="G41" s="58" t="s">
        <v>67</v>
      </c>
      <c r="H41" s="58" t="s">
        <v>67</v>
      </c>
      <c r="I41" s="58" t="s">
        <v>67</v>
      </c>
      <c r="J41" s="58" t="s">
        <v>67</v>
      </c>
      <c r="K41" s="58" t="s">
        <v>67</v>
      </c>
      <c r="L41" s="58" t="s">
        <v>67</v>
      </c>
      <c r="M41" s="58" t="s">
        <v>67</v>
      </c>
      <c r="N41" s="58" t="s">
        <v>67</v>
      </c>
      <c r="O41" s="58" t="s">
        <v>67</v>
      </c>
      <c r="P41" s="58" t="s">
        <v>67</v>
      </c>
      <c r="Q41" s="58" t="s">
        <v>67</v>
      </c>
      <c r="R41" s="58" t="s">
        <v>67</v>
      </c>
      <c r="S41" s="58" t="s">
        <v>67</v>
      </c>
      <c r="T41" s="58" t="s">
        <v>67</v>
      </c>
      <c r="U41" s="58" t="s">
        <v>67</v>
      </c>
      <c r="V41" s="58" t="s">
        <v>67</v>
      </c>
      <c r="W41" s="58" t="s">
        <v>67</v>
      </c>
      <c r="X41" s="58" t="s">
        <v>67</v>
      </c>
      <c r="Y41" s="58" t="s">
        <v>67</v>
      </c>
      <c r="Z41" s="58" t="s">
        <v>67</v>
      </c>
      <c r="AA41" s="58" t="s">
        <v>67</v>
      </c>
      <c r="AB41" s="58" t="s">
        <v>67</v>
      </c>
      <c r="AC41" s="58" t="s">
        <v>67</v>
      </c>
      <c r="AD41" s="58" t="s">
        <v>67</v>
      </c>
      <c r="AE41" s="58" t="s">
        <v>67</v>
      </c>
      <c r="AF41" s="58" t="s">
        <v>67</v>
      </c>
      <c r="AG41" s="58" t="s">
        <v>67</v>
      </c>
      <c r="AH41" s="58" t="s">
        <v>67</v>
      </c>
      <c r="AI41" s="58" t="s">
        <v>67</v>
      </c>
      <c r="AJ41" s="26"/>
      <c r="AL41" t="str">
        <f t="shared" ca="1" si="0"/>
        <v xml:space="preserve">    (U1)ALERT_REQ_S_PSSDI_RWRN_</v>
      </c>
      <c r="AR41" s="60" t="str">
        <f t="shared" si="3"/>
        <v/>
      </c>
      <c r="AS41" s="60" t="str">
        <f t="shared" si="4"/>
        <v/>
      </c>
      <c r="AT41" s="60" t="str">
        <f t="shared" si="1"/>
        <v/>
      </c>
    </row>
    <row r="42" spans="2:46">
      <c r="B42" s="134"/>
      <c r="C42" s="44">
        <f t="shared" si="2"/>
        <v>36</v>
      </c>
      <c r="D42" s="58" t="s">
        <v>67</v>
      </c>
      <c r="E42" s="58" t="s">
        <v>67</v>
      </c>
      <c r="F42" s="58" t="s">
        <v>67</v>
      </c>
      <c r="G42" s="58" t="s">
        <v>67</v>
      </c>
      <c r="H42" s="58" t="s">
        <v>67</v>
      </c>
      <c r="I42" s="58" t="s">
        <v>67</v>
      </c>
      <c r="J42" s="58" t="s">
        <v>67</v>
      </c>
      <c r="K42" s="58" t="s">
        <v>67</v>
      </c>
      <c r="L42" s="58" t="s">
        <v>67</v>
      </c>
      <c r="M42" s="58" t="s">
        <v>67</v>
      </c>
      <c r="N42" s="58" t="s">
        <v>67</v>
      </c>
      <c r="O42" s="58" t="s">
        <v>67</v>
      </c>
      <c r="P42" s="58" t="s">
        <v>67</v>
      </c>
      <c r="Q42" s="58" t="s">
        <v>67</v>
      </c>
      <c r="R42" s="58" t="s">
        <v>67</v>
      </c>
      <c r="S42" s="58" t="s">
        <v>67</v>
      </c>
      <c r="T42" s="58" t="s">
        <v>67</v>
      </c>
      <c r="U42" s="58" t="s">
        <v>67</v>
      </c>
      <c r="V42" s="58" t="s">
        <v>67</v>
      </c>
      <c r="W42" s="58" t="s">
        <v>67</v>
      </c>
      <c r="X42" s="58" t="s">
        <v>67</v>
      </c>
      <c r="Y42" s="58" t="s">
        <v>67</v>
      </c>
      <c r="Z42" s="58" t="s">
        <v>67</v>
      </c>
      <c r="AA42" s="58" t="s">
        <v>67</v>
      </c>
      <c r="AB42" s="58" t="s">
        <v>67</v>
      </c>
      <c r="AC42" s="58" t="s">
        <v>67</v>
      </c>
      <c r="AD42" s="58" t="s">
        <v>67</v>
      </c>
      <c r="AE42" s="58" t="s">
        <v>67</v>
      </c>
      <c r="AF42" s="58" t="s">
        <v>67</v>
      </c>
      <c r="AG42" s="58" t="s">
        <v>67</v>
      </c>
      <c r="AH42" s="58" t="s">
        <v>67</v>
      </c>
      <c r="AI42" s="58" t="s">
        <v>67</v>
      </c>
      <c r="AJ42" s="26"/>
      <c r="AL42" t="str">
        <f t="shared" ca="1" si="0"/>
        <v xml:space="preserve">    (U1)ALERT_REQ_S_PSSDI_RWRN_</v>
      </c>
      <c r="AR42" s="60" t="str">
        <f t="shared" si="3"/>
        <v/>
      </c>
      <c r="AS42" s="60" t="str">
        <f t="shared" si="4"/>
        <v/>
      </c>
      <c r="AT42" s="60" t="str">
        <f t="shared" si="1"/>
        <v/>
      </c>
    </row>
    <row r="43" spans="2:46">
      <c r="B43" s="134"/>
      <c r="C43" s="44">
        <f t="shared" si="2"/>
        <v>37</v>
      </c>
      <c r="D43" s="58" t="s">
        <v>67</v>
      </c>
      <c r="E43" s="58" t="s">
        <v>67</v>
      </c>
      <c r="F43" s="58" t="s">
        <v>67</v>
      </c>
      <c r="G43" s="58" t="s">
        <v>67</v>
      </c>
      <c r="H43" s="58" t="s">
        <v>67</v>
      </c>
      <c r="I43" s="58" t="s">
        <v>67</v>
      </c>
      <c r="J43" s="58" t="s">
        <v>67</v>
      </c>
      <c r="K43" s="58" t="s">
        <v>67</v>
      </c>
      <c r="L43" s="58" t="s">
        <v>67</v>
      </c>
      <c r="M43" s="58" t="s">
        <v>67</v>
      </c>
      <c r="N43" s="58" t="s">
        <v>67</v>
      </c>
      <c r="O43" s="58" t="s">
        <v>67</v>
      </c>
      <c r="P43" s="58" t="s">
        <v>67</v>
      </c>
      <c r="Q43" s="58" t="s">
        <v>67</v>
      </c>
      <c r="R43" s="58" t="s">
        <v>67</v>
      </c>
      <c r="S43" s="58" t="s">
        <v>67</v>
      </c>
      <c r="T43" s="58" t="s">
        <v>67</v>
      </c>
      <c r="U43" s="58" t="s">
        <v>67</v>
      </c>
      <c r="V43" s="58" t="s">
        <v>67</v>
      </c>
      <c r="W43" s="58" t="s">
        <v>67</v>
      </c>
      <c r="X43" s="58" t="s">
        <v>67</v>
      </c>
      <c r="Y43" s="58" t="s">
        <v>67</v>
      </c>
      <c r="Z43" s="58" t="s">
        <v>67</v>
      </c>
      <c r="AA43" s="58" t="s">
        <v>67</v>
      </c>
      <c r="AB43" s="58" t="s">
        <v>67</v>
      </c>
      <c r="AC43" s="58" t="s">
        <v>67</v>
      </c>
      <c r="AD43" s="58" t="s">
        <v>67</v>
      </c>
      <c r="AE43" s="58" t="s">
        <v>67</v>
      </c>
      <c r="AF43" s="58" t="s">
        <v>67</v>
      </c>
      <c r="AG43" s="58" t="s">
        <v>67</v>
      </c>
      <c r="AH43" s="58" t="s">
        <v>67</v>
      </c>
      <c r="AI43" s="58" t="s">
        <v>67</v>
      </c>
      <c r="AJ43" s="26"/>
      <c r="AL43" t="str">
        <f t="shared" ca="1" si="0"/>
        <v xml:space="preserve">    (U1)ALERT_REQ_S_PSSDI_RWRN_</v>
      </c>
      <c r="AR43" s="60" t="str">
        <f t="shared" si="3"/>
        <v/>
      </c>
      <c r="AS43" s="60" t="str">
        <f t="shared" si="4"/>
        <v/>
      </c>
      <c r="AT43" s="60" t="str">
        <f t="shared" si="1"/>
        <v/>
      </c>
    </row>
    <row r="44" spans="2:46">
      <c r="B44" s="134"/>
      <c r="C44" s="44">
        <f t="shared" si="2"/>
        <v>38</v>
      </c>
      <c r="D44" s="58" t="s">
        <v>67</v>
      </c>
      <c r="E44" s="58" t="s">
        <v>67</v>
      </c>
      <c r="F44" s="58" t="s">
        <v>67</v>
      </c>
      <c r="G44" s="58" t="s">
        <v>67</v>
      </c>
      <c r="H44" s="58" t="s">
        <v>67</v>
      </c>
      <c r="I44" s="58" t="s">
        <v>67</v>
      </c>
      <c r="J44" s="58" t="s">
        <v>67</v>
      </c>
      <c r="K44" s="58" t="s">
        <v>67</v>
      </c>
      <c r="L44" s="58" t="s">
        <v>67</v>
      </c>
      <c r="M44" s="58" t="s">
        <v>67</v>
      </c>
      <c r="N44" s="58" t="s">
        <v>67</v>
      </c>
      <c r="O44" s="58" t="s">
        <v>67</v>
      </c>
      <c r="P44" s="58" t="s">
        <v>67</v>
      </c>
      <c r="Q44" s="58" t="s">
        <v>67</v>
      </c>
      <c r="R44" s="58" t="s">
        <v>67</v>
      </c>
      <c r="S44" s="58" t="s">
        <v>67</v>
      </c>
      <c r="T44" s="58" t="s">
        <v>67</v>
      </c>
      <c r="U44" s="58" t="s">
        <v>67</v>
      </c>
      <c r="V44" s="58" t="s">
        <v>67</v>
      </c>
      <c r="W44" s="58" t="s">
        <v>67</v>
      </c>
      <c r="X44" s="58" t="s">
        <v>67</v>
      </c>
      <c r="Y44" s="58" t="s">
        <v>67</v>
      </c>
      <c r="Z44" s="58" t="s">
        <v>67</v>
      </c>
      <c r="AA44" s="58" t="s">
        <v>67</v>
      </c>
      <c r="AB44" s="58" t="s">
        <v>67</v>
      </c>
      <c r="AC44" s="58" t="s">
        <v>67</v>
      </c>
      <c r="AD44" s="58" t="s">
        <v>67</v>
      </c>
      <c r="AE44" s="58" t="s">
        <v>67</v>
      </c>
      <c r="AF44" s="58" t="s">
        <v>67</v>
      </c>
      <c r="AG44" s="58" t="s">
        <v>67</v>
      </c>
      <c r="AH44" s="58" t="s">
        <v>67</v>
      </c>
      <c r="AI44" s="58" t="s">
        <v>67</v>
      </c>
      <c r="AJ44" s="26"/>
      <c r="AL44" t="str">
        <f t="shared" ca="1" si="0"/>
        <v xml:space="preserve">    (U1)ALERT_REQ_S_PSSDI_RWRN_</v>
      </c>
      <c r="AR44" s="60" t="str">
        <f t="shared" si="3"/>
        <v/>
      </c>
      <c r="AS44" s="60" t="str">
        <f t="shared" si="4"/>
        <v/>
      </c>
      <c r="AT44" s="60" t="str">
        <f t="shared" si="1"/>
        <v/>
      </c>
    </row>
    <row r="45" spans="2:46">
      <c r="B45" s="134"/>
      <c r="C45" s="44">
        <f t="shared" si="2"/>
        <v>39</v>
      </c>
      <c r="D45" s="58" t="s">
        <v>67</v>
      </c>
      <c r="E45" s="58" t="s">
        <v>67</v>
      </c>
      <c r="F45" s="58" t="s">
        <v>67</v>
      </c>
      <c r="G45" s="58" t="s">
        <v>67</v>
      </c>
      <c r="H45" s="58" t="s">
        <v>67</v>
      </c>
      <c r="I45" s="58" t="s">
        <v>67</v>
      </c>
      <c r="J45" s="58" t="s">
        <v>67</v>
      </c>
      <c r="K45" s="58" t="s">
        <v>67</v>
      </c>
      <c r="L45" s="58" t="s">
        <v>67</v>
      </c>
      <c r="M45" s="58" t="s">
        <v>67</v>
      </c>
      <c r="N45" s="58" t="s">
        <v>67</v>
      </c>
      <c r="O45" s="58" t="s">
        <v>67</v>
      </c>
      <c r="P45" s="58" t="s">
        <v>67</v>
      </c>
      <c r="Q45" s="58" t="s">
        <v>67</v>
      </c>
      <c r="R45" s="58" t="s">
        <v>67</v>
      </c>
      <c r="S45" s="58" t="s">
        <v>67</v>
      </c>
      <c r="T45" s="58" t="s">
        <v>67</v>
      </c>
      <c r="U45" s="58" t="s">
        <v>67</v>
      </c>
      <c r="V45" s="58" t="s">
        <v>67</v>
      </c>
      <c r="W45" s="58" t="s">
        <v>67</v>
      </c>
      <c r="X45" s="58" t="s">
        <v>67</v>
      </c>
      <c r="Y45" s="58" t="s">
        <v>67</v>
      </c>
      <c r="Z45" s="58" t="s">
        <v>67</v>
      </c>
      <c r="AA45" s="58" t="s">
        <v>67</v>
      </c>
      <c r="AB45" s="58" t="s">
        <v>67</v>
      </c>
      <c r="AC45" s="58" t="s">
        <v>67</v>
      </c>
      <c r="AD45" s="58" t="s">
        <v>67</v>
      </c>
      <c r="AE45" s="58" t="s">
        <v>67</v>
      </c>
      <c r="AF45" s="58" t="s">
        <v>67</v>
      </c>
      <c r="AG45" s="58" t="s">
        <v>67</v>
      </c>
      <c r="AH45" s="58" t="s">
        <v>67</v>
      </c>
      <c r="AI45" s="58" t="s">
        <v>67</v>
      </c>
      <c r="AJ45" s="26"/>
      <c r="AL45" t="str">
        <f t="shared" ca="1" si="0"/>
        <v xml:space="preserve">    (U1)ALERT_REQ_S_PSSDI_RWRN_</v>
      </c>
      <c r="AR45" s="60" t="str">
        <f t="shared" si="3"/>
        <v/>
      </c>
      <c r="AS45" s="60" t="str">
        <f t="shared" si="4"/>
        <v/>
      </c>
      <c r="AT45" s="60" t="str">
        <f t="shared" si="1"/>
        <v/>
      </c>
    </row>
    <row r="46" spans="2:46">
      <c r="B46" s="134"/>
      <c r="C46" s="44">
        <f t="shared" si="2"/>
        <v>40</v>
      </c>
      <c r="D46" s="58" t="s">
        <v>67</v>
      </c>
      <c r="E46" s="58" t="s">
        <v>67</v>
      </c>
      <c r="F46" s="58" t="s">
        <v>67</v>
      </c>
      <c r="G46" s="58" t="s">
        <v>67</v>
      </c>
      <c r="H46" s="58" t="s">
        <v>67</v>
      </c>
      <c r="I46" s="58" t="s">
        <v>67</v>
      </c>
      <c r="J46" s="58" t="s">
        <v>67</v>
      </c>
      <c r="K46" s="58" t="s">
        <v>67</v>
      </c>
      <c r="L46" s="58" t="s">
        <v>67</v>
      </c>
      <c r="M46" s="58" t="s">
        <v>67</v>
      </c>
      <c r="N46" s="58" t="s">
        <v>67</v>
      </c>
      <c r="O46" s="58" t="s">
        <v>67</v>
      </c>
      <c r="P46" s="58" t="s">
        <v>67</v>
      </c>
      <c r="Q46" s="58" t="s">
        <v>67</v>
      </c>
      <c r="R46" s="58" t="s">
        <v>67</v>
      </c>
      <c r="S46" s="58" t="s">
        <v>67</v>
      </c>
      <c r="T46" s="58" t="s">
        <v>67</v>
      </c>
      <c r="U46" s="58" t="s">
        <v>67</v>
      </c>
      <c r="V46" s="58" t="s">
        <v>67</v>
      </c>
      <c r="W46" s="58" t="s">
        <v>67</v>
      </c>
      <c r="X46" s="58" t="s">
        <v>67</v>
      </c>
      <c r="Y46" s="58" t="s">
        <v>67</v>
      </c>
      <c r="Z46" s="58" t="s">
        <v>67</v>
      </c>
      <c r="AA46" s="58" t="s">
        <v>67</v>
      </c>
      <c r="AB46" s="58" t="s">
        <v>67</v>
      </c>
      <c r="AC46" s="58" t="s">
        <v>67</v>
      </c>
      <c r="AD46" s="58" t="s">
        <v>67</v>
      </c>
      <c r="AE46" s="58" t="s">
        <v>67</v>
      </c>
      <c r="AF46" s="58" t="s">
        <v>67</v>
      </c>
      <c r="AG46" s="58" t="s">
        <v>67</v>
      </c>
      <c r="AH46" s="58" t="s">
        <v>67</v>
      </c>
      <c r="AI46" s="58" t="s">
        <v>67</v>
      </c>
      <c r="AJ46" s="26"/>
      <c r="AL46" t="str">
        <f t="shared" ca="1" si="0"/>
        <v xml:space="preserve">    (U1)ALERT_REQ_S_PSSDI_RWRN_</v>
      </c>
      <c r="AR46" s="60" t="str">
        <f t="shared" si="3"/>
        <v/>
      </c>
      <c r="AS46" s="60" t="str">
        <f t="shared" si="4"/>
        <v/>
      </c>
      <c r="AT46" s="60" t="str">
        <f t="shared" si="1"/>
        <v/>
      </c>
    </row>
    <row r="47" spans="2:46">
      <c r="B47" s="134"/>
      <c r="C47" s="44">
        <f t="shared" si="2"/>
        <v>41</v>
      </c>
      <c r="D47" s="58" t="s">
        <v>67</v>
      </c>
      <c r="E47" s="58" t="s">
        <v>67</v>
      </c>
      <c r="F47" s="58" t="s">
        <v>67</v>
      </c>
      <c r="G47" s="58" t="s">
        <v>67</v>
      </c>
      <c r="H47" s="58" t="s">
        <v>67</v>
      </c>
      <c r="I47" s="58" t="s">
        <v>67</v>
      </c>
      <c r="J47" s="58" t="s">
        <v>67</v>
      </c>
      <c r="K47" s="58" t="s">
        <v>67</v>
      </c>
      <c r="L47" s="58" t="s">
        <v>67</v>
      </c>
      <c r="M47" s="58" t="s">
        <v>67</v>
      </c>
      <c r="N47" s="58" t="s">
        <v>67</v>
      </c>
      <c r="O47" s="58" t="s">
        <v>67</v>
      </c>
      <c r="P47" s="58" t="s">
        <v>67</v>
      </c>
      <c r="Q47" s="58" t="s">
        <v>67</v>
      </c>
      <c r="R47" s="58" t="s">
        <v>67</v>
      </c>
      <c r="S47" s="58" t="s">
        <v>67</v>
      </c>
      <c r="T47" s="58" t="s">
        <v>67</v>
      </c>
      <c r="U47" s="58" t="s">
        <v>67</v>
      </c>
      <c r="V47" s="58" t="s">
        <v>67</v>
      </c>
      <c r="W47" s="58" t="s">
        <v>67</v>
      </c>
      <c r="X47" s="58" t="s">
        <v>67</v>
      </c>
      <c r="Y47" s="58" t="s">
        <v>67</v>
      </c>
      <c r="Z47" s="58" t="s">
        <v>67</v>
      </c>
      <c r="AA47" s="58" t="s">
        <v>67</v>
      </c>
      <c r="AB47" s="58" t="s">
        <v>67</v>
      </c>
      <c r="AC47" s="58" t="s">
        <v>67</v>
      </c>
      <c r="AD47" s="58" t="s">
        <v>67</v>
      </c>
      <c r="AE47" s="58" t="s">
        <v>67</v>
      </c>
      <c r="AF47" s="58" t="s">
        <v>67</v>
      </c>
      <c r="AG47" s="58" t="s">
        <v>67</v>
      </c>
      <c r="AH47" s="58" t="s">
        <v>67</v>
      </c>
      <c r="AI47" s="58" t="s">
        <v>67</v>
      </c>
      <c r="AJ47" s="26"/>
      <c r="AL47" t="str">
        <f t="shared" ca="1" si="0"/>
        <v xml:space="preserve">    (U1)ALERT_REQ_S_PSSDI_RWRN_</v>
      </c>
      <c r="AR47" s="60" t="str">
        <f t="shared" si="3"/>
        <v/>
      </c>
      <c r="AS47" s="60" t="str">
        <f t="shared" si="4"/>
        <v/>
      </c>
      <c r="AT47" s="60" t="str">
        <f t="shared" si="1"/>
        <v/>
      </c>
    </row>
    <row r="48" spans="2:46">
      <c r="B48" s="134"/>
      <c r="C48" s="44">
        <f t="shared" si="2"/>
        <v>42</v>
      </c>
      <c r="D48" s="58" t="s">
        <v>67</v>
      </c>
      <c r="E48" s="58" t="s">
        <v>67</v>
      </c>
      <c r="F48" s="58" t="s">
        <v>67</v>
      </c>
      <c r="G48" s="58" t="s">
        <v>67</v>
      </c>
      <c r="H48" s="58" t="s">
        <v>67</v>
      </c>
      <c r="I48" s="58" t="s">
        <v>67</v>
      </c>
      <c r="J48" s="58" t="s">
        <v>67</v>
      </c>
      <c r="K48" s="58" t="s">
        <v>67</v>
      </c>
      <c r="L48" s="58" t="s">
        <v>67</v>
      </c>
      <c r="M48" s="58" t="s">
        <v>67</v>
      </c>
      <c r="N48" s="58" t="s">
        <v>67</v>
      </c>
      <c r="O48" s="58" t="s">
        <v>67</v>
      </c>
      <c r="P48" s="58" t="s">
        <v>67</v>
      </c>
      <c r="Q48" s="58" t="s">
        <v>67</v>
      </c>
      <c r="R48" s="58" t="s">
        <v>67</v>
      </c>
      <c r="S48" s="58" t="s">
        <v>67</v>
      </c>
      <c r="T48" s="58" t="s">
        <v>67</v>
      </c>
      <c r="U48" s="58" t="s">
        <v>67</v>
      </c>
      <c r="V48" s="58" t="s">
        <v>67</v>
      </c>
      <c r="W48" s="58" t="s">
        <v>67</v>
      </c>
      <c r="X48" s="58" t="s">
        <v>67</v>
      </c>
      <c r="Y48" s="58" t="s">
        <v>67</v>
      </c>
      <c r="Z48" s="58" t="s">
        <v>67</v>
      </c>
      <c r="AA48" s="58" t="s">
        <v>67</v>
      </c>
      <c r="AB48" s="58" t="s">
        <v>67</v>
      </c>
      <c r="AC48" s="58" t="s">
        <v>67</v>
      </c>
      <c r="AD48" s="58" t="s">
        <v>67</v>
      </c>
      <c r="AE48" s="58" t="s">
        <v>67</v>
      </c>
      <c r="AF48" s="58" t="s">
        <v>67</v>
      </c>
      <c r="AG48" s="58" t="s">
        <v>67</v>
      </c>
      <c r="AH48" s="58" t="s">
        <v>67</v>
      </c>
      <c r="AI48" s="58" t="s">
        <v>67</v>
      </c>
      <c r="AJ48" s="26"/>
      <c r="AL48" t="str">
        <f t="shared" ca="1" si="0"/>
        <v xml:space="preserve">    (U1)ALERT_REQ_S_PSSDI_RWRN_</v>
      </c>
      <c r="AR48" s="60" t="str">
        <f t="shared" si="3"/>
        <v/>
      </c>
      <c r="AS48" s="60" t="str">
        <f t="shared" si="4"/>
        <v/>
      </c>
      <c r="AT48" s="60" t="str">
        <f t="shared" si="1"/>
        <v/>
      </c>
    </row>
    <row r="49" spans="2:46">
      <c r="B49" s="134"/>
      <c r="C49" s="44">
        <f t="shared" si="2"/>
        <v>43</v>
      </c>
      <c r="D49" s="58" t="s">
        <v>67</v>
      </c>
      <c r="E49" s="58" t="s">
        <v>67</v>
      </c>
      <c r="F49" s="58" t="s">
        <v>67</v>
      </c>
      <c r="G49" s="58" t="s">
        <v>67</v>
      </c>
      <c r="H49" s="58" t="s">
        <v>67</v>
      </c>
      <c r="I49" s="58" t="s">
        <v>67</v>
      </c>
      <c r="J49" s="58" t="s">
        <v>67</v>
      </c>
      <c r="K49" s="58" t="s">
        <v>67</v>
      </c>
      <c r="L49" s="58" t="s">
        <v>67</v>
      </c>
      <c r="M49" s="58" t="s">
        <v>67</v>
      </c>
      <c r="N49" s="58" t="s">
        <v>67</v>
      </c>
      <c r="O49" s="58" t="s">
        <v>67</v>
      </c>
      <c r="P49" s="58" t="s">
        <v>67</v>
      </c>
      <c r="Q49" s="58" t="s">
        <v>67</v>
      </c>
      <c r="R49" s="58" t="s">
        <v>67</v>
      </c>
      <c r="S49" s="58" t="s">
        <v>67</v>
      </c>
      <c r="T49" s="58" t="s">
        <v>67</v>
      </c>
      <c r="U49" s="58" t="s">
        <v>67</v>
      </c>
      <c r="V49" s="58" t="s">
        <v>67</v>
      </c>
      <c r="W49" s="58" t="s">
        <v>67</v>
      </c>
      <c r="X49" s="58" t="s">
        <v>67</v>
      </c>
      <c r="Y49" s="58" t="s">
        <v>67</v>
      </c>
      <c r="Z49" s="58" t="s">
        <v>67</v>
      </c>
      <c r="AA49" s="58" t="s">
        <v>67</v>
      </c>
      <c r="AB49" s="58" t="s">
        <v>67</v>
      </c>
      <c r="AC49" s="58" t="s">
        <v>67</v>
      </c>
      <c r="AD49" s="58" t="s">
        <v>67</v>
      </c>
      <c r="AE49" s="58" t="s">
        <v>67</v>
      </c>
      <c r="AF49" s="58" t="s">
        <v>67</v>
      </c>
      <c r="AG49" s="58" t="s">
        <v>67</v>
      </c>
      <c r="AH49" s="58" t="s">
        <v>67</v>
      </c>
      <c r="AI49" s="58" t="s">
        <v>67</v>
      </c>
      <c r="AJ49" s="26"/>
      <c r="AL49" t="str">
        <f t="shared" ca="1" si="0"/>
        <v xml:space="preserve">    (U1)ALERT_REQ_S_PSSDI_RWRN_</v>
      </c>
      <c r="AR49" s="60" t="str">
        <f t="shared" si="3"/>
        <v/>
      </c>
      <c r="AS49" s="60" t="str">
        <f t="shared" si="4"/>
        <v/>
      </c>
      <c r="AT49" s="60" t="str">
        <f t="shared" si="1"/>
        <v/>
      </c>
    </row>
    <row r="50" spans="2:46">
      <c r="B50" s="134"/>
      <c r="C50" s="44">
        <f t="shared" si="2"/>
        <v>44</v>
      </c>
      <c r="D50" s="58" t="s">
        <v>67</v>
      </c>
      <c r="E50" s="58" t="s">
        <v>67</v>
      </c>
      <c r="F50" s="58" t="s">
        <v>67</v>
      </c>
      <c r="G50" s="58" t="s">
        <v>67</v>
      </c>
      <c r="H50" s="58" t="s">
        <v>67</v>
      </c>
      <c r="I50" s="58" t="s">
        <v>67</v>
      </c>
      <c r="J50" s="58" t="s">
        <v>67</v>
      </c>
      <c r="K50" s="58" t="s">
        <v>67</v>
      </c>
      <c r="L50" s="58" t="s">
        <v>67</v>
      </c>
      <c r="M50" s="58" t="s">
        <v>67</v>
      </c>
      <c r="N50" s="58" t="s">
        <v>67</v>
      </c>
      <c r="O50" s="58" t="s">
        <v>67</v>
      </c>
      <c r="P50" s="58" t="s">
        <v>67</v>
      </c>
      <c r="Q50" s="58" t="s">
        <v>67</v>
      </c>
      <c r="R50" s="58" t="s">
        <v>67</v>
      </c>
      <c r="S50" s="58" t="s">
        <v>67</v>
      </c>
      <c r="T50" s="58" t="s">
        <v>67</v>
      </c>
      <c r="U50" s="58" t="s">
        <v>67</v>
      </c>
      <c r="V50" s="58" t="s">
        <v>67</v>
      </c>
      <c r="W50" s="58" t="s">
        <v>67</v>
      </c>
      <c r="X50" s="58" t="s">
        <v>67</v>
      </c>
      <c r="Y50" s="58" t="s">
        <v>67</v>
      </c>
      <c r="Z50" s="58" t="s">
        <v>67</v>
      </c>
      <c r="AA50" s="58" t="s">
        <v>67</v>
      </c>
      <c r="AB50" s="58" t="s">
        <v>67</v>
      </c>
      <c r="AC50" s="58" t="s">
        <v>67</v>
      </c>
      <c r="AD50" s="58" t="s">
        <v>67</v>
      </c>
      <c r="AE50" s="58" t="s">
        <v>67</v>
      </c>
      <c r="AF50" s="58" t="s">
        <v>67</v>
      </c>
      <c r="AG50" s="58" t="s">
        <v>67</v>
      </c>
      <c r="AH50" s="58" t="s">
        <v>67</v>
      </c>
      <c r="AI50" s="58" t="s">
        <v>67</v>
      </c>
      <c r="AJ50" s="26"/>
      <c r="AL50" t="str">
        <f t="shared" ca="1" si="0"/>
        <v xml:space="preserve">    (U1)ALERT_REQ_S_PSSDI_RWRN_</v>
      </c>
      <c r="AR50" s="60" t="str">
        <f t="shared" si="3"/>
        <v/>
      </c>
      <c r="AS50" s="60" t="str">
        <f t="shared" si="4"/>
        <v/>
      </c>
      <c r="AT50" s="60" t="str">
        <f t="shared" si="1"/>
        <v/>
      </c>
    </row>
    <row r="51" spans="2:46">
      <c r="B51" s="134"/>
      <c r="C51" s="44">
        <f t="shared" si="2"/>
        <v>45</v>
      </c>
      <c r="D51" s="58" t="s">
        <v>67</v>
      </c>
      <c r="E51" s="58" t="s">
        <v>67</v>
      </c>
      <c r="F51" s="58" t="s">
        <v>67</v>
      </c>
      <c r="G51" s="58" t="s">
        <v>67</v>
      </c>
      <c r="H51" s="58" t="s">
        <v>67</v>
      </c>
      <c r="I51" s="58" t="s">
        <v>67</v>
      </c>
      <c r="J51" s="58" t="s">
        <v>67</v>
      </c>
      <c r="K51" s="58" t="s">
        <v>67</v>
      </c>
      <c r="L51" s="58" t="s">
        <v>67</v>
      </c>
      <c r="M51" s="58" t="s">
        <v>67</v>
      </c>
      <c r="N51" s="58" t="s">
        <v>67</v>
      </c>
      <c r="O51" s="58" t="s">
        <v>67</v>
      </c>
      <c r="P51" s="58" t="s">
        <v>67</v>
      </c>
      <c r="Q51" s="58" t="s">
        <v>67</v>
      </c>
      <c r="R51" s="58" t="s">
        <v>67</v>
      </c>
      <c r="S51" s="58" t="s">
        <v>67</v>
      </c>
      <c r="T51" s="58" t="s">
        <v>67</v>
      </c>
      <c r="U51" s="58" t="s">
        <v>67</v>
      </c>
      <c r="V51" s="58" t="s">
        <v>67</v>
      </c>
      <c r="W51" s="58" t="s">
        <v>67</v>
      </c>
      <c r="X51" s="58" t="s">
        <v>67</v>
      </c>
      <c r="Y51" s="58" t="s">
        <v>67</v>
      </c>
      <c r="Z51" s="58" t="s">
        <v>67</v>
      </c>
      <c r="AA51" s="58" t="s">
        <v>67</v>
      </c>
      <c r="AB51" s="58" t="s">
        <v>67</v>
      </c>
      <c r="AC51" s="58" t="s">
        <v>67</v>
      </c>
      <c r="AD51" s="58" t="s">
        <v>67</v>
      </c>
      <c r="AE51" s="58" t="s">
        <v>67</v>
      </c>
      <c r="AF51" s="58" t="s">
        <v>67</v>
      </c>
      <c r="AG51" s="58" t="s">
        <v>67</v>
      </c>
      <c r="AH51" s="58" t="s">
        <v>67</v>
      </c>
      <c r="AI51" s="58" t="s">
        <v>67</v>
      </c>
      <c r="AJ51" s="26"/>
      <c r="AL51" t="str">
        <f t="shared" ca="1" si="0"/>
        <v xml:space="preserve">    (U1)ALERT_REQ_S_PSSDI_RWRN_</v>
      </c>
      <c r="AR51" s="60" t="str">
        <f t="shared" si="3"/>
        <v/>
      </c>
      <c r="AS51" s="60" t="str">
        <f t="shared" si="4"/>
        <v/>
      </c>
      <c r="AT51" s="60" t="str">
        <f t="shared" si="1"/>
        <v/>
      </c>
    </row>
    <row r="52" spans="2:46">
      <c r="B52" s="134"/>
      <c r="C52" s="44">
        <f t="shared" si="2"/>
        <v>46</v>
      </c>
      <c r="D52" s="58" t="s">
        <v>67</v>
      </c>
      <c r="E52" s="58" t="s">
        <v>67</v>
      </c>
      <c r="F52" s="58" t="s">
        <v>67</v>
      </c>
      <c r="G52" s="58" t="s">
        <v>67</v>
      </c>
      <c r="H52" s="58" t="s">
        <v>67</v>
      </c>
      <c r="I52" s="58" t="s">
        <v>67</v>
      </c>
      <c r="J52" s="58" t="s">
        <v>67</v>
      </c>
      <c r="K52" s="58" t="s">
        <v>67</v>
      </c>
      <c r="L52" s="58" t="s">
        <v>67</v>
      </c>
      <c r="M52" s="58" t="s">
        <v>67</v>
      </c>
      <c r="N52" s="58" t="s">
        <v>67</v>
      </c>
      <c r="O52" s="58" t="s">
        <v>67</v>
      </c>
      <c r="P52" s="58" t="s">
        <v>67</v>
      </c>
      <c r="Q52" s="58" t="s">
        <v>67</v>
      </c>
      <c r="R52" s="58" t="s">
        <v>67</v>
      </c>
      <c r="S52" s="58" t="s">
        <v>67</v>
      </c>
      <c r="T52" s="58" t="s">
        <v>67</v>
      </c>
      <c r="U52" s="58" t="s">
        <v>67</v>
      </c>
      <c r="V52" s="58" t="s">
        <v>67</v>
      </c>
      <c r="W52" s="58" t="s">
        <v>67</v>
      </c>
      <c r="X52" s="58" t="s">
        <v>67</v>
      </c>
      <c r="Y52" s="58" t="s">
        <v>67</v>
      </c>
      <c r="Z52" s="58" t="s">
        <v>67</v>
      </c>
      <c r="AA52" s="58" t="s">
        <v>67</v>
      </c>
      <c r="AB52" s="58" t="s">
        <v>67</v>
      </c>
      <c r="AC52" s="58" t="s">
        <v>67</v>
      </c>
      <c r="AD52" s="58" t="s">
        <v>67</v>
      </c>
      <c r="AE52" s="58" t="s">
        <v>67</v>
      </c>
      <c r="AF52" s="58" t="s">
        <v>67</v>
      </c>
      <c r="AG52" s="58" t="s">
        <v>67</v>
      </c>
      <c r="AH52" s="58" t="s">
        <v>67</v>
      </c>
      <c r="AI52" s="58" t="s">
        <v>67</v>
      </c>
      <c r="AJ52" s="26"/>
      <c r="AL52" t="str">
        <f t="shared" ca="1" si="0"/>
        <v xml:space="preserve">    (U1)ALERT_REQ_S_PSSDI_RWRN_</v>
      </c>
      <c r="AR52" s="60" t="str">
        <f t="shared" si="3"/>
        <v/>
      </c>
      <c r="AS52" s="60" t="str">
        <f t="shared" si="4"/>
        <v/>
      </c>
      <c r="AT52" s="60" t="str">
        <f t="shared" si="1"/>
        <v/>
      </c>
    </row>
    <row r="53" spans="2:46">
      <c r="B53" s="134"/>
      <c r="C53" s="44">
        <f t="shared" si="2"/>
        <v>47</v>
      </c>
      <c r="D53" s="58" t="s">
        <v>67</v>
      </c>
      <c r="E53" s="58" t="s">
        <v>67</v>
      </c>
      <c r="F53" s="58" t="s">
        <v>67</v>
      </c>
      <c r="G53" s="58" t="s">
        <v>67</v>
      </c>
      <c r="H53" s="58" t="s">
        <v>67</v>
      </c>
      <c r="I53" s="58" t="s">
        <v>67</v>
      </c>
      <c r="J53" s="58" t="s">
        <v>67</v>
      </c>
      <c r="K53" s="58" t="s">
        <v>67</v>
      </c>
      <c r="L53" s="58" t="s">
        <v>67</v>
      </c>
      <c r="M53" s="58" t="s">
        <v>67</v>
      </c>
      <c r="N53" s="58" t="s">
        <v>67</v>
      </c>
      <c r="O53" s="58" t="s">
        <v>67</v>
      </c>
      <c r="P53" s="58" t="s">
        <v>67</v>
      </c>
      <c r="Q53" s="58" t="s">
        <v>67</v>
      </c>
      <c r="R53" s="58" t="s">
        <v>67</v>
      </c>
      <c r="S53" s="58" t="s">
        <v>67</v>
      </c>
      <c r="T53" s="58" t="s">
        <v>67</v>
      </c>
      <c r="U53" s="58" t="s">
        <v>67</v>
      </c>
      <c r="V53" s="58" t="s">
        <v>67</v>
      </c>
      <c r="W53" s="58" t="s">
        <v>67</v>
      </c>
      <c r="X53" s="58" t="s">
        <v>67</v>
      </c>
      <c r="Y53" s="58" t="s">
        <v>67</v>
      </c>
      <c r="Z53" s="58" t="s">
        <v>67</v>
      </c>
      <c r="AA53" s="58" t="s">
        <v>67</v>
      </c>
      <c r="AB53" s="58" t="s">
        <v>67</v>
      </c>
      <c r="AC53" s="58" t="s">
        <v>67</v>
      </c>
      <c r="AD53" s="58" t="s">
        <v>67</v>
      </c>
      <c r="AE53" s="58" t="s">
        <v>67</v>
      </c>
      <c r="AF53" s="58" t="s">
        <v>67</v>
      </c>
      <c r="AG53" s="58" t="s">
        <v>67</v>
      </c>
      <c r="AH53" s="58" t="s">
        <v>67</v>
      </c>
      <c r="AI53" s="58" t="s">
        <v>67</v>
      </c>
      <c r="AJ53" s="26"/>
      <c r="AL53" t="str">
        <f t="shared" ca="1" si="0"/>
        <v xml:space="preserve">    (U1)ALERT_REQ_S_PSSDI_RWRN_</v>
      </c>
      <c r="AR53" s="60" t="str">
        <f t="shared" si="3"/>
        <v/>
      </c>
      <c r="AS53" s="60" t="str">
        <f t="shared" si="4"/>
        <v/>
      </c>
      <c r="AT53" s="60" t="str">
        <f t="shared" si="1"/>
        <v/>
      </c>
    </row>
    <row r="54" spans="2:46">
      <c r="B54" s="134"/>
      <c r="C54" s="44">
        <f t="shared" si="2"/>
        <v>48</v>
      </c>
      <c r="D54" s="58" t="s">
        <v>67</v>
      </c>
      <c r="E54" s="58" t="s">
        <v>67</v>
      </c>
      <c r="F54" s="58" t="s">
        <v>67</v>
      </c>
      <c r="G54" s="58" t="s">
        <v>67</v>
      </c>
      <c r="H54" s="58" t="s">
        <v>67</v>
      </c>
      <c r="I54" s="58" t="s">
        <v>67</v>
      </c>
      <c r="J54" s="58" t="s">
        <v>67</v>
      </c>
      <c r="K54" s="58" t="s">
        <v>67</v>
      </c>
      <c r="L54" s="58" t="s">
        <v>67</v>
      </c>
      <c r="M54" s="58" t="s">
        <v>67</v>
      </c>
      <c r="N54" s="58" t="s">
        <v>67</v>
      </c>
      <c r="O54" s="58" t="s">
        <v>67</v>
      </c>
      <c r="P54" s="58" t="s">
        <v>67</v>
      </c>
      <c r="Q54" s="58" t="s">
        <v>67</v>
      </c>
      <c r="R54" s="58" t="s">
        <v>67</v>
      </c>
      <c r="S54" s="58" t="s">
        <v>67</v>
      </c>
      <c r="T54" s="58" t="s">
        <v>67</v>
      </c>
      <c r="U54" s="58" t="s">
        <v>67</v>
      </c>
      <c r="V54" s="58" t="s">
        <v>67</v>
      </c>
      <c r="W54" s="58" t="s">
        <v>67</v>
      </c>
      <c r="X54" s="58" t="s">
        <v>67</v>
      </c>
      <c r="Y54" s="58" t="s">
        <v>67</v>
      </c>
      <c r="Z54" s="58" t="s">
        <v>67</v>
      </c>
      <c r="AA54" s="58" t="s">
        <v>67</v>
      </c>
      <c r="AB54" s="58" t="s">
        <v>67</v>
      </c>
      <c r="AC54" s="58" t="s">
        <v>67</v>
      </c>
      <c r="AD54" s="58" t="s">
        <v>67</v>
      </c>
      <c r="AE54" s="58" t="s">
        <v>67</v>
      </c>
      <c r="AF54" s="58" t="s">
        <v>67</v>
      </c>
      <c r="AG54" s="58" t="s">
        <v>67</v>
      </c>
      <c r="AH54" s="58" t="s">
        <v>67</v>
      </c>
      <c r="AI54" s="58" t="s">
        <v>67</v>
      </c>
      <c r="AJ54" s="26"/>
      <c r="AL54" t="str">
        <f t="shared" ca="1" si="0"/>
        <v xml:space="preserve">    (U1)ALERT_REQ_S_PSSDI_RWRN_</v>
      </c>
      <c r="AR54" s="60" t="str">
        <f t="shared" si="3"/>
        <v/>
      </c>
      <c r="AS54" s="60" t="str">
        <f t="shared" si="4"/>
        <v/>
      </c>
      <c r="AT54" s="60" t="str">
        <f t="shared" si="1"/>
        <v/>
      </c>
    </row>
    <row r="55" spans="2:46">
      <c r="B55" s="134"/>
      <c r="C55" s="44">
        <f t="shared" si="2"/>
        <v>49</v>
      </c>
      <c r="D55" s="58" t="s">
        <v>67</v>
      </c>
      <c r="E55" s="58" t="s">
        <v>67</v>
      </c>
      <c r="F55" s="58" t="s">
        <v>67</v>
      </c>
      <c r="G55" s="58" t="s">
        <v>67</v>
      </c>
      <c r="H55" s="58" t="s">
        <v>67</v>
      </c>
      <c r="I55" s="58" t="s">
        <v>67</v>
      </c>
      <c r="J55" s="58" t="s">
        <v>67</v>
      </c>
      <c r="K55" s="58" t="s">
        <v>67</v>
      </c>
      <c r="L55" s="58" t="s">
        <v>67</v>
      </c>
      <c r="M55" s="58" t="s">
        <v>67</v>
      </c>
      <c r="N55" s="58" t="s">
        <v>67</v>
      </c>
      <c r="O55" s="58" t="s">
        <v>67</v>
      </c>
      <c r="P55" s="58" t="s">
        <v>67</v>
      </c>
      <c r="Q55" s="58" t="s">
        <v>67</v>
      </c>
      <c r="R55" s="58" t="s">
        <v>67</v>
      </c>
      <c r="S55" s="58" t="s">
        <v>67</v>
      </c>
      <c r="T55" s="58" t="s">
        <v>67</v>
      </c>
      <c r="U55" s="58" t="s">
        <v>67</v>
      </c>
      <c r="V55" s="58" t="s">
        <v>67</v>
      </c>
      <c r="W55" s="58" t="s">
        <v>67</v>
      </c>
      <c r="X55" s="58" t="s">
        <v>67</v>
      </c>
      <c r="Y55" s="58" t="s">
        <v>67</v>
      </c>
      <c r="Z55" s="58" t="s">
        <v>67</v>
      </c>
      <c r="AA55" s="58" t="s">
        <v>67</v>
      </c>
      <c r="AB55" s="58" t="s">
        <v>67</v>
      </c>
      <c r="AC55" s="58" t="s">
        <v>67</v>
      </c>
      <c r="AD55" s="58" t="s">
        <v>67</v>
      </c>
      <c r="AE55" s="58" t="s">
        <v>67</v>
      </c>
      <c r="AF55" s="58" t="s">
        <v>67</v>
      </c>
      <c r="AG55" s="58" t="s">
        <v>67</v>
      </c>
      <c r="AH55" s="58" t="s">
        <v>67</v>
      </c>
      <c r="AI55" s="58" t="s">
        <v>67</v>
      </c>
      <c r="AJ55" s="26"/>
      <c r="AL55" t="str">
        <f t="shared" ca="1" si="0"/>
        <v xml:space="preserve">    (U1)ALERT_REQ_S_PSSDI_RWRN_</v>
      </c>
      <c r="AR55" s="60" t="str">
        <f t="shared" si="3"/>
        <v/>
      </c>
      <c r="AS55" s="60" t="str">
        <f t="shared" si="4"/>
        <v/>
      </c>
      <c r="AT55" s="60" t="str">
        <f t="shared" si="1"/>
        <v/>
      </c>
    </row>
    <row r="56" spans="2:46">
      <c r="B56" s="134"/>
      <c r="C56" s="44">
        <f t="shared" si="2"/>
        <v>50</v>
      </c>
      <c r="D56" s="58" t="s">
        <v>67</v>
      </c>
      <c r="E56" s="58" t="s">
        <v>67</v>
      </c>
      <c r="F56" s="58" t="s">
        <v>67</v>
      </c>
      <c r="G56" s="58" t="s">
        <v>67</v>
      </c>
      <c r="H56" s="58" t="s">
        <v>67</v>
      </c>
      <c r="I56" s="58" t="s">
        <v>67</v>
      </c>
      <c r="J56" s="58" t="s">
        <v>67</v>
      </c>
      <c r="K56" s="58" t="s">
        <v>67</v>
      </c>
      <c r="L56" s="58" t="s">
        <v>67</v>
      </c>
      <c r="M56" s="58" t="s">
        <v>67</v>
      </c>
      <c r="N56" s="58" t="s">
        <v>67</v>
      </c>
      <c r="O56" s="58" t="s">
        <v>67</v>
      </c>
      <c r="P56" s="58" t="s">
        <v>67</v>
      </c>
      <c r="Q56" s="58" t="s">
        <v>67</v>
      </c>
      <c r="R56" s="58" t="s">
        <v>67</v>
      </c>
      <c r="S56" s="58" t="s">
        <v>67</v>
      </c>
      <c r="T56" s="58" t="s">
        <v>67</v>
      </c>
      <c r="U56" s="58" t="s">
        <v>67</v>
      </c>
      <c r="V56" s="58" t="s">
        <v>67</v>
      </c>
      <c r="W56" s="58" t="s">
        <v>67</v>
      </c>
      <c r="X56" s="58" t="s">
        <v>67</v>
      </c>
      <c r="Y56" s="58" t="s">
        <v>67</v>
      </c>
      <c r="Z56" s="58" t="s">
        <v>67</v>
      </c>
      <c r="AA56" s="58" t="s">
        <v>67</v>
      </c>
      <c r="AB56" s="58" t="s">
        <v>67</v>
      </c>
      <c r="AC56" s="58" t="s">
        <v>67</v>
      </c>
      <c r="AD56" s="58" t="s">
        <v>67</v>
      </c>
      <c r="AE56" s="58" t="s">
        <v>67</v>
      </c>
      <c r="AF56" s="58" t="s">
        <v>67</v>
      </c>
      <c r="AG56" s="58" t="s">
        <v>67</v>
      </c>
      <c r="AH56" s="58" t="s">
        <v>67</v>
      </c>
      <c r="AI56" s="58" t="s">
        <v>67</v>
      </c>
      <c r="AJ56" s="26"/>
      <c r="AL56" t="str">
        <f t="shared" ca="1" si="0"/>
        <v xml:space="preserve">    (U1)ALERT_REQ_S_PSSDI_RWRN_</v>
      </c>
      <c r="AR56" s="60" t="str">
        <f t="shared" si="3"/>
        <v/>
      </c>
      <c r="AS56" s="60" t="str">
        <f t="shared" si="4"/>
        <v/>
      </c>
      <c r="AT56" s="60" t="str">
        <f t="shared" si="1"/>
        <v/>
      </c>
    </row>
    <row r="57" spans="2:46">
      <c r="B57" s="134"/>
      <c r="C57" s="44">
        <f t="shared" si="2"/>
        <v>51</v>
      </c>
      <c r="D57" s="58" t="s">
        <v>67</v>
      </c>
      <c r="E57" s="58" t="s">
        <v>67</v>
      </c>
      <c r="F57" s="58" t="s">
        <v>67</v>
      </c>
      <c r="G57" s="58" t="s">
        <v>67</v>
      </c>
      <c r="H57" s="58" t="s">
        <v>67</v>
      </c>
      <c r="I57" s="58" t="s">
        <v>67</v>
      </c>
      <c r="J57" s="58" t="s">
        <v>67</v>
      </c>
      <c r="K57" s="58" t="s">
        <v>67</v>
      </c>
      <c r="L57" s="58" t="s">
        <v>67</v>
      </c>
      <c r="M57" s="58" t="s">
        <v>67</v>
      </c>
      <c r="N57" s="58" t="s">
        <v>67</v>
      </c>
      <c r="O57" s="58" t="s">
        <v>67</v>
      </c>
      <c r="P57" s="58" t="s">
        <v>67</v>
      </c>
      <c r="Q57" s="58" t="s">
        <v>67</v>
      </c>
      <c r="R57" s="58" t="s">
        <v>67</v>
      </c>
      <c r="S57" s="58" t="s">
        <v>67</v>
      </c>
      <c r="T57" s="58" t="s">
        <v>67</v>
      </c>
      <c r="U57" s="58" t="s">
        <v>67</v>
      </c>
      <c r="V57" s="58" t="s">
        <v>67</v>
      </c>
      <c r="W57" s="58" t="s">
        <v>67</v>
      </c>
      <c r="X57" s="58" t="s">
        <v>67</v>
      </c>
      <c r="Y57" s="58" t="s">
        <v>67</v>
      </c>
      <c r="Z57" s="58" t="s">
        <v>67</v>
      </c>
      <c r="AA57" s="58" t="s">
        <v>67</v>
      </c>
      <c r="AB57" s="58" t="s">
        <v>67</v>
      </c>
      <c r="AC57" s="58" t="s">
        <v>67</v>
      </c>
      <c r="AD57" s="58" t="s">
        <v>67</v>
      </c>
      <c r="AE57" s="58" t="s">
        <v>67</v>
      </c>
      <c r="AF57" s="58" t="s">
        <v>67</v>
      </c>
      <c r="AG57" s="58" t="s">
        <v>67</v>
      </c>
      <c r="AH57" s="58" t="s">
        <v>67</v>
      </c>
      <c r="AI57" s="58" t="s">
        <v>67</v>
      </c>
      <c r="AJ57" s="26"/>
      <c r="AL57" t="str">
        <f t="shared" ca="1" si="0"/>
        <v xml:space="preserve">    (U1)ALERT_REQ_S_PSSDI_RWRN_</v>
      </c>
      <c r="AR57" s="60" t="str">
        <f t="shared" si="3"/>
        <v/>
      </c>
      <c r="AS57" s="60" t="str">
        <f t="shared" si="4"/>
        <v/>
      </c>
      <c r="AT57" s="60" t="str">
        <f t="shared" si="1"/>
        <v/>
      </c>
    </row>
    <row r="58" spans="2:46">
      <c r="B58" s="134"/>
      <c r="C58" s="44">
        <f t="shared" si="2"/>
        <v>52</v>
      </c>
      <c r="D58" s="58" t="s">
        <v>67</v>
      </c>
      <c r="E58" s="58" t="s">
        <v>67</v>
      </c>
      <c r="F58" s="58" t="s">
        <v>67</v>
      </c>
      <c r="G58" s="58" t="s">
        <v>67</v>
      </c>
      <c r="H58" s="58" t="s">
        <v>67</v>
      </c>
      <c r="I58" s="58" t="s">
        <v>67</v>
      </c>
      <c r="J58" s="58" t="s">
        <v>67</v>
      </c>
      <c r="K58" s="58" t="s">
        <v>67</v>
      </c>
      <c r="L58" s="58" t="s">
        <v>67</v>
      </c>
      <c r="M58" s="58" t="s">
        <v>67</v>
      </c>
      <c r="N58" s="58" t="s">
        <v>67</v>
      </c>
      <c r="O58" s="58" t="s">
        <v>67</v>
      </c>
      <c r="P58" s="58" t="s">
        <v>67</v>
      </c>
      <c r="Q58" s="58" t="s">
        <v>67</v>
      </c>
      <c r="R58" s="58" t="s">
        <v>67</v>
      </c>
      <c r="S58" s="58" t="s">
        <v>67</v>
      </c>
      <c r="T58" s="58" t="s">
        <v>67</v>
      </c>
      <c r="U58" s="58" t="s">
        <v>67</v>
      </c>
      <c r="V58" s="58" t="s">
        <v>67</v>
      </c>
      <c r="W58" s="58" t="s">
        <v>67</v>
      </c>
      <c r="X58" s="58" t="s">
        <v>67</v>
      </c>
      <c r="Y58" s="58" t="s">
        <v>67</v>
      </c>
      <c r="Z58" s="58" t="s">
        <v>67</v>
      </c>
      <c r="AA58" s="58" t="s">
        <v>67</v>
      </c>
      <c r="AB58" s="58" t="s">
        <v>67</v>
      </c>
      <c r="AC58" s="58" t="s">
        <v>67</v>
      </c>
      <c r="AD58" s="58" t="s">
        <v>67</v>
      </c>
      <c r="AE58" s="58" t="s">
        <v>67</v>
      </c>
      <c r="AF58" s="58" t="s">
        <v>67</v>
      </c>
      <c r="AG58" s="58" t="s">
        <v>67</v>
      </c>
      <c r="AH58" s="58" t="s">
        <v>67</v>
      </c>
      <c r="AI58" s="58" t="s">
        <v>67</v>
      </c>
      <c r="AJ58" s="26"/>
      <c r="AL58" t="str">
        <f t="shared" ca="1" si="0"/>
        <v xml:space="preserve">    (U1)ALERT_REQ_S_PSSDI_RWRN_</v>
      </c>
      <c r="AR58" s="60" t="str">
        <f t="shared" si="3"/>
        <v/>
      </c>
      <c r="AS58" s="60" t="str">
        <f t="shared" si="4"/>
        <v/>
      </c>
      <c r="AT58" s="60" t="str">
        <f t="shared" si="1"/>
        <v/>
      </c>
    </row>
    <row r="59" spans="2:46">
      <c r="B59" s="134"/>
      <c r="C59" s="44">
        <f t="shared" si="2"/>
        <v>53</v>
      </c>
      <c r="D59" s="58" t="s">
        <v>67</v>
      </c>
      <c r="E59" s="58" t="s">
        <v>67</v>
      </c>
      <c r="F59" s="58" t="s">
        <v>67</v>
      </c>
      <c r="G59" s="58" t="s">
        <v>67</v>
      </c>
      <c r="H59" s="58" t="s">
        <v>67</v>
      </c>
      <c r="I59" s="58" t="s">
        <v>67</v>
      </c>
      <c r="J59" s="58" t="s">
        <v>67</v>
      </c>
      <c r="K59" s="58" t="s">
        <v>67</v>
      </c>
      <c r="L59" s="58" t="s">
        <v>67</v>
      </c>
      <c r="M59" s="58" t="s">
        <v>67</v>
      </c>
      <c r="N59" s="58" t="s">
        <v>67</v>
      </c>
      <c r="O59" s="58" t="s">
        <v>67</v>
      </c>
      <c r="P59" s="58" t="s">
        <v>67</v>
      </c>
      <c r="Q59" s="58" t="s">
        <v>67</v>
      </c>
      <c r="R59" s="58" t="s">
        <v>67</v>
      </c>
      <c r="S59" s="58" t="s">
        <v>67</v>
      </c>
      <c r="T59" s="58" t="s">
        <v>67</v>
      </c>
      <c r="U59" s="58" t="s">
        <v>67</v>
      </c>
      <c r="V59" s="58" t="s">
        <v>67</v>
      </c>
      <c r="W59" s="58" t="s">
        <v>67</v>
      </c>
      <c r="X59" s="58" t="s">
        <v>67</v>
      </c>
      <c r="Y59" s="58" t="s">
        <v>67</v>
      </c>
      <c r="Z59" s="58" t="s">
        <v>67</v>
      </c>
      <c r="AA59" s="58" t="s">
        <v>67</v>
      </c>
      <c r="AB59" s="58" t="s">
        <v>67</v>
      </c>
      <c r="AC59" s="58" t="s">
        <v>67</v>
      </c>
      <c r="AD59" s="58" t="s">
        <v>67</v>
      </c>
      <c r="AE59" s="58" t="s">
        <v>67</v>
      </c>
      <c r="AF59" s="58" t="s">
        <v>67</v>
      </c>
      <c r="AG59" s="58" t="s">
        <v>67</v>
      </c>
      <c r="AH59" s="58" t="s">
        <v>67</v>
      </c>
      <c r="AI59" s="58" t="s">
        <v>67</v>
      </c>
      <c r="AJ59" s="26"/>
      <c r="AL59" t="str">
        <f t="shared" ca="1" si="0"/>
        <v xml:space="preserve">    (U1)ALERT_REQ_S_PSSDI_RWRN_</v>
      </c>
      <c r="AR59" s="60" t="str">
        <f t="shared" si="3"/>
        <v/>
      </c>
      <c r="AS59" s="60" t="str">
        <f t="shared" si="4"/>
        <v/>
      </c>
      <c r="AT59" s="60" t="str">
        <f t="shared" si="1"/>
        <v/>
      </c>
    </row>
    <row r="60" spans="2:46">
      <c r="B60" s="134"/>
      <c r="C60" s="44">
        <f t="shared" si="2"/>
        <v>54</v>
      </c>
      <c r="D60" s="58" t="s">
        <v>67</v>
      </c>
      <c r="E60" s="58" t="s">
        <v>67</v>
      </c>
      <c r="F60" s="58" t="s">
        <v>67</v>
      </c>
      <c r="G60" s="58" t="s">
        <v>67</v>
      </c>
      <c r="H60" s="58" t="s">
        <v>67</v>
      </c>
      <c r="I60" s="58" t="s">
        <v>67</v>
      </c>
      <c r="J60" s="58" t="s">
        <v>67</v>
      </c>
      <c r="K60" s="58" t="s">
        <v>67</v>
      </c>
      <c r="L60" s="58" t="s">
        <v>67</v>
      </c>
      <c r="M60" s="58" t="s">
        <v>67</v>
      </c>
      <c r="N60" s="58" t="s">
        <v>67</v>
      </c>
      <c r="O60" s="58" t="s">
        <v>67</v>
      </c>
      <c r="P60" s="58" t="s">
        <v>67</v>
      </c>
      <c r="Q60" s="58" t="s">
        <v>67</v>
      </c>
      <c r="R60" s="58" t="s">
        <v>67</v>
      </c>
      <c r="S60" s="58" t="s">
        <v>67</v>
      </c>
      <c r="T60" s="58" t="s">
        <v>67</v>
      </c>
      <c r="U60" s="58" t="s">
        <v>67</v>
      </c>
      <c r="V60" s="58" t="s">
        <v>67</v>
      </c>
      <c r="W60" s="58" t="s">
        <v>67</v>
      </c>
      <c r="X60" s="58" t="s">
        <v>67</v>
      </c>
      <c r="Y60" s="58" t="s">
        <v>67</v>
      </c>
      <c r="Z60" s="58" t="s">
        <v>67</v>
      </c>
      <c r="AA60" s="58" t="s">
        <v>67</v>
      </c>
      <c r="AB60" s="58" t="s">
        <v>67</v>
      </c>
      <c r="AC60" s="58" t="s">
        <v>67</v>
      </c>
      <c r="AD60" s="58" t="s">
        <v>67</v>
      </c>
      <c r="AE60" s="58" t="s">
        <v>67</v>
      </c>
      <c r="AF60" s="58" t="s">
        <v>67</v>
      </c>
      <c r="AG60" s="58" t="s">
        <v>67</v>
      </c>
      <c r="AH60" s="58" t="s">
        <v>67</v>
      </c>
      <c r="AI60" s="58" t="s">
        <v>67</v>
      </c>
      <c r="AJ60" s="26"/>
      <c r="AL60" t="str">
        <f t="shared" ca="1" si="0"/>
        <v xml:space="preserve">    (U1)ALERT_REQ_S_PSSDI_RWRN_</v>
      </c>
      <c r="AR60" s="60" t="str">
        <f t="shared" si="3"/>
        <v/>
      </c>
      <c r="AS60" s="60" t="str">
        <f t="shared" si="4"/>
        <v/>
      </c>
      <c r="AT60" s="60" t="str">
        <f t="shared" si="1"/>
        <v/>
      </c>
    </row>
    <row r="61" spans="2:46">
      <c r="B61" s="134"/>
      <c r="C61" s="44">
        <f t="shared" si="2"/>
        <v>55</v>
      </c>
      <c r="D61" s="58" t="s">
        <v>67</v>
      </c>
      <c r="E61" s="58" t="s">
        <v>67</v>
      </c>
      <c r="F61" s="58" t="s">
        <v>67</v>
      </c>
      <c r="G61" s="58" t="s">
        <v>67</v>
      </c>
      <c r="H61" s="58" t="s">
        <v>67</v>
      </c>
      <c r="I61" s="58" t="s">
        <v>67</v>
      </c>
      <c r="J61" s="58" t="s">
        <v>67</v>
      </c>
      <c r="K61" s="58" t="s">
        <v>67</v>
      </c>
      <c r="L61" s="58" t="s">
        <v>67</v>
      </c>
      <c r="M61" s="58" t="s">
        <v>67</v>
      </c>
      <c r="N61" s="58" t="s">
        <v>67</v>
      </c>
      <c r="O61" s="58" t="s">
        <v>67</v>
      </c>
      <c r="P61" s="58" t="s">
        <v>67</v>
      </c>
      <c r="Q61" s="58" t="s">
        <v>67</v>
      </c>
      <c r="R61" s="58" t="s">
        <v>67</v>
      </c>
      <c r="S61" s="58" t="s">
        <v>67</v>
      </c>
      <c r="T61" s="58" t="s">
        <v>67</v>
      </c>
      <c r="U61" s="58" t="s">
        <v>67</v>
      </c>
      <c r="V61" s="58" t="s">
        <v>67</v>
      </c>
      <c r="W61" s="58" t="s">
        <v>67</v>
      </c>
      <c r="X61" s="58" t="s">
        <v>67</v>
      </c>
      <c r="Y61" s="58" t="s">
        <v>67</v>
      </c>
      <c r="Z61" s="58" t="s">
        <v>67</v>
      </c>
      <c r="AA61" s="58" t="s">
        <v>67</v>
      </c>
      <c r="AB61" s="58" t="s">
        <v>67</v>
      </c>
      <c r="AC61" s="58" t="s">
        <v>67</v>
      </c>
      <c r="AD61" s="58" t="s">
        <v>67</v>
      </c>
      <c r="AE61" s="58" t="s">
        <v>67</v>
      </c>
      <c r="AF61" s="58" t="s">
        <v>67</v>
      </c>
      <c r="AG61" s="58" t="s">
        <v>67</v>
      </c>
      <c r="AH61" s="58" t="s">
        <v>67</v>
      </c>
      <c r="AI61" s="58" t="s">
        <v>67</v>
      </c>
      <c r="AJ61" s="26"/>
      <c r="AL61" t="str">
        <f t="shared" ca="1" si="0"/>
        <v xml:space="preserve">    (U1)ALERT_REQ_S_PSSDI_RWRN_</v>
      </c>
      <c r="AR61" s="60" t="str">
        <f t="shared" si="3"/>
        <v/>
      </c>
      <c r="AS61" s="60" t="str">
        <f t="shared" si="4"/>
        <v/>
      </c>
      <c r="AT61" s="60" t="str">
        <f t="shared" si="1"/>
        <v/>
      </c>
    </row>
    <row r="62" spans="2:46">
      <c r="B62" s="134"/>
      <c r="C62" s="44">
        <f t="shared" si="2"/>
        <v>56</v>
      </c>
      <c r="D62" s="58" t="s">
        <v>67</v>
      </c>
      <c r="E62" s="58" t="s">
        <v>67</v>
      </c>
      <c r="F62" s="58" t="s">
        <v>67</v>
      </c>
      <c r="G62" s="58" t="s">
        <v>67</v>
      </c>
      <c r="H62" s="58" t="s">
        <v>67</v>
      </c>
      <c r="I62" s="58" t="s">
        <v>67</v>
      </c>
      <c r="J62" s="58" t="s">
        <v>67</v>
      </c>
      <c r="K62" s="58" t="s">
        <v>67</v>
      </c>
      <c r="L62" s="58" t="s">
        <v>67</v>
      </c>
      <c r="M62" s="58" t="s">
        <v>67</v>
      </c>
      <c r="N62" s="58" t="s">
        <v>67</v>
      </c>
      <c r="O62" s="58" t="s">
        <v>67</v>
      </c>
      <c r="P62" s="58" t="s">
        <v>67</v>
      </c>
      <c r="Q62" s="58" t="s">
        <v>67</v>
      </c>
      <c r="R62" s="58" t="s">
        <v>67</v>
      </c>
      <c r="S62" s="58" t="s">
        <v>67</v>
      </c>
      <c r="T62" s="58" t="s">
        <v>67</v>
      </c>
      <c r="U62" s="58" t="s">
        <v>67</v>
      </c>
      <c r="V62" s="58" t="s">
        <v>67</v>
      </c>
      <c r="W62" s="58" t="s">
        <v>67</v>
      </c>
      <c r="X62" s="58" t="s">
        <v>67</v>
      </c>
      <c r="Y62" s="58" t="s">
        <v>67</v>
      </c>
      <c r="Z62" s="58" t="s">
        <v>67</v>
      </c>
      <c r="AA62" s="58" t="s">
        <v>67</v>
      </c>
      <c r="AB62" s="58" t="s">
        <v>67</v>
      </c>
      <c r="AC62" s="58" t="s">
        <v>67</v>
      </c>
      <c r="AD62" s="58" t="s">
        <v>67</v>
      </c>
      <c r="AE62" s="58" t="s">
        <v>67</v>
      </c>
      <c r="AF62" s="58" t="s">
        <v>67</v>
      </c>
      <c r="AG62" s="58" t="s">
        <v>67</v>
      </c>
      <c r="AH62" s="58" t="s">
        <v>67</v>
      </c>
      <c r="AI62" s="58" t="s">
        <v>67</v>
      </c>
      <c r="AJ62" s="26"/>
      <c r="AL62" t="str">
        <f t="shared" ca="1" si="0"/>
        <v xml:space="preserve">    (U1)ALERT_REQ_S_PSSDI_RWRN_</v>
      </c>
      <c r="AR62" s="60" t="str">
        <f t="shared" si="3"/>
        <v/>
      </c>
      <c r="AS62" s="60" t="str">
        <f t="shared" si="4"/>
        <v/>
      </c>
      <c r="AT62" s="60" t="str">
        <f t="shared" si="1"/>
        <v/>
      </c>
    </row>
    <row r="63" spans="2:46">
      <c r="B63" s="134"/>
      <c r="C63" s="44">
        <f t="shared" si="2"/>
        <v>57</v>
      </c>
      <c r="D63" s="58" t="s">
        <v>67</v>
      </c>
      <c r="E63" s="58" t="s">
        <v>67</v>
      </c>
      <c r="F63" s="58" t="s">
        <v>67</v>
      </c>
      <c r="G63" s="58" t="s">
        <v>67</v>
      </c>
      <c r="H63" s="58" t="s">
        <v>67</v>
      </c>
      <c r="I63" s="58" t="s">
        <v>67</v>
      </c>
      <c r="J63" s="58" t="s">
        <v>67</v>
      </c>
      <c r="K63" s="58" t="s">
        <v>67</v>
      </c>
      <c r="L63" s="58" t="s">
        <v>67</v>
      </c>
      <c r="M63" s="58" t="s">
        <v>67</v>
      </c>
      <c r="N63" s="58" t="s">
        <v>67</v>
      </c>
      <c r="O63" s="58" t="s">
        <v>67</v>
      </c>
      <c r="P63" s="58" t="s">
        <v>67</v>
      </c>
      <c r="Q63" s="58" t="s">
        <v>67</v>
      </c>
      <c r="R63" s="58" t="s">
        <v>67</v>
      </c>
      <c r="S63" s="58" t="s">
        <v>67</v>
      </c>
      <c r="T63" s="58" t="s">
        <v>67</v>
      </c>
      <c r="U63" s="58" t="s">
        <v>67</v>
      </c>
      <c r="V63" s="58" t="s">
        <v>67</v>
      </c>
      <c r="W63" s="58" t="s">
        <v>67</v>
      </c>
      <c r="X63" s="58" t="s">
        <v>67</v>
      </c>
      <c r="Y63" s="58" t="s">
        <v>67</v>
      </c>
      <c r="Z63" s="58" t="s">
        <v>67</v>
      </c>
      <c r="AA63" s="58" t="s">
        <v>67</v>
      </c>
      <c r="AB63" s="58" t="s">
        <v>67</v>
      </c>
      <c r="AC63" s="58" t="s">
        <v>67</v>
      </c>
      <c r="AD63" s="58" t="s">
        <v>67</v>
      </c>
      <c r="AE63" s="58" t="s">
        <v>67</v>
      </c>
      <c r="AF63" s="58" t="s">
        <v>67</v>
      </c>
      <c r="AG63" s="58" t="s">
        <v>67</v>
      </c>
      <c r="AH63" s="58" t="s">
        <v>67</v>
      </c>
      <c r="AI63" s="58" t="s">
        <v>67</v>
      </c>
      <c r="AJ63" s="26"/>
      <c r="AL63" t="str">
        <f t="shared" ca="1" si="0"/>
        <v xml:space="preserve">    (U1)ALERT_REQ_S_PSSDI_RWRN_</v>
      </c>
      <c r="AR63" s="60" t="str">
        <f t="shared" si="3"/>
        <v/>
      </c>
      <c r="AS63" s="60" t="str">
        <f t="shared" si="4"/>
        <v/>
      </c>
      <c r="AT63" s="60" t="str">
        <f t="shared" si="1"/>
        <v/>
      </c>
    </row>
    <row r="64" spans="2:46">
      <c r="B64" s="134"/>
      <c r="C64" s="44">
        <f t="shared" si="2"/>
        <v>58</v>
      </c>
      <c r="D64" s="58" t="s">
        <v>67</v>
      </c>
      <c r="E64" s="58" t="s">
        <v>67</v>
      </c>
      <c r="F64" s="58" t="s">
        <v>67</v>
      </c>
      <c r="G64" s="58" t="s">
        <v>67</v>
      </c>
      <c r="H64" s="58" t="s">
        <v>67</v>
      </c>
      <c r="I64" s="58" t="s">
        <v>67</v>
      </c>
      <c r="J64" s="58" t="s">
        <v>67</v>
      </c>
      <c r="K64" s="58" t="s">
        <v>67</v>
      </c>
      <c r="L64" s="58" t="s">
        <v>67</v>
      </c>
      <c r="M64" s="58" t="s">
        <v>67</v>
      </c>
      <c r="N64" s="58" t="s">
        <v>67</v>
      </c>
      <c r="O64" s="58" t="s">
        <v>67</v>
      </c>
      <c r="P64" s="58" t="s">
        <v>67</v>
      </c>
      <c r="Q64" s="58" t="s">
        <v>67</v>
      </c>
      <c r="R64" s="58" t="s">
        <v>67</v>
      </c>
      <c r="S64" s="58" t="s">
        <v>67</v>
      </c>
      <c r="T64" s="58" t="s">
        <v>67</v>
      </c>
      <c r="U64" s="58" t="s">
        <v>67</v>
      </c>
      <c r="V64" s="58" t="s">
        <v>67</v>
      </c>
      <c r="W64" s="58" t="s">
        <v>67</v>
      </c>
      <c r="X64" s="58" t="s">
        <v>67</v>
      </c>
      <c r="Y64" s="58" t="s">
        <v>67</v>
      </c>
      <c r="Z64" s="58" t="s">
        <v>67</v>
      </c>
      <c r="AA64" s="58" t="s">
        <v>67</v>
      </c>
      <c r="AB64" s="58" t="s">
        <v>67</v>
      </c>
      <c r="AC64" s="58" t="s">
        <v>67</v>
      </c>
      <c r="AD64" s="58" t="s">
        <v>67</v>
      </c>
      <c r="AE64" s="58" t="s">
        <v>67</v>
      </c>
      <c r="AF64" s="58" t="s">
        <v>67</v>
      </c>
      <c r="AG64" s="58" t="s">
        <v>67</v>
      </c>
      <c r="AH64" s="58" t="s">
        <v>67</v>
      </c>
      <c r="AI64" s="58" t="s">
        <v>67</v>
      </c>
      <c r="AJ64" s="26"/>
      <c r="AL64" t="str">
        <f t="shared" ca="1" si="0"/>
        <v xml:space="preserve">    (U1)ALERT_REQ_S_PSSDI_RWRN_</v>
      </c>
      <c r="AR64" s="60" t="str">
        <f t="shared" si="3"/>
        <v/>
      </c>
      <c r="AS64" s="60" t="str">
        <f t="shared" si="4"/>
        <v/>
      </c>
      <c r="AT64" s="60" t="str">
        <f t="shared" si="1"/>
        <v/>
      </c>
    </row>
    <row r="65" spans="1:46">
      <c r="B65" s="134"/>
      <c r="C65" s="44">
        <f t="shared" si="2"/>
        <v>59</v>
      </c>
      <c r="D65" s="58" t="s">
        <v>67</v>
      </c>
      <c r="E65" s="58" t="s">
        <v>67</v>
      </c>
      <c r="F65" s="58" t="s">
        <v>67</v>
      </c>
      <c r="G65" s="58" t="s">
        <v>67</v>
      </c>
      <c r="H65" s="58" t="s">
        <v>67</v>
      </c>
      <c r="I65" s="58" t="s">
        <v>67</v>
      </c>
      <c r="J65" s="58" t="s">
        <v>67</v>
      </c>
      <c r="K65" s="58" t="s">
        <v>67</v>
      </c>
      <c r="L65" s="58" t="s">
        <v>67</v>
      </c>
      <c r="M65" s="58" t="s">
        <v>67</v>
      </c>
      <c r="N65" s="58" t="s">
        <v>67</v>
      </c>
      <c r="O65" s="58" t="s">
        <v>67</v>
      </c>
      <c r="P65" s="58" t="s">
        <v>67</v>
      </c>
      <c r="Q65" s="58" t="s">
        <v>67</v>
      </c>
      <c r="R65" s="58" t="s">
        <v>67</v>
      </c>
      <c r="S65" s="58" t="s">
        <v>67</v>
      </c>
      <c r="T65" s="58" t="s">
        <v>67</v>
      </c>
      <c r="U65" s="58" t="s">
        <v>67</v>
      </c>
      <c r="V65" s="58" t="s">
        <v>67</v>
      </c>
      <c r="W65" s="58" t="s">
        <v>67</v>
      </c>
      <c r="X65" s="58" t="s">
        <v>67</v>
      </c>
      <c r="Y65" s="58" t="s">
        <v>67</v>
      </c>
      <c r="Z65" s="58" t="s">
        <v>67</v>
      </c>
      <c r="AA65" s="58" t="s">
        <v>67</v>
      </c>
      <c r="AB65" s="58" t="s">
        <v>67</v>
      </c>
      <c r="AC65" s="58" t="s">
        <v>67</v>
      </c>
      <c r="AD65" s="58" t="s">
        <v>67</v>
      </c>
      <c r="AE65" s="58" t="s">
        <v>67</v>
      </c>
      <c r="AF65" s="58" t="s">
        <v>67</v>
      </c>
      <c r="AG65" s="58" t="s">
        <v>67</v>
      </c>
      <c r="AH65" s="58" t="s">
        <v>67</v>
      </c>
      <c r="AI65" s="58" t="s">
        <v>67</v>
      </c>
      <c r="AJ65" s="26"/>
      <c r="AL65" t="str">
        <f t="shared" ca="1" si="0"/>
        <v xml:space="preserve">    (U1)ALERT_REQ_S_PSSDI_RWRN_</v>
      </c>
      <c r="AR65" s="60" t="str">
        <f t="shared" si="3"/>
        <v/>
      </c>
      <c r="AS65" s="60" t="str">
        <f t="shared" si="4"/>
        <v/>
      </c>
      <c r="AT65" s="60" t="str">
        <f t="shared" si="1"/>
        <v/>
      </c>
    </row>
    <row r="66" spans="1:46">
      <c r="B66" s="134"/>
      <c r="C66" s="44">
        <f t="shared" si="2"/>
        <v>60</v>
      </c>
      <c r="D66" s="58" t="s">
        <v>67</v>
      </c>
      <c r="E66" s="58" t="s">
        <v>67</v>
      </c>
      <c r="F66" s="58" t="s">
        <v>67</v>
      </c>
      <c r="G66" s="58" t="s">
        <v>67</v>
      </c>
      <c r="H66" s="58" t="s">
        <v>67</v>
      </c>
      <c r="I66" s="58" t="s">
        <v>67</v>
      </c>
      <c r="J66" s="58" t="s">
        <v>67</v>
      </c>
      <c r="K66" s="58" t="s">
        <v>67</v>
      </c>
      <c r="L66" s="58" t="s">
        <v>67</v>
      </c>
      <c r="M66" s="58" t="s">
        <v>67</v>
      </c>
      <c r="N66" s="58" t="s">
        <v>67</v>
      </c>
      <c r="O66" s="58" t="s">
        <v>67</v>
      </c>
      <c r="P66" s="58" t="s">
        <v>67</v>
      </c>
      <c r="Q66" s="58" t="s">
        <v>67</v>
      </c>
      <c r="R66" s="58" t="s">
        <v>67</v>
      </c>
      <c r="S66" s="58" t="s">
        <v>67</v>
      </c>
      <c r="T66" s="58" t="s">
        <v>67</v>
      </c>
      <c r="U66" s="58" t="s">
        <v>67</v>
      </c>
      <c r="V66" s="58" t="s">
        <v>67</v>
      </c>
      <c r="W66" s="58" t="s">
        <v>67</v>
      </c>
      <c r="X66" s="58" t="s">
        <v>67</v>
      </c>
      <c r="Y66" s="58" t="s">
        <v>67</v>
      </c>
      <c r="Z66" s="58" t="s">
        <v>67</v>
      </c>
      <c r="AA66" s="58" t="s">
        <v>67</v>
      </c>
      <c r="AB66" s="58" t="s">
        <v>67</v>
      </c>
      <c r="AC66" s="58" t="s">
        <v>67</v>
      </c>
      <c r="AD66" s="58" t="s">
        <v>67</v>
      </c>
      <c r="AE66" s="58" t="s">
        <v>67</v>
      </c>
      <c r="AF66" s="58" t="s">
        <v>67</v>
      </c>
      <c r="AG66" s="58" t="s">
        <v>67</v>
      </c>
      <c r="AH66" s="58" t="s">
        <v>67</v>
      </c>
      <c r="AI66" s="58" t="s">
        <v>67</v>
      </c>
      <c r="AJ66" s="26"/>
      <c r="AL66" t="str">
        <f t="shared" ca="1" si="0"/>
        <v xml:space="preserve">    (U1)ALERT_REQ_S_PSSDI_RWRN_</v>
      </c>
      <c r="AR66" s="60" t="str">
        <f t="shared" si="3"/>
        <v/>
      </c>
      <c r="AS66" s="60" t="str">
        <f t="shared" si="4"/>
        <v/>
      </c>
      <c r="AT66" s="60" t="str">
        <f t="shared" si="1"/>
        <v/>
      </c>
    </row>
    <row r="67" spans="1:46">
      <c r="B67" s="134"/>
      <c r="C67" s="44">
        <f t="shared" si="2"/>
        <v>61</v>
      </c>
      <c r="D67" s="58" t="s">
        <v>67</v>
      </c>
      <c r="E67" s="58" t="s">
        <v>67</v>
      </c>
      <c r="F67" s="58" t="s">
        <v>67</v>
      </c>
      <c r="G67" s="58" t="s">
        <v>67</v>
      </c>
      <c r="H67" s="58" t="s">
        <v>67</v>
      </c>
      <c r="I67" s="58" t="s">
        <v>67</v>
      </c>
      <c r="J67" s="58" t="s">
        <v>67</v>
      </c>
      <c r="K67" s="58" t="s">
        <v>67</v>
      </c>
      <c r="L67" s="58" t="s">
        <v>67</v>
      </c>
      <c r="M67" s="58" t="s">
        <v>67</v>
      </c>
      <c r="N67" s="58" t="s">
        <v>67</v>
      </c>
      <c r="O67" s="58" t="s">
        <v>67</v>
      </c>
      <c r="P67" s="58" t="s">
        <v>67</v>
      </c>
      <c r="Q67" s="58" t="s">
        <v>67</v>
      </c>
      <c r="R67" s="58" t="s">
        <v>67</v>
      </c>
      <c r="S67" s="58" t="s">
        <v>67</v>
      </c>
      <c r="T67" s="58" t="s">
        <v>67</v>
      </c>
      <c r="U67" s="58" t="s">
        <v>67</v>
      </c>
      <c r="V67" s="58" t="s">
        <v>67</v>
      </c>
      <c r="W67" s="58" t="s">
        <v>67</v>
      </c>
      <c r="X67" s="58" t="s">
        <v>67</v>
      </c>
      <c r="Y67" s="58" t="s">
        <v>67</v>
      </c>
      <c r="Z67" s="58" t="s">
        <v>67</v>
      </c>
      <c r="AA67" s="58" t="s">
        <v>67</v>
      </c>
      <c r="AB67" s="58" t="s">
        <v>67</v>
      </c>
      <c r="AC67" s="58" t="s">
        <v>67</v>
      </c>
      <c r="AD67" s="58" t="s">
        <v>67</v>
      </c>
      <c r="AE67" s="58" t="s">
        <v>67</v>
      </c>
      <c r="AF67" s="58" t="s">
        <v>67</v>
      </c>
      <c r="AG67" s="58" t="s">
        <v>67</v>
      </c>
      <c r="AH67" s="58" t="s">
        <v>67</v>
      </c>
      <c r="AI67" s="58" t="s">
        <v>67</v>
      </c>
      <c r="AJ67" s="26"/>
      <c r="AL67" t="str">
        <f t="shared" ca="1" si="0"/>
        <v xml:space="preserve">    (U1)ALERT_REQ_S_PSSDI_RWRN_</v>
      </c>
      <c r="AR67" s="60" t="str">
        <f t="shared" si="3"/>
        <v/>
      </c>
      <c r="AS67" s="60" t="str">
        <f t="shared" si="4"/>
        <v/>
      </c>
      <c r="AT67" s="60" t="str">
        <f t="shared" si="1"/>
        <v/>
      </c>
    </row>
    <row r="68" spans="1:46">
      <c r="B68" s="134"/>
      <c r="C68" s="44">
        <f t="shared" si="2"/>
        <v>62</v>
      </c>
      <c r="D68" s="58" t="s">
        <v>67</v>
      </c>
      <c r="E68" s="58" t="s">
        <v>67</v>
      </c>
      <c r="F68" s="58" t="s">
        <v>67</v>
      </c>
      <c r="G68" s="58" t="s">
        <v>67</v>
      </c>
      <c r="H68" s="58" t="s">
        <v>67</v>
      </c>
      <c r="I68" s="58" t="s">
        <v>67</v>
      </c>
      <c r="J68" s="58" t="s">
        <v>67</v>
      </c>
      <c r="K68" s="58" t="s">
        <v>67</v>
      </c>
      <c r="L68" s="58" t="s">
        <v>67</v>
      </c>
      <c r="M68" s="58" t="s">
        <v>67</v>
      </c>
      <c r="N68" s="58" t="s">
        <v>67</v>
      </c>
      <c r="O68" s="58" t="s">
        <v>67</v>
      </c>
      <c r="P68" s="58" t="s">
        <v>67</v>
      </c>
      <c r="Q68" s="58" t="s">
        <v>67</v>
      </c>
      <c r="R68" s="58" t="s">
        <v>67</v>
      </c>
      <c r="S68" s="58" t="s">
        <v>67</v>
      </c>
      <c r="T68" s="58" t="s">
        <v>67</v>
      </c>
      <c r="U68" s="58" t="s">
        <v>67</v>
      </c>
      <c r="V68" s="58" t="s">
        <v>67</v>
      </c>
      <c r="W68" s="58" t="s">
        <v>67</v>
      </c>
      <c r="X68" s="58" t="s">
        <v>67</v>
      </c>
      <c r="Y68" s="58" t="s">
        <v>67</v>
      </c>
      <c r="Z68" s="58" t="s">
        <v>67</v>
      </c>
      <c r="AA68" s="58" t="s">
        <v>67</v>
      </c>
      <c r="AB68" s="58" t="s">
        <v>67</v>
      </c>
      <c r="AC68" s="58" t="s">
        <v>67</v>
      </c>
      <c r="AD68" s="58" t="s">
        <v>67</v>
      </c>
      <c r="AE68" s="58" t="s">
        <v>67</v>
      </c>
      <c r="AF68" s="58" t="s">
        <v>67</v>
      </c>
      <c r="AG68" s="58" t="s">
        <v>67</v>
      </c>
      <c r="AH68" s="58" t="s">
        <v>67</v>
      </c>
      <c r="AI68" s="58" t="s">
        <v>67</v>
      </c>
      <c r="AJ68" s="26"/>
      <c r="AL68" t="str">
        <f t="shared" ca="1" si="0"/>
        <v xml:space="preserve">    (U1)ALERT_REQ_S_PSSDI_RWRN_</v>
      </c>
      <c r="AR68" s="60" t="str">
        <f t="shared" si="3"/>
        <v/>
      </c>
      <c r="AS68" s="60" t="str">
        <f t="shared" si="4"/>
        <v/>
      </c>
      <c r="AT68" s="60" t="str">
        <f t="shared" si="1"/>
        <v/>
      </c>
    </row>
    <row r="69" spans="1:46">
      <c r="B69" s="135"/>
      <c r="C69" s="44">
        <f t="shared" si="2"/>
        <v>63</v>
      </c>
      <c r="D69" s="58" t="s">
        <v>67</v>
      </c>
      <c r="E69" s="58" t="s">
        <v>67</v>
      </c>
      <c r="F69" s="58" t="s">
        <v>67</v>
      </c>
      <c r="G69" s="58" t="s">
        <v>67</v>
      </c>
      <c r="H69" s="58" t="s">
        <v>67</v>
      </c>
      <c r="I69" s="58" t="s">
        <v>67</v>
      </c>
      <c r="J69" s="58" t="s">
        <v>67</v>
      </c>
      <c r="K69" s="58" t="s">
        <v>67</v>
      </c>
      <c r="L69" s="58" t="s">
        <v>67</v>
      </c>
      <c r="M69" s="58" t="s">
        <v>67</v>
      </c>
      <c r="N69" s="58" t="s">
        <v>67</v>
      </c>
      <c r="O69" s="58" t="s">
        <v>67</v>
      </c>
      <c r="P69" s="58" t="s">
        <v>67</v>
      </c>
      <c r="Q69" s="58" t="s">
        <v>67</v>
      </c>
      <c r="R69" s="58" t="s">
        <v>67</v>
      </c>
      <c r="S69" s="58" t="s">
        <v>67</v>
      </c>
      <c r="T69" s="58" t="s">
        <v>67</v>
      </c>
      <c r="U69" s="58" t="s">
        <v>67</v>
      </c>
      <c r="V69" s="58" t="s">
        <v>67</v>
      </c>
      <c r="W69" s="58" t="s">
        <v>67</v>
      </c>
      <c r="X69" s="58" t="s">
        <v>67</v>
      </c>
      <c r="Y69" s="58" t="s">
        <v>67</v>
      </c>
      <c r="Z69" s="58" t="s">
        <v>67</v>
      </c>
      <c r="AA69" s="58" t="s">
        <v>67</v>
      </c>
      <c r="AB69" s="58" t="s">
        <v>67</v>
      </c>
      <c r="AC69" s="58" t="s">
        <v>67</v>
      </c>
      <c r="AD69" s="58" t="s">
        <v>67</v>
      </c>
      <c r="AE69" s="58" t="s">
        <v>67</v>
      </c>
      <c r="AF69" s="58" t="s">
        <v>67</v>
      </c>
      <c r="AG69" s="58" t="s">
        <v>67</v>
      </c>
      <c r="AH69" s="58" t="s">
        <v>67</v>
      </c>
      <c r="AI69" s="58" t="s">
        <v>67</v>
      </c>
      <c r="AJ69" s="26"/>
      <c r="AL69" t="str">
        <f t="shared" ca="1" si="0"/>
        <v xml:space="preserve">    (U1)ALERT_REQ_S_PSSDI_RWRN_</v>
      </c>
      <c r="AR69" s="60" t="str">
        <f t="shared" si="3"/>
        <v/>
      </c>
      <c r="AS69" s="60" t="str">
        <f t="shared" si="4"/>
        <v/>
      </c>
      <c r="AT69" s="60" t="str">
        <f t="shared" si="1"/>
        <v/>
      </c>
    </row>
    <row r="70" spans="1:46" ht="14.25" thickBot="1">
      <c r="A70" s="53" t="s">
        <v>64</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6" t="str">
        <f ca="1">IF(B6&lt;&gt;"",B6,"")</f>
        <v>Table S_PSSDI_RWRN</v>
      </c>
      <c r="C71" s="44">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44">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4" t="str">
        <f t="shared" si="7"/>
        <v>PKSWREQ</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PKSWREQ                                         */</v>
      </c>
    </row>
    <row r="73" spans="1:46">
      <c r="B73" s="134"/>
      <c r="C73" s="44">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4"/>
      <c r="C74" s="44">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44" t="str">
        <f t="shared" si="7"/>
        <v>UNKNOWN</v>
      </c>
      <c r="AK74" s="57"/>
      <c r="AL74" s="57" t="str">
        <f t="shared" si="10"/>
        <v>03</v>
      </c>
      <c r="AM74" s="59" t="str">
        <f t="shared" si="11"/>
        <v>00</v>
      </c>
      <c r="AN74" s="59" t="str">
        <f t="shared" si="12"/>
        <v>00</v>
      </c>
      <c r="AO74" s="59" t="str">
        <f t="shared" si="13"/>
        <v>00</v>
      </c>
      <c r="AQ74" t="str">
        <f t="shared" si="8"/>
        <v xml:space="preserve">    (U4)0x00000003U,                                                           /* 03 UNKNOWN                                         */</v>
      </c>
    </row>
    <row r="75" spans="1:46">
      <c r="B75" s="134"/>
      <c r="C75" s="44">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4"/>
      <c r="C76" s="44">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4"/>
      <c r="C77" s="44">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4"/>
      <c r="C78" s="44">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4"/>
      <c r="C79" s="44">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0</v>
      </c>
      <c r="AG79" s="127">
        <f t="shared" si="15"/>
        <v>0</v>
      </c>
      <c r="AH79" s="127">
        <f t="shared" si="15"/>
        <v>0</v>
      </c>
      <c r="AI79" s="127">
        <f t="shared" si="15"/>
        <v>0</v>
      </c>
      <c r="AJ79" s="44" t="str">
        <f t="shared" si="7"/>
        <v/>
      </c>
      <c r="AK79" s="57"/>
      <c r="AL79" s="57" t="str">
        <f t="shared" si="10"/>
        <v>00</v>
      </c>
      <c r="AM79" s="59" t="str">
        <f t="shared" si="11"/>
        <v>00</v>
      </c>
      <c r="AN79" s="59" t="str">
        <f t="shared" si="12"/>
        <v>00</v>
      </c>
      <c r="AO79" s="59" t="str">
        <f t="shared" si="13"/>
        <v>00</v>
      </c>
      <c r="AQ79" t="str">
        <f t="shared" si="8"/>
        <v/>
      </c>
    </row>
    <row r="80" spans="1:46">
      <c r="B80" s="134"/>
      <c r="C80" s="44">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0</v>
      </c>
      <c r="AG80" s="127">
        <f t="shared" si="15"/>
        <v>0</v>
      </c>
      <c r="AH80" s="127">
        <f t="shared" si="15"/>
        <v>0</v>
      </c>
      <c r="AI80" s="127">
        <f t="shared" si="15"/>
        <v>0</v>
      </c>
      <c r="AJ80" s="44" t="str">
        <f t="shared" si="7"/>
        <v/>
      </c>
      <c r="AK80" s="57"/>
      <c r="AL80" s="57" t="str">
        <f t="shared" si="10"/>
        <v>00</v>
      </c>
      <c r="AM80" s="59" t="str">
        <f t="shared" si="11"/>
        <v>00</v>
      </c>
      <c r="AN80" s="59" t="str">
        <f t="shared" si="12"/>
        <v>00</v>
      </c>
      <c r="AO80" s="59" t="str">
        <f t="shared" si="13"/>
        <v>00</v>
      </c>
      <c r="AQ80" t="str">
        <f t="shared" si="8"/>
        <v/>
      </c>
    </row>
    <row r="81" spans="2:43">
      <c r="B81" s="134"/>
      <c r="C81" s="44">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0</v>
      </c>
      <c r="AG81" s="127">
        <f t="shared" si="15"/>
        <v>0</v>
      </c>
      <c r="AH81" s="127">
        <f t="shared" si="15"/>
        <v>0</v>
      </c>
      <c r="AI81" s="127">
        <f t="shared" si="15"/>
        <v>0</v>
      </c>
      <c r="AJ81" s="44" t="str">
        <f t="shared" si="7"/>
        <v/>
      </c>
      <c r="AK81" s="57"/>
      <c r="AL81" s="57" t="str">
        <f t="shared" si="10"/>
        <v>00</v>
      </c>
      <c r="AM81" s="59" t="str">
        <f t="shared" si="11"/>
        <v>00</v>
      </c>
      <c r="AN81" s="59" t="str">
        <f t="shared" si="12"/>
        <v>00</v>
      </c>
      <c r="AO81" s="59" t="str">
        <f t="shared" si="13"/>
        <v>00</v>
      </c>
      <c r="AQ81" t="str">
        <f t="shared" si="8"/>
        <v/>
      </c>
    </row>
    <row r="82" spans="2:43">
      <c r="B82" s="134"/>
      <c r="C82" s="44">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0</v>
      </c>
      <c r="AG82" s="127">
        <f t="shared" si="15"/>
        <v>0</v>
      </c>
      <c r="AH82" s="127">
        <f t="shared" si="15"/>
        <v>0</v>
      </c>
      <c r="AI82" s="127">
        <f t="shared" si="15"/>
        <v>0</v>
      </c>
      <c r="AJ82" s="44" t="str">
        <f t="shared" si="7"/>
        <v/>
      </c>
      <c r="AK82" s="57"/>
      <c r="AL82" s="57" t="str">
        <f t="shared" si="10"/>
        <v>00</v>
      </c>
      <c r="AM82" s="59" t="str">
        <f t="shared" si="11"/>
        <v>00</v>
      </c>
      <c r="AN82" s="59" t="str">
        <f t="shared" si="12"/>
        <v>00</v>
      </c>
      <c r="AO82" s="59" t="str">
        <f t="shared" si="13"/>
        <v>00</v>
      </c>
      <c r="AQ82" t="str">
        <f t="shared" si="8"/>
        <v/>
      </c>
    </row>
    <row r="83" spans="2:43">
      <c r="B83" s="134"/>
      <c r="C83" s="44">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0</v>
      </c>
      <c r="AG83" s="127">
        <f t="shared" si="15"/>
        <v>0</v>
      </c>
      <c r="AH83" s="127">
        <f t="shared" si="15"/>
        <v>0</v>
      </c>
      <c r="AI83" s="127">
        <f t="shared" si="15"/>
        <v>0</v>
      </c>
      <c r="AJ83" s="44" t="str">
        <f t="shared" si="7"/>
        <v/>
      </c>
      <c r="AK83" s="57"/>
      <c r="AL83" s="57" t="str">
        <f t="shared" si="10"/>
        <v>00</v>
      </c>
      <c r="AM83" s="59" t="str">
        <f t="shared" si="11"/>
        <v>00</v>
      </c>
      <c r="AN83" s="59" t="str">
        <f t="shared" si="12"/>
        <v>00</v>
      </c>
      <c r="AO83" s="59" t="str">
        <f t="shared" si="13"/>
        <v>00</v>
      </c>
      <c r="AQ83" t="str">
        <f t="shared" si="8"/>
        <v/>
      </c>
    </row>
    <row r="84" spans="2:43">
      <c r="B84" s="134"/>
      <c r="C84" s="44">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0</v>
      </c>
      <c r="AG84" s="127">
        <f t="shared" si="15"/>
        <v>0</v>
      </c>
      <c r="AH84" s="127">
        <f t="shared" si="15"/>
        <v>0</v>
      </c>
      <c r="AI84" s="127">
        <f t="shared" si="15"/>
        <v>0</v>
      </c>
      <c r="AJ84" s="44" t="str">
        <f t="shared" si="7"/>
        <v/>
      </c>
      <c r="AK84" s="57"/>
      <c r="AL84" s="57" t="str">
        <f t="shared" si="10"/>
        <v>00</v>
      </c>
      <c r="AM84" s="59" t="str">
        <f t="shared" si="11"/>
        <v>00</v>
      </c>
      <c r="AN84" s="59" t="str">
        <f t="shared" si="12"/>
        <v>00</v>
      </c>
      <c r="AO84" s="59" t="str">
        <f t="shared" si="13"/>
        <v>00</v>
      </c>
      <c r="AQ84" t="str">
        <f t="shared" si="8"/>
        <v/>
      </c>
    </row>
    <row r="85" spans="2:43">
      <c r="B85" s="134"/>
      <c r="C85" s="44">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0</v>
      </c>
      <c r="AG85" s="127">
        <f t="shared" si="15"/>
        <v>0</v>
      </c>
      <c r="AH85" s="127">
        <f t="shared" si="15"/>
        <v>0</v>
      </c>
      <c r="AI85" s="127">
        <f t="shared" si="15"/>
        <v>0</v>
      </c>
      <c r="AJ85" s="44" t="str">
        <f t="shared" si="7"/>
        <v/>
      </c>
      <c r="AK85" s="57"/>
      <c r="AL85" s="57" t="str">
        <f t="shared" si="10"/>
        <v>00</v>
      </c>
      <c r="AM85" s="59" t="str">
        <f t="shared" si="11"/>
        <v>00</v>
      </c>
      <c r="AN85" s="59" t="str">
        <f t="shared" si="12"/>
        <v>00</v>
      </c>
      <c r="AO85" s="59" t="str">
        <f t="shared" si="13"/>
        <v>00</v>
      </c>
      <c r="AQ85" t="str">
        <f t="shared" si="8"/>
        <v/>
      </c>
    </row>
    <row r="86" spans="2:43">
      <c r="B86" s="134"/>
      <c r="C86" s="44">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0</v>
      </c>
      <c r="AG86" s="127">
        <f t="shared" si="15"/>
        <v>0</v>
      </c>
      <c r="AH86" s="127">
        <f t="shared" si="15"/>
        <v>0</v>
      </c>
      <c r="AI86" s="127">
        <f t="shared" ref="AI86" si="16">IF(AI21=1,1,0)</f>
        <v>0</v>
      </c>
      <c r="AJ86" s="44" t="str">
        <f t="shared" si="7"/>
        <v/>
      </c>
      <c r="AK86" s="57"/>
      <c r="AL86" s="57" t="str">
        <f t="shared" si="10"/>
        <v>00</v>
      </c>
      <c r="AM86" s="59" t="str">
        <f t="shared" si="11"/>
        <v>00</v>
      </c>
      <c r="AN86" s="59" t="str">
        <f t="shared" si="12"/>
        <v>00</v>
      </c>
      <c r="AO86" s="59" t="str">
        <f t="shared" si="13"/>
        <v>00</v>
      </c>
      <c r="AQ86" t="str">
        <f t="shared" si="8"/>
        <v/>
      </c>
    </row>
    <row r="87" spans="2:43">
      <c r="B87" s="134"/>
      <c r="C87" s="44">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4"/>
      <c r="C88" s="44">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4"/>
      <c r="C89" s="44">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4"/>
      <c r="C90" s="44">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4"/>
      <c r="C91" s="44">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4"/>
      <c r="C92" s="44">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4"/>
      <c r="C93" s="44">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4"/>
      <c r="C94" s="44">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4"/>
      <c r="C95" s="44">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4"/>
      <c r="C96" s="44">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4"/>
      <c r="C97" s="44">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4"/>
      <c r="C98" s="44">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4"/>
      <c r="C99" s="44">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4"/>
      <c r="C100" s="44">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4"/>
      <c r="C101" s="44">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4"/>
      <c r="C102" s="44">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4"/>
      <c r="C103" s="44">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4"/>
      <c r="C104" s="44">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4"/>
      <c r="C105" s="44">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4"/>
      <c r="C106" s="44">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4"/>
      <c r="C107" s="44">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4"/>
      <c r="C108" s="44">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4"/>
      <c r="C109" s="44">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4"/>
      <c r="C110" s="44">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4"/>
      <c r="C111" s="44">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4"/>
      <c r="C112" s="44">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4"/>
      <c r="C113" s="44">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4"/>
      <c r="C114" s="44">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4"/>
      <c r="C115" s="44">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4"/>
      <c r="C116" s="44">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4"/>
      <c r="C117" s="44">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4"/>
      <c r="C118" s="44">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4"/>
      <c r="C119" s="44">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4"/>
      <c r="C120" s="44">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4"/>
      <c r="C121" s="44">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4"/>
      <c r="C122" s="44">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4"/>
      <c r="C123" s="44">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4"/>
      <c r="C124" s="44">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4"/>
      <c r="C125" s="44">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4"/>
      <c r="C126" s="44">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4"/>
      <c r="C127" s="44">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4"/>
      <c r="C128" s="44">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4"/>
      <c r="C129" s="44">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4"/>
      <c r="C130" s="44">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4"/>
      <c r="C131" s="44">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4"/>
      <c r="C132" s="44">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4"/>
      <c r="C133" s="44">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5"/>
      <c r="C134" s="44">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65</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6" t="str">
        <f ca="1">IF(B6&lt;&gt;"",B6,"")</f>
        <v>Table S_PSSDI_RWRN</v>
      </c>
      <c r="C136" s="44">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0</v>
      </c>
      <c r="AE136" s="127">
        <f t="shared" si="29"/>
        <v>0</v>
      </c>
      <c r="AF136" s="127">
        <f t="shared" si="29"/>
        <v>0</v>
      </c>
      <c r="AG136" s="127">
        <f t="shared" si="29"/>
        <v>1</v>
      </c>
      <c r="AH136" s="127">
        <f t="shared" si="29"/>
        <v>1</v>
      </c>
      <c r="AI136" s="127">
        <f t="shared" si="29"/>
        <v>1</v>
      </c>
      <c r="AJ136" s="44" t="str">
        <f t="shared" ref="AJ136:AJ199" si="30">IF(AJ6&lt;&gt;"",AJ6,"")</f>
        <v>UNKNOWN</v>
      </c>
      <c r="AK136" s="57"/>
      <c r="AL136" s="57"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4"/>
      <c r="C137" s="44">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0</v>
      </c>
      <c r="AE137" s="127">
        <f t="shared" si="29"/>
        <v>0</v>
      </c>
      <c r="AF137" s="127">
        <f t="shared" si="29"/>
        <v>0</v>
      </c>
      <c r="AG137" s="127">
        <f t="shared" si="29"/>
        <v>1</v>
      </c>
      <c r="AH137" s="127">
        <f t="shared" si="29"/>
        <v>1</v>
      </c>
      <c r="AI137" s="127">
        <f t="shared" si="29"/>
        <v>1</v>
      </c>
      <c r="AJ137" s="44" t="str">
        <f t="shared" si="30"/>
        <v>PKSWREQ</v>
      </c>
      <c r="AK137" s="57"/>
      <c r="AL137" s="57"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PKSWREQ                                         */</v>
      </c>
    </row>
    <row r="138" spans="1:43">
      <c r="B138" s="134"/>
      <c r="C138" s="44">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0</v>
      </c>
      <c r="AF138" s="127">
        <f t="shared" si="29"/>
        <v>0</v>
      </c>
      <c r="AG138" s="127">
        <f t="shared" si="29"/>
        <v>1</v>
      </c>
      <c r="AH138" s="127">
        <f t="shared" si="29"/>
        <v>1</v>
      </c>
      <c r="AI138" s="127">
        <f t="shared" si="29"/>
        <v>1</v>
      </c>
      <c r="AJ138" s="44" t="str">
        <f t="shared" si="30"/>
        <v>UNKNOWN</v>
      </c>
      <c r="AK138" s="57"/>
      <c r="AL138" s="57" t="str">
        <f t="shared" si="33"/>
        <v>07</v>
      </c>
      <c r="AM138" s="59" t="str">
        <f t="shared" si="34"/>
        <v>00</v>
      </c>
      <c r="AN138" s="59" t="str">
        <f t="shared" si="35"/>
        <v>00</v>
      </c>
      <c r="AO138" s="59" t="str">
        <f t="shared" si="36"/>
        <v>00</v>
      </c>
      <c r="AQ138" t="str">
        <f t="shared" si="31"/>
        <v xml:space="preserve">    (U4)0x00000007U,                                                           /* 02 UNKNOWN                                         */</v>
      </c>
    </row>
    <row r="139" spans="1:43">
      <c r="B139" s="134"/>
      <c r="C139" s="44">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0</v>
      </c>
      <c r="AF139" s="127">
        <f t="shared" si="29"/>
        <v>0</v>
      </c>
      <c r="AG139" s="127">
        <f t="shared" si="29"/>
        <v>1</v>
      </c>
      <c r="AH139" s="127">
        <f t="shared" si="29"/>
        <v>1</v>
      </c>
      <c r="AI139" s="127">
        <f t="shared" si="29"/>
        <v>1</v>
      </c>
      <c r="AJ139" s="44" t="str">
        <f t="shared" si="30"/>
        <v>UNKNOWN</v>
      </c>
      <c r="AK139" s="57"/>
      <c r="AL139" s="57" t="str">
        <f t="shared" si="33"/>
        <v>07</v>
      </c>
      <c r="AM139" s="59" t="str">
        <f t="shared" si="34"/>
        <v>00</v>
      </c>
      <c r="AN139" s="59" t="str">
        <f t="shared" si="35"/>
        <v>00</v>
      </c>
      <c r="AO139" s="59" t="str">
        <f t="shared" si="36"/>
        <v>00</v>
      </c>
      <c r="AQ139" t="str">
        <f t="shared" si="31"/>
        <v xml:space="preserve">    (U4)0x00000007U,                                                           /* 03 UNKNOWN                                         */</v>
      </c>
    </row>
    <row r="140" spans="1:43">
      <c r="B140" s="134"/>
      <c r="C140" s="44">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0</v>
      </c>
      <c r="AG140" s="127">
        <f t="shared" si="29"/>
        <v>1</v>
      </c>
      <c r="AH140" s="127">
        <f t="shared" si="29"/>
        <v>1</v>
      </c>
      <c r="AI140" s="127">
        <f t="shared" si="29"/>
        <v>1</v>
      </c>
      <c r="AJ140" s="44" t="str">
        <f t="shared" si="30"/>
        <v>UNKNOWN</v>
      </c>
      <c r="AK140" s="57"/>
      <c r="AL140" s="57" t="str">
        <f t="shared" si="33"/>
        <v>07</v>
      </c>
      <c r="AM140" s="59" t="str">
        <f t="shared" si="34"/>
        <v>00</v>
      </c>
      <c r="AN140" s="59" t="str">
        <f t="shared" si="35"/>
        <v>00</v>
      </c>
      <c r="AO140" s="59" t="str">
        <f t="shared" si="36"/>
        <v>00</v>
      </c>
      <c r="AQ140" t="str">
        <f t="shared" si="31"/>
        <v xml:space="preserve">    (U4)0x00000007U,                                                           /* 04 UNKNOWN                                         */</v>
      </c>
    </row>
    <row r="141" spans="1:43">
      <c r="B141" s="134"/>
      <c r="C141" s="44">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0</v>
      </c>
      <c r="AG141" s="127">
        <f t="shared" si="29"/>
        <v>1</v>
      </c>
      <c r="AH141" s="127">
        <f t="shared" si="29"/>
        <v>1</v>
      </c>
      <c r="AI141" s="127">
        <f t="shared" si="29"/>
        <v>1</v>
      </c>
      <c r="AJ141" s="44" t="str">
        <f t="shared" si="30"/>
        <v>UNKNOWN</v>
      </c>
      <c r="AK141" s="57"/>
      <c r="AL141" s="57" t="str">
        <f t="shared" si="33"/>
        <v>07</v>
      </c>
      <c r="AM141" s="59" t="str">
        <f t="shared" si="34"/>
        <v>00</v>
      </c>
      <c r="AN141" s="59" t="str">
        <f t="shared" si="35"/>
        <v>00</v>
      </c>
      <c r="AO141" s="59" t="str">
        <f t="shared" si="36"/>
        <v>00</v>
      </c>
      <c r="AQ141" t="str">
        <f t="shared" si="31"/>
        <v xml:space="preserve">    (U4)0x00000007U,                                                           /* 05 UNKNOWN                                         */</v>
      </c>
    </row>
    <row r="142" spans="1:43">
      <c r="B142" s="134"/>
      <c r="C142" s="44">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0</v>
      </c>
      <c r="AG142" s="127">
        <f t="shared" si="29"/>
        <v>1</v>
      </c>
      <c r="AH142" s="127">
        <f t="shared" si="29"/>
        <v>1</v>
      </c>
      <c r="AI142" s="127">
        <f t="shared" si="29"/>
        <v>1</v>
      </c>
      <c r="AJ142" s="44" t="str">
        <f t="shared" si="30"/>
        <v>UNKNOWN</v>
      </c>
      <c r="AK142" s="57"/>
      <c r="AL142" s="57" t="str">
        <f t="shared" si="33"/>
        <v>07</v>
      </c>
      <c r="AM142" s="59" t="str">
        <f t="shared" si="34"/>
        <v>00</v>
      </c>
      <c r="AN142" s="59" t="str">
        <f t="shared" si="35"/>
        <v>00</v>
      </c>
      <c r="AO142" s="59" t="str">
        <f t="shared" si="36"/>
        <v>00</v>
      </c>
      <c r="AQ142" t="str">
        <f t="shared" si="31"/>
        <v xml:space="preserve">    (U4)0x00000007U,                                                           /* 06 UNKNOWN                                         */</v>
      </c>
    </row>
    <row r="143" spans="1:43">
      <c r="B143" s="134"/>
      <c r="C143" s="44">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0</v>
      </c>
      <c r="AG143" s="127">
        <f t="shared" si="29"/>
        <v>1</v>
      </c>
      <c r="AH143" s="127">
        <f t="shared" si="29"/>
        <v>1</v>
      </c>
      <c r="AI143" s="127">
        <f t="shared" ref="AI143" si="37">IF(OR(AI13=0,AI13=1),1,0)</f>
        <v>1</v>
      </c>
      <c r="AJ143" s="44" t="str">
        <f t="shared" si="30"/>
        <v>UNKNOWN</v>
      </c>
      <c r="AK143" s="57"/>
      <c r="AL143" s="57" t="str">
        <f t="shared" si="33"/>
        <v>07</v>
      </c>
      <c r="AM143" s="59" t="str">
        <f t="shared" si="34"/>
        <v>00</v>
      </c>
      <c r="AN143" s="59" t="str">
        <f t="shared" si="35"/>
        <v>00</v>
      </c>
      <c r="AO143" s="59" t="str">
        <f t="shared" si="36"/>
        <v>00</v>
      </c>
      <c r="AQ143" t="str">
        <f t="shared" si="31"/>
        <v xml:space="preserve">    (U4)0x00000007U                                                            /* 07 UNKNOWN                                         */</v>
      </c>
    </row>
    <row r="144" spans="1:43">
      <c r="B144" s="134"/>
      <c r="C144" s="44">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0</v>
      </c>
      <c r="AG144" s="127">
        <f t="shared" si="38"/>
        <v>0</v>
      </c>
      <c r="AH144" s="127">
        <f t="shared" si="38"/>
        <v>0</v>
      </c>
      <c r="AI144" s="127">
        <f t="shared" si="38"/>
        <v>0</v>
      </c>
      <c r="AJ144" s="44" t="str">
        <f t="shared" si="30"/>
        <v/>
      </c>
      <c r="AK144" s="57"/>
      <c r="AL144" s="57" t="str">
        <f t="shared" si="33"/>
        <v>00</v>
      </c>
      <c r="AM144" s="59" t="str">
        <f t="shared" si="34"/>
        <v>00</v>
      </c>
      <c r="AN144" s="59" t="str">
        <f t="shared" si="35"/>
        <v>00</v>
      </c>
      <c r="AO144" s="59" t="str">
        <f t="shared" si="36"/>
        <v>00</v>
      </c>
      <c r="AQ144" t="str">
        <f t="shared" si="31"/>
        <v/>
      </c>
    </row>
    <row r="145" spans="2:43">
      <c r="B145" s="134"/>
      <c r="C145" s="44">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0</v>
      </c>
      <c r="AG145" s="127">
        <f t="shared" si="38"/>
        <v>0</v>
      </c>
      <c r="AH145" s="127">
        <f t="shared" si="38"/>
        <v>0</v>
      </c>
      <c r="AI145" s="127">
        <f t="shared" si="38"/>
        <v>0</v>
      </c>
      <c r="AJ145" s="44" t="str">
        <f t="shared" si="30"/>
        <v/>
      </c>
      <c r="AK145" s="57"/>
      <c r="AL145" s="57" t="str">
        <f t="shared" si="33"/>
        <v>00</v>
      </c>
      <c r="AM145" s="59" t="str">
        <f t="shared" si="34"/>
        <v>00</v>
      </c>
      <c r="AN145" s="59" t="str">
        <f t="shared" si="35"/>
        <v>00</v>
      </c>
      <c r="AO145" s="59" t="str">
        <f t="shared" si="36"/>
        <v>00</v>
      </c>
      <c r="AQ145" t="str">
        <f t="shared" si="31"/>
        <v/>
      </c>
    </row>
    <row r="146" spans="2:43">
      <c r="B146" s="134"/>
      <c r="C146" s="44">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0</v>
      </c>
      <c r="AG146" s="127">
        <f t="shared" si="38"/>
        <v>0</v>
      </c>
      <c r="AH146" s="127">
        <f t="shared" si="38"/>
        <v>0</v>
      </c>
      <c r="AI146" s="127">
        <f t="shared" si="38"/>
        <v>0</v>
      </c>
      <c r="AJ146" s="44" t="str">
        <f t="shared" si="30"/>
        <v/>
      </c>
      <c r="AK146" s="57"/>
      <c r="AL146" s="57" t="str">
        <f t="shared" si="33"/>
        <v>00</v>
      </c>
      <c r="AM146" s="59" t="str">
        <f t="shared" si="34"/>
        <v>00</v>
      </c>
      <c r="AN146" s="59" t="str">
        <f t="shared" si="35"/>
        <v>00</v>
      </c>
      <c r="AO146" s="59" t="str">
        <f t="shared" si="36"/>
        <v>00</v>
      </c>
      <c r="AQ146" t="str">
        <f t="shared" si="31"/>
        <v/>
      </c>
    </row>
    <row r="147" spans="2:43">
      <c r="B147" s="134"/>
      <c r="C147" s="44">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0</v>
      </c>
      <c r="AG147" s="127">
        <f t="shared" si="38"/>
        <v>0</v>
      </c>
      <c r="AH147" s="127">
        <f t="shared" si="38"/>
        <v>0</v>
      </c>
      <c r="AI147" s="127">
        <f t="shared" si="38"/>
        <v>0</v>
      </c>
      <c r="AJ147" s="44" t="str">
        <f t="shared" si="30"/>
        <v/>
      </c>
      <c r="AK147" s="57"/>
      <c r="AL147" s="57" t="str">
        <f t="shared" si="33"/>
        <v>00</v>
      </c>
      <c r="AM147" s="59" t="str">
        <f t="shared" si="34"/>
        <v>00</v>
      </c>
      <c r="AN147" s="59" t="str">
        <f t="shared" si="35"/>
        <v>00</v>
      </c>
      <c r="AO147" s="59" t="str">
        <f t="shared" si="36"/>
        <v>00</v>
      </c>
      <c r="AQ147" t="str">
        <f t="shared" si="31"/>
        <v/>
      </c>
    </row>
    <row r="148" spans="2:43">
      <c r="B148" s="134"/>
      <c r="C148" s="44">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0</v>
      </c>
      <c r="AG148" s="127">
        <f t="shared" si="38"/>
        <v>0</v>
      </c>
      <c r="AH148" s="127">
        <f t="shared" si="38"/>
        <v>0</v>
      </c>
      <c r="AI148" s="127">
        <f t="shared" si="38"/>
        <v>0</v>
      </c>
      <c r="AJ148" s="44" t="str">
        <f t="shared" si="30"/>
        <v/>
      </c>
      <c r="AK148" s="57"/>
      <c r="AL148" s="57" t="str">
        <f t="shared" si="33"/>
        <v>00</v>
      </c>
      <c r="AM148" s="59" t="str">
        <f t="shared" si="34"/>
        <v>00</v>
      </c>
      <c r="AN148" s="59" t="str">
        <f t="shared" si="35"/>
        <v>00</v>
      </c>
      <c r="AO148" s="59" t="str">
        <f t="shared" si="36"/>
        <v>00</v>
      </c>
      <c r="AQ148" t="str">
        <f t="shared" si="31"/>
        <v/>
      </c>
    </row>
    <row r="149" spans="2:43">
      <c r="B149" s="134"/>
      <c r="C149" s="44">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0</v>
      </c>
      <c r="AG149" s="127">
        <f t="shared" si="38"/>
        <v>0</v>
      </c>
      <c r="AH149" s="127">
        <f t="shared" si="38"/>
        <v>0</v>
      </c>
      <c r="AI149" s="127">
        <f t="shared" si="38"/>
        <v>0</v>
      </c>
      <c r="AJ149" s="44" t="str">
        <f t="shared" si="30"/>
        <v/>
      </c>
      <c r="AK149" s="57"/>
      <c r="AL149" s="57" t="str">
        <f t="shared" si="33"/>
        <v>00</v>
      </c>
      <c r="AM149" s="59" t="str">
        <f t="shared" si="34"/>
        <v>00</v>
      </c>
      <c r="AN149" s="59" t="str">
        <f t="shared" si="35"/>
        <v>00</v>
      </c>
      <c r="AO149" s="59" t="str">
        <f t="shared" si="36"/>
        <v>00</v>
      </c>
      <c r="AQ149" t="str">
        <f t="shared" si="31"/>
        <v/>
      </c>
    </row>
    <row r="150" spans="2:43">
      <c r="B150" s="134"/>
      <c r="C150" s="44">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0</v>
      </c>
      <c r="AG150" s="127">
        <f t="shared" si="38"/>
        <v>0</v>
      </c>
      <c r="AH150" s="127">
        <f t="shared" si="38"/>
        <v>0</v>
      </c>
      <c r="AI150" s="127">
        <f t="shared" si="38"/>
        <v>0</v>
      </c>
      <c r="AJ150" s="44" t="str">
        <f t="shared" si="30"/>
        <v/>
      </c>
      <c r="AK150" s="57"/>
      <c r="AL150" s="57" t="str">
        <f t="shared" si="33"/>
        <v>00</v>
      </c>
      <c r="AM150" s="59" t="str">
        <f t="shared" si="34"/>
        <v>00</v>
      </c>
      <c r="AN150" s="59" t="str">
        <f t="shared" si="35"/>
        <v>00</v>
      </c>
      <c r="AO150" s="59" t="str">
        <f t="shared" si="36"/>
        <v>00</v>
      </c>
      <c r="AQ150" t="str">
        <f t="shared" si="31"/>
        <v/>
      </c>
    </row>
    <row r="151" spans="2:43">
      <c r="B151" s="134"/>
      <c r="C151" s="44">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0</v>
      </c>
      <c r="AG151" s="127">
        <f t="shared" si="38"/>
        <v>0</v>
      </c>
      <c r="AH151" s="127">
        <f t="shared" si="38"/>
        <v>0</v>
      </c>
      <c r="AI151" s="127">
        <f t="shared" ref="AI151" si="39">IF(OR(AI21=0,AI21=1),1,0)</f>
        <v>0</v>
      </c>
      <c r="AJ151" s="44" t="str">
        <f t="shared" si="30"/>
        <v/>
      </c>
      <c r="AK151" s="57"/>
      <c r="AL151" s="57" t="str">
        <f t="shared" si="33"/>
        <v>00</v>
      </c>
      <c r="AM151" s="59" t="str">
        <f t="shared" si="34"/>
        <v>00</v>
      </c>
      <c r="AN151" s="59" t="str">
        <f t="shared" si="35"/>
        <v>00</v>
      </c>
      <c r="AO151" s="59" t="str">
        <f t="shared" si="36"/>
        <v>00</v>
      </c>
      <c r="AQ151" t="str">
        <f t="shared" si="31"/>
        <v/>
      </c>
    </row>
    <row r="152" spans="2:43">
      <c r="B152" s="134"/>
      <c r="C152" s="44">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4"/>
      <c r="C153" s="44">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4"/>
      <c r="C154" s="44">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4"/>
      <c r="C155" s="44">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4"/>
      <c r="C156" s="44">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4"/>
      <c r="C157" s="44">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4"/>
      <c r="C158" s="44">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4"/>
      <c r="C159" s="44">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4"/>
      <c r="C160" s="44">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4"/>
      <c r="C161" s="44">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4"/>
      <c r="C162" s="44">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4"/>
      <c r="C163" s="44">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4"/>
      <c r="C164" s="44">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4"/>
      <c r="C165" s="44">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4"/>
      <c r="C166" s="44">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4"/>
      <c r="C167" s="44">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4"/>
      <c r="C168" s="44">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4"/>
      <c r="C169" s="44">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4"/>
      <c r="C170" s="44">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4"/>
      <c r="C171" s="44">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4"/>
      <c r="C172" s="44">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4"/>
      <c r="C173" s="44">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4"/>
      <c r="C174" s="44">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4"/>
      <c r="C175" s="44">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4"/>
      <c r="C176" s="44">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4"/>
      <c r="C177" s="44">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4"/>
      <c r="C178" s="44">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4"/>
      <c r="C179" s="44">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4"/>
      <c r="C180" s="44">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4"/>
      <c r="C181" s="44">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4"/>
      <c r="C182" s="44">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4"/>
      <c r="C183" s="44">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4"/>
      <c r="C184" s="44">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4"/>
      <c r="C185" s="44">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4"/>
      <c r="C186" s="44">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4"/>
      <c r="C187" s="44">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4"/>
      <c r="C188" s="44">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4"/>
      <c r="C189" s="44">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4"/>
      <c r="C190" s="44">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4"/>
      <c r="C191" s="44">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4"/>
      <c r="C192" s="44">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4"/>
      <c r="C193" s="44">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4"/>
      <c r="C194" s="44">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4"/>
      <c r="C195" s="44">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4"/>
      <c r="C196" s="44">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4"/>
      <c r="C197" s="44">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4"/>
      <c r="C198" s="44">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5"/>
      <c r="C199" s="44">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S239"/>
  <sheetViews>
    <sheetView zoomScale="70" zoomScaleNormal="70" workbookViewId="0"/>
  </sheetViews>
  <sheetFormatPr defaultRowHeight="13.5"/>
  <cols>
    <col min="2" max="2" width="54.125" customWidth="1"/>
    <col min="3" max="10" width="3.375" customWidth="1"/>
    <col min="11" max="11" width="17" customWidth="1"/>
    <col min="12" max="12" width="24.125" customWidth="1"/>
    <col min="13" max="13" width="28.125" customWidth="1"/>
    <col min="14" max="16" width="10.875" customWidth="1"/>
    <col min="17" max="17" width="12.875" customWidth="1"/>
  </cols>
  <sheetData>
    <row r="2" spans="2:70" ht="15" thickBot="1">
      <c r="B2" s="28" t="s">
        <v>333</v>
      </c>
    </row>
    <row r="3" spans="2:70" ht="15" thickBot="1">
      <c r="B3" s="94" t="s">
        <v>159</v>
      </c>
      <c r="C3" s="313" t="s">
        <v>207</v>
      </c>
      <c r="D3" s="314"/>
      <c r="E3" s="314"/>
      <c r="F3" s="314"/>
      <c r="G3" s="314"/>
      <c r="H3" s="314"/>
      <c r="I3" s="314"/>
      <c r="J3" s="315"/>
      <c r="K3" s="169"/>
      <c r="L3" s="169"/>
      <c r="M3" s="172"/>
      <c r="N3" s="170"/>
      <c r="O3" s="170"/>
      <c r="P3" s="170"/>
      <c r="Q3" s="171"/>
    </row>
    <row r="4" spans="2:70">
      <c r="B4" s="67"/>
      <c r="C4" s="36" t="s">
        <v>161</v>
      </c>
      <c r="D4" s="36"/>
      <c r="E4" s="36"/>
      <c r="F4" s="36"/>
      <c r="G4" s="36"/>
      <c r="H4" s="36"/>
      <c r="I4" s="36"/>
      <c r="J4" s="36"/>
      <c r="K4" s="36"/>
      <c r="L4" s="36"/>
      <c r="M4" s="32" t="s">
        <v>151</v>
      </c>
      <c r="N4" s="40" t="s">
        <v>21</v>
      </c>
      <c r="O4" s="41"/>
      <c r="P4" s="41"/>
      <c r="Q4" s="42"/>
    </row>
    <row r="5" spans="2:70">
      <c r="B5" s="68" t="s">
        <v>22</v>
      </c>
      <c r="C5" s="316" t="s">
        <v>178</v>
      </c>
      <c r="D5" s="311"/>
      <c r="E5" s="311"/>
      <c r="F5" s="311"/>
      <c r="G5" s="311"/>
      <c r="H5" s="311"/>
      <c r="I5" s="311"/>
      <c r="J5" s="312"/>
      <c r="K5" s="200" t="s">
        <v>217</v>
      </c>
      <c r="L5" s="200" t="s">
        <v>217</v>
      </c>
      <c r="M5" s="33" t="s">
        <v>220</v>
      </c>
      <c r="N5" s="202" t="s">
        <v>23</v>
      </c>
      <c r="O5" s="74"/>
      <c r="P5" s="74" t="s">
        <v>25</v>
      </c>
      <c r="Q5" s="195" t="s">
        <v>26</v>
      </c>
    </row>
    <row r="6" spans="2:70" ht="73.5" customHeight="1">
      <c r="B6" s="68" t="s">
        <v>33</v>
      </c>
      <c r="C6" s="163" t="s">
        <v>125</v>
      </c>
      <c r="D6" s="163" t="s">
        <v>162</v>
      </c>
      <c r="E6" s="163" t="s">
        <v>125</v>
      </c>
      <c r="F6" s="163" t="s">
        <v>125</v>
      </c>
      <c r="G6" s="163" t="s">
        <v>125</v>
      </c>
      <c r="H6" s="163" t="s">
        <v>125</v>
      </c>
      <c r="I6" s="163" t="s">
        <v>125</v>
      </c>
      <c r="J6" s="163" t="s">
        <v>125</v>
      </c>
      <c r="K6" s="139" t="s">
        <v>216</v>
      </c>
      <c r="L6" s="139" t="s">
        <v>97</v>
      </c>
      <c r="M6" s="33" t="s">
        <v>48</v>
      </c>
      <c r="N6" s="203"/>
      <c r="O6" s="75"/>
      <c r="P6" s="75"/>
      <c r="Q6" s="199" t="s">
        <v>316</v>
      </c>
    </row>
    <row r="7" spans="2:70" ht="27">
      <c r="B7" s="69" t="s">
        <v>27</v>
      </c>
      <c r="C7" s="310" t="s">
        <v>163</v>
      </c>
      <c r="D7" s="311"/>
      <c r="E7" s="311"/>
      <c r="F7" s="311"/>
      <c r="G7" s="311"/>
      <c r="H7" s="311"/>
      <c r="I7" s="311"/>
      <c r="J7" s="312"/>
      <c r="K7" s="30" t="s">
        <v>215</v>
      </c>
      <c r="L7" s="30" t="s">
        <v>215</v>
      </c>
      <c r="M7" s="34"/>
      <c r="N7" s="203"/>
      <c r="O7" s="75"/>
      <c r="P7" s="75"/>
      <c r="Q7" s="199" t="s">
        <v>242</v>
      </c>
    </row>
    <row r="8" spans="2:70" ht="136.5">
      <c r="B8" s="68" t="s">
        <v>28</v>
      </c>
      <c r="C8" s="164" t="s">
        <v>164</v>
      </c>
      <c r="D8" s="164" t="s">
        <v>62</v>
      </c>
      <c r="E8" s="164" t="s">
        <v>165</v>
      </c>
      <c r="F8" s="164" t="s">
        <v>166</v>
      </c>
      <c r="G8" s="164" t="s">
        <v>167</v>
      </c>
      <c r="H8" s="164" t="s">
        <v>168</v>
      </c>
      <c r="I8" s="164" t="s">
        <v>169</v>
      </c>
      <c r="J8" s="164" t="s">
        <v>170</v>
      </c>
      <c r="K8" s="1" t="s">
        <v>281</v>
      </c>
      <c r="L8" s="30" t="s">
        <v>282</v>
      </c>
      <c r="M8" s="33" t="s">
        <v>29</v>
      </c>
      <c r="N8" s="203"/>
      <c r="O8" s="75"/>
      <c r="P8" s="75"/>
      <c r="Q8" s="195" t="s">
        <v>227</v>
      </c>
    </row>
    <row r="9" spans="2:70" ht="238.5" customHeight="1" thickBot="1">
      <c r="B9" s="70" t="s">
        <v>30</v>
      </c>
      <c r="C9" s="165" t="s">
        <v>172</v>
      </c>
      <c r="D9" s="165" t="s">
        <v>162</v>
      </c>
      <c r="E9" s="165" t="s">
        <v>172</v>
      </c>
      <c r="F9" s="165" t="s">
        <v>172</v>
      </c>
      <c r="G9" s="165" t="s">
        <v>172</v>
      </c>
      <c r="H9" s="165" t="s">
        <v>172</v>
      </c>
      <c r="I9" s="165" t="s">
        <v>172</v>
      </c>
      <c r="J9" s="165" t="s">
        <v>172</v>
      </c>
      <c r="K9" s="29" t="s">
        <v>219</v>
      </c>
      <c r="L9" s="31" t="s">
        <v>218</v>
      </c>
      <c r="M9" s="35" t="s">
        <v>317</v>
      </c>
      <c r="N9" s="204"/>
      <c r="O9" s="73"/>
      <c r="P9" s="73"/>
      <c r="Q9" s="201" t="s">
        <v>208</v>
      </c>
    </row>
    <row r="10" spans="2:70" ht="19.5" customHeight="1" thickTop="1">
      <c r="B10" s="71" t="s">
        <v>290</v>
      </c>
      <c r="C10" s="166" t="s">
        <v>171</v>
      </c>
      <c r="D10" s="166" t="s">
        <v>171</v>
      </c>
      <c r="E10" s="166" t="s">
        <v>171</v>
      </c>
      <c r="F10" s="166" t="s">
        <v>171</v>
      </c>
      <c r="G10" s="166" t="s">
        <v>171</v>
      </c>
      <c r="H10" s="166" t="s">
        <v>171</v>
      </c>
      <c r="I10" s="166" t="s">
        <v>171</v>
      </c>
      <c r="J10" s="166" t="s">
        <v>171</v>
      </c>
      <c r="K10" s="130" t="s">
        <v>213</v>
      </c>
      <c r="L10" s="205" t="s">
        <v>214</v>
      </c>
      <c r="M10" s="216" t="s">
        <v>128</v>
      </c>
      <c r="N10" s="166"/>
      <c r="O10" s="37"/>
      <c r="P10" s="37"/>
      <c r="Q10" s="196" t="s">
        <v>125</v>
      </c>
    </row>
    <row r="11" spans="2:70">
      <c r="B11" s="71" t="s">
        <v>295</v>
      </c>
      <c r="C11" s="166" t="s">
        <v>171</v>
      </c>
      <c r="D11" s="166" t="s">
        <v>171</v>
      </c>
      <c r="E11" s="166" t="s">
        <v>171</v>
      </c>
      <c r="F11" s="166" t="s">
        <v>171</v>
      </c>
      <c r="G11" s="166" t="s">
        <v>171</v>
      </c>
      <c r="H11" s="166" t="s">
        <v>171</v>
      </c>
      <c r="I11" s="166" t="s">
        <v>171</v>
      </c>
      <c r="J11" s="166" t="s">
        <v>171</v>
      </c>
      <c r="K11" s="130" t="s">
        <v>213</v>
      </c>
      <c r="L11" s="205" t="s">
        <v>221</v>
      </c>
      <c r="M11" s="216" t="s">
        <v>39</v>
      </c>
      <c r="N11" s="166"/>
      <c r="O11" s="37"/>
      <c r="P11" s="37"/>
      <c r="Q11" s="196" t="s">
        <v>226</v>
      </c>
    </row>
    <row r="12" spans="2:70">
      <c r="B12" s="71" t="s">
        <v>296</v>
      </c>
      <c r="C12" s="166" t="s">
        <v>171</v>
      </c>
      <c r="D12" s="166" t="s">
        <v>171</v>
      </c>
      <c r="E12" s="166" t="s">
        <v>171</v>
      </c>
      <c r="F12" s="166" t="s">
        <v>171</v>
      </c>
      <c r="G12" s="166" t="s">
        <v>171</v>
      </c>
      <c r="H12" s="166" t="s">
        <v>171</v>
      </c>
      <c r="I12" s="166" t="s">
        <v>171</v>
      </c>
      <c r="J12" s="166" t="s">
        <v>171</v>
      </c>
      <c r="K12" s="130" t="s">
        <v>213</v>
      </c>
      <c r="L12" s="205" t="s">
        <v>222</v>
      </c>
      <c r="M12" s="217" t="s">
        <v>32</v>
      </c>
      <c r="N12" s="166"/>
      <c r="O12" s="37"/>
      <c r="P12" s="37"/>
      <c r="Q12" s="196" t="s">
        <v>31</v>
      </c>
    </row>
    <row r="13" spans="2:70" ht="14.25">
      <c r="B13" s="23" t="s">
        <v>290</v>
      </c>
      <c r="C13" s="167" t="s">
        <v>171</v>
      </c>
      <c r="D13" s="167" t="s">
        <v>171</v>
      </c>
      <c r="E13" s="167" t="s">
        <v>171</v>
      </c>
      <c r="F13" s="167" t="s">
        <v>171</v>
      </c>
      <c r="G13" s="167" t="s">
        <v>171</v>
      </c>
      <c r="H13" s="167" t="s">
        <v>171</v>
      </c>
      <c r="I13" s="167" t="s">
        <v>171</v>
      </c>
      <c r="J13" s="167" t="s">
        <v>171</v>
      </c>
      <c r="K13" s="58" t="s">
        <v>213</v>
      </c>
      <c r="L13" s="205" t="s">
        <v>223</v>
      </c>
      <c r="M13" s="217" t="s">
        <v>32</v>
      </c>
      <c r="N13" s="167"/>
      <c r="O13" s="38"/>
      <c r="P13" s="38"/>
      <c r="Q13" s="197" t="s">
        <v>31</v>
      </c>
      <c r="BR13" s="225"/>
    </row>
    <row r="14" spans="2:70">
      <c r="B14" s="23" t="s">
        <v>291</v>
      </c>
      <c r="C14" s="167" t="s">
        <v>171</v>
      </c>
      <c r="D14" s="167" t="s">
        <v>171</v>
      </c>
      <c r="E14" s="167" t="s">
        <v>171</v>
      </c>
      <c r="F14" s="167" t="s">
        <v>171</v>
      </c>
      <c r="G14" s="167" t="s">
        <v>171</v>
      </c>
      <c r="H14" s="167" t="s">
        <v>171</v>
      </c>
      <c r="I14" s="167" t="s">
        <v>171</v>
      </c>
      <c r="J14" s="167" t="s">
        <v>171</v>
      </c>
      <c r="K14" s="58" t="s">
        <v>221</v>
      </c>
      <c r="L14" s="205" t="s">
        <v>225</v>
      </c>
      <c r="M14" s="217" t="s">
        <v>32</v>
      </c>
      <c r="N14" s="167"/>
      <c r="O14" s="38"/>
      <c r="P14" s="38"/>
      <c r="Q14" s="197" t="s">
        <v>31</v>
      </c>
    </row>
    <row r="15" spans="2:70">
      <c r="B15" s="23" t="s">
        <v>292</v>
      </c>
      <c r="C15" s="167" t="s">
        <v>171</v>
      </c>
      <c r="D15" s="167" t="s">
        <v>171</v>
      </c>
      <c r="E15" s="167" t="s">
        <v>171</v>
      </c>
      <c r="F15" s="167" t="s">
        <v>171</v>
      </c>
      <c r="G15" s="167" t="s">
        <v>171</v>
      </c>
      <c r="H15" s="167" t="s">
        <v>171</v>
      </c>
      <c r="I15" s="167" t="s">
        <v>171</v>
      </c>
      <c r="J15" s="167" t="s">
        <v>171</v>
      </c>
      <c r="K15" s="58" t="s">
        <v>222</v>
      </c>
      <c r="L15" s="205" t="s">
        <v>225</v>
      </c>
      <c r="M15" s="216" t="s">
        <v>39</v>
      </c>
      <c r="N15" s="166"/>
      <c r="O15" s="37"/>
      <c r="P15" s="37"/>
      <c r="Q15" s="196" t="s">
        <v>226</v>
      </c>
    </row>
    <row r="16" spans="2:70">
      <c r="B16" s="23" t="s">
        <v>293</v>
      </c>
      <c r="C16" s="167" t="s">
        <v>171</v>
      </c>
      <c r="D16" s="167" t="s">
        <v>171</v>
      </c>
      <c r="E16" s="167" t="s">
        <v>171</v>
      </c>
      <c r="F16" s="167" t="s">
        <v>171</v>
      </c>
      <c r="G16" s="167" t="s">
        <v>171</v>
      </c>
      <c r="H16" s="167" t="s">
        <v>171</v>
      </c>
      <c r="I16" s="167" t="s">
        <v>171</v>
      </c>
      <c r="J16" s="167" t="s">
        <v>171</v>
      </c>
      <c r="K16" s="58" t="s">
        <v>223</v>
      </c>
      <c r="L16" s="205" t="s">
        <v>225</v>
      </c>
      <c r="M16" s="216" t="s">
        <v>39</v>
      </c>
      <c r="N16" s="166"/>
      <c r="O16" s="37"/>
      <c r="P16" s="37"/>
      <c r="Q16" s="196" t="s">
        <v>226</v>
      </c>
    </row>
    <row r="17" spans="2:17" ht="14.25" thickBot="1">
      <c r="B17" s="24" t="s">
        <v>294</v>
      </c>
      <c r="C17" s="168" t="s">
        <v>171</v>
      </c>
      <c r="D17" s="168" t="s">
        <v>171</v>
      </c>
      <c r="E17" s="168" t="s">
        <v>171</v>
      </c>
      <c r="F17" s="168" t="s">
        <v>171</v>
      </c>
      <c r="G17" s="168" t="s">
        <v>171</v>
      </c>
      <c r="H17" s="168" t="s">
        <v>171</v>
      </c>
      <c r="I17" s="168" t="s">
        <v>171</v>
      </c>
      <c r="J17" s="168" t="s">
        <v>171</v>
      </c>
      <c r="K17" s="206" t="s">
        <v>225</v>
      </c>
      <c r="L17" s="207" t="s">
        <v>224</v>
      </c>
      <c r="M17" s="218" t="s">
        <v>32</v>
      </c>
      <c r="N17" s="168"/>
      <c r="O17" s="39"/>
      <c r="P17" s="39"/>
      <c r="Q17" s="198" t="s">
        <v>31</v>
      </c>
    </row>
    <row r="42" spans="2:17" ht="15" thickBot="1">
      <c r="B42" s="28" t="s">
        <v>231</v>
      </c>
    </row>
    <row r="43" spans="2:17" ht="15" thickBot="1">
      <c r="B43" s="94" t="s">
        <v>159</v>
      </c>
      <c r="C43" s="313" t="s">
        <v>207</v>
      </c>
      <c r="D43" s="314"/>
      <c r="E43" s="314"/>
      <c r="F43" s="314"/>
      <c r="G43" s="314"/>
      <c r="H43" s="314"/>
      <c r="I43" s="314"/>
      <c r="J43" s="315"/>
      <c r="K43" s="169"/>
      <c r="L43" s="169"/>
      <c r="M43" s="172"/>
      <c r="N43" s="170"/>
      <c r="O43" s="170"/>
      <c r="P43" s="170"/>
      <c r="Q43" s="171"/>
    </row>
    <row r="44" spans="2:17">
      <c r="B44" s="67"/>
      <c r="C44" s="36" t="s">
        <v>161</v>
      </c>
      <c r="D44" s="36"/>
      <c r="E44" s="36"/>
      <c r="F44" s="36"/>
      <c r="G44" s="36"/>
      <c r="H44" s="36"/>
      <c r="I44" s="36"/>
      <c r="J44" s="36"/>
      <c r="K44" s="36"/>
      <c r="L44" s="36"/>
      <c r="M44" s="32" t="s">
        <v>151</v>
      </c>
      <c r="N44" s="40" t="s">
        <v>21</v>
      </c>
      <c r="O44" s="41"/>
      <c r="P44" s="41"/>
      <c r="Q44" s="42"/>
    </row>
    <row r="45" spans="2:17">
      <c r="B45" s="68" t="s">
        <v>22</v>
      </c>
      <c r="C45" s="316" t="s">
        <v>178</v>
      </c>
      <c r="D45" s="311"/>
      <c r="E45" s="311"/>
      <c r="F45" s="311"/>
      <c r="G45" s="311"/>
      <c r="H45" s="311"/>
      <c r="I45" s="311"/>
      <c r="J45" s="312"/>
      <c r="K45" s="200" t="s">
        <v>217</v>
      </c>
      <c r="L45" s="200" t="s">
        <v>217</v>
      </c>
      <c r="M45" s="33" t="s">
        <v>232</v>
      </c>
      <c r="N45" s="202" t="s">
        <v>23</v>
      </c>
      <c r="O45" s="190" t="s">
        <v>24</v>
      </c>
      <c r="P45" s="74" t="s">
        <v>25</v>
      </c>
      <c r="Q45" s="140" t="s">
        <v>26</v>
      </c>
    </row>
    <row r="46" spans="2:17">
      <c r="B46" s="68" t="s">
        <v>33</v>
      </c>
      <c r="C46" s="163" t="s">
        <v>125</v>
      </c>
      <c r="D46" s="163" t="s">
        <v>162</v>
      </c>
      <c r="E46" s="163" t="s">
        <v>125</v>
      </c>
      <c r="F46" s="163" t="s">
        <v>125</v>
      </c>
      <c r="G46" s="163" t="s">
        <v>125</v>
      </c>
      <c r="H46" s="163" t="s">
        <v>125</v>
      </c>
      <c r="I46" s="163" t="s">
        <v>125</v>
      </c>
      <c r="J46" s="163" t="s">
        <v>125</v>
      </c>
      <c r="K46" s="139" t="s">
        <v>216</v>
      </c>
      <c r="L46" s="139" t="s">
        <v>97</v>
      </c>
      <c r="M46" s="33" t="s">
        <v>48</v>
      </c>
      <c r="N46" s="203"/>
      <c r="O46" s="226"/>
      <c r="P46" s="75"/>
      <c r="Q46" s="211"/>
    </row>
    <row r="47" spans="2:17" ht="27">
      <c r="B47" s="69" t="s">
        <v>27</v>
      </c>
      <c r="C47" s="310" t="s">
        <v>163</v>
      </c>
      <c r="D47" s="311"/>
      <c r="E47" s="311"/>
      <c r="F47" s="311"/>
      <c r="G47" s="311"/>
      <c r="H47" s="311"/>
      <c r="I47" s="311"/>
      <c r="J47" s="312"/>
      <c r="K47" s="30" t="s">
        <v>215</v>
      </c>
      <c r="L47" s="30" t="s">
        <v>215</v>
      </c>
      <c r="M47" s="34"/>
      <c r="N47" s="203"/>
      <c r="O47" s="226"/>
      <c r="P47" s="75"/>
      <c r="Q47" s="211"/>
    </row>
    <row r="48" spans="2:17" ht="136.5">
      <c r="B48" s="68" t="s">
        <v>28</v>
      </c>
      <c r="C48" s="164" t="s">
        <v>164</v>
      </c>
      <c r="D48" s="164" t="s">
        <v>62</v>
      </c>
      <c r="E48" s="164" t="s">
        <v>165</v>
      </c>
      <c r="F48" s="164" t="s">
        <v>166</v>
      </c>
      <c r="G48" s="164" t="s">
        <v>167</v>
      </c>
      <c r="H48" s="164" t="s">
        <v>168</v>
      </c>
      <c r="I48" s="164" t="s">
        <v>169</v>
      </c>
      <c r="J48" s="164" t="s">
        <v>170</v>
      </c>
      <c r="K48" s="1" t="s">
        <v>281</v>
      </c>
      <c r="L48" s="30" t="s">
        <v>283</v>
      </c>
      <c r="M48" s="33" t="s">
        <v>29</v>
      </c>
      <c r="N48" s="203"/>
      <c r="O48" s="226"/>
      <c r="P48" s="75"/>
      <c r="Q48" s="140"/>
    </row>
    <row r="49" spans="2:17" ht="68.25" thickBot="1">
      <c r="B49" s="70" t="s">
        <v>30</v>
      </c>
      <c r="C49" s="165" t="s">
        <v>172</v>
      </c>
      <c r="D49" s="165" t="s">
        <v>162</v>
      </c>
      <c r="E49" s="165" t="s">
        <v>172</v>
      </c>
      <c r="F49" s="165" t="s">
        <v>172</v>
      </c>
      <c r="G49" s="165" t="s">
        <v>172</v>
      </c>
      <c r="H49" s="165" t="s">
        <v>172</v>
      </c>
      <c r="I49" s="165" t="s">
        <v>172</v>
      </c>
      <c r="J49" s="165" t="s">
        <v>172</v>
      </c>
      <c r="K49" s="29" t="s">
        <v>219</v>
      </c>
      <c r="L49" s="31" t="s">
        <v>233</v>
      </c>
      <c r="M49" s="35" t="s">
        <v>267</v>
      </c>
      <c r="N49" s="204"/>
      <c r="O49" s="191" t="s">
        <v>241</v>
      </c>
      <c r="P49" s="73"/>
      <c r="Q49" s="212"/>
    </row>
    <row r="50" spans="2:17" ht="14.25" thickTop="1">
      <c r="B50" s="71" t="s">
        <v>290</v>
      </c>
      <c r="C50" s="166" t="s">
        <v>171</v>
      </c>
      <c r="D50" s="166" t="s">
        <v>171</v>
      </c>
      <c r="E50" s="166" t="s">
        <v>171</v>
      </c>
      <c r="F50" s="166" t="s">
        <v>171</v>
      </c>
      <c r="G50" s="166" t="s">
        <v>171</v>
      </c>
      <c r="H50" s="166" t="s">
        <v>171</v>
      </c>
      <c r="I50" s="166" t="s">
        <v>171</v>
      </c>
      <c r="J50" s="166" t="s">
        <v>171</v>
      </c>
      <c r="K50" s="130" t="s">
        <v>213</v>
      </c>
      <c r="L50" s="205" t="s">
        <v>234</v>
      </c>
      <c r="M50" s="216" t="s">
        <v>32</v>
      </c>
      <c r="N50" s="166"/>
      <c r="O50" s="192" t="s">
        <v>31</v>
      </c>
      <c r="P50" s="37"/>
      <c r="Q50" s="213"/>
    </row>
    <row r="51" spans="2:17">
      <c r="B51" s="71" t="s">
        <v>297</v>
      </c>
      <c r="C51" s="167" t="s">
        <v>171</v>
      </c>
      <c r="D51" s="167" t="s">
        <v>171</v>
      </c>
      <c r="E51" s="167" t="s">
        <v>171</v>
      </c>
      <c r="F51" s="167" t="s">
        <v>171</v>
      </c>
      <c r="G51" s="167" t="s">
        <v>171</v>
      </c>
      <c r="H51" s="167" t="s">
        <v>171</v>
      </c>
      <c r="I51" s="167" t="s">
        <v>171</v>
      </c>
      <c r="J51" s="167" t="s">
        <v>171</v>
      </c>
      <c r="K51" s="58" t="s">
        <v>213</v>
      </c>
      <c r="L51" s="205" t="s">
        <v>236</v>
      </c>
      <c r="M51" s="217" t="s">
        <v>243</v>
      </c>
      <c r="N51" s="167"/>
      <c r="O51" s="192" t="s">
        <v>248</v>
      </c>
      <c r="P51" s="38"/>
      <c r="Q51" s="213"/>
    </row>
    <row r="52" spans="2:17">
      <c r="B52" s="23" t="s">
        <v>291</v>
      </c>
      <c r="C52" s="167" t="s">
        <v>171</v>
      </c>
      <c r="D52" s="167" t="s">
        <v>171</v>
      </c>
      <c r="E52" s="167" t="s">
        <v>171</v>
      </c>
      <c r="F52" s="167" t="s">
        <v>171</v>
      </c>
      <c r="G52" s="167" t="s">
        <v>171</v>
      </c>
      <c r="H52" s="167" t="s">
        <v>171</v>
      </c>
      <c r="I52" s="167" t="s">
        <v>171</v>
      </c>
      <c r="J52" s="167" t="s">
        <v>171</v>
      </c>
      <c r="K52" s="58" t="s">
        <v>221</v>
      </c>
      <c r="L52" s="205" t="s">
        <v>209</v>
      </c>
      <c r="M52" s="217" t="s">
        <v>32</v>
      </c>
      <c r="N52" s="167"/>
      <c r="O52" s="192" t="s">
        <v>31</v>
      </c>
      <c r="P52" s="38"/>
      <c r="Q52" s="214"/>
    </row>
    <row r="53" spans="2:17">
      <c r="B53" s="23" t="s">
        <v>292</v>
      </c>
      <c r="C53" s="167" t="s">
        <v>171</v>
      </c>
      <c r="D53" s="167" t="s">
        <v>171</v>
      </c>
      <c r="E53" s="167" t="s">
        <v>171</v>
      </c>
      <c r="F53" s="167" t="s">
        <v>171</v>
      </c>
      <c r="G53" s="167" t="s">
        <v>171</v>
      </c>
      <c r="H53" s="167" t="s">
        <v>171</v>
      </c>
      <c r="I53" s="167" t="s">
        <v>171</v>
      </c>
      <c r="J53" s="167" t="s">
        <v>171</v>
      </c>
      <c r="K53" s="58" t="s">
        <v>222</v>
      </c>
      <c r="L53" s="205" t="s">
        <v>209</v>
      </c>
      <c r="M53" s="217" t="s">
        <v>32</v>
      </c>
      <c r="N53" s="167"/>
      <c r="O53" s="192" t="s">
        <v>31</v>
      </c>
      <c r="P53" s="38"/>
      <c r="Q53" s="213"/>
    </row>
    <row r="54" spans="2:17">
      <c r="B54" s="23" t="s">
        <v>293</v>
      </c>
      <c r="C54" s="167" t="s">
        <v>171</v>
      </c>
      <c r="D54" s="167" t="s">
        <v>171</v>
      </c>
      <c r="E54" s="167" t="s">
        <v>171</v>
      </c>
      <c r="F54" s="167" t="s">
        <v>171</v>
      </c>
      <c r="G54" s="167" t="s">
        <v>171</v>
      </c>
      <c r="H54" s="167" t="s">
        <v>171</v>
      </c>
      <c r="I54" s="167" t="s">
        <v>171</v>
      </c>
      <c r="J54" s="167" t="s">
        <v>171</v>
      </c>
      <c r="K54" s="58" t="s">
        <v>223</v>
      </c>
      <c r="L54" s="205" t="s">
        <v>209</v>
      </c>
      <c r="M54" s="217" t="s">
        <v>32</v>
      </c>
      <c r="N54" s="167"/>
      <c r="O54" s="192" t="s">
        <v>31</v>
      </c>
      <c r="P54" s="38"/>
      <c r="Q54" s="213"/>
    </row>
    <row r="55" spans="2:17" ht="14.25" thickBot="1">
      <c r="B55" s="24" t="s">
        <v>294</v>
      </c>
      <c r="C55" s="168" t="s">
        <v>171</v>
      </c>
      <c r="D55" s="168" t="s">
        <v>171</v>
      </c>
      <c r="E55" s="168" t="s">
        <v>171</v>
      </c>
      <c r="F55" s="168" t="s">
        <v>171</v>
      </c>
      <c r="G55" s="168" t="s">
        <v>171</v>
      </c>
      <c r="H55" s="168" t="s">
        <v>171</v>
      </c>
      <c r="I55" s="168" t="s">
        <v>171</v>
      </c>
      <c r="J55" s="168" t="s">
        <v>171</v>
      </c>
      <c r="K55" s="206" t="s">
        <v>225</v>
      </c>
      <c r="L55" s="207" t="s">
        <v>209</v>
      </c>
      <c r="M55" s="218" t="s">
        <v>32</v>
      </c>
      <c r="N55" s="168"/>
      <c r="O55" s="194" t="s">
        <v>31</v>
      </c>
      <c r="P55" s="39"/>
      <c r="Q55" s="215"/>
    </row>
    <row r="71" spans="2:97" ht="15" thickBot="1">
      <c r="B71" s="28" t="s">
        <v>238</v>
      </c>
    </row>
    <row r="72" spans="2:97" ht="15" thickBot="1">
      <c r="B72" s="94" t="s">
        <v>159</v>
      </c>
      <c r="C72" s="313" t="s">
        <v>207</v>
      </c>
      <c r="D72" s="314"/>
      <c r="E72" s="314"/>
      <c r="F72" s="314"/>
      <c r="G72" s="314"/>
      <c r="H72" s="314"/>
      <c r="I72" s="314"/>
      <c r="J72" s="315"/>
      <c r="K72" s="169"/>
      <c r="L72" s="169"/>
      <c r="M72" s="172"/>
      <c r="N72" s="170"/>
      <c r="O72" s="170"/>
      <c r="P72" s="170"/>
      <c r="Q72" s="171"/>
    </row>
    <row r="73" spans="2:97">
      <c r="B73" s="67"/>
      <c r="C73" s="36" t="s">
        <v>161</v>
      </c>
      <c r="D73" s="36"/>
      <c r="E73" s="36"/>
      <c r="F73" s="36"/>
      <c r="G73" s="36"/>
      <c r="H73" s="36"/>
      <c r="I73" s="36"/>
      <c r="J73" s="36"/>
      <c r="K73" s="36"/>
      <c r="L73" s="36"/>
      <c r="M73" s="32" t="s">
        <v>151</v>
      </c>
      <c r="N73" s="40" t="s">
        <v>21</v>
      </c>
      <c r="O73" s="41"/>
      <c r="P73" s="41"/>
      <c r="Q73" s="42"/>
    </row>
    <row r="74" spans="2:97">
      <c r="B74" s="68" t="s">
        <v>22</v>
      </c>
      <c r="C74" s="316" t="s">
        <v>178</v>
      </c>
      <c r="D74" s="311"/>
      <c r="E74" s="311"/>
      <c r="F74" s="311"/>
      <c r="G74" s="311"/>
      <c r="H74" s="311"/>
      <c r="I74" s="311"/>
      <c r="J74" s="312"/>
      <c r="K74" s="200" t="s">
        <v>217</v>
      </c>
      <c r="L74" s="200" t="s">
        <v>217</v>
      </c>
      <c r="M74" s="33" t="s">
        <v>240</v>
      </c>
      <c r="N74" s="202" t="s">
        <v>23</v>
      </c>
      <c r="O74" s="190" t="s">
        <v>24</v>
      </c>
      <c r="P74" s="74" t="s">
        <v>25</v>
      </c>
      <c r="Q74" s="140" t="s">
        <v>26</v>
      </c>
    </row>
    <row r="75" spans="2:97">
      <c r="B75" s="68" t="s">
        <v>33</v>
      </c>
      <c r="C75" s="163" t="s">
        <v>125</v>
      </c>
      <c r="D75" s="163" t="s">
        <v>162</v>
      </c>
      <c r="E75" s="163" t="s">
        <v>125</v>
      </c>
      <c r="F75" s="163" t="s">
        <v>125</v>
      </c>
      <c r="G75" s="163" t="s">
        <v>125</v>
      </c>
      <c r="H75" s="163" t="s">
        <v>125</v>
      </c>
      <c r="I75" s="163" t="s">
        <v>125</v>
      </c>
      <c r="J75" s="163" t="s">
        <v>125</v>
      </c>
      <c r="K75" s="139" t="s">
        <v>216</v>
      </c>
      <c r="L75" s="139" t="s">
        <v>97</v>
      </c>
      <c r="M75" s="33" t="s">
        <v>48</v>
      </c>
      <c r="N75" s="203"/>
      <c r="O75" s="226"/>
      <c r="P75" s="75"/>
      <c r="Q75" s="211"/>
    </row>
    <row r="76" spans="2:97" ht="27">
      <c r="B76" s="69" t="s">
        <v>27</v>
      </c>
      <c r="C76" s="310" t="s">
        <v>163</v>
      </c>
      <c r="D76" s="311"/>
      <c r="E76" s="311"/>
      <c r="F76" s="311"/>
      <c r="G76" s="311"/>
      <c r="H76" s="311"/>
      <c r="I76" s="311"/>
      <c r="J76" s="312"/>
      <c r="K76" s="30" t="s">
        <v>215</v>
      </c>
      <c r="L76" s="30" t="s">
        <v>215</v>
      </c>
      <c r="M76" s="34"/>
      <c r="N76" s="203"/>
      <c r="O76" s="226"/>
      <c r="P76" s="75"/>
      <c r="Q76" s="211"/>
    </row>
    <row r="77" spans="2:97" ht="136.5">
      <c r="B77" s="68" t="s">
        <v>28</v>
      </c>
      <c r="C77" s="164" t="s">
        <v>164</v>
      </c>
      <c r="D77" s="164" t="s">
        <v>62</v>
      </c>
      <c r="E77" s="164" t="s">
        <v>165</v>
      </c>
      <c r="F77" s="164" t="s">
        <v>166</v>
      </c>
      <c r="G77" s="164" t="s">
        <v>167</v>
      </c>
      <c r="H77" s="164" t="s">
        <v>168</v>
      </c>
      <c r="I77" s="164" t="s">
        <v>169</v>
      </c>
      <c r="J77" s="164" t="s">
        <v>170</v>
      </c>
      <c r="K77" s="1" t="s">
        <v>281</v>
      </c>
      <c r="L77" s="30" t="s">
        <v>284</v>
      </c>
      <c r="M77" s="33" t="s">
        <v>29</v>
      </c>
      <c r="N77" s="203"/>
      <c r="O77" s="226"/>
      <c r="P77" s="75"/>
      <c r="Q77" s="140"/>
      <c r="AC77" s="231"/>
      <c r="AY77" s="231"/>
      <c r="BV77" s="231"/>
      <c r="CS77" s="231"/>
    </row>
    <row r="78" spans="2:97" ht="121.5" customHeight="1" thickBot="1">
      <c r="B78" s="70" t="s">
        <v>30</v>
      </c>
      <c r="C78" s="165" t="s">
        <v>172</v>
      </c>
      <c r="D78" s="165" t="s">
        <v>162</v>
      </c>
      <c r="E78" s="165" t="s">
        <v>172</v>
      </c>
      <c r="F78" s="165" t="s">
        <v>172</v>
      </c>
      <c r="G78" s="165" t="s">
        <v>172</v>
      </c>
      <c r="H78" s="165" t="s">
        <v>172</v>
      </c>
      <c r="I78" s="165" t="s">
        <v>172</v>
      </c>
      <c r="J78" s="165" t="s">
        <v>172</v>
      </c>
      <c r="K78" s="29" t="s">
        <v>219</v>
      </c>
      <c r="L78" s="31" t="s">
        <v>239</v>
      </c>
      <c r="M78" s="35" t="s">
        <v>246</v>
      </c>
      <c r="N78" s="204"/>
      <c r="O78" s="191" t="s">
        <v>268</v>
      </c>
      <c r="P78" s="73"/>
      <c r="Q78" s="212"/>
      <c r="AC78" s="231"/>
      <c r="AY78" s="231"/>
      <c r="BV78" s="231"/>
      <c r="CS78" s="231"/>
    </row>
    <row r="79" spans="2:97" ht="14.25" thickTop="1">
      <c r="B79" s="71" t="s">
        <v>290</v>
      </c>
      <c r="C79" s="166" t="s">
        <v>171</v>
      </c>
      <c r="D79" s="166" t="s">
        <v>171</v>
      </c>
      <c r="E79" s="166" t="s">
        <v>171</v>
      </c>
      <c r="F79" s="166" t="s">
        <v>171</v>
      </c>
      <c r="G79" s="166" t="s">
        <v>171</v>
      </c>
      <c r="H79" s="166" t="s">
        <v>171</v>
      </c>
      <c r="I79" s="166" t="s">
        <v>171</v>
      </c>
      <c r="J79" s="166" t="s">
        <v>171</v>
      </c>
      <c r="K79" s="130" t="s">
        <v>213</v>
      </c>
      <c r="L79" s="205" t="s">
        <v>235</v>
      </c>
      <c r="M79" s="216" t="s">
        <v>128</v>
      </c>
      <c r="N79" s="166"/>
      <c r="O79" s="192" t="s">
        <v>31</v>
      </c>
      <c r="P79" s="37"/>
      <c r="Q79" s="213"/>
      <c r="AC79" s="231"/>
      <c r="AY79" s="231"/>
      <c r="BV79" s="231"/>
      <c r="CS79" s="231"/>
    </row>
    <row r="80" spans="2:97">
      <c r="B80" s="23" t="s">
        <v>298</v>
      </c>
      <c r="C80" s="167" t="s">
        <v>171</v>
      </c>
      <c r="D80" s="167" t="s">
        <v>171</v>
      </c>
      <c r="E80" s="167" t="s">
        <v>171</v>
      </c>
      <c r="F80" s="167" t="s">
        <v>171</v>
      </c>
      <c r="G80" s="167" t="s">
        <v>171</v>
      </c>
      <c r="H80" s="167" t="s">
        <v>171</v>
      </c>
      <c r="I80" s="167" t="s">
        <v>171</v>
      </c>
      <c r="J80" s="167" t="s">
        <v>171</v>
      </c>
      <c r="K80" s="58" t="s">
        <v>213</v>
      </c>
      <c r="L80" s="205" t="s">
        <v>237</v>
      </c>
      <c r="M80" s="217" t="s">
        <v>247</v>
      </c>
      <c r="N80" s="167"/>
      <c r="O80" s="193" t="s">
        <v>249</v>
      </c>
      <c r="P80" s="38"/>
      <c r="Q80" s="213"/>
      <c r="AC80" s="231"/>
      <c r="AY80" s="231"/>
      <c r="BV80" s="231"/>
      <c r="CS80" s="231"/>
    </row>
    <row r="81" spans="2:97">
      <c r="B81" s="23" t="s">
        <v>291</v>
      </c>
      <c r="C81" s="167" t="s">
        <v>171</v>
      </c>
      <c r="D81" s="167" t="s">
        <v>171</v>
      </c>
      <c r="E81" s="167" t="s">
        <v>171</v>
      </c>
      <c r="F81" s="167" t="s">
        <v>171</v>
      </c>
      <c r="G81" s="167" t="s">
        <v>171</v>
      </c>
      <c r="H81" s="167" t="s">
        <v>171</v>
      </c>
      <c r="I81" s="167" t="s">
        <v>171</v>
      </c>
      <c r="J81" s="167" t="s">
        <v>171</v>
      </c>
      <c r="K81" s="58" t="s">
        <v>221</v>
      </c>
      <c r="L81" s="205" t="s">
        <v>209</v>
      </c>
      <c r="M81" s="217" t="s">
        <v>32</v>
      </c>
      <c r="N81" s="167"/>
      <c r="O81" s="193" t="s">
        <v>31</v>
      </c>
      <c r="P81" s="38"/>
      <c r="Q81" s="214"/>
      <c r="AC81" s="231"/>
      <c r="AY81" s="231"/>
      <c r="BV81" s="231"/>
      <c r="CS81" s="231"/>
    </row>
    <row r="82" spans="2:97">
      <c r="B82" s="23" t="s">
        <v>292</v>
      </c>
      <c r="C82" s="167" t="s">
        <v>171</v>
      </c>
      <c r="D82" s="167" t="s">
        <v>171</v>
      </c>
      <c r="E82" s="167" t="s">
        <v>171</v>
      </c>
      <c r="F82" s="167" t="s">
        <v>171</v>
      </c>
      <c r="G82" s="167" t="s">
        <v>171</v>
      </c>
      <c r="H82" s="167" t="s">
        <v>171</v>
      </c>
      <c r="I82" s="167" t="s">
        <v>171</v>
      </c>
      <c r="J82" s="167" t="s">
        <v>171</v>
      </c>
      <c r="K82" s="58" t="s">
        <v>222</v>
      </c>
      <c r="L82" s="205" t="s">
        <v>209</v>
      </c>
      <c r="M82" s="217" t="s">
        <v>32</v>
      </c>
      <c r="N82" s="167"/>
      <c r="O82" s="193" t="s">
        <v>31</v>
      </c>
      <c r="P82" s="38"/>
      <c r="Q82" s="213"/>
      <c r="AC82" s="231"/>
      <c r="AY82" s="231"/>
      <c r="BV82" s="231"/>
      <c r="CS82" s="231"/>
    </row>
    <row r="83" spans="2:97">
      <c r="B83" s="23" t="s">
        <v>293</v>
      </c>
      <c r="C83" s="167" t="s">
        <v>171</v>
      </c>
      <c r="D83" s="167" t="s">
        <v>171</v>
      </c>
      <c r="E83" s="167" t="s">
        <v>171</v>
      </c>
      <c r="F83" s="167" t="s">
        <v>171</v>
      </c>
      <c r="G83" s="167" t="s">
        <v>171</v>
      </c>
      <c r="H83" s="167" t="s">
        <v>171</v>
      </c>
      <c r="I83" s="167" t="s">
        <v>171</v>
      </c>
      <c r="J83" s="167" t="s">
        <v>171</v>
      </c>
      <c r="K83" s="58" t="s">
        <v>223</v>
      </c>
      <c r="L83" s="205" t="s">
        <v>209</v>
      </c>
      <c r="M83" s="217" t="s">
        <v>32</v>
      </c>
      <c r="N83" s="167"/>
      <c r="O83" s="193" t="s">
        <v>31</v>
      </c>
      <c r="P83" s="38"/>
      <c r="Q83" s="213"/>
      <c r="AC83" s="231"/>
      <c r="AY83" s="231"/>
      <c r="BV83" s="231"/>
      <c r="CS83" s="231"/>
    </row>
    <row r="84" spans="2:97" ht="14.25" thickBot="1">
      <c r="B84" s="24" t="s">
        <v>294</v>
      </c>
      <c r="C84" s="168" t="s">
        <v>171</v>
      </c>
      <c r="D84" s="168" t="s">
        <v>171</v>
      </c>
      <c r="E84" s="168" t="s">
        <v>171</v>
      </c>
      <c r="F84" s="168" t="s">
        <v>171</v>
      </c>
      <c r="G84" s="168" t="s">
        <v>171</v>
      </c>
      <c r="H84" s="168" t="s">
        <v>171</v>
      </c>
      <c r="I84" s="168" t="s">
        <v>171</v>
      </c>
      <c r="J84" s="168" t="s">
        <v>171</v>
      </c>
      <c r="K84" s="206" t="s">
        <v>225</v>
      </c>
      <c r="L84" s="207" t="s">
        <v>209</v>
      </c>
      <c r="M84" s="218" t="s">
        <v>32</v>
      </c>
      <c r="N84" s="168"/>
      <c r="O84" s="194" t="s">
        <v>31</v>
      </c>
      <c r="P84" s="39"/>
      <c r="Q84" s="215"/>
      <c r="AC84" s="231"/>
      <c r="AY84" s="231"/>
      <c r="BV84" s="231"/>
      <c r="CS84" s="231"/>
    </row>
    <row r="85" spans="2:97">
      <c r="AC85" s="231"/>
      <c r="AY85" s="231"/>
      <c r="BV85" s="231"/>
      <c r="CS85" s="231"/>
    </row>
    <row r="86" spans="2:97">
      <c r="AC86" s="231"/>
      <c r="AY86" s="231"/>
      <c r="BV86" s="231"/>
      <c r="CS86" s="231"/>
    </row>
    <row r="87" spans="2:97">
      <c r="AC87" s="231"/>
      <c r="AY87" s="231"/>
      <c r="BV87" s="231"/>
      <c r="CS87" s="231"/>
    </row>
    <row r="88" spans="2:97">
      <c r="AC88" s="231"/>
      <c r="AY88" s="231"/>
      <c r="CS88" s="231"/>
    </row>
    <row r="89" spans="2:97">
      <c r="AC89" s="231"/>
      <c r="AY89" s="231"/>
      <c r="CS89" s="231"/>
    </row>
    <row r="90" spans="2:97">
      <c r="AC90" s="231"/>
      <c r="AY90" s="231"/>
      <c r="CS90" s="231"/>
    </row>
    <row r="91" spans="2:97">
      <c r="AC91" s="231"/>
      <c r="AY91" s="231"/>
      <c r="CS91" s="231"/>
    </row>
    <row r="92" spans="2:97">
      <c r="AC92" s="231"/>
      <c r="AY92" s="231"/>
      <c r="CS92" s="231"/>
    </row>
    <row r="93" spans="2:97">
      <c r="AC93" s="231"/>
      <c r="AY93" s="231"/>
      <c r="CS93" s="231"/>
    </row>
    <row r="94" spans="2:97">
      <c r="AC94" s="231"/>
      <c r="AY94" s="231"/>
      <c r="CS94" s="231"/>
    </row>
    <row r="95" spans="2:97">
      <c r="AC95" s="231"/>
      <c r="AY95" s="231"/>
      <c r="CS95" s="231"/>
    </row>
    <row r="96" spans="2:97">
      <c r="AC96" s="231"/>
      <c r="AY96" s="231"/>
      <c r="CS96" s="231"/>
    </row>
    <row r="97" spans="29:97">
      <c r="AC97" s="231"/>
      <c r="AY97" s="231"/>
      <c r="CS97" s="231"/>
    </row>
    <row r="98" spans="29:97">
      <c r="AC98" s="231"/>
      <c r="AY98" s="231"/>
      <c r="CS98" s="231"/>
    </row>
    <row r="99" spans="29:97">
      <c r="AC99" s="231"/>
      <c r="AY99" s="231"/>
      <c r="CS99" s="231"/>
    </row>
    <row r="100" spans="29:97">
      <c r="AC100" s="231"/>
      <c r="AY100" s="231"/>
      <c r="CS100" s="231"/>
    </row>
    <row r="116" spans="2:73" ht="15" thickBot="1">
      <c r="B116" s="28" t="s">
        <v>250</v>
      </c>
    </row>
    <row r="117" spans="2:73" ht="15" thickBot="1">
      <c r="B117" s="94" t="s">
        <v>159</v>
      </c>
      <c r="C117" s="313" t="s">
        <v>207</v>
      </c>
      <c r="D117" s="314"/>
      <c r="E117" s="314"/>
      <c r="F117" s="314"/>
      <c r="G117" s="314"/>
      <c r="H117" s="314"/>
      <c r="I117" s="314"/>
      <c r="J117" s="315"/>
      <c r="K117" s="169"/>
      <c r="L117" s="169"/>
      <c r="M117" s="172"/>
      <c r="N117" s="170"/>
      <c r="O117" s="170"/>
      <c r="P117" s="170"/>
      <c r="Q117" s="171"/>
    </row>
    <row r="118" spans="2:73">
      <c r="B118" s="67"/>
      <c r="C118" s="36" t="s">
        <v>161</v>
      </c>
      <c r="D118" s="36"/>
      <c r="E118" s="36"/>
      <c r="F118" s="36"/>
      <c r="G118" s="36"/>
      <c r="H118" s="36"/>
      <c r="I118" s="36"/>
      <c r="J118" s="36"/>
      <c r="K118" s="36"/>
      <c r="L118" s="36"/>
      <c r="M118" s="32" t="s">
        <v>151</v>
      </c>
      <c r="N118" s="40" t="s">
        <v>21</v>
      </c>
      <c r="O118" s="41"/>
      <c r="P118" s="41"/>
      <c r="Q118" s="42"/>
    </row>
    <row r="119" spans="2:73">
      <c r="B119" s="68" t="s">
        <v>22</v>
      </c>
      <c r="C119" s="316" t="s">
        <v>178</v>
      </c>
      <c r="D119" s="311"/>
      <c r="E119" s="311"/>
      <c r="F119" s="311"/>
      <c r="G119" s="311"/>
      <c r="H119" s="311"/>
      <c r="I119" s="311"/>
      <c r="J119" s="312"/>
      <c r="K119" s="200" t="s">
        <v>217</v>
      </c>
      <c r="L119" s="200" t="s">
        <v>217</v>
      </c>
      <c r="M119" s="33" t="s">
        <v>264</v>
      </c>
      <c r="N119" s="202" t="s">
        <v>23</v>
      </c>
      <c r="O119" s="190" t="s">
        <v>24</v>
      </c>
      <c r="P119" s="74" t="s">
        <v>25</v>
      </c>
      <c r="Q119" s="140" t="s">
        <v>26</v>
      </c>
    </row>
    <row r="120" spans="2:73">
      <c r="B120" s="68" t="s">
        <v>33</v>
      </c>
      <c r="C120" s="163" t="s">
        <v>125</v>
      </c>
      <c r="D120" s="163" t="s">
        <v>162</v>
      </c>
      <c r="E120" s="163" t="s">
        <v>125</v>
      </c>
      <c r="F120" s="163" t="s">
        <v>125</v>
      </c>
      <c r="G120" s="163" t="s">
        <v>125</v>
      </c>
      <c r="H120" s="163" t="s">
        <v>125</v>
      </c>
      <c r="I120" s="163" t="s">
        <v>125</v>
      </c>
      <c r="J120" s="163" t="s">
        <v>125</v>
      </c>
      <c r="K120" s="139" t="s">
        <v>216</v>
      </c>
      <c r="L120" s="139" t="s">
        <v>97</v>
      </c>
      <c r="M120" s="33" t="s">
        <v>48</v>
      </c>
      <c r="N120" s="203"/>
      <c r="O120" s="226"/>
      <c r="P120" s="75"/>
      <c r="Q120" s="211"/>
    </row>
    <row r="121" spans="2:73" ht="27">
      <c r="B121" s="69" t="s">
        <v>27</v>
      </c>
      <c r="C121" s="310" t="s">
        <v>163</v>
      </c>
      <c r="D121" s="311"/>
      <c r="E121" s="311"/>
      <c r="F121" s="311"/>
      <c r="G121" s="311"/>
      <c r="H121" s="311"/>
      <c r="I121" s="311"/>
      <c r="J121" s="312"/>
      <c r="K121" s="30" t="s">
        <v>251</v>
      </c>
      <c r="L121" s="30" t="s">
        <v>215</v>
      </c>
      <c r="M121" s="34"/>
      <c r="N121" s="203"/>
      <c r="O121" s="226"/>
      <c r="P121" s="75"/>
      <c r="Q121" s="211"/>
      <c r="BU121" s="225"/>
    </row>
    <row r="122" spans="2:73" ht="136.5">
      <c r="B122" s="68" t="s">
        <v>28</v>
      </c>
      <c r="C122" s="164" t="s">
        <v>164</v>
      </c>
      <c r="D122" s="164" t="s">
        <v>62</v>
      </c>
      <c r="E122" s="164" t="s">
        <v>165</v>
      </c>
      <c r="F122" s="164" t="s">
        <v>166</v>
      </c>
      <c r="G122" s="164" t="s">
        <v>167</v>
      </c>
      <c r="H122" s="164" t="s">
        <v>168</v>
      </c>
      <c r="I122" s="164" t="s">
        <v>169</v>
      </c>
      <c r="J122" s="164" t="s">
        <v>170</v>
      </c>
      <c r="K122" s="1" t="s">
        <v>281</v>
      </c>
      <c r="L122" s="230" t="s">
        <v>285</v>
      </c>
      <c r="M122" s="33" t="s">
        <v>29</v>
      </c>
      <c r="N122" s="203"/>
      <c r="O122" s="226"/>
      <c r="P122" s="75"/>
      <c r="Q122" s="140"/>
    </row>
    <row r="123" spans="2:73" ht="216.75" thickBot="1">
      <c r="B123" s="70" t="s">
        <v>30</v>
      </c>
      <c r="C123" s="165" t="s">
        <v>172</v>
      </c>
      <c r="D123" s="165" t="s">
        <v>162</v>
      </c>
      <c r="E123" s="165" t="s">
        <v>172</v>
      </c>
      <c r="F123" s="165" t="s">
        <v>172</v>
      </c>
      <c r="G123" s="165" t="s">
        <v>172</v>
      </c>
      <c r="H123" s="165" t="s">
        <v>172</v>
      </c>
      <c r="I123" s="165" t="s">
        <v>172</v>
      </c>
      <c r="J123" s="165" t="s">
        <v>172</v>
      </c>
      <c r="K123" s="29" t="s">
        <v>219</v>
      </c>
      <c r="L123" s="31" t="s">
        <v>257</v>
      </c>
      <c r="M123" s="35" t="s">
        <v>253</v>
      </c>
      <c r="N123" s="204"/>
      <c r="O123" s="191" t="s">
        <v>277</v>
      </c>
      <c r="P123" s="73"/>
      <c r="Q123" s="212"/>
    </row>
    <row r="124" spans="2:73" ht="14.25" thickTop="1">
      <c r="B124" s="71" t="s">
        <v>290</v>
      </c>
      <c r="C124" s="166" t="s">
        <v>171</v>
      </c>
      <c r="D124" s="166" t="s">
        <v>171</v>
      </c>
      <c r="E124" s="166" t="s">
        <v>171</v>
      </c>
      <c r="F124" s="166" t="s">
        <v>171</v>
      </c>
      <c r="G124" s="166" t="s">
        <v>171</v>
      </c>
      <c r="H124" s="166" t="s">
        <v>171</v>
      </c>
      <c r="I124" s="166" t="s">
        <v>171</v>
      </c>
      <c r="J124" s="166" t="s">
        <v>171</v>
      </c>
      <c r="K124" s="130" t="s">
        <v>213</v>
      </c>
      <c r="L124" s="205" t="s">
        <v>235</v>
      </c>
      <c r="M124" s="216" t="s">
        <v>128</v>
      </c>
      <c r="N124" s="166"/>
      <c r="O124" s="192" t="s">
        <v>31</v>
      </c>
      <c r="P124" s="37"/>
      <c r="Q124" s="213"/>
    </row>
    <row r="125" spans="2:73">
      <c r="B125" s="23" t="s">
        <v>299</v>
      </c>
      <c r="C125" s="167" t="s">
        <v>171</v>
      </c>
      <c r="D125" s="167" t="s">
        <v>171</v>
      </c>
      <c r="E125" s="167" t="s">
        <v>171</v>
      </c>
      <c r="F125" s="167" t="s">
        <v>171</v>
      </c>
      <c r="G125" s="167" t="s">
        <v>171</v>
      </c>
      <c r="H125" s="167" t="s">
        <v>171</v>
      </c>
      <c r="I125" s="167" t="s">
        <v>171</v>
      </c>
      <c r="J125" s="167" t="s">
        <v>171</v>
      </c>
      <c r="K125" s="58" t="s">
        <v>213</v>
      </c>
      <c r="L125" s="205" t="s">
        <v>237</v>
      </c>
      <c r="M125" s="217" t="s">
        <v>255</v>
      </c>
      <c r="N125" s="167"/>
      <c r="O125" s="193" t="s">
        <v>252</v>
      </c>
      <c r="P125" s="38"/>
      <c r="Q125" s="213"/>
    </row>
    <row r="126" spans="2:73">
      <c r="B126" s="23" t="s">
        <v>291</v>
      </c>
      <c r="C126" s="167" t="s">
        <v>171</v>
      </c>
      <c r="D126" s="167" t="s">
        <v>171</v>
      </c>
      <c r="E126" s="167" t="s">
        <v>171</v>
      </c>
      <c r="F126" s="167" t="s">
        <v>171</v>
      </c>
      <c r="G126" s="167" t="s">
        <v>171</v>
      </c>
      <c r="H126" s="167" t="s">
        <v>171</v>
      </c>
      <c r="I126" s="167" t="s">
        <v>171</v>
      </c>
      <c r="J126" s="167" t="s">
        <v>171</v>
      </c>
      <c r="K126" s="58" t="s">
        <v>221</v>
      </c>
      <c r="L126" s="205" t="s">
        <v>209</v>
      </c>
      <c r="M126" s="217" t="s">
        <v>32</v>
      </c>
      <c r="N126" s="167"/>
      <c r="O126" s="193" t="s">
        <v>31</v>
      </c>
      <c r="P126" s="38"/>
      <c r="Q126" s="214"/>
    </row>
    <row r="127" spans="2:73">
      <c r="B127" s="23" t="s">
        <v>292</v>
      </c>
      <c r="C127" s="167" t="s">
        <v>171</v>
      </c>
      <c r="D127" s="167" t="s">
        <v>171</v>
      </c>
      <c r="E127" s="167" t="s">
        <v>171</v>
      </c>
      <c r="F127" s="167" t="s">
        <v>171</v>
      </c>
      <c r="G127" s="167" t="s">
        <v>171</v>
      </c>
      <c r="H127" s="167" t="s">
        <v>171</v>
      </c>
      <c r="I127" s="167" t="s">
        <v>171</v>
      </c>
      <c r="J127" s="167" t="s">
        <v>171</v>
      </c>
      <c r="K127" s="58" t="s">
        <v>222</v>
      </c>
      <c r="L127" s="205" t="s">
        <v>209</v>
      </c>
      <c r="M127" s="217" t="s">
        <v>255</v>
      </c>
      <c r="N127" s="167"/>
      <c r="O127" s="193" t="s">
        <v>252</v>
      </c>
      <c r="P127" s="38"/>
      <c r="Q127" s="213"/>
    </row>
    <row r="128" spans="2:73">
      <c r="B128" s="23" t="s">
        <v>293</v>
      </c>
      <c r="C128" s="167" t="s">
        <v>171</v>
      </c>
      <c r="D128" s="167" t="s">
        <v>171</v>
      </c>
      <c r="E128" s="167" t="s">
        <v>171</v>
      </c>
      <c r="F128" s="167" t="s">
        <v>171</v>
      </c>
      <c r="G128" s="167" t="s">
        <v>171</v>
      </c>
      <c r="H128" s="167" t="s">
        <v>171</v>
      </c>
      <c r="I128" s="167" t="s">
        <v>171</v>
      </c>
      <c r="J128" s="167" t="s">
        <v>171</v>
      </c>
      <c r="K128" s="58" t="s">
        <v>223</v>
      </c>
      <c r="L128" s="205" t="s">
        <v>209</v>
      </c>
      <c r="M128" s="217" t="s">
        <v>255</v>
      </c>
      <c r="N128" s="167"/>
      <c r="O128" s="193" t="s">
        <v>252</v>
      </c>
      <c r="P128" s="38"/>
      <c r="Q128" s="213"/>
    </row>
    <row r="129" spans="2:17" ht="14.25" thickBot="1">
      <c r="B129" s="24" t="s">
        <v>294</v>
      </c>
      <c r="C129" s="168" t="s">
        <v>171</v>
      </c>
      <c r="D129" s="168" t="s">
        <v>171</v>
      </c>
      <c r="E129" s="168" t="s">
        <v>171</v>
      </c>
      <c r="F129" s="168" t="s">
        <v>171</v>
      </c>
      <c r="G129" s="168" t="s">
        <v>171</v>
      </c>
      <c r="H129" s="168" t="s">
        <v>171</v>
      </c>
      <c r="I129" s="168" t="s">
        <v>171</v>
      </c>
      <c r="J129" s="168" t="s">
        <v>171</v>
      </c>
      <c r="K129" s="206" t="s">
        <v>225</v>
      </c>
      <c r="L129" s="207" t="s">
        <v>209</v>
      </c>
      <c r="M129" s="218" t="s">
        <v>32</v>
      </c>
      <c r="N129" s="168"/>
      <c r="O129" s="194" t="s">
        <v>31</v>
      </c>
      <c r="P129" s="39"/>
      <c r="Q129" s="215"/>
    </row>
    <row r="139" spans="2:17" ht="15" thickBot="1">
      <c r="B139" s="28" t="s">
        <v>256</v>
      </c>
    </row>
    <row r="140" spans="2:17" ht="15" thickBot="1">
      <c r="B140" s="94" t="s">
        <v>159</v>
      </c>
      <c r="C140" s="313" t="s">
        <v>207</v>
      </c>
      <c r="D140" s="314"/>
      <c r="E140" s="314"/>
      <c r="F140" s="314"/>
      <c r="G140" s="314"/>
      <c r="H140" s="314"/>
      <c r="I140" s="314"/>
      <c r="J140" s="315"/>
      <c r="K140" s="169"/>
      <c r="L140" s="169"/>
      <c r="M140" s="172"/>
      <c r="N140" s="170"/>
      <c r="O140" s="170"/>
      <c r="P140" s="170"/>
      <c r="Q140" s="171"/>
    </row>
    <row r="141" spans="2:17">
      <c r="B141" s="67"/>
      <c r="C141" s="36" t="s">
        <v>161</v>
      </c>
      <c r="D141" s="36"/>
      <c r="E141" s="36"/>
      <c r="F141" s="36"/>
      <c r="G141" s="36"/>
      <c r="H141" s="36"/>
      <c r="I141" s="36"/>
      <c r="J141" s="36"/>
      <c r="K141" s="36"/>
      <c r="L141" s="36"/>
      <c r="M141" s="32" t="s">
        <v>151</v>
      </c>
      <c r="N141" s="40" t="s">
        <v>21</v>
      </c>
      <c r="O141" s="41"/>
      <c r="P141" s="41"/>
      <c r="Q141" s="42"/>
    </row>
    <row r="142" spans="2:17">
      <c r="B142" s="68" t="s">
        <v>22</v>
      </c>
      <c r="C142" s="316" t="s">
        <v>178</v>
      </c>
      <c r="D142" s="311"/>
      <c r="E142" s="311"/>
      <c r="F142" s="311"/>
      <c r="G142" s="311"/>
      <c r="H142" s="311"/>
      <c r="I142" s="311"/>
      <c r="J142" s="312"/>
      <c r="K142" s="200" t="s">
        <v>217</v>
      </c>
      <c r="L142" s="200" t="s">
        <v>217</v>
      </c>
      <c r="M142" s="33" t="s">
        <v>265</v>
      </c>
      <c r="N142" s="202" t="s">
        <v>23</v>
      </c>
      <c r="O142" s="190" t="s">
        <v>24</v>
      </c>
      <c r="P142" s="74" t="s">
        <v>25</v>
      </c>
      <c r="Q142" s="140" t="s">
        <v>26</v>
      </c>
    </row>
    <row r="143" spans="2:17">
      <c r="B143" s="68" t="s">
        <v>33</v>
      </c>
      <c r="C143" s="163" t="s">
        <v>125</v>
      </c>
      <c r="D143" s="163" t="s">
        <v>162</v>
      </c>
      <c r="E143" s="163" t="s">
        <v>125</v>
      </c>
      <c r="F143" s="163" t="s">
        <v>125</v>
      </c>
      <c r="G143" s="163" t="s">
        <v>125</v>
      </c>
      <c r="H143" s="163" t="s">
        <v>125</v>
      </c>
      <c r="I143" s="163" t="s">
        <v>125</v>
      </c>
      <c r="J143" s="163" t="s">
        <v>125</v>
      </c>
      <c r="K143" s="139" t="s">
        <v>216</v>
      </c>
      <c r="L143" s="139" t="s">
        <v>97</v>
      </c>
      <c r="M143" s="33" t="s">
        <v>48</v>
      </c>
      <c r="N143" s="203"/>
      <c r="O143" s="226"/>
      <c r="P143" s="75"/>
      <c r="Q143" s="211"/>
    </row>
    <row r="144" spans="2:17" ht="27">
      <c r="B144" s="69" t="s">
        <v>27</v>
      </c>
      <c r="C144" s="310" t="s">
        <v>163</v>
      </c>
      <c r="D144" s="311"/>
      <c r="E144" s="311"/>
      <c r="F144" s="311"/>
      <c r="G144" s="311"/>
      <c r="H144" s="311"/>
      <c r="I144" s="311"/>
      <c r="J144" s="312"/>
      <c r="K144" s="30" t="s">
        <v>251</v>
      </c>
      <c r="L144" s="30" t="s">
        <v>215</v>
      </c>
      <c r="M144" s="34"/>
      <c r="N144" s="203"/>
      <c r="O144" s="226"/>
      <c r="P144" s="75"/>
      <c r="Q144" s="211"/>
    </row>
    <row r="145" spans="2:17" ht="136.5">
      <c r="B145" s="68" t="s">
        <v>28</v>
      </c>
      <c r="C145" s="164" t="s">
        <v>164</v>
      </c>
      <c r="D145" s="164" t="s">
        <v>62</v>
      </c>
      <c r="E145" s="164" t="s">
        <v>165</v>
      </c>
      <c r="F145" s="164" t="s">
        <v>166</v>
      </c>
      <c r="G145" s="164" t="s">
        <v>167</v>
      </c>
      <c r="H145" s="164" t="s">
        <v>168</v>
      </c>
      <c r="I145" s="164" t="s">
        <v>169</v>
      </c>
      <c r="J145" s="164" t="s">
        <v>170</v>
      </c>
      <c r="K145" s="1" t="s">
        <v>281</v>
      </c>
      <c r="L145" s="230" t="s">
        <v>286</v>
      </c>
      <c r="M145" s="33" t="s">
        <v>29</v>
      </c>
      <c r="N145" s="203"/>
      <c r="O145" s="226"/>
      <c r="P145" s="75"/>
      <c r="Q145" s="140"/>
    </row>
    <row r="146" spans="2:17" ht="284.25" thickBot="1">
      <c r="B146" s="70" t="s">
        <v>30</v>
      </c>
      <c r="C146" s="165" t="s">
        <v>172</v>
      </c>
      <c r="D146" s="165" t="s">
        <v>125</v>
      </c>
      <c r="E146" s="165" t="s">
        <v>172</v>
      </c>
      <c r="F146" s="165" t="s">
        <v>172</v>
      </c>
      <c r="G146" s="165" t="s">
        <v>172</v>
      </c>
      <c r="H146" s="165" t="s">
        <v>172</v>
      </c>
      <c r="I146" s="165" t="s">
        <v>172</v>
      </c>
      <c r="J146" s="165" t="s">
        <v>172</v>
      </c>
      <c r="K146" s="29" t="s">
        <v>219</v>
      </c>
      <c r="L146" s="31" t="s">
        <v>258</v>
      </c>
      <c r="M146" s="35" t="s">
        <v>253</v>
      </c>
      <c r="N146" s="204"/>
      <c r="O146" s="191" t="s">
        <v>303</v>
      </c>
      <c r="P146" s="73"/>
      <c r="Q146" s="212"/>
    </row>
    <row r="147" spans="2:17" ht="14.25" thickTop="1">
      <c r="B147" s="71" t="s">
        <v>290</v>
      </c>
      <c r="C147" s="166" t="s">
        <v>171</v>
      </c>
      <c r="D147" s="166" t="s">
        <v>171</v>
      </c>
      <c r="E147" s="166" t="s">
        <v>171</v>
      </c>
      <c r="F147" s="166" t="s">
        <v>171</v>
      </c>
      <c r="G147" s="166" t="s">
        <v>171</v>
      </c>
      <c r="H147" s="166" t="s">
        <v>171</v>
      </c>
      <c r="I147" s="166" t="s">
        <v>171</v>
      </c>
      <c r="J147" s="166" t="s">
        <v>171</v>
      </c>
      <c r="K147" s="130" t="s">
        <v>213</v>
      </c>
      <c r="L147" s="205" t="s">
        <v>235</v>
      </c>
      <c r="M147" s="216" t="s">
        <v>128</v>
      </c>
      <c r="N147" s="166"/>
      <c r="O147" s="192" t="s">
        <v>31</v>
      </c>
      <c r="P147" s="37"/>
      <c r="Q147" s="213"/>
    </row>
    <row r="148" spans="2:17">
      <c r="B148" s="23" t="s">
        <v>300</v>
      </c>
      <c r="C148" s="167" t="s">
        <v>171</v>
      </c>
      <c r="D148" s="167" t="s">
        <v>171</v>
      </c>
      <c r="E148" s="167" t="s">
        <v>171</v>
      </c>
      <c r="F148" s="167" t="s">
        <v>171</v>
      </c>
      <c r="G148" s="167" t="s">
        <v>171</v>
      </c>
      <c r="H148" s="167" t="s">
        <v>171</v>
      </c>
      <c r="I148" s="167" t="s">
        <v>171</v>
      </c>
      <c r="J148" s="167" t="s">
        <v>171</v>
      </c>
      <c r="K148" s="58" t="s">
        <v>213</v>
      </c>
      <c r="L148" s="205" t="s">
        <v>237</v>
      </c>
      <c r="M148" s="217" t="s">
        <v>255</v>
      </c>
      <c r="N148" s="167"/>
      <c r="O148" s="193" t="s">
        <v>252</v>
      </c>
      <c r="P148" s="38"/>
      <c r="Q148" s="213"/>
    </row>
    <row r="149" spans="2:17">
      <c r="B149" s="23" t="s">
        <v>291</v>
      </c>
      <c r="C149" s="167" t="s">
        <v>171</v>
      </c>
      <c r="D149" s="167" t="s">
        <v>171</v>
      </c>
      <c r="E149" s="167" t="s">
        <v>171</v>
      </c>
      <c r="F149" s="167" t="s">
        <v>171</v>
      </c>
      <c r="G149" s="167" t="s">
        <v>171</v>
      </c>
      <c r="H149" s="167" t="s">
        <v>171</v>
      </c>
      <c r="I149" s="167" t="s">
        <v>171</v>
      </c>
      <c r="J149" s="167" t="s">
        <v>171</v>
      </c>
      <c r="K149" s="58" t="s">
        <v>221</v>
      </c>
      <c r="L149" s="205" t="s">
        <v>209</v>
      </c>
      <c r="M149" s="217" t="s">
        <v>32</v>
      </c>
      <c r="N149" s="167"/>
      <c r="O149" s="193" t="s">
        <v>31</v>
      </c>
      <c r="P149" s="38"/>
      <c r="Q149" s="214"/>
    </row>
    <row r="150" spans="2:17">
      <c r="B150" s="23" t="s">
        <v>292</v>
      </c>
      <c r="C150" s="167" t="s">
        <v>171</v>
      </c>
      <c r="D150" s="167" t="s">
        <v>171</v>
      </c>
      <c r="E150" s="167" t="s">
        <v>171</v>
      </c>
      <c r="F150" s="167" t="s">
        <v>171</v>
      </c>
      <c r="G150" s="167" t="s">
        <v>171</v>
      </c>
      <c r="H150" s="167" t="s">
        <v>171</v>
      </c>
      <c r="I150" s="167" t="s">
        <v>171</v>
      </c>
      <c r="J150" s="167" t="s">
        <v>171</v>
      </c>
      <c r="K150" s="58" t="s">
        <v>222</v>
      </c>
      <c r="L150" s="205" t="s">
        <v>209</v>
      </c>
      <c r="M150" s="217" t="s">
        <v>255</v>
      </c>
      <c r="N150" s="167"/>
      <c r="O150" s="193" t="s">
        <v>252</v>
      </c>
      <c r="P150" s="38"/>
      <c r="Q150" s="213"/>
    </row>
    <row r="151" spans="2:17">
      <c r="B151" s="23" t="s">
        <v>293</v>
      </c>
      <c r="C151" s="167" t="s">
        <v>171</v>
      </c>
      <c r="D151" s="167" t="s">
        <v>171</v>
      </c>
      <c r="E151" s="167" t="s">
        <v>171</v>
      </c>
      <c r="F151" s="167" t="s">
        <v>171</v>
      </c>
      <c r="G151" s="167" t="s">
        <v>171</v>
      </c>
      <c r="H151" s="167" t="s">
        <v>171</v>
      </c>
      <c r="I151" s="167" t="s">
        <v>171</v>
      </c>
      <c r="J151" s="167" t="s">
        <v>171</v>
      </c>
      <c r="K151" s="58" t="s">
        <v>223</v>
      </c>
      <c r="L151" s="205" t="s">
        <v>209</v>
      </c>
      <c r="M151" s="217" t="s">
        <v>255</v>
      </c>
      <c r="N151" s="167"/>
      <c r="O151" s="193" t="s">
        <v>252</v>
      </c>
      <c r="P151" s="38"/>
      <c r="Q151" s="213"/>
    </row>
    <row r="152" spans="2:17" ht="14.25" thickBot="1">
      <c r="B152" s="24" t="s">
        <v>294</v>
      </c>
      <c r="C152" s="168" t="s">
        <v>171</v>
      </c>
      <c r="D152" s="168" t="s">
        <v>171</v>
      </c>
      <c r="E152" s="168" t="s">
        <v>171</v>
      </c>
      <c r="F152" s="168" t="s">
        <v>171</v>
      </c>
      <c r="G152" s="168" t="s">
        <v>171</v>
      </c>
      <c r="H152" s="168" t="s">
        <v>171</v>
      </c>
      <c r="I152" s="168" t="s">
        <v>171</v>
      </c>
      <c r="J152" s="168" t="s">
        <v>171</v>
      </c>
      <c r="K152" s="206" t="s">
        <v>225</v>
      </c>
      <c r="L152" s="207" t="s">
        <v>209</v>
      </c>
      <c r="M152" s="218" t="s">
        <v>32</v>
      </c>
      <c r="N152" s="168"/>
      <c r="O152" s="194" t="s">
        <v>31</v>
      </c>
      <c r="P152" s="39"/>
      <c r="Q152" s="215"/>
    </row>
    <row r="162" spans="2:17" ht="16.899999999999999" customHeight="1" thickBot="1">
      <c r="B162" s="28" t="s">
        <v>271</v>
      </c>
    </row>
    <row r="163" spans="2:17" ht="15" thickBot="1">
      <c r="B163" s="94" t="s">
        <v>159</v>
      </c>
      <c r="C163" s="313" t="s">
        <v>207</v>
      </c>
      <c r="D163" s="314"/>
      <c r="E163" s="314"/>
      <c r="F163" s="314"/>
      <c r="G163" s="314"/>
      <c r="H163" s="314"/>
      <c r="I163" s="314"/>
      <c r="J163" s="315"/>
      <c r="K163" s="169"/>
      <c r="L163" s="169"/>
      <c r="M163" s="172"/>
      <c r="N163" s="170"/>
      <c r="O163" s="170"/>
      <c r="P163" s="170"/>
      <c r="Q163" s="171"/>
    </row>
    <row r="164" spans="2:17">
      <c r="B164" s="67"/>
      <c r="C164" s="36" t="s">
        <v>161</v>
      </c>
      <c r="D164" s="36"/>
      <c r="E164" s="36"/>
      <c r="F164" s="36"/>
      <c r="G164" s="36"/>
      <c r="H164" s="36"/>
      <c r="I164" s="36"/>
      <c r="J164" s="36"/>
      <c r="K164" s="36"/>
      <c r="L164" s="36"/>
      <c r="M164" s="32" t="s">
        <v>151</v>
      </c>
      <c r="N164" s="40" t="s">
        <v>21</v>
      </c>
      <c r="O164" s="41"/>
      <c r="P164" s="41"/>
      <c r="Q164" s="42"/>
    </row>
    <row r="165" spans="2:17" ht="16.149999999999999" customHeight="1">
      <c r="B165" s="68" t="s">
        <v>22</v>
      </c>
      <c r="C165" s="316" t="s">
        <v>178</v>
      </c>
      <c r="D165" s="311"/>
      <c r="E165" s="311"/>
      <c r="F165" s="311"/>
      <c r="G165" s="311"/>
      <c r="H165" s="311"/>
      <c r="I165" s="311"/>
      <c r="J165" s="312"/>
      <c r="K165" s="200" t="s">
        <v>217</v>
      </c>
      <c r="L165" s="200" t="s">
        <v>217</v>
      </c>
      <c r="M165" s="33" t="s">
        <v>266</v>
      </c>
      <c r="N165" s="202" t="s">
        <v>23</v>
      </c>
      <c r="O165" s="190" t="s">
        <v>24</v>
      </c>
      <c r="P165" s="74" t="s">
        <v>25</v>
      </c>
      <c r="Q165" s="140" t="s">
        <v>26</v>
      </c>
    </row>
    <row r="166" spans="2:17">
      <c r="B166" s="68" t="s">
        <v>33</v>
      </c>
      <c r="C166" s="163" t="s">
        <v>125</v>
      </c>
      <c r="D166" s="163" t="s">
        <v>162</v>
      </c>
      <c r="E166" s="163" t="s">
        <v>125</v>
      </c>
      <c r="F166" s="163" t="s">
        <v>125</v>
      </c>
      <c r="G166" s="163" t="s">
        <v>125</v>
      </c>
      <c r="H166" s="163" t="s">
        <v>125</v>
      </c>
      <c r="I166" s="163" t="s">
        <v>125</v>
      </c>
      <c r="J166" s="163" t="s">
        <v>125</v>
      </c>
      <c r="K166" s="139" t="s">
        <v>216</v>
      </c>
      <c r="L166" s="139" t="s">
        <v>97</v>
      </c>
      <c r="M166" s="33" t="s">
        <v>48</v>
      </c>
      <c r="N166" s="203"/>
      <c r="O166" s="226"/>
      <c r="P166" s="75"/>
      <c r="Q166" s="211"/>
    </row>
    <row r="167" spans="2:17" ht="27">
      <c r="B167" s="69" t="s">
        <v>27</v>
      </c>
      <c r="C167" s="310" t="s">
        <v>163</v>
      </c>
      <c r="D167" s="311"/>
      <c r="E167" s="311"/>
      <c r="F167" s="311"/>
      <c r="G167" s="311"/>
      <c r="H167" s="311"/>
      <c r="I167" s="311"/>
      <c r="J167" s="312"/>
      <c r="K167" s="30" t="s">
        <v>251</v>
      </c>
      <c r="L167" s="30" t="s">
        <v>215</v>
      </c>
      <c r="M167" s="34"/>
      <c r="N167" s="203"/>
      <c r="O167" s="226"/>
      <c r="P167" s="75"/>
      <c r="Q167" s="211"/>
    </row>
    <row r="168" spans="2:17" ht="136.5">
      <c r="B168" s="68" t="s">
        <v>28</v>
      </c>
      <c r="C168" s="164" t="s">
        <v>164</v>
      </c>
      <c r="D168" s="164" t="s">
        <v>62</v>
      </c>
      <c r="E168" s="164" t="s">
        <v>165</v>
      </c>
      <c r="F168" s="164" t="s">
        <v>166</v>
      </c>
      <c r="G168" s="164" t="s">
        <v>167</v>
      </c>
      <c r="H168" s="164" t="s">
        <v>168</v>
      </c>
      <c r="I168" s="164" t="s">
        <v>169</v>
      </c>
      <c r="J168" s="164" t="s">
        <v>170</v>
      </c>
      <c r="K168" s="1" t="s">
        <v>281</v>
      </c>
      <c r="L168" s="230" t="s">
        <v>287</v>
      </c>
      <c r="M168" s="33" t="s">
        <v>29</v>
      </c>
      <c r="N168" s="203"/>
      <c r="O168" s="226"/>
      <c r="P168" s="75"/>
      <c r="Q168" s="140"/>
    </row>
    <row r="169" spans="2:17" ht="216.75" thickBot="1">
      <c r="B169" s="70" t="s">
        <v>30</v>
      </c>
      <c r="C169" s="165" t="s">
        <v>172</v>
      </c>
      <c r="D169" s="165" t="s">
        <v>125</v>
      </c>
      <c r="E169" s="165" t="s">
        <v>172</v>
      </c>
      <c r="F169" s="165" t="s">
        <v>172</v>
      </c>
      <c r="G169" s="165" t="s">
        <v>172</v>
      </c>
      <c r="H169" s="165" t="s">
        <v>172</v>
      </c>
      <c r="I169" s="165" t="s">
        <v>172</v>
      </c>
      <c r="J169" s="165" t="s">
        <v>172</v>
      </c>
      <c r="K169" s="29" t="s">
        <v>219</v>
      </c>
      <c r="L169" s="31" t="s">
        <v>259</v>
      </c>
      <c r="M169" s="35" t="s">
        <v>253</v>
      </c>
      <c r="N169" s="204"/>
      <c r="O169" s="191" t="s">
        <v>274</v>
      </c>
      <c r="P169" s="73"/>
      <c r="Q169" s="212"/>
    </row>
    <row r="170" spans="2:17" ht="14.25" thickTop="1">
      <c r="B170" s="71" t="s">
        <v>290</v>
      </c>
      <c r="C170" s="166" t="s">
        <v>171</v>
      </c>
      <c r="D170" s="166" t="s">
        <v>171</v>
      </c>
      <c r="E170" s="166" t="s">
        <v>171</v>
      </c>
      <c r="F170" s="166" t="s">
        <v>171</v>
      </c>
      <c r="G170" s="166" t="s">
        <v>171</v>
      </c>
      <c r="H170" s="166" t="s">
        <v>171</v>
      </c>
      <c r="I170" s="166" t="s">
        <v>171</v>
      </c>
      <c r="J170" s="166" t="s">
        <v>171</v>
      </c>
      <c r="K170" s="130" t="s">
        <v>213</v>
      </c>
      <c r="L170" s="205" t="s">
        <v>235</v>
      </c>
      <c r="M170" s="216" t="s">
        <v>128</v>
      </c>
      <c r="N170" s="166"/>
      <c r="O170" s="192" t="s">
        <v>31</v>
      </c>
      <c r="P170" s="37"/>
      <c r="Q170" s="213"/>
    </row>
    <row r="171" spans="2:17">
      <c r="B171" s="23" t="s">
        <v>301</v>
      </c>
      <c r="C171" s="167" t="s">
        <v>171</v>
      </c>
      <c r="D171" s="167" t="s">
        <v>171</v>
      </c>
      <c r="E171" s="167" t="s">
        <v>171</v>
      </c>
      <c r="F171" s="167" t="s">
        <v>171</v>
      </c>
      <c r="G171" s="167" t="s">
        <v>171</v>
      </c>
      <c r="H171" s="167" t="s">
        <v>171</v>
      </c>
      <c r="I171" s="167" t="s">
        <v>171</v>
      </c>
      <c r="J171" s="167" t="s">
        <v>171</v>
      </c>
      <c r="K171" s="58" t="s">
        <v>213</v>
      </c>
      <c r="L171" s="205" t="s">
        <v>237</v>
      </c>
      <c r="M171" s="217" t="s">
        <v>255</v>
      </c>
      <c r="N171" s="167"/>
      <c r="O171" s="193" t="s">
        <v>252</v>
      </c>
      <c r="P171" s="38"/>
      <c r="Q171" s="213"/>
    </row>
    <row r="172" spans="2:17">
      <c r="B172" s="23" t="s">
        <v>291</v>
      </c>
      <c r="C172" s="167" t="s">
        <v>171</v>
      </c>
      <c r="D172" s="167" t="s">
        <v>171</v>
      </c>
      <c r="E172" s="167" t="s">
        <v>171</v>
      </c>
      <c r="F172" s="167" t="s">
        <v>171</v>
      </c>
      <c r="G172" s="167" t="s">
        <v>171</v>
      </c>
      <c r="H172" s="167" t="s">
        <v>171</v>
      </c>
      <c r="I172" s="167" t="s">
        <v>171</v>
      </c>
      <c r="J172" s="167" t="s">
        <v>171</v>
      </c>
      <c r="K172" s="58" t="s">
        <v>221</v>
      </c>
      <c r="L172" s="205" t="s">
        <v>209</v>
      </c>
      <c r="M172" s="217" t="s">
        <v>32</v>
      </c>
      <c r="N172" s="167"/>
      <c r="O172" s="193" t="s">
        <v>31</v>
      </c>
      <c r="P172" s="38"/>
      <c r="Q172" s="214"/>
    </row>
    <row r="173" spans="2:17">
      <c r="B173" s="23" t="s">
        <v>292</v>
      </c>
      <c r="C173" s="167" t="s">
        <v>171</v>
      </c>
      <c r="D173" s="167" t="s">
        <v>171</v>
      </c>
      <c r="E173" s="167" t="s">
        <v>171</v>
      </c>
      <c r="F173" s="167" t="s">
        <v>171</v>
      </c>
      <c r="G173" s="167" t="s">
        <v>171</v>
      </c>
      <c r="H173" s="167" t="s">
        <v>171</v>
      </c>
      <c r="I173" s="167" t="s">
        <v>171</v>
      </c>
      <c r="J173" s="167" t="s">
        <v>171</v>
      </c>
      <c r="K173" s="58" t="s">
        <v>222</v>
      </c>
      <c r="L173" s="205" t="s">
        <v>209</v>
      </c>
      <c r="M173" s="217" t="s">
        <v>255</v>
      </c>
      <c r="N173" s="167"/>
      <c r="O173" s="193" t="s">
        <v>252</v>
      </c>
      <c r="P173" s="38"/>
      <c r="Q173" s="213"/>
    </row>
    <row r="174" spans="2:17">
      <c r="B174" s="23" t="s">
        <v>293</v>
      </c>
      <c r="C174" s="167" t="s">
        <v>171</v>
      </c>
      <c r="D174" s="167" t="s">
        <v>171</v>
      </c>
      <c r="E174" s="167" t="s">
        <v>171</v>
      </c>
      <c r="F174" s="167" t="s">
        <v>171</v>
      </c>
      <c r="G174" s="167" t="s">
        <v>171</v>
      </c>
      <c r="H174" s="167" t="s">
        <v>171</v>
      </c>
      <c r="I174" s="167" t="s">
        <v>171</v>
      </c>
      <c r="J174" s="167" t="s">
        <v>171</v>
      </c>
      <c r="K174" s="58" t="s">
        <v>223</v>
      </c>
      <c r="L174" s="205" t="s">
        <v>209</v>
      </c>
      <c r="M174" s="217" t="s">
        <v>255</v>
      </c>
      <c r="N174" s="167"/>
      <c r="O174" s="193" t="s">
        <v>252</v>
      </c>
      <c r="P174" s="38"/>
      <c r="Q174" s="213"/>
    </row>
    <row r="175" spans="2:17" ht="14.25" thickBot="1">
      <c r="B175" s="24" t="s">
        <v>294</v>
      </c>
      <c r="C175" s="168" t="s">
        <v>171</v>
      </c>
      <c r="D175" s="168" t="s">
        <v>171</v>
      </c>
      <c r="E175" s="168" t="s">
        <v>171</v>
      </c>
      <c r="F175" s="168" t="s">
        <v>171</v>
      </c>
      <c r="G175" s="168" t="s">
        <v>171</v>
      </c>
      <c r="H175" s="168" t="s">
        <v>171</v>
      </c>
      <c r="I175" s="168" t="s">
        <v>171</v>
      </c>
      <c r="J175" s="168" t="s">
        <v>171</v>
      </c>
      <c r="K175" s="206" t="s">
        <v>225</v>
      </c>
      <c r="L175" s="207" t="s">
        <v>209</v>
      </c>
      <c r="M175" s="218" t="s">
        <v>32</v>
      </c>
      <c r="N175" s="168"/>
      <c r="O175" s="194" t="s">
        <v>31</v>
      </c>
      <c r="P175" s="39"/>
      <c r="Q175" s="215"/>
    </row>
    <row r="194" spans="2:17" ht="15" thickBot="1">
      <c r="B194" s="28" t="s">
        <v>275</v>
      </c>
    </row>
    <row r="195" spans="2:17" ht="15" thickBot="1">
      <c r="B195" s="94" t="s">
        <v>159</v>
      </c>
      <c r="C195" s="313" t="s">
        <v>207</v>
      </c>
      <c r="D195" s="314"/>
      <c r="E195" s="314"/>
      <c r="F195" s="314"/>
      <c r="G195" s="314"/>
      <c r="H195" s="314"/>
      <c r="I195" s="314"/>
      <c r="J195" s="315"/>
      <c r="K195" s="169"/>
      <c r="L195" s="169"/>
      <c r="M195" s="172"/>
      <c r="N195" s="170"/>
      <c r="O195" s="170"/>
      <c r="P195" s="170"/>
      <c r="Q195" s="171"/>
    </row>
    <row r="196" spans="2:17">
      <c r="B196" s="67"/>
      <c r="C196" s="36" t="s">
        <v>161</v>
      </c>
      <c r="D196" s="36"/>
      <c r="E196" s="36"/>
      <c r="F196" s="36"/>
      <c r="G196" s="36"/>
      <c r="H196" s="36"/>
      <c r="I196" s="36"/>
      <c r="J196" s="36"/>
      <c r="K196" s="36"/>
      <c r="L196" s="36"/>
      <c r="M196" s="32" t="s">
        <v>151</v>
      </c>
      <c r="N196" s="40" t="s">
        <v>21</v>
      </c>
      <c r="O196" s="41"/>
      <c r="P196" s="41"/>
      <c r="Q196" s="42"/>
    </row>
    <row r="197" spans="2:17">
      <c r="B197" s="68" t="s">
        <v>22</v>
      </c>
      <c r="C197" s="316" t="s">
        <v>178</v>
      </c>
      <c r="D197" s="311"/>
      <c r="E197" s="311"/>
      <c r="F197" s="311"/>
      <c r="G197" s="311"/>
      <c r="H197" s="311"/>
      <c r="I197" s="311"/>
      <c r="J197" s="312"/>
      <c r="K197" s="200" t="s">
        <v>217</v>
      </c>
      <c r="L197" s="200" t="s">
        <v>217</v>
      </c>
      <c r="M197" s="33" t="s">
        <v>262</v>
      </c>
      <c r="N197" s="202" t="s">
        <v>23</v>
      </c>
      <c r="O197" s="190" t="s">
        <v>24</v>
      </c>
      <c r="P197" s="74" t="s">
        <v>25</v>
      </c>
      <c r="Q197" s="140" t="s">
        <v>26</v>
      </c>
    </row>
    <row r="198" spans="2:17">
      <c r="B198" s="68" t="s">
        <v>33</v>
      </c>
      <c r="C198" s="163" t="s">
        <v>125</v>
      </c>
      <c r="D198" s="163" t="s">
        <v>162</v>
      </c>
      <c r="E198" s="163" t="s">
        <v>125</v>
      </c>
      <c r="F198" s="163" t="s">
        <v>125</v>
      </c>
      <c r="G198" s="163" t="s">
        <v>125</v>
      </c>
      <c r="H198" s="163" t="s">
        <v>125</v>
      </c>
      <c r="I198" s="163" t="s">
        <v>125</v>
      </c>
      <c r="J198" s="163" t="s">
        <v>125</v>
      </c>
      <c r="K198" s="139" t="s">
        <v>216</v>
      </c>
      <c r="L198" s="139" t="s">
        <v>97</v>
      </c>
      <c r="M198" s="33" t="s">
        <v>48</v>
      </c>
      <c r="N198" s="203"/>
      <c r="O198" s="226"/>
      <c r="P198" s="75"/>
      <c r="Q198" s="211"/>
    </row>
    <row r="199" spans="2:17" ht="27">
      <c r="B199" s="69" t="s">
        <v>27</v>
      </c>
      <c r="C199" s="310" t="s">
        <v>163</v>
      </c>
      <c r="D199" s="311"/>
      <c r="E199" s="311"/>
      <c r="F199" s="311"/>
      <c r="G199" s="311"/>
      <c r="H199" s="311"/>
      <c r="I199" s="311"/>
      <c r="J199" s="312"/>
      <c r="K199" s="30" t="s">
        <v>251</v>
      </c>
      <c r="L199" s="30" t="s">
        <v>215</v>
      </c>
      <c r="M199" s="34"/>
      <c r="N199" s="203"/>
      <c r="O199" s="226"/>
      <c r="P199" s="75"/>
      <c r="Q199" s="211"/>
    </row>
    <row r="200" spans="2:17" ht="136.5">
      <c r="B200" s="68" t="s">
        <v>28</v>
      </c>
      <c r="C200" s="164" t="s">
        <v>164</v>
      </c>
      <c r="D200" s="164" t="s">
        <v>62</v>
      </c>
      <c r="E200" s="164" t="s">
        <v>165</v>
      </c>
      <c r="F200" s="164" t="s">
        <v>166</v>
      </c>
      <c r="G200" s="164" t="s">
        <v>167</v>
      </c>
      <c r="H200" s="164" t="s">
        <v>168</v>
      </c>
      <c r="I200" s="164" t="s">
        <v>169</v>
      </c>
      <c r="J200" s="164" t="s">
        <v>170</v>
      </c>
      <c r="K200" s="1" t="s">
        <v>281</v>
      </c>
      <c r="L200" s="230" t="s">
        <v>286</v>
      </c>
      <c r="M200" s="33" t="s">
        <v>29</v>
      </c>
      <c r="N200" s="203"/>
      <c r="O200" s="226"/>
      <c r="P200" s="75"/>
      <c r="Q200" s="140"/>
    </row>
    <row r="201" spans="2:17" ht="81.75" thickBot="1">
      <c r="B201" s="70" t="s">
        <v>30</v>
      </c>
      <c r="C201" s="165" t="s">
        <v>172</v>
      </c>
      <c r="D201" s="165" t="s">
        <v>125</v>
      </c>
      <c r="E201" s="165" t="s">
        <v>172</v>
      </c>
      <c r="F201" s="165" t="s">
        <v>172</v>
      </c>
      <c r="G201" s="165" t="s">
        <v>172</v>
      </c>
      <c r="H201" s="165" t="s">
        <v>172</v>
      </c>
      <c r="I201" s="165" t="s">
        <v>172</v>
      </c>
      <c r="J201" s="165" t="s">
        <v>172</v>
      </c>
      <c r="K201" s="29" t="s">
        <v>219</v>
      </c>
      <c r="L201" s="31" t="s">
        <v>258</v>
      </c>
      <c r="M201" s="35" t="s">
        <v>273</v>
      </c>
      <c r="N201" s="204"/>
      <c r="O201" s="191" t="s">
        <v>276</v>
      </c>
      <c r="P201" s="73"/>
      <c r="Q201" s="212"/>
    </row>
    <row r="202" spans="2:17" ht="14.25" thickTop="1">
      <c r="B202" s="71" t="s">
        <v>244</v>
      </c>
      <c r="C202" s="166" t="s">
        <v>171</v>
      </c>
      <c r="D202" s="166" t="s">
        <v>171</v>
      </c>
      <c r="E202" s="166" t="s">
        <v>171</v>
      </c>
      <c r="F202" s="166" t="s">
        <v>171</v>
      </c>
      <c r="G202" s="166" t="s">
        <v>171</v>
      </c>
      <c r="H202" s="166" t="s">
        <v>171</v>
      </c>
      <c r="I202" s="166" t="s">
        <v>171</v>
      </c>
      <c r="J202" s="166" t="s">
        <v>171</v>
      </c>
      <c r="K202" s="130" t="s">
        <v>213</v>
      </c>
      <c r="L202" s="205" t="s">
        <v>235</v>
      </c>
      <c r="M202" s="216" t="s">
        <v>32</v>
      </c>
      <c r="N202" s="166"/>
      <c r="O202" s="192" t="s">
        <v>31</v>
      </c>
      <c r="P202" s="37"/>
      <c r="Q202" s="213"/>
    </row>
    <row r="203" spans="2:17">
      <c r="B203" s="23" t="s">
        <v>245</v>
      </c>
      <c r="C203" s="167" t="s">
        <v>171</v>
      </c>
      <c r="D203" s="167" t="s">
        <v>171</v>
      </c>
      <c r="E203" s="167" t="s">
        <v>171</v>
      </c>
      <c r="F203" s="167" t="s">
        <v>171</v>
      </c>
      <c r="G203" s="167" t="s">
        <v>171</v>
      </c>
      <c r="H203" s="167" t="s">
        <v>171</v>
      </c>
      <c r="I203" s="167" t="s">
        <v>171</v>
      </c>
      <c r="J203" s="167" t="s">
        <v>171</v>
      </c>
      <c r="K203" s="58" t="s">
        <v>213</v>
      </c>
      <c r="L203" s="205" t="s">
        <v>237</v>
      </c>
      <c r="M203" s="217" t="s">
        <v>254</v>
      </c>
      <c r="N203" s="167"/>
      <c r="O203" s="193" t="s">
        <v>272</v>
      </c>
      <c r="P203" s="38"/>
      <c r="Q203" s="213"/>
    </row>
    <row r="204" spans="2:17">
      <c r="B204" s="23" t="s">
        <v>228</v>
      </c>
      <c r="C204" s="167" t="s">
        <v>171</v>
      </c>
      <c r="D204" s="167" t="s">
        <v>171</v>
      </c>
      <c r="E204" s="167" t="s">
        <v>171</v>
      </c>
      <c r="F204" s="167" t="s">
        <v>171</v>
      </c>
      <c r="G204" s="167" t="s">
        <v>171</v>
      </c>
      <c r="H204" s="167" t="s">
        <v>171</v>
      </c>
      <c r="I204" s="167" t="s">
        <v>171</v>
      </c>
      <c r="J204" s="167" t="s">
        <v>171</v>
      </c>
      <c r="K204" s="58" t="s">
        <v>221</v>
      </c>
      <c r="L204" s="205" t="s">
        <v>209</v>
      </c>
      <c r="M204" s="217" t="s">
        <v>32</v>
      </c>
      <c r="N204" s="167"/>
      <c r="O204" s="193" t="s">
        <v>31</v>
      </c>
      <c r="P204" s="38"/>
      <c r="Q204" s="214"/>
    </row>
    <row r="205" spans="2:17">
      <c r="B205" s="23" t="s">
        <v>229</v>
      </c>
      <c r="C205" s="167" t="s">
        <v>171</v>
      </c>
      <c r="D205" s="167" t="s">
        <v>171</v>
      </c>
      <c r="E205" s="167" t="s">
        <v>171</v>
      </c>
      <c r="F205" s="167" t="s">
        <v>171</v>
      </c>
      <c r="G205" s="167" t="s">
        <v>171</v>
      </c>
      <c r="H205" s="167" t="s">
        <v>171</v>
      </c>
      <c r="I205" s="167" t="s">
        <v>171</v>
      </c>
      <c r="J205" s="167" t="s">
        <v>171</v>
      </c>
      <c r="K205" s="58" t="s">
        <v>222</v>
      </c>
      <c r="L205" s="205" t="s">
        <v>209</v>
      </c>
      <c r="M205" s="217" t="s">
        <v>32</v>
      </c>
      <c r="N205" s="167"/>
      <c r="O205" s="193" t="s">
        <v>31</v>
      </c>
      <c r="P205" s="38"/>
      <c r="Q205" s="213"/>
    </row>
    <row r="206" spans="2:17">
      <c r="B206" s="23" t="s">
        <v>230</v>
      </c>
      <c r="C206" s="167" t="s">
        <v>171</v>
      </c>
      <c r="D206" s="167" t="s">
        <v>171</v>
      </c>
      <c r="E206" s="167" t="s">
        <v>171</v>
      </c>
      <c r="F206" s="167" t="s">
        <v>171</v>
      </c>
      <c r="G206" s="167" t="s">
        <v>171</v>
      </c>
      <c r="H206" s="167" t="s">
        <v>171</v>
      </c>
      <c r="I206" s="167" t="s">
        <v>171</v>
      </c>
      <c r="J206" s="167" t="s">
        <v>171</v>
      </c>
      <c r="K206" s="58" t="s">
        <v>223</v>
      </c>
      <c r="L206" s="205" t="s">
        <v>209</v>
      </c>
      <c r="M206" s="217" t="s">
        <v>32</v>
      </c>
      <c r="N206" s="167"/>
      <c r="O206" s="193" t="s">
        <v>31</v>
      </c>
      <c r="P206" s="38"/>
      <c r="Q206" s="213"/>
    </row>
    <row r="207" spans="2:17" ht="14.25" thickBot="1">
      <c r="B207" s="24" t="s">
        <v>210</v>
      </c>
      <c r="C207" s="168" t="s">
        <v>171</v>
      </c>
      <c r="D207" s="168" t="s">
        <v>171</v>
      </c>
      <c r="E207" s="168" t="s">
        <v>171</v>
      </c>
      <c r="F207" s="168" t="s">
        <v>171</v>
      </c>
      <c r="G207" s="168" t="s">
        <v>171</v>
      </c>
      <c r="H207" s="168" t="s">
        <v>171</v>
      </c>
      <c r="I207" s="168" t="s">
        <v>171</v>
      </c>
      <c r="J207" s="168" t="s">
        <v>171</v>
      </c>
      <c r="K207" s="206" t="s">
        <v>225</v>
      </c>
      <c r="L207" s="207" t="s">
        <v>209</v>
      </c>
      <c r="M207" s="218" t="s">
        <v>32</v>
      </c>
      <c r="N207" s="168"/>
      <c r="O207" s="194" t="s">
        <v>31</v>
      </c>
      <c r="P207" s="39"/>
      <c r="Q207" s="215"/>
    </row>
    <row r="226" spans="2:17" ht="15" thickBot="1">
      <c r="B226" s="28" t="s">
        <v>260</v>
      </c>
    </row>
    <row r="227" spans="2:17" ht="15" thickBot="1">
      <c r="B227" s="94" t="s">
        <v>159</v>
      </c>
      <c r="C227" s="313" t="s">
        <v>207</v>
      </c>
      <c r="D227" s="314"/>
      <c r="E227" s="314"/>
      <c r="F227" s="314"/>
      <c r="G227" s="314"/>
      <c r="H227" s="314"/>
      <c r="I227" s="314"/>
      <c r="J227" s="315"/>
      <c r="K227" s="169"/>
      <c r="L227" s="169"/>
      <c r="M227" s="172"/>
      <c r="N227" s="170"/>
      <c r="O227" s="170"/>
      <c r="P227" s="170"/>
      <c r="Q227" s="171"/>
    </row>
    <row r="228" spans="2:17">
      <c r="B228" s="67"/>
      <c r="C228" s="36" t="s">
        <v>161</v>
      </c>
      <c r="D228" s="36"/>
      <c r="E228" s="36"/>
      <c r="F228" s="36"/>
      <c r="G228" s="36"/>
      <c r="H228" s="36"/>
      <c r="I228" s="36"/>
      <c r="J228" s="36"/>
      <c r="K228" s="36"/>
      <c r="L228" s="36"/>
      <c r="M228" s="32" t="s">
        <v>151</v>
      </c>
      <c r="N228" s="40" t="s">
        <v>21</v>
      </c>
      <c r="O228" s="41"/>
      <c r="P228" s="41"/>
      <c r="Q228" s="42"/>
    </row>
    <row r="229" spans="2:17">
      <c r="B229" s="68" t="s">
        <v>22</v>
      </c>
      <c r="C229" s="316" t="s">
        <v>178</v>
      </c>
      <c r="D229" s="311"/>
      <c r="E229" s="311"/>
      <c r="F229" s="311"/>
      <c r="G229" s="311"/>
      <c r="H229" s="311"/>
      <c r="I229" s="311"/>
      <c r="J229" s="312"/>
      <c r="K229" s="200" t="s">
        <v>217</v>
      </c>
      <c r="L229" s="200" t="s">
        <v>217</v>
      </c>
      <c r="M229" s="33" t="s">
        <v>263</v>
      </c>
      <c r="N229" s="202" t="s">
        <v>23</v>
      </c>
      <c r="O229" s="190" t="s">
        <v>24</v>
      </c>
      <c r="P229" s="74" t="s">
        <v>25</v>
      </c>
      <c r="Q229" s="140" t="s">
        <v>26</v>
      </c>
    </row>
    <row r="230" spans="2:17">
      <c r="B230" s="68" t="s">
        <v>33</v>
      </c>
      <c r="C230" s="163" t="s">
        <v>125</v>
      </c>
      <c r="D230" s="163" t="s">
        <v>162</v>
      </c>
      <c r="E230" s="163" t="s">
        <v>125</v>
      </c>
      <c r="F230" s="163" t="s">
        <v>125</v>
      </c>
      <c r="G230" s="163" t="s">
        <v>125</v>
      </c>
      <c r="H230" s="163" t="s">
        <v>125</v>
      </c>
      <c r="I230" s="163" t="s">
        <v>125</v>
      </c>
      <c r="J230" s="163" t="s">
        <v>125</v>
      </c>
      <c r="K230" s="139" t="s">
        <v>216</v>
      </c>
      <c r="L230" s="139" t="s">
        <v>97</v>
      </c>
      <c r="M230" s="33" t="s">
        <v>48</v>
      </c>
      <c r="N230" s="203"/>
      <c r="O230" s="226"/>
      <c r="P230" s="75"/>
      <c r="Q230" s="211"/>
    </row>
    <row r="231" spans="2:17" ht="27">
      <c r="B231" s="69" t="s">
        <v>27</v>
      </c>
      <c r="C231" s="310" t="s">
        <v>163</v>
      </c>
      <c r="D231" s="311"/>
      <c r="E231" s="311"/>
      <c r="F231" s="311"/>
      <c r="G231" s="311"/>
      <c r="H231" s="311"/>
      <c r="I231" s="311"/>
      <c r="J231" s="312"/>
      <c r="K231" s="30" t="s">
        <v>251</v>
      </c>
      <c r="L231" s="30" t="s">
        <v>215</v>
      </c>
      <c r="M231" s="34"/>
      <c r="N231" s="203"/>
      <c r="O231" s="226"/>
      <c r="P231" s="75"/>
      <c r="Q231" s="211"/>
    </row>
    <row r="232" spans="2:17" ht="136.5">
      <c r="B232" s="68" t="s">
        <v>28</v>
      </c>
      <c r="C232" s="164" t="s">
        <v>164</v>
      </c>
      <c r="D232" s="164" t="s">
        <v>62</v>
      </c>
      <c r="E232" s="164" t="s">
        <v>165</v>
      </c>
      <c r="F232" s="164" t="s">
        <v>166</v>
      </c>
      <c r="G232" s="164" t="s">
        <v>167</v>
      </c>
      <c r="H232" s="164" t="s">
        <v>168</v>
      </c>
      <c r="I232" s="164" t="s">
        <v>169</v>
      </c>
      <c r="J232" s="164" t="s">
        <v>170</v>
      </c>
      <c r="K232" s="1" t="s">
        <v>281</v>
      </c>
      <c r="L232" s="230" t="s">
        <v>288</v>
      </c>
      <c r="M232" s="33" t="s">
        <v>29</v>
      </c>
      <c r="N232" s="203"/>
      <c r="O232" s="226"/>
      <c r="P232" s="75"/>
      <c r="Q232" s="140"/>
    </row>
    <row r="233" spans="2:17" ht="81.75" thickBot="1">
      <c r="B233" s="70" t="s">
        <v>30</v>
      </c>
      <c r="C233" s="165" t="s">
        <v>172</v>
      </c>
      <c r="D233" s="165" t="s">
        <v>125</v>
      </c>
      <c r="E233" s="165" t="s">
        <v>172</v>
      </c>
      <c r="F233" s="165" t="s">
        <v>172</v>
      </c>
      <c r="G233" s="165" t="s">
        <v>172</v>
      </c>
      <c r="H233" s="165" t="s">
        <v>172</v>
      </c>
      <c r="I233" s="165" t="s">
        <v>172</v>
      </c>
      <c r="J233" s="165" t="s">
        <v>172</v>
      </c>
      <c r="K233" s="29" t="s">
        <v>219</v>
      </c>
      <c r="L233" s="31" t="s">
        <v>261</v>
      </c>
      <c r="M233" s="35" t="s">
        <v>253</v>
      </c>
      <c r="N233" s="204"/>
      <c r="O233" s="191" t="s">
        <v>269</v>
      </c>
      <c r="P233" s="73"/>
      <c r="Q233" s="212"/>
    </row>
    <row r="234" spans="2:17" ht="14.25" thickTop="1">
      <c r="B234" s="71" t="s">
        <v>290</v>
      </c>
      <c r="C234" s="166" t="s">
        <v>171</v>
      </c>
      <c r="D234" s="166" t="s">
        <v>171</v>
      </c>
      <c r="E234" s="166" t="s">
        <v>171</v>
      </c>
      <c r="F234" s="166" t="s">
        <v>171</v>
      </c>
      <c r="G234" s="166" t="s">
        <v>171</v>
      </c>
      <c r="H234" s="166" t="s">
        <v>171</v>
      </c>
      <c r="I234" s="166" t="s">
        <v>171</v>
      </c>
      <c r="J234" s="166" t="s">
        <v>171</v>
      </c>
      <c r="K234" s="130" t="s">
        <v>213</v>
      </c>
      <c r="L234" s="205" t="s">
        <v>235</v>
      </c>
      <c r="M234" s="216" t="s">
        <v>32</v>
      </c>
      <c r="N234" s="166"/>
      <c r="O234" s="192" t="s">
        <v>31</v>
      </c>
      <c r="P234" s="37"/>
      <c r="Q234" s="213"/>
    </row>
    <row r="235" spans="2:17">
      <c r="B235" s="23" t="s">
        <v>302</v>
      </c>
      <c r="C235" s="167" t="s">
        <v>171</v>
      </c>
      <c r="D235" s="167" t="s">
        <v>171</v>
      </c>
      <c r="E235" s="167" t="s">
        <v>171</v>
      </c>
      <c r="F235" s="167" t="s">
        <v>171</v>
      </c>
      <c r="G235" s="167" t="s">
        <v>171</v>
      </c>
      <c r="H235" s="167" t="s">
        <v>171</v>
      </c>
      <c r="I235" s="167" t="s">
        <v>171</v>
      </c>
      <c r="J235" s="167" t="s">
        <v>171</v>
      </c>
      <c r="K235" s="58" t="s">
        <v>213</v>
      </c>
      <c r="L235" s="205" t="s">
        <v>237</v>
      </c>
      <c r="M235" s="217" t="s">
        <v>254</v>
      </c>
      <c r="N235" s="167"/>
      <c r="O235" s="193" t="s">
        <v>272</v>
      </c>
      <c r="P235" s="38"/>
      <c r="Q235" s="213"/>
    </row>
    <row r="236" spans="2:17">
      <c r="B236" s="23" t="s">
        <v>291</v>
      </c>
      <c r="C236" s="167" t="s">
        <v>171</v>
      </c>
      <c r="D236" s="167" t="s">
        <v>171</v>
      </c>
      <c r="E236" s="167" t="s">
        <v>171</v>
      </c>
      <c r="F236" s="167" t="s">
        <v>171</v>
      </c>
      <c r="G236" s="167" t="s">
        <v>171</v>
      </c>
      <c r="H236" s="167" t="s">
        <v>171</v>
      </c>
      <c r="I236" s="167" t="s">
        <v>171</v>
      </c>
      <c r="J236" s="167" t="s">
        <v>171</v>
      </c>
      <c r="K236" s="58" t="s">
        <v>221</v>
      </c>
      <c r="L236" s="205" t="s">
        <v>209</v>
      </c>
      <c r="M236" s="217" t="s">
        <v>32</v>
      </c>
      <c r="N236" s="167"/>
      <c r="O236" s="193" t="s">
        <v>31</v>
      </c>
      <c r="P236" s="38"/>
      <c r="Q236" s="214"/>
    </row>
    <row r="237" spans="2:17">
      <c r="B237" s="23" t="s">
        <v>292</v>
      </c>
      <c r="C237" s="167" t="s">
        <v>171</v>
      </c>
      <c r="D237" s="167" t="s">
        <v>171</v>
      </c>
      <c r="E237" s="167" t="s">
        <v>171</v>
      </c>
      <c r="F237" s="167" t="s">
        <v>171</v>
      </c>
      <c r="G237" s="167" t="s">
        <v>171</v>
      </c>
      <c r="H237" s="167" t="s">
        <v>171</v>
      </c>
      <c r="I237" s="167" t="s">
        <v>171</v>
      </c>
      <c r="J237" s="167" t="s">
        <v>171</v>
      </c>
      <c r="K237" s="58" t="s">
        <v>222</v>
      </c>
      <c r="L237" s="205" t="s">
        <v>209</v>
      </c>
      <c r="M237" s="217" t="s">
        <v>254</v>
      </c>
      <c r="N237" s="167"/>
      <c r="O237" s="193" t="s">
        <v>272</v>
      </c>
      <c r="P237" s="38"/>
      <c r="Q237" s="213"/>
    </row>
    <row r="238" spans="2:17">
      <c r="B238" s="23" t="s">
        <v>293</v>
      </c>
      <c r="C238" s="167" t="s">
        <v>171</v>
      </c>
      <c r="D238" s="167" t="s">
        <v>171</v>
      </c>
      <c r="E238" s="167" t="s">
        <v>171</v>
      </c>
      <c r="F238" s="167" t="s">
        <v>171</v>
      </c>
      <c r="G238" s="167" t="s">
        <v>171</v>
      </c>
      <c r="H238" s="167" t="s">
        <v>171</v>
      </c>
      <c r="I238" s="167" t="s">
        <v>171</v>
      </c>
      <c r="J238" s="167" t="s">
        <v>171</v>
      </c>
      <c r="K238" s="58" t="s">
        <v>223</v>
      </c>
      <c r="L238" s="205" t="s">
        <v>209</v>
      </c>
      <c r="M238" s="217" t="s">
        <v>254</v>
      </c>
      <c r="N238" s="167"/>
      <c r="O238" s="193" t="s">
        <v>272</v>
      </c>
      <c r="P238" s="38"/>
      <c r="Q238" s="213"/>
    </row>
    <row r="239" spans="2:17" ht="14.25" thickBot="1">
      <c r="B239" s="24" t="s">
        <v>294</v>
      </c>
      <c r="C239" s="168" t="s">
        <v>171</v>
      </c>
      <c r="D239" s="168" t="s">
        <v>171</v>
      </c>
      <c r="E239" s="168" t="s">
        <v>171</v>
      </c>
      <c r="F239" s="168" t="s">
        <v>171</v>
      </c>
      <c r="G239" s="168" t="s">
        <v>171</v>
      </c>
      <c r="H239" s="168" t="s">
        <v>171</v>
      </c>
      <c r="I239" s="168" t="s">
        <v>171</v>
      </c>
      <c r="J239" s="168" t="s">
        <v>171</v>
      </c>
      <c r="K239" s="206" t="s">
        <v>225</v>
      </c>
      <c r="L239" s="207" t="s">
        <v>209</v>
      </c>
      <c r="M239" s="218" t="s">
        <v>32</v>
      </c>
      <c r="N239" s="168"/>
      <c r="O239" s="194" t="s">
        <v>31</v>
      </c>
      <c r="P239" s="39"/>
      <c r="Q239" s="215"/>
    </row>
  </sheetData>
  <mergeCells count="24">
    <mergeCell ref="C47:J47"/>
    <mergeCell ref="C3:J3"/>
    <mergeCell ref="C5:J5"/>
    <mergeCell ref="C7:J7"/>
    <mergeCell ref="C43:J43"/>
    <mergeCell ref="C45:J45"/>
    <mergeCell ref="C167:J167"/>
    <mergeCell ref="C72:J72"/>
    <mergeCell ref="C74:J74"/>
    <mergeCell ref="C76:J76"/>
    <mergeCell ref="C117:J117"/>
    <mergeCell ref="C119:J119"/>
    <mergeCell ref="C121:J121"/>
    <mergeCell ref="C140:J140"/>
    <mergeCell ref="C142:J142"/>
    <mergeCell ref="C144:J144"/>
    <mergeCell ref="C163:J163"/>
    <mergeCell ref="C165:J165"/>
    <mergeCell ref="C231:J231"/>
    <mergeCell ref="C195:J195"/>
    <mergeCell ref="C197:J197"/>
    <mergeCell ref="C199:J199"/>
    <mergeCell ref="C227:J227"/>
    <mergeCell ref="C229:J229"/>
  </mergeCells>
  <phoneticPr fontId="2"/>
  <dataValidations disablePrompts="1" count="1">
    <dataValidation type="list" allowBlank="1" showInputMessage="1" showErrorMessage="1" sqref="C3 C43 C72 C117 C140 C163 C195 C227" xr:uid="{00000000-0002-0000-0C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2" t="s">
        <v>82</v>
      </c>
      <c r="C2" s="83">
        <f>MAX(B4:B28)</f>
        <v>20</v>
      </c>
      <c r="D2" s="83"/>
    </row>
    <row r="3" spans="2:4" ht="14.25" thickBot="1">
      <c r="B3" s="76" t="s">
        <v>82</v>
      </c>
      <c r="C3" s="84" t="s">
        <v>86</v>
      </c>
      <c r="D3" s="77" t="s">
        <v>83</v>
      </c>
    </row>
    <row r="4" spans="2:4" ht="14.25" thickTop="1">
      <c r="B4" s="13">
        <v>0</v>
      </c>
      <c r="C4" s="85" t="s">
        <v>87</v>
      </c>
      <c r="D4" s="15" t="s">
        <v>20</v>
      </c>
    </row>
    <row r="5" spans="2:4" ht="40.5">
      <c r="B5" s="2">
        <v>1</v>
      </c>
      <c r="C5" s="86" t="s">
        <v>87</v>
      </c>
      <c r="D5" s="88" t="s">
        <v>88</v>
      </c>
    </row>
    <row r="6" spans="2:4" ht="27">
      <c r="B6" s="2">
        <v>2</v>
      </c>
      <c r="C6" s="86" t="s">
        <v>90</v>
      </c>
      <c r="D6" s="88" t="s">
        <v>91</v>
      </c>
    </row>
    <row r="7" spans="2:4" ht="54">
      <c r="B7" s="2">
        <v>3</v>
      </c>
      <c r="C7" s="86" t="s">
        <v>87</v>
      </c>
      <c r="D7" s="88" t="s">
        <v>94</v>
      </c>
    </row>
    <row r="8" spans="2:4" ht="81">
      <c r="B8" s="2">
        <v>4</v>
      </c>
      <c r="C8" s="86" t="s">
        <v>102</v>
      </c>
      <c r="D8" s="88" t="s">
        <v>108</v>
      </c>
    </row>
    <row r="9" spans="2:4" ht="41.25" customHeight="1">
      <c r="B9" s="2">
        <v>5</v>
      </c>
      <c r="C9" s="86" t="s">
        <v>103</v>
      </c>
      <c r="D9" s="88" t="s">
        <v>104</v>
      </c>
    </row>
    <row r="10" spans="2:4" ht="27">
      <c r="B10" s="2">
        <v>6</v>
      </c>
      <c r="C10" s="86" t="s">
        <v>87</v>
      </c>
      <c r="D10" s="88" t="s">
        <v>107</v>
      </c>
    </row>
    <row r="11" spans="2:4" ht="27">
      <c r="B11" s="2">
        <v>7</v>
      </c>
      <c r="C11" s="86" t="s">
        <v>102</v>
      </c>
      <c r="D11" s="88" t="s">
        <v>106</v>
      </c>
    </row>
    <row r="12" spans="2:4" ht="27">
      <c r="B12" s="2">
        <v>8</v>
      </c>
      <c r="C12" s="86" t="s">
        <v>87</v>
      </c>
      <c r="D12" s="88" t="s">
        <v>109</v>
      </c>
    </row>
    <row r="13" spans="2:4" ht="27">
      <c r="B13" s="2">
        <v>9</v>
      </c>
      <c r="C13" s="86" t="s">
        <v>87</v>
      </c>
      <c r="D13" s="88" t="s">
        <v>110</v>
      </c>
    </row>
    <row r="14" spans="2:4" ht="27">
      <c r="B14" s="2">
        <v>10</v>
      </c>
      <c r="C14" s="86" t="s">
        <v>111</v>
      </c>
      <c r="D14" s="88" t="s">
        <v>112</v>
      </c>
    </row>
    <row r="15" spans="2:4" ht="135">
      <c r="B15" s="2">
        <v>11</v>
      </c>
      <c r="C15" s="86" t="s">
        <v>87</v>
      </c>
      <c r="D15" s="88" t="s">
        <v>127</v>
      </c>
    </row>
    <row r="16" spans="2:4" ht="191.25" customHeight="1">
      <c r="B16" s="2">
        <v>12</v>
      </c>
      <c r="C16" s="86" t="s">
        <v>157</v>
      </c>
      <c r="D16" s="88" t="s">
        <v>176</v>
      </c>
    </row>
    <row r="17" spans="2:4" ht="27">
      <c r="B17" s="2">
        <v>13</v>
      </c>
      <c r="C17" s="86" t="s">
        <v>90</v>
      </c>
      <c r="D17" s="88" t="s">
        <v>179</v>
      </c>
    </row>
    <row r="18" spans="2:4" ht="67.5">
      <c r="B18" s="2">
        <v>14</v>
      </c>
      <c r="C18" s="86" t="s">
        <v>90</v>
      </c>
      <c r="D18" s="88" t="s">
        <v>181</v>
      </c>
    </row>
    <row r="19" spans="2:4" ht="40.5">
      <c r="B19" s="2">
        <v>15</v>
      </c>
      <c r="C19" s="86" t="s">
        <v>103</v>
      </c>
      <c r="D19" s="88" t="s">
        <v>185</v>
      </c>
    </row>
    <row r="20" spans="2:4" ht="64.5" customHeight="1">
      <c r="B20" s="2">
        <v>16</v>
      </c>
      <c r="C20" s="86" t="s">
        <v>103</v>
      </c>
      <c r="D20" s="88" t="s">
        <v>189</v>
      </c>
    </row>
    <row r="21" spans="2:4" ht="66.75" customHeight="1">
      <c r="B21" s="2">
        <v>17</v>
      </c>
      <c r="C21" s="86" t="s">
        <v>102</v>
      </c>
      <c r="D21" s="88" t="s">
        <v>204</v>
      </c>
    </row>
    <row r="22" spans="2:4" ht="27">
      <c r="B22" s="2">
        <v>18</v>
      </c>
      <c r="C22" s="86" t="s">
        <v>278</v>
      </c>
      <c r="D22" s="88" t="s">
        <v>279</v>
      </c>
    </row>
    <row r="23" spans="2:4" ht="27">
      <c r="B23" s="2">
        <v>19</v>
      </c>
      <c r="C23" s="86" t="s">
        <v>278</v>
      </c>
      <c r="D23" s="88" t="s">
        <v>280</v>
      </c>
    </row>
    <row r="24" spans="2:4" ht="94.5">
      <c r="B24" s="2">
        <v>20</v>
      </c>
      <c r="C24" s="86" t="s">
        <v>308</v>
      </c>
      <c r="D24" s="88" t="s">
        <v>309</v>
      </c>
    </row>
    <row r="25" spans="2:4">
      <c r="B25" s="2"/>
      <c r="C25" s="86"/>
      <c r="D25" s="72"/>
    </row>
    <row r="26" spans="2:4">
      <c r="B26" s="2"/>
      <c r="C26" s="86"/>
      <c r="D26" s="72"/>
    </row>
    <row r="27" spans="2:4" ht="14.25" thickBot="1">
      <c r="B27" s="4"/>
      <c r="C27" s="8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S_PSSDI_RWRN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2024-04-08T01:13:41Z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bd36f62b-b352-49ed-b57e-ae3a05defbfd</vt:lpwstr>
  </property>
  <property fmtid="{D5CDD505-2E9C-101B-9397-08002B2CF9AE}" pid="8" name="MSIP_Label_6add209e-37c4-4e15-ab1b-f9befe71def1_ContentBits">
    <vt:lpwstr>0</vt:lpwstr>
  </property>
</Properties>
</file>