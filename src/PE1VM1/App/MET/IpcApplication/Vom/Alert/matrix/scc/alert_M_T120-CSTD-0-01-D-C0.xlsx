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2\00_CV\10_設計\ファイル名変更\scc\"/>
    </mc:Choice>
  </mc:AlternateContent>
  <bookViews>
    <workbookView xWindow="0" yWindow="0" windowWidth="16785" windowHeight="10995"/>
  </bookViews>
  <sheets>
    <sheet name="表紙" sheetId="1" r:id="rId1"/>
    <sheet name="はじめに" sheetId="10" r:id="rId2"/>
    <sheet name="Matrix" sheetId="4" r:id="rId3"/>
    <sheet name="Config_IF" sheetId="11" r:id="rId4"/>
    <sheet name="CH_Design" sheetId="5" r:id="rId5"/>
    <sheet name="M_T120" sheetId="8" r:id="rId6"/>
    <sheet name="Reference" sheetId="12" r:id="rId7"/>
    <sheet name="History" sheetId="7" r:id="rId8"/>
  </sheets>
  <calcPr calcId="162913"/>
</workbook>
</file>

<file path=xl/calcChain.xml><?xml version="1.0" encoding="utf-8"?>
<calcChain xmlns="http://schemas.openxmlformats.org/spreadsheetml/2006/main">
  <c r="AU11" i="8" l="1"/>
  <c r="AU10" i="8"/>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O189" i="8"/>
  <c r="AM121" i="8"/>
  <c r="AN122" i="8"/>
  <c r="AQ164" i="8"/>
  <c r="AS34" i="8" s="1"/>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Q104" i="8" s="1"/>
  <c r="AR39" i="8" s="1"/>
  <c r="AM117" i="8"/>
  <c r="AN127" i="8"/>
  <c r="AL127" i="8"/>
  <c r="AM159" i="8"/>
  <c r="AN78" i="8"/>
  <c r="C92" i="8"/>
  <c r="AM104" i="8"/>
  <c r="AO192" i="8"/>
  <c r="AO127" i="8"/>
  <c r="AQ127" i="8" s="1"/>
  <c r="AR62" i="8" s="1"/>
  <c r="AM127" i="8"/>
  <c r="AO87" i="8"/>
  <c r="AO99" i="8"/>
  <c r="AO173" i="8"/>
  <c r="AO95" i="8"/>
  <c r="AQ95" i="8" s="1"/>
  <c r="AR30" i="8" s="1"/>
  <c r="AM95" i="8"/>
  <c r="AM113" i="8"/>
  <c r="AO141" i="8"/>
  <c r="AN172" i="8"/>
  <c r="AL78" i="8"/>
  <c r="AO156" i="8"/>
  <c r="AN156" i="8"/>
  <c r="AM156" i="8"/>
  <c r="AN77" i="8"/>
  <c r="AM77" i="8"/>
  <c r="AO121" i="8"/>
  <c r="AO122" i="8"/>
  <c r="AM122" i="8"/>
  <c r="AN164" i="8"/>
  <c r="AO171" i="8"/>
  <c r="AM171" i="8"/>
  <c r="AN90" i="8"/>
  <c r="AL90" i="8"/>
  <c r="AM97" i="8"/>
  <c r="AN106" i="8"/>
  <c r="AO117" i="8"/>
  <c r="AQ117" i="8" s="1"/>
  <c r="AR52" i="8" s="1"/>
  <c r="AN117" i="8"/>
  <c r="AL117" i="8"/>
  <c r="AL122" i="8"/>
  <c r="AM136" i="8"/>
  <c r="AO137" i="8"/>
  <c r="AN137" i="8"/>
  <c r="AM137" i="8"/>
  <c r="AN72" i="8"/>
  <c r="AO96" i="8"/>
  <c r="AN96" i="8"/>
  <c r="AM96" i="8"/>
  <c r="AL96" i="8"/>
  <c r="AO107" i="8"/>
  <c r="AO115" i="8"/>
  <c r="C118" i="8"/>
  <c r="AO148" i="8"/>
  <c r="AN148" i="8"/>
  <c r="AM148" i="8"/>
  <c r="AO178" i="8"/>
  <c r="AQ178" i="8" s="1"/>
  <c r="AS48" i="8" s="1"/>
  <c r="AN178" i="8"/>
  <c r="AM178" i="8"/>
  <c r="AL178" i="8"/>
  <c r="AO197" i="8"/>
  <c r="AN197" i="8"/>
  <c r="AM197" i="8"/>
  <c r="AL197" i="8"/>
  <c r="AM155" i="8"/>
  <c r="AN161" i="8"/>
  <c r="AL161" i="8"/>
  <c r="AQ161" i="8" s="1"/>
  <c r="AS31" i="8" s="1"/>
  <c r="AN82" i="8"/>
  <c r="AO113" i="8"/>
  <c r="AO114" i="8"/>
  <c r="AQ114" i="8" s="1"/>
  <c r="AR49" i="8" s="1"/>
  <c r="AN114" i="8"/>
  <c r="AM114" i="8"/>
  <c r="AO126" i="8"/>
  <c r="AQ126" i="8" s="1"/>
  <c r="AR61" i="8" s="1"/>
  <c r="AO132" i="8"/>
  <c r="AM132" i="8"/>
  <c r="AO181" i="8"/>
  <c r="AO149" i="8"/>
  <c r="AL156" i="8"/>
  <c r="AO161" i="8"/>
  <c r="AM161" i="8"/>
  <c r="AO174" i="8"/>
  <c r="AQ174" i="8" s="1"/>
  <c r="AS44" i="8" s="1"/>
  <c r="AN174" i="8"/>
  <c r="AM174" i="8"/>
  <c r="AO82" i="8"/>
  <c r="AM82" i="8"/>
  <c r="AL82" i="8"/>
  <c r="AN98" i="8"/>
  <c r="AL77" i="8"/>
  <c r="AN81" i="8"/>
  <c r="AO123" i="8"/>
  <c r="AM125" i="8"/>
  <c r="AN140" i="8"/>
  <c r="AM187" i="8"/>
  <c r="AN188" i="8"/>
  <c r="AO184" i="8"/>
  <c r="AL184" i="8"/>
  <c r="AQ184" i="8" s="1"/>
  <c r="AS54" i="8" s="1"/>
  <c r="AO79" i="8"/>
  <c r="AN79" i="8"/>
  <c r="AM79" i="8"/>
  <c r="AL79" i="8"/>
  <c r="AL83" i="8"/>
  <c r="AN87" i="8"/>
  <c r="AO91" i="8"/>
  <c r="AQ91" i="8" s="1"/>
  <c r="AR26" i="8" s="1"/>
  <c r="AN97" i="8"/>
  <c r="AL97" i="8"/>
  <c r="AO105" i="8"/>
  <c r="AM105" i="8"/>
  <c r="AL106" i="8"/>
  <c r="AM109" i="8"/>
  <c r="AO110" i="8"/>
  <c r="AL114" i="8"/>
  <c r="AM118" i="8"/>
  <c r="AL118" i="8"/>
  <c r="AN132" i="8"/>
  <c r="AL132" i="8"/>
  <c r="AQ132" i="8" s="1"/>
  <c r="AR67" i="8" s="1"/>
  <c r="AO139" i="8"/>
  <c r="AN139" i="8"/>
  <c r="AL139" i="8"/>
  <c r="AM147" i="8"/>
  <c r="AL148" i="8"/>
  <c r="AQ148" i="8" s="1"/>
  <c r="AM151" i="8"/>
  <c r="AO162" i="8"/>
  <c r="AN162" i="8"/>
  <c r="AM162" i="8"/>
  <c r="AL162" i="8"/>
  <c r="AL166" i="8"/>
  <c r="AN189" i="8"/>
  <c r="AM189" i="8"/>
  <c r="AL189" i="8"/>
  <c r="AN192" i="8"/>
  <c r="AQ192" i="8" s="1"/>
  <c r="AS62" i="8" s="1"/>
  <c r="AM192" i="8"/>
  <c r="AO193" i="8"/>
  <c r="AQ193" i="8" s="1"/>
  <c r="AS63" i="8" s="1"/>
  <c r="AN193" i="8"/>
  <c r="AM193" i="8"/>
  <c r="AL193" i="8"/>
  <c r="AN196" i="8"/>
  <c r="AO81" i="8"/>
  <c r="AO84" i="8"/>
  <c r="AN84" i="8"/>
  <c r="AM84" i="8"/>
  <c r="AL84" i="8"/>
  <c r="AN92" i="8"/>
  <c r="AL92" i="8"/>
  <c r="AO102" i="8"/>
  <c r="AM110" i="8"/>
  <c r="AL110" i="8"/>
  <c r="AO119" i="8"/>
  <c r="AN119" i="8"/>
  <c r="AM119" i="8"/>
  <c r="AL119" i="8"/>
  <c r="AO128" i="8"/>
  <c r="AQ128" i="8" s="1"/>
  <c r="AR63" i="8" s="1"/>
  <c r="AN128" i="8"/>
  <c r="AM128" i="8"/>
  <c r="AL128" i="8"/>
  <c r="AO144" i="8"/>
  <c r="AO153" i="8"/>
  <c r="AN153" i="8"/>
  <c r="AM153" i="8"/>
  <c r="AL153" i="8"/>
  <c r="AO163" i="8"/>
  <c r="AN163" i="8"/>
  <c r="AL163" i="8"/>
  <c r="AO167" i="8"/>
  <c r="AQ167" i="8" s="1"/>
  <c r="AS37" i="8" s="1"/>
  <c r="AN167" i="8"/>
  <c r="AL167" i="8"/>
  <c r="AN184" i="8"/>
  <c r="AM184" i="8"/>
  <c r="AO185" i="8"/>
  <c r="AN185" i="8"/>
  <c r="AM185" i="8"/>
  <c r="AL185" i="8"/>
  <c r="AN194" i="8"/>
  <c r="AM194" i="8"/>
  <c r="AN171" i="8"/>
  <c r="AL174" i="8"/>
  <c r="AO74" i="8"/>
  <c r="AN73" i="8"/>
  <c r="AL75" i="8"/>
  <c r="AO98" i="8"/>
  <c r="AL98" i="8"/>
  <c r="AQ98" i="8" s="1"/>
  <c r="AM101" i="8"/>
  <c r="AM102" i="8"/>
  <c r="AL102" i="8"/>
  <c r="AO111" i="8"/>
  <c r="AM111" i="8"/>
  <c r="AM143" i="8"/>
  <c r="AM144" i="8"/>
  <c r="AM149" i="8"/>
  <c r="AO165" i="8"/>
  <c r="AO172" i="8"/>
  <c r="AL172" i="8"/>
  <c r="AQ172" i="8" s="1"/>
  <c r="AS42" i="8" s="1"/>
  <c r="AN181" i="8"/>
  <c r="AL181" i="8"/>
  <c r="AQ181" i="8" s="1"/>
  <c r="AS51" i="8" s="1"/>
  <c r="AM186" i="8"/>
  <c r="AL194" i="8"/>
  <c r="AN80" i="8"/>
  <c r="C81" i="8"/>
  <c r="AM85" i="8"/>
  <c r="AL85" i="8"/>
  <c r="AQ85" i="8" s="1"/>
  <c r="AR20" i="8" s="1"/>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Q177" i="8" s="1"/>
  <c r="AS47" i="8" s="1"/>
  <c r="AO186" i="8"/>
  <c r="AL186" i="8"/>
  <c r="AL171" i="8"/>
  <c r="AO73" i="8"/>
  <c r="AN85" i="8"/>
  <c r="AM93" i="8"/>
  <c r="AN107" i="8"/>
  <c r="AM107" i="8"/>
  <c r="AL107" i="8"/>
  <c r="AN111" i="8"/>
  <c r="AL111" i="8"/>
  <c r="AQ111" i="8" s="1"/>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Q125" i="8" s="1"/>
  <c r="AO129" i="8"/>
  <c r="AQ129" i="8" s="1"/>
  <c r="AR64" i="8" s="1"/>
  <c r="AM129" i="8"/>
  <c r="AL130" i="8"/>
  <c r="AN141" i="8"/>
  <c r="AM141" i="8"/>
  <c r="AL141" i="8"/>
  <c r="AN144" i="8"/>
  <c r="AO157" i="8"/>
  <c r="AL164" i="8"/>
  <c r="AO169" i="8"/>
  <c r="AQ169" i="8" s="1"/>
  <c r="AS39" i="8" s="1"/>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O160" i="8"/>
  <c r="C134" i="8"/>
  <c r="AM160" i="8"/>
  <c r="AL160" i="8"/>
  <c r="AO168" i="8"/>
  <c r="AO175" i="8"/>
  <c r="AN175" i="8"/>
  <c r="AO190" i="8"/>
  <c r="AN190" i="8"/>
  <c r="AM190" i="8"/>
  <c r="AL190" i="8"/>
  <c r="AO100" i="8"/>
  <c r="AQ100" i="8" s="1"/>
  <c r="AR35" i="8" s="1"/>
  <c r="AM100" i="8"/>
  <c r="AN110" i="8"/>
  <c r="AN115" i="8"/>
  <c r="AM115" i="8"/>
  <c r="AL115" i="8"/>
  <c r="AM126" i="8"/>
  <c r="AL126" i="8"/>
  <c r="AM133" i="8"/>
  <c r="AO134" i="8"/>
  <c r="AO142" i="8"/>
  <c r="AN142" i="8"/>
  <c r="AM142" i="8"/>
  <c r="AN152" i="8"/>
  <c r="AN157" i="8"/>
  <c r="AQ157" i="8" s="1"/>
  <c r="AS27" i="8" s="1"/>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Q183" i="8" s="1"/>
  <c r="AS53" i="8" s="1"/>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Q116" i="8" s="1"/>
  <c r="AR51" i="8" s="1"/>
  <c r="AM116" i="8"/>
  <c r="AN126" i="8"/>
  <c r="AN131" i="8"/>
  <c r="AM131" i="8"/>
  <c r="AL131" i="8"/>
  <c r="AO143" i="8"/>
  <c r="AN143" i="8"/>
  <c r="AL143" i="8"/>
  <c r="AQ143" i="8" s="1"/>
  <c r="AO147" i="8"/>
  <c r="AN147" i="8"/>
  <c r="AL147" i="8"/>
  <c r="AL150" i="8"/>
  <c r="AO158" i="8"/>
  <c r="AQ158" i="8" s="1"/>
  <c r="AS28" i="8" s="1"/>
  <c r="AN158" i="8"/>
  <c r="AM158" i="8"/>
  <c r="AN168" i="8"/>
  <c r="AO180" i="8"/>
  <c r="AM180" i="8"/>
  <c r="AO191" i="8"/>
  <c r="AQ191" i="8" s="1"/>
  <c r="AS61" i="8" s="1"/>
  <c r="AN191" i="8"/>
  <c r="AM191" i="8"/>
  <c r="AL191" i="8"/>
  <c r="AO195" i="8"/>
  <c r="AN195" i="8"/>
  <c r="AL195" i="8"/>
  <c r="AQ195" i="8" s="1"/>
  <c r="AS65" i="8" s="1"/>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L158" i="8"/>
  <c r="AO166" i="8"/>
  <c r="AN166" i="8"/>
  <c r="AM166" i="8"/>
  <c r="AN173" i="8"/>
  <c r="AM173" i="8"/>
  <c r="AL173" i="8"/>
  <c r="AQ173" i="8" s="1"/>
  <c r="AS43" i="8" s="1"/>
  <c r="AM176" i="8"/>
  <c r="AL180" i="8"/>
  <c r="AQ180" i="8" s="1"/>
  <c r="AS50" i="8" s="1"/>
  <c r="AO188" i="8"/>
  <c r="AM188" i="8"/>
  <c r="AL188" i="8"/>
  <c r="AQ188" i="8" s="1"/>
  <c r="AS58" i="8" s="1"/>
  <c r="AO199" i="8"/>
  <c r="AN199" i="8"/>
  <c r="AM199" i="8"/>
  <c r="AL199" i="8"/>
  <c r="AQ92" i="8" l="1"/>
  <c r="AR27" i="8" s="1"/>
  <c r="AQ90" i="8"/>
  <c r="AR25" i="8" s="1"/>
  <c r="AQ113" i="8"/>
  <c r="AR48" i="8" s="1"/>
  <c r="AQ134" i="8"/>
  <c r="AQ190" i="8"/>
  <c r="AS60" i="8" s="1"/>
  <c r="AQ107" i="8"/>
  <c r="AR42" i="8" s="1"/>
  <c r="AQ75" i="8"/>
  <c r="AQ78" i="8"/>
  <c r="AR13" i="8" s="1"/>
  <c r="AQ179" i="8"/>
  <c r="AS49" i="8" s="1"/>
  <c r="AQ101" i="8"/>
  <c r="AR36" i="8" s="1"/>
  <c r="AQ145" i="8"/>
  <c r="AQ151" i="8"/>
  <c r="AS21" i="8" s="1"/>
  <c r="AQ131" i="8"/>
  <c r="AR66" i="8" s="1"/>
  <c r="AQ176" i="8"/>
  <c r="AS46" i="8" s="1"/>
  <c r="AQ133" i="8"/>
  <c r="AR68" i="8" s="1"/>
  <c r="AQ187" i="8"/>
  <c r="AS57" i="8" s="1"/>
  <c r="AQ121" i="8"/>
  <c r="AR56" i="8" s="1"/>
  <c r="AQ84" i="8"/>
  <c r="AR19" i="8" s="1"/>
  <c r="AQ189" i="8"/>
  <c r="AS59" i="8" s="1"/>
  <c r="AQ97" i="8"/>
  <c r="AR32" i="8" s="1"/>
  <c r="AQ103" i="8"/>
  <c r="AR38" i="8" s="1"/>
  <c r="AQ109" i="8"/>
  <c r="AR44" i="8" s="1"/>
  <c r="AQ93" i="8"/>
  <c r="AR28" i="8" s="1"/>
  <c r="AQ123" i="8"/>
  <c r="AR58" i="8" s="1"/>
  <c r="AQ86" i="8"/>
  <c r="AR21" i="8" s="1"/>
  <c r="AQ149" i="8"/>
  <c r="AS19" i="8" s="1"/>
  <c r="AQ170" i="8"/>
  <c r="AS40" i="8" s="1"/>
  <c r="AQ112" i="8"/>
  <c r="AQ165" i="8"/>
  <c r="AS35" i="8" s="1"/>
  <c r="AQ175" i="8"/>
  <c r="AS45" i="8" s="1"/>
  <c r="AQ88" i="8"/>
  <c r="AR23" i="8" s="1"/>
  <c r="AQ141" i="8"/>
  <c r="AQ159" i="8"/>
  <c r="AS29" i="8" s="1"/>
  <c r="AQ163" i="8"/>
  <c r="AS33" i="8" s="1"/>
  <c r="AQ119" i="8"/>
  <c r="AR54" i="8" s="1"/>
  <c r="AQ166" i="8"/>
  <c r="AS36" i="8" s="1"/>
  <c r="AQ156" i="8"/>
  <c r="AS26" i="8" s="1"/>
  <c r="AQ146" i="8"/>
  <c r="AQ168" i="8"/>
  <c r="AS38" i="8" s="1"/>
  <c r="AQ140" i="8"/>
  <c r="AQ124" i="8"/>
  <c r="AR59" i="8" s="1"/>
  <c r="AQ162" i="8"/>
  <c r="AS32" i="8" s="1"/>
  <c r="AQ118" i="8"/>
  <c r="AR53" i="8" s="1"/>
  <c r="AQ83" i="8"/>
  <c r="AQ122" i="8"/>
  <c r="AR57" i="8" s="1"/>
  <c r="AQ106" i="8"/>
  <c r="AR41" i="8" s="1"/>
  <c r="AQ152" i="8"/>
  <c r="AQ199" i="8"/>
  <c r="AS70" i="8" s="1"/>
  <c r="AQ150" i="8"/>
  <c r="AS20" i="8" s="1"/>
  <c r="AQ115" i="8"/>
  <c r="AR50" i="8" s="1"/>
  <c r="AQ171" i="8"/>
  <c r="AS41" i="8" s="1"/>
  <c r="AQ77" i="8"/>
  <c r="AQ197" i="8"/>
  <c r="AQ147" i="8"/>
  <c r="AS17" i="8" s="1"/>
  <c r="AQ108" i="8"/>
  <c r="AR43" i="8" s="1"/>
  <c r="AQ198" i="8"/>
  <c r="AS68" i="8" s="1"/>
  <c r="AQ160" i="8"/>
  <c r="AS30" i="8" s="1"/>
  <c r="AQ80" i="8"/>
  <c r="AQ87" i="8"/>
  <c r="AR22" i="8" s="1"/>
  <c r="AQ130" i="8"/>
  <c r="AR65" i="8" s="1"/>
  <c r="AQ186" i="8"/>
  <c r="AS56" i="8" s="1"/>
  <c r="AQ154" i="8"/>
  <c r="AQ120" i="8"/>
  <c r="AR55" i="8" s="1"/>
  <c r="AQ194" i="8"/>
  <c r="AS64" i="8" s="1"/>
  <c r="AQ102" i="8"/>
  <c r="AR37" i="8" s="1"/>
  <c r="AQ185" i="8"/>
  <c r="AS55" i="8" s="1"/>
  <c r="AQ153" i="8"/>
  <c r="AS23" i="8" s="1"/>
  <c r="AQ196" i="8"/>
  <c r="AQ182" i="8"/>
  <c r="AS52" i="8" s="1"/>
  <c r="AQ94" i="8"/>
  <c r="AR29" i="8" s="1"/>
  <c r="AQ105" i="8"/>
  <c r="AR40" i="8" s="1"/>
  <c r="AQ99" i="8"/>
  <c r="AR34" i="8" s="1"/>
  <c r="AQ76" i="8"/>
  <c r="AR11" i="8" s="1"/>
  <c r="AQ110" i="8"/>
  <c r="AR45" i="8" s="1"/>
  <c r="AQ82" i="8"/>
  <c r="AQ96" i="8"/>
  <c r="AR31" i="8" s="1"/>
  <c r="AR70" i="8"/>
  <c r="AR69" i="8"/>
  <c r="AS25" i="8"/>
  <c r="AS24" i="8"/>
  <c r="AS67" i="8"/>
  <c r="AS66" i="8"/>
  <c r="AR60" i="8"/>
  <c r="AR47" i="8"/>
  <c r="AR46" i="8"/>
  <c r="AR33" i="8"/>
  <c r="AS13" i="8"/>
  <c r="AR12" i="8"/>
  <c r="AS11" i="8"/>
  <c r="AQ74" i="8"/>
  <c r="AQ139" i="8"/>
  <c r="AS9" i="8" s="1"/>
  <c r="AQ138" i="8"/>
  <c r="AQ73" i="8"/>
  <c r="AR17" i="8"/>
  <c r="AR16" i="8"/>
  <c r="AR18" i="8"/>
  <c r="AS16" i="8"/>
  <c r="AS18" i="8"/>
  <c r="AS22" i="8"/>
  <c r="AQ79" i="8"/>
  <c r="AR14" i="8" s="1"/>
  <c r="AQ144" i="8"/>
  <c r="AS14" i="8" s="1"/>
  <c r="AQ137" i="8"/>
  <c r="AQ72" i="8"/>
  <c r="AQ71" i="8"/>
  <c r="AR6" i="8" s="1"/>
  <c r="AQ136" i="8"/>
  <c r="AS6" i="8" s="1"/>
  <c r="B136" i="8"/>
  <c r="B71" i="8"/>
  <c r="D7" i="4"/>
  <c r="M13" i="4"/>
  <c r="N13" i="4" s="1"/>
  <c r="AS69" i="8" l="1"/>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9"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1" authorId="0" shapeId="0">
      <text>
        <r>
          <rPr>
            <b/>
            <sz val="9"/>
            <color indexed="81"/>
            <rFont val="MS P ゴシック"/>
            <family val="3"/>
            <charset val="128"/>
          </rPr>
          <t>u1_g_VehspdKmphBiased()の戻り値
#define VEHSPD_STSBIT_VALID      (0x00U)
#define VEHSPD_STSBIT_UNKNOWN    (0x01U)
#define VEHSPD_STSBIT_INVALID    (0x02U)
#define VEHSPD_STSBIT_EMSTOP     (0x04U)</t>
        </r>
      </text>
    </comment>
    <comment ref="C12" authorId="1" shapeId="0">
      <text>
        <r>
          <rPr>
            <b/>
            <sz val="9"/>
            <color indexed="81"/>
            <rFont val="MS P ゴシック"/>
            <family val="3"/>
            <charset val="128"/>
          </rPr>
          <t xml:space="preserve">リモート送信条件成立：IG ON 且つ PTS ONが15[s]以上
</t>
        </r>
      </text>
    </comment>
    <comment ref="E12" authorId="1" shapeId="0">
      <text>
        <r>
          <rPr>
            <b/>
            <sz val="9"/>
            <color indexed="81"/>
            <rFont val="MS P ゴシック"/>
            <family val="3"/>
            <charset val="128"/>
          </rPr>
          <t xml:space="preserve">IG ON 且つ ST OFF
</t>
        </r>
      </text>
    </comment>
    <comment ref="F12" authorId="1" shapeId="0">
      <text>
        <r>
          <rPr>
            <b/>
            <sz val="9"/>
            <color indexed="81"/>
            <rFont val="MS P ゴシック"/>
            <family val="3"/>
            <charset val="128"/>
          </rPr>
          <t>IG ON</t>
        </r>
      </text>
    </comment>
    <comment ref="G12" authorId="1" shapeId="0">
      <text>
        <r>
          <rPr>
            <b/>
            <sz val="9"/>
            <color indexed="81"/>
            <rFont val="MS P ゴシック"/>
            <family val="3"/>
            <charset val="128"/>
          </rPr>
          <t xml:space="preserve">IG OFF 且つ IG OFF後25[m]未満
</t>
        </r>
      </text>
    </comment>
    <comment ref="H12" authorId="1" shapeId="0">
      <text>
        <r>
          <rPr>
            <b/>
            <sz val="9"/>
            <color indexed="81"/>
            <rFont val="MS P ゴシック"/>
            <family val="3"/>
            <charset val="128"/>
          </rPr>
          <t xml:space="preserve">IG OFF
</t>
        </r>
      </text>
    </comment>
    <comment ref="I12" authorId="1" shapeId="0">
      <text>
        <r>
          <rPr>
            <b/>
            <sz val="9"/>
            <color indexed="81"/>
            <rFont val="MS P ゴシック"/>
            <family val="3"/>
            <charset val="128"/>
          </rPr>
          <t xml:space="preserve">IG ON 又は IG OFF後25[m]未満
</t>
        </r>
      </text>
    </comment>
    <comment ref="J12"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<sst xmlns="http://schemas.openxmlformats.org/spreadsheetml/2006/main" count="2409" uniqueCount="334">
  <si>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</si>
  <si>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</si>
  <si>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</si>
  <si>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</si>
  <si>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</si>
  <si>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</si>
  <si>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</si>
  <si>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</si>
  <si>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</si>
  <si>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</si>
  <si>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</si>
  <si>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</si>
  <si>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</si>
  <si>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</si>
  <si>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</si>
  <si>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</si>
  <si>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</si>
  <si>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</si>
  <si>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</si>
  <si>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</si>
  <si>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</si>
  <si>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</si>
  <si>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</si>
  <si>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</si>
  <si>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</si>
  <si>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</si>
  <si>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</si>
  <si>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</si>
  <si>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</si>
  <si>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</si>
  <si>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</si>
  <si>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</si>
  <si>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</si>
  <si>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</si>
  <si>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</si>
  <si>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</si>
  <si>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</si>
  <si>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</si>
  <si>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</si>
  <si>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</si>
  <si>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</si>
  <si>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</si>
  <si>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</si>
  <si>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</si>
  <si>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</si>
  <si>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</si>
  <si>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</si>
  <si>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</si>
  <si>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</si>
  <si>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</si>
  <si>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</si>
  <si>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</si>
  <si>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</si>
  <si>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</si>
  <si>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</si>
  <si>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</si>
  <si>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</si>
  <si>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</si>
  <si>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</si>
  <si>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</si>
  <si>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</si>
  <si>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</si>
  <si>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</si>
  <si>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</si>
  <si>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</si>
  <si>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</si>
  <si>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</si>
  <si>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</si>
  <si>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</si>
  <si>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</si>
  <si>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</si>
  <si>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</si>
  <si>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</si>
  <si>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</si>
  <si>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</si>
  <si>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</si>
  <si>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</si>
  <si>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</si>
  <si>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</si>
  <si>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</si>
  <si>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</si>
  <si>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</si>
  <si>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</si>
  <si>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</si>
  <si>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</si>
  <si>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</si>
  <si>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</si>
  <si>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</si>
  <si>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</si>
  <si>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</si>
  <si>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</si>
  <si>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</si>
  <si>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</si>
  <si>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</si>
  <si>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</si>
  <si>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</si>
  <si>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</si>
  <si>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</si>
  <si>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</si>
  <si>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</si>
  <si>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</si>
  <si>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</si>
  <si>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</si>
  <si>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</si>
  <si>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</si>
  <si>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</si>
  <si>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</si>
  <si>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</si>
  <si>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</si>
  <si>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</si>
  <si>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</si>
  <si>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</si>
  <si>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</si>
  <si>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</si>
  <si>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</si>
  <si>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</si>
  <si>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</si>
  <si>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</si>
  <si>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</si>
  <si>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</si>
  <si>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</si>
  <si>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</si>
  <si>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</si>
  <si>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</si>
  <si>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</si>
  <si>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</si>
  <si>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</si>
  <si>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</si>
  <si>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</si>
  <si>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</si>
  <si>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</si>
  <si>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</si>
  <si>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</si>
  <si>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</si>
  <si>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</si>
  <si>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</si>
  <si>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</si>
  <si>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</si>
  <si>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</si>
  <si>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</si>
  <si>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</si>
  <si>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</si>
  <si>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</si>
  <si>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</si>
  <si>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</si>
  <si>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</si>
  <si>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</si>
  <si>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</si>
  <si>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</si>
  <si>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</si>
  <si>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</si>
  <si>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</si>
  <si>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</si>
  <si>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</si>
  <si>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</si>
  <si>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</si>
  <si>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</si>
  <si>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</si>
  <si>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</si>
  <si>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</si>
  <si>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</si>
  <si>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</si>
  <si>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</si>
  <si>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</si>
  <si>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</si>
  <si>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</si>
  <si>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</si>
  <si>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</si>
  <si>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</si>
  <si>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</si>
  <si>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</si>
  <si>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</si>
  <si>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</si>
  <si>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</si>
  <si>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</si>
  <si>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</si>
  <si>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</si>
  <si>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</si>
  <si>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</si>
  <si>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</si>
  <si>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</si>
  <si>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</si>
  <si>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</si>
  <si>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</si>
  <si>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</si>
  <si>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</si>
  <si>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</si>
  <si>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</si>
  <si>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</si>
  <si>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</si>
  <si>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</si>
  <si>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</si>
  <si>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</si>
  <si>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</si>
  <si>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</si>
  <si>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t>
    <phoneticPr fontId="2"/>
  </si>
  <si>
    <t>5.5.0</t>
    <phoneticPr fontId="2"/>
  </si>
  <si>
    <t>https://aip01.dndev.net/bitbucket/scm/aip_tp/tmcapp_ict1_alert.git</t>
    <phoneticPr fontId="2"/>
  </si>
  <si>
    <t>－</t>
    <phoneticPr fontId="2"/>
  </si>
  <si>
    <t>0b</t>
  </si>
  <si>
    <t>NULL</t>
  </si>
  <si>
    <t>ALERT_CH_M_T120</t>
  </si>
  <si>
    <t>PRMRYCHK</t>
    <phoneticPr fontId="2"/>
  </si>
  <si>
    <t>ON</t>
    <phoneticPr fontId="2"/>
  </si>
  <si>
    <t>なし</t>
    <phoneticPr fontId="2"/>
  </si>
  <si>
    <t>-</t>
    <phoneticPr fontId="2"/>
  </si>
  <si>
    <t>TT_PD_ON</t>
    <phoneticPr fontId="2"/>
  </si>
  <si>
    <t>なし</t>
    <phoneticPr fontId="2"/>
  </si>
  <si>
    <t>FLASH_1500_D50_ON</t>
    <phoneticPr fontId="2"/>
  </si>
  <si>
    <t>なし</t>
    <phoneticPr fontId="2"/>
  </si>
  <si>
    <t>車速状態</t>
    <phoneticPr fontId="2"/>
  </si>
  <si>
    <t>車速</t>
    <phoneticPr fontId="2"/>
  </si>
  <si>
    <t>前回実施条件成立状態</t>
    <rPh sb="2" eb="4">
      <t>ジッシ</t>
    </rPh>
    <phoneticPr fontId="2"/>
  </si>
  <si>
    <t>IG-ON後経過時間</t>
    <phoneticPr fontId="2"/>
  </si>
  <si>
    <t>PRMRYCHK</t>
  </si>
  <si>
    <t>TT_PD_ON</t>
  </si>
  <si>
    <t>M_T120判定</t>
    <rPh sb="6" eb="8">
      <t>ハンテイ</t>
    </rPh>
    <phoneticPr fontId="2"/>
  </si>
  <si>
    <t>Index</t>
  </si>
  <si>
    <t>Vehicle Operation Mode</t>
    <phoneticPr fontId="2"/>
  </si>
  <si>
    <t>外部ドメイン入力</t>
    <rPh sb="0" eb="2">
      <t>ガイブ</t>
    </rPh>
    <rPh sb="6" eb="8">
      <t>ニュウリョク</t>
    </rPh>
    <phoneticPr fontId="2"/>
  </si>
  <si>
    <t>内部状態</t>
    <rPh sb="0" eb="2">
      <t>ナイブ</t>
    </rPh>
    <rPh sb="2" eb="4">
      <t>ジョウタイ</t>
    </rPh>
    <phoneticPr fontId="2"/>
  </si>
  <si>
    <t>ALERT_CH_M_T120</t>
    <phoneticPr fontId="2"/>
  </si>
  <si>
    <t>-</t>
    <phoneticPr fontId="2"/>
  </si>
  <si>
    <t>-</t>
    <phoneticPr fontId="2"/>
  </si>
  <si>
    <t>-</t>
    <phoneticPr fontId="2"/>
  </si>
  <si>
    <t>-</t>
    <phoneticPr fontId="2"/>
  </si>
  <si>
    <t>-</t>
    <phoneticPr fontId="2"/>
  </si>
  <si>
    <t>-</t>
    <phoneticPr fontId="2"/>
  </si>
  <si>
    <t>-</t>
    <phoneticPr fontId="2"/>
  </si>
  <si>
    <t>VOM</t>
    <phoneticPr fontId="2"/>
  </si>
  <si>
    <t>-</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</si>
  <si>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</si>
  <si>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</si>
  <si>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</si>
  <si>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</si>
  <si>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</si>
  <si>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</si>
  <si>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</si>
  <si>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</si>
  <si>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車速状態</t>
    <rPh sb="0" eb="2">
      <t>シャソク</t>
    </rPh>
    <rPh sb="2" eb="4">
      <t>ジョウタイ</t>
    </rPh>
    <phoneticPr fontId="2"/>
  </si>
  <si>
    <t>車速</t>
    <rPh sb="0" eb="1">
      <t>シャ</t>
    </rPh>
    <rPh sb="1" eb="2">
      <t>ソク</t>
    </rPh>
    <phoneticPr fontId="2"/>
  </si>
  <si>
    <t>IG-ON後経過時間
(PRMYCHK)</t>
    <rPh sb="5" eb="6">
      <t>ゴ</t>
    </rPh>
    <rPh sb="6" eb="8">
      <t>ケイカ</t>
    </rPh>
    <phoneticPr fontId="2"/>
  </si>
  <si>
    <t>0b/
1b</t>
    <phoneticPr fontId="2"/>
  </si>
  <si>
    <t>0b/
1b</t>
    <phoneticPr fontId="2"/>
  </si>
  <si>
    <t>0b/
1b</t>
    <phoneticPr fontId="2"/>
  </si>
  <si>
    <t>0b/
1b</t>
    <phoneticPr fontId="2"/>
  </si>
  <si>
    <t>0b/
1b</t>
    <phoneticPr fontId="2"/>
  </si>
  <si>
    <t>0b/
1b</t>
    <phoneticPr fontId="2"/>
  </si>
  <si>
    <t>通常(0b)/
通常以外(1b)</t>
    <rPh sb="0" eb="2">
      <t>ツウジョウ</t>
    </rPh>
    <rPh sb="8" eb="10">
      <t>ツウジョウ</t>
    </rPh>
    <rPh sb="10" eb="12">
      <t>イガイ</t>
    </rPh>
    <phoneticPr fontId="2"/>
  </si>
  <si>
    <t>119.5km/h以下(00b)/
119.5km/hより早く、120.5km/h未満(01b)/
120.5km/h以上(10b)/
未定義(11b)</t>
    <rPh sb="9" eb="11">
      <t>イカ</t>
    </rPh>
    <rPh sb="29" eb="30">
      <t>ハヤ</t>
    </rPh>
    <rPh sb="41" eb="43">
      <t>ミマン</t>
    </rPh>
    <rPh sb="59" eb="61">
      <t>イジョウ</t>
    </rPh>
    <rPh sb="68" eb="71">
      <t>ミテイギ</t>
    </rPh>
    <phoneticPr fontId="2"/>
  </si>
  <si>
    <t>実施条件非成立(0b)/
実施条件成立(1b)</t>
    <rPh sb="0" eb="2">
      <t>ジッシ</t>
    </rPh>
    <rPh sb="13" eb="15">
      <t>ジッシ</t>
    </rPh>
    <phoneticPr fontId="2"/>
  </si>
  <si>
    <t>3s以下(1b)/
3s超過(0b)</t>
    <rPh sb="2" eb="4">
      <t>イカ</t>
    </rPh>
    <rPh sb="12" eb="14">
      <t>チョウカ</t>
    </rPh>
    <phoneticPr fontId="2"/>
  </si>
  <si>
    <t>点灯/
点滅/
-</t>
    <rPh sb="0" eb="2">
      <t>テントウ</t>
    </rPh>
    <rPh sb="4" eb="6">
      <t>テンメツ</t>
    </rPh>
    <phoneticPr fontId="2"/>
  </si>
  <si>
    <t>IG ON + 通常 + 119.5km/h以下 + 前回吹鳴条件非成立 + IG-ON後3s超過</t>
    <rPh sb="8" eb="10">
      <t>ツウジョウ</t>
    </rPh>
    <rPh sb="22" eb="24">
      <t>イカ</t>
    </rPh>
    <rPh sb="27" eb="29">
      <t>ゼンカイ</t>
    </rPh>
    <rPh sb="29" eb="31">
      <t>スイメイ</t>
    </rPh>
    <rPh sb="31" eb="33">
      <t>ジョウケン</t>
    </rPh>
    <rPh sb="33" eb="34">
      <t>ヒ</t>
    </rPh>
    <rPh sb="34" eb="36">
      <t>セイリツ</t>
    </rPh>
    <rPh sb="44" eb="45">
      <t>ゴ</t>
    </rPh>
    <rPh sb="47" eb="49">
      <t>チョウカ</t>
    </rPh>
    <phoneticPr fontId="2"/>
  </si>
  <si>
    <t>0b</t>
    <phoneticPr fontId="2"/>
  </si>
  <si>
    <t>00b</t>
  </si>
  <si>
    <t>0b</t>
    <phoneticPr fontId="2"/>
  </si>
  <si>
    <t>点灯</t>
    <rPh sb="0" eb="2">
      <t>テントウ</t>
    </rPh>
    <phoneticPr fontId="2"/>
  </si>
  <si>
    <t>IG ON + 通常 + 119.5km/h以下 + 前回吹鳴条件非成立 + IG-ON後3s以下</t>
    <rPh sb="8" eb="10">
      <t>ツウジョウ</t>
    </rPh>
    <rPh sb="22" eb="24">
      <t>イカ</t>
    </rPh>
    <rPh sb="27" eb="29">
      <t>ゼンカイ</t>
    </rPh>
    <rPh sb="29" eb="31">
      <t>スイメイ</t>
    </rPh>
    <rPh sb="31" eb="33">
      <t>ジョウケン</t>
    </rPh>
    <rPh sb="33" eb="34">
      <t>ヒ</t>
    </rPh>
    <rPh sb="34" eb="36">
      <t>セイリツ</t>
    </rPh>
    <rPh sb="44" eb="45">
      <t>ゴ</t>
    </rPh>
    <rPh sb="47" eb="49">
      <t>イカ</t>
    </rPh>
    <phoneticPr fontId="2"/>
  </si>
  <si>
    <t>0b</t>
    <phoneticPr fontId="2"/>
  </si>
  <si>
    <t>1b</t>
    <phoneticPr fontId="2"/>
  </si>
  <si>
    <t>IG ON + 通常 + 119.5km/h以下 + 前回吹鳴条件成立 + IG-ON後3s超過</t>
    <rPh sb="8" eb="10">
      <t>ツウジョウ</t>
    </rPh>
    <rPh sb="22" eb="24">
      <t>イカ</t>
    </rPh>
    <rPh sb="27" eb="29">
      <t>ゼンカイ</t>
    </rPh>
    <rPh sb="29" eb="31">
      <t>スイメイ</t>
    </rPh>
    <rPh sb="31" eb="33">
      <t>ジョウケン</t>
    </rPh>
    <rPh sb="33" eb="35">
      <t>セイリツ</t>
    </rPh>
    <rPh sb="43" eb="44">
      <t>ゴ</t>
    </rPh>
    <rPh sb="46" eb="48">
      <t>チョウカ</t>
    </rPh>
    <phoneticPr fontId="2"/>
  </si>
  <si>
    <t>1b</t>
  </si>
  <si>
    <t>PRMRYCHK</t>
    <phoneticPr fontId="2"/>
  </si>
  <si>
    <t>-</t>
    <phoneticPr fontId="2"/>
  </si>
  <si>
    <t>IG ON + 通常 + 119.5km/h以下 + 前回吹鳴条件成立 + IG-ON後3s以下</t>
    <rPh sb="8" eb="10">
      <t>ツウジョウ</t>
    </rPh>
    <rPh sb="22" eb="24">
      <t>イカ</t>
    </rPh>
    <rPh sb="27" eb="29">
      <t>ゼンカイ</t>
    </rPh>
    <rPh sb="29" eb="31">
      <t>スイメイ</t>
    </rPh>
    <rPh sb="31" eb="33">
      <t>ジョウケン</t>
    </rPh>
    <rPh sb="33" eb="35">
      <t>セイリツ</t>
    </rPh>
    <rPh sb="43" eb="44">
      <t>ゴ</t>
    </rPh>
    <rPh sb="46" eb="48">
      <t>イカ</t>
    </rPh>
    <phoneticPr fontId="2"/>
  </si>
  <si>
    <t>1b</t>
    <phoneticPr fontId="2"/>
  </si>
  <si>
    <t>IG ON + 通常 + 119.5km/hより早く、120.5km/h未満 + 前回吹鳴条件非成立 + IG-ON後3s超過</t>
    <rPh sb="8" eb="10">
      <t>ツウジョウ</t>
    </rPh>
    <rPh sb="24" eb="25">
      <t>ハヤ</t>
    </rPh>
    <rPh sb="36" eb="38">
      <t>ミマン</t>
    </rPh>
    <rPh sb="41" eb="43">
      <t>ゼンカイ</t>
    </rPh>
    <rPh sb="43" eb="45">
      <t>スイメイ</t>
    </rPh>
    <rPh sb="45" eb="47">
      <t>ジョウケン</t>
    </rPh>
    <rPh sb="47" eb="48">
      <t>ヒ</t>
    </rPh>
    <rPh sb="48" eb="50">
      <t>セイリツ</t>
    </rPh>
    <rPh sb="58" eb="59">
      <t>ゴ</t>
    </rPh>
    <rPh sb="61" eb="63">
      <t>チョウカ</t>
    </rPh>
    <phoneticPr fontId="2"/>
  </si>
  <si>
    <t>0b</t>
    <phoneticPr fontId="2"/>
  </si>
  <si>
    <t>01b</t>
  </si>
  <si>
    <t>0b</t>
    <phoneticPr fontId="2"/>
  </si>
  <si>
    <t>IG ON + 通常 + 119.5km/hより早く、120.5km/h未満 + 前回吹鳴条件非成立 + IG-ON後3s以下</t>
    <rPh sb="8" eb="10">
      <t>ツウジョウ</t>
    </rPh>
    <rPh sb="24" eb="25">
      <t>ハヤ</t>
    </rPh>
    <rPh sb="36" eb="38">
      <t>ミマン</t>
    </rPh>
    <rPh sb="41" eb="43">
      <t>ゼンカイ</t>
    </rPh>
    <rPh sb="43" eb="45">
      <t>スイメイ</t>
    </rPh>
    <rPh sb="45" eb="47">
      <t>ジョウケン</t>
    </rPh>
    <rPh sb="47" eb="48">
      <t>ヒ</t>
    </rPh>
    <rPh sb="48" eb="50">
      <t>セイリツ</t>
    </rPh>
    <rPh sb="58" eb="59">
      <t>ゴ</t>
    </rPh>
    <rPh sb="61" eb="63">
      <t>イカ</t>
    </rPh>
    <phoneticPr fontId="2"/>
  </si>
  <si>
    <t>0b</t>
    <phoneticPr fontId="2"/>
  </si>
  <si>
    <t>IG ON + 通常 + 119.5km/hより早く、120.5km/h未満 + 前回吹鳴条件成立 + IG-ON後3s超過</t>
    <rPh sb="8" eb="10">
      <t>ツウジョウ</t>
    </rPh>
    <rPh sb="24" eb="25">
      <t>ハヤ</t>
    </rPh>
    <rPh sb="36" eb="38">
      <t>ミマン</t>
    </rPh>
    <rPh sb="41" eb="43">
      <t>ゼンカイ</t>
    </rPh>
    <rPh sb="43" eb="45">
      <t>スイメイ</t>
    </rPh>
    <rPh sb="45" eb="47">
      <t>ジョウケン</t>
    </rPh>
    <rPh sb="47" eb="49">
      <t>セイリツ</t>
    </rPh>
    <rPh sb="57" eb="58">
      <t>ゴ</t>
    </rPh>
    <rPh sb="60" eb="62">
      <t>チョウカ</t>
    </rPh>
    <phoneticPr fontId="2"/>
  </si>
  <si>
    <t>0b</t>
    <phoneticPr fontId="2"/>
  </si>
  <si>
    <t>TT_PD_ON</t>
    <phoneticPr fontId="2"/>
  </si>
  <si>
    <t>点滅</t>
    <rPh sb="0" eb="2">
      <t>テンメツ</t>
    </rPh>
    <phoneticPr fontId="2"/>
  </si>
  <si>
    <t>IG ON + 通常 + 119.5km/hより早く、120.5km/h未満 + 前回吹鳴条件成立 + IG-ON後3s以下</t>
    <rPh sb="8" eb="10">
      <t>ツウジョウ</t>
    </rPh>
    <rPh sb="24" eb="25">
      <t>ハヤ</t>
    </rPh>
    <rPh sb="36" eb="38">
      <t>ミマン</t>
    </rPh>
    <rPh sb="41" eb="43">
      <t>ゼンカイ</t>
    </rPh>
    <rPh sb="43" eb="45">
      <t>スイメイ</t>
    </rPh>
    <rPh sb="45" eb="47">
      <t>ジョウケン</t>
    </rPh>
    <rPh sb="47" eb="49">
      <t>セイリツ</t>
    </rPh>
    <rPh sb="57" eb="58">
      <t>ゴ</t>
    </rPh>
    <rPh sb="60" eb="62">
      <t>イカ</t>
    </rPh>
    <phoneticPr fontId="2"/>
  </si>
  <si>
    <t>1b</t>
    <phoneticPr fontId="2"/>
  </si>
  <si>
    <t>IG ON + 通常 + 120.5km/h以上 + 前回吹鳴条件非成立 + IG-ON後3s超過</t>
    <rPh sb="8" eb="10">
      <t>ツウジョウ</t>
    </rPh>
    <rPh sb="27" eb="29">
      <t>ゼンカイ</t>
    </rPh>
    <rPh sb="29" eb="31">
      <t>スイメイ</t>
    </rPh>
    <rPh sb="31" eb="33">
      <t>ジョウケン</t>
    </rPh>
    <rPh sb="33" eb="34">
      <t>ヒ</t>
    </rPh>
    <rPh sb="34" eb="36">
      <t>セイリツ</t>
    </rPh>
    <rPh sb="44" eb="45">
      <t>ゴ</t>
    </rPh>
    <rPh sb="47" eb="49">
      <t>チョウカ</t>
    </rPh>
    <phoneticPr fontId="2"/>
  </si>
  <si>
    <t>10b</t>
  </si>
  <si>
    <t>0b</t>
    <phoneticPr fontId="2"/>
  </si>
  <si>
    <t>TT_PD_ON</t>
    <phoneticPr fontId="2"/>
  </si>
  <si>
    <t>IG ON + 通常 + 120.5km/h以上 + 前回吹鳴条件非成立 + IG-ON後3s以下</t>
    <rPh sb="8" eb="10">
      <t>ツウジョウ</t>
    </rPh>
    <rPh sb="27" eb="29">
      <t>ゼンカイ</t>
    </rPh>
    <rPh sb="29" eb="31">
      <t>スイメイ</t>
    </rPh>
    <rPh sb="31" eb="33">
      <t>ジョウケン</t>
    </rPh>
    <rPh sb="33" eb="34">
      <t>ヒ</t>
    </rPh>
    <rPh sb="34" eb="36">
      <t>セイリツ</t>
    </rPh>
    <rPh sb="44" eb="45">
      <t>ゴ</t>
    </rPh>
    <rPh sb="47" eb="49">
      <t>イカ</t>
    </rPh>
    <phoneticPr fontId="2"/>
  </si>
  <si>
    <t>1b</t>
    <phoneticPr fontId="2"/>
  </si>
  <si>
    <t>IG ON + 通常 + 120.5km/h以上 + 前回吹鳴条件成立 + IG-ON後3s超過</t>
    <rPh sb="8" eb="10">
      <t>ツウジョウ</t>
    </rPh>
    <rPh sb="27" eb="29">
      <t>ゼンカイ</t>
    </rPh>
    <rPh sb="29" eb="31">
      <t>スイメイ</t>
    </rPh>
    <rPh sb="31" eb="33">
      <t>ジョウケン</t>
    </rPh>
    <rPh sb="33" eb="35">
      <t>セイリツ</t>
    </rPh>
    <rPh sb="43" eb="44">
      <t>ゴ</t>
    </rPh>
    <rPh sb="46" eb="48">
      <t>チョウカ</t>
    </rPh>
    <phoneticPr fontId="2"/>
  </si>
  <si>
    <t>IG ON + 通常 + 120.5km/h以上 + 前回吹鳴条件成立 + IG-ON後3s以下</t>
    <rPh sb="8" eb="10">
      <t>ツウジョウ</t>
    </rPh>
    <rPh sb="27" eb="29">
      <t>ゼンカイ</t>
    </rPh>
    <rPh sb="29" eb="31">
      <t>スイメイ</t>
    </rPh>
    <rPh sb="31" eb="33">
      <t>ジョウケン</t>
    </rPh>
    <rPh sb="33" eb="35">
      <t>セイリツ</t>
    </rPh>
    <rPh sb="43" eb="44">
      <t>ゴ</t>
    </rPh>
    <rPh sb="46" eb="48">
      <t>イカ</t>
    </rPh>
    <phoneticPr fontId="2"/>
  </si>
  <si>
    <t>1b</t>
    <phoneticPr fontId="2"/>
  </si>
  <si>
    <t>IG ON + 通常 + 未定義 + 前回吹鳴条件非成立 + IG-ON後3s超過</t>
    <rPh sb="8" eb="10">
      <t>ツウジョウ</t>
    </rPh>
    <rPh sb="13" eb="16">
      <t>ミテイギ</t>
    </rPh>
    <rPh sb="19" eb="21">
      <t>ゼンカイ</t>
    </rPh>
    <rPh sb="21" eb="23">
      <t>スイメイ</t>
    </rPh>
    <rPh sb="23" eb="25">
      <t>ジョウケン</t>
    </rPh>
    <rPh sb="25" eb="26">
      <t>ヒ</t>
    </rPh>
    <rPh sb="26" eb="28">
      <t>セイリツ</t>
    </rPh>
    <rPh sb="36" eb="37">
      <t>ゴ</t>
    </rPh>
    <rPh sb="39" eb="41">
      <t>チョウカ</t>
    </rPh>
    <phoneticPr fontId="2"/>
  </si>
  <si>
    <t>11b</t>
    <phoneticPr fontId="2"/>
  </si>
  <si>
    <t>PRMRYCHK</t>
    <phoneticPr fontId="2"/>
  </si>
  <si>
    <t>-</t>
    <phoneticPr fontId="2"/>
  </si>
  <si>
    <t>IG ON + 通常 + 未定義 + 前回吹鳴条件非成立 + IG-ON後3s以下</t>
    <rPh sb="8" eb="10">
      <t>ツウジョウ</t>
    </rPh>
    <rPh sb="13" eb="16">
      <t>ミテイギ</t>
    </rPh>
    <rPh sb="19" eb="21">
      <t>ゼンカイ</t>
    </rPh>
    <rPh sb="21" eb="23">
      <t>スイメイ</t>
    </rPh>
    <rPh sb="23" eb="25">
      <t>ジョウケン</t>
    </rPh>
    <rPh sb="25" eb="26">
      <t>ヒ</t>
    </rPh>
    <rPh sb="26" eb="28">
      <t>セイリツ</t>
    </rPh>
    <rPh sb="36" eb="37">
      <t>ゴ</t>
    </rPh>
    <rPh sb="39" eb="41">
      <t>イカ</t>
    </rPh>
    <phoneticPr fontId="2"/>
  </si>
  <si>
    <t>11b</t>
    <phoneticPr fontId="2"/>
  </si>
  <si>
    <t>IG ON + 通常 + 未定義 + 前回吹鳴条件成立 + IG-ON後3s超過</t>
    <rPh sb="8" eb="10">
      <t>ツウジョウ</t>
    </rPh>
    <rPh sb="13" eb="16">
      <t>ミテイギ</t>
    </rPh>
    <rPh sb="19" eb="21">
      <t>ゼンカイ</t>
    </rPh>
    <rPh sb="21" eb="23">
      <t>スイメイ</t>
    </rPh>
    <rPh sb="23" eb="25">
      <t>ジョウケン</t>
    </rPh>
    <rPh sb="25" eb="27">
      <t>セイリツ</t>
    </rPh>
    <rPh sb="35" eb="36">
      <t>ゴ</t>
    </rPh>
    <rPh sb="38" eb="40">
      <t>チョウカ</t>
    </rPh>
    <phoneticPr fontId="2"/>
  </si>
  <si>
    <t>11b</t>
    <phoneticPr fontId="2"/>
  </si>
  <si>
    <t>IG ON + 通常 + 未定義 + 前回吹鳴条件成立 + IG-ON後3s以下</t>
    <rPh sb="8" eb="10">
      <t>ツウジョウ</t>
    </rPh>
    <rPh sb="13" eb="16">
      <t>ミテイギ</t>
    </rPh>
    <rPh sb="19" eb="21">
      <t>ゼンカイ</t>
    </rPh>
    <rPh sb="21" eb="23">
      <t>スイメイ</t>
    </rPh>
    <rPh sb="23" eb="25">
      <t>ジョウケン</t>
    </rPh>
    <rPh sb="25" eb="27">
      <t>セイリツ</t>
    </rPh>
    <rPh sb="35" eb="36">
      <t>ゴ</t>
    </rPh>
    <rPh sb="38" eb="40">
      <t>イカ</t>
    </rPh>
    <phoneticPr fontId="2"/>
  </si>
  <si>
    <t>11b</t>
    <phoneticPr fontId="2"/>
  </si>
  <si>
    <t>-</t>
    <phoneticPr fontId="2"/>
  </si>
  <si>
    <t>IG ON + 通常以外 + * + * + IG-ON後3s超過</t>
    <rPh sb="8" eb="10">
      <t>ツウジョウ</t>
    </rPh>
    <rPh sb="10" eb="12">
      <t>イガイ</t>
    </rPh>
    <phoneticPr fontId="2"/>
  </si>
  <si>
    <t>**b</t>
    <phoneticPr fontId="2"/>
  </si>
  <si>
    <t>*b</t>
    <phoneticPr fontId="2"/>
  </si>
  <si>
    <t>IG ON + 通常以外 + * + * + IG-ON後3s以下</t>
    <rPh sb="8" eb="10">
      <t>ツウジョウ</t>
    </rPh>
    <rPh sb="10" eb="12">
      <t>イガイ</t>
    </rPh>
    <phoneticPr fontId="2"/>
  </si>
  <si>
    <t>*b</t>
    <phoneticPr fontId="2"/>
  </si>
  <si>
    <t>**b</t>
  </si>
  <si>
    <t>*b</t>
    <phoneticPr fontId="2"/>
  </si>
  <si>
    <t>UNKNOWN</t>
    <phoneticPr fontId="2"/>
  </si>
  <si>
    <t>-</t>
    <phoneticPr fontId="2"/>
  </si>
  <si>
    <t>-</t>
    <phoneticPr fontId="2"/>
  </si>
  <si>
    <t>IG OFF + * + * + * + *</t>
    <phoneticPr fontId="2"/>
  </si>
  <si>
    <t>*b</t>
    <phoneticPr fontId="2"/>
  </si>
  <si>
    <t>PRMRYCHK_PD</t>
  </si>
  <si>
    <t>PRMRYCHK_PD</t>
    <phoneticPr fontId="2"/>
  </si>
  <si>
    <t>PRMRYCHK_PD</t>
    <phoneticPr fontId="2"/>
  </si>
  <si>
    <t>ON</t>
    <phoneticPr fontId="2"/>
  </si>
  <si>
    <t>PRMRYCHK_PD</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</si>
  <si>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</si>
  <si>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</si>
  <si>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</si>
  <si>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UNKNOWN/
PRMRYCHK/
TT_PD_ON/
PRMRYCHK_PD</t>
    <phoneticPr fontId="2"/>
  </si>
  <si>
    <t>M_T120-CSTD-0-01</t>
    <phoneticPr fontId="2"/>
  </si>
  <si>
    <t>大藤</t>
    <rPh sb="0" eb="2">
      <t>オオフジ</t>
    </rPh>
    <phoneticPr fontId="2"/>
  </si>
  <si>
    <t>-</t>
    <phoneticPr fontId="2"/>
  </si>
  <si>
    <t>新規作成(流用元：alert_M_T120-CSTD-0-01-A-C0.xlsx)
840B CV対応
[Matrix]シート
・対象仕様書変更
・ロケーション変更
[CH_Design]シート
DP列(J列)の要求IDをM_T120-CSTD-0-01に変更
[Reference]シート
・各キャプチャ画像を840B CV仕様書の画像に変更
・真理値表のPDの要求IDを変更
・要求ID追記のコメントを追加</t>
    <phoneticPr fontId="2"/>
  </si>
  <si>
    <t>1.1.0</t>
  </si>
  <si>
    <t>5.5.0</t>
  </si>
  <si>
    <t>臼井</t>
    <rPh sb="0" eb="2">
      <t>ウスイ</t>
    </rPh>
    <phoneticPr fontId="2"/>
  </si>
  <si>
    <t>面企画#2 CV対応(流用元：840B alert_M_T120-CSTD-0-01-B-C0.xlsx)
[Matrix]シート
・対象仕様書変更
・ロケーション変更
[Reference]シート
・キャプチャ更新</t>
    <phoneticPr fontId="2"/>
  </si>
  <si>
    <t>https://aip01.dndev.net/svn/met/toyota/std/rd/spec/個車/面企画2/tags/00.Product/v1.5.d/MET</t>
    <phoneticPr fontId="2"/>
  </si>
  <si>
    <t>M_T120-CSTD-0-01/
-</t>
    <phoneticPr fontId="2"/>
  </si>
  <si>
    <t>MET-M_T120-CSTD-0-01-D-C0.doc</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</si>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</sst>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0" fontId="0" fillId="0" borderId="41" xfId="0" applyBorder="1" applyAlignment="1">
      <alignment horizontal="center" vertical="center"/>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22" borderId="2" xfId="0" applyFill="1" applyBorder="1">
      <alignment vertical="center"/>
    </xf>
    <xf numFmtId="0" fontId="0" fillId="23" borderId="2" xfId="0" applyFill="1" applyBorder="1">
      <alignment vertical="center"/>
    </xf>
    <xf numFmtId="0" fontId="0" fillId="22" borderId="14" xfId="0" applyFill="1" applyBorder="1" applyAlignment="1">
      <alignment horizontal="center" vertical="center"/>
    </xf>
    <xf numFmtId="0" fontId="0" fillId="22" borderId="2" xfId="0" applyFill="1" applyBorder="1" applyAlignment="1">
      <alignment horizontal="center" vertical="center"/>
    </xf>
    <xf numFmtId="0" fontId="0" fillId="22" borderId="78" xfId="0" applyFill="1" applyBorder="1" applyAlignment="1">
      <alignment horizontal="center" vertical="center"/>
    </xf>
    <xf numFmtId="0" fontId="0" fillId="0" borderId="12" xfId="0" applyBorder="1" applyAlignment="1">
      <alignment vertical="center"/>
    </xf>
    <xf numFmtId="0" fontId="0" fillId="0" borderId="2" xfId="0" applyBorder="1" applyAlignment="1">
      <alignment horizontal="center"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7"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0" fillId="0" borderId="2" xfId="0" applyFill="1" applyBorder="1" applyAlignment="1" applyProtection="1">
      <alignment horizontal="center" vertical="center"/>
    </xf>
    <xf numFmtId="0" fontId="0" fillId="12" borderId="18" xfId="0" applyFill="1" applyBorder="1" applyAlignment="1">
      <alignment vertical="center"/>
    </xf>
    <xf numFmtId="0" fontId="0" fillId="0" borderId="49" xfId="0" applyBorder="1" applyAlignment="1">
      <alignment vertical="center"/>
    </xf>
    <xf numFmtId="0" fontId="0" fillId="22" borderId="30" xfId="0" applyFill="1" applyBorder="1">
      <alignment vertical="center"/>
    </xf>
    <xf numFmtId="0" fontId="0" fillId="0" borderId="7" xfId="0" quotePrefix="1" applyBorder="1">
      <alignment vertical="center"/>
    </xf>
    <xf numFmtId="0" fontId="0" fillId="0" borderId="27" xfId="0" applyBorder="1" applyAlignment="1">
      <alignment vertical="center" wrapText="1"/>
    </xf>
    <xf numFmtId="0" fontId="0" fillId="0" borderId="80" xfId="0" applyBorder="1" applyAlignment="1">
      <alignment vertical="center" wrapText="1"/>
    </xf>
    <xf numFmtId="0" fontId="0" fillId="22" borderId="16" xfId="0" applyFill="1" applyBorder="1" applyAlignment="1">
      <alignment vertical="center" wrapText="1"/>
    </xf>
    <xf numFmtId="0" fontId="0" fillId="22" borderId="25" xfId="0" applyFill="1" applyBorder="1" applyAlignment="1">
      <alignment horizontal="center" vertical="center"/>
    </xf>
    <xf numFmtId="0" fontId="0" fillId="0" borderId="28" xfId="0" applyBorder="1" applyAlignment="1">
      <alignment horizontal="center" vertical="center"/>
    </xf>
    <xf numFmtId="0" fontId="0" fillId="0" borderId="15" xfId="0" applyBorder="1" applyAlignment="1">
      <alignment horizontal="center" vertical="center"/>
    </xf>
    <xf numFmtId="0" fontId="0" fillId="22" borderId="30" xfId="0" applyFill="1" applyBorder="1" applyAlignment="1">
      <alignment horizontal="center" vertical="center"/>
    </xf>
    <xf numFmtId="0" fontId="0" fillId="0" borderId="27" xfId="0" applyBorder="1" applyAlignment="1">
      <alignment horizontal="center" vertical="center"/>
    </xf>
    <xf numFmtId="0" fontId="0" fillId="0" borderId="7" xfId="0" applyBorder="1" applyAlignment="1">
      <alignment horizontal="center" vertical="center"/>
    </xf>
    <xf numFmtId="0" fontId="0" fillId="22" borderId="77" xfId="0" applyFill="1" applyBorder="1" applyAlignment="1">
      <alignment horizontal="center" vertical="center"/>
    </xf>
    <xf numFmtId="0" fontId="0" fillId="0" borderId="81" xfId="0" applyBorder="1" applyAlignment="1">
      <alignment horizontal="center" vertical="center"/>
    </xf>
    <xf numFmtId="0" fontId="0" fillId="0" borderId="79" xfId="0"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0" fontId="16" fillId="7" borderId="61" xfId="0" applyFont="1" applyFill="1" applyBorder="1" applyAlignment="1">
      <alignment vertical="center"/>
    </xf>
    <xf numFmtId="14" fontId="0" fillId="0" borderId="7" xfId="0" applyNumberFormat="1" applyBorder="1">
      <alignment vertical="center"/>
    </xf>
    <xf numFmtId="0" fontId="0" fillId="0" borderId="14" xfId="0" applyBorder="1" applyAlignment="1">
      <alignment vertical="center" wrapText="1"/>
    </xf>
    <xf numFmtId="0" fontId="19" fillId="22" borderId="16" xfId="0" applyFont="1" applyFill="1" applyBorder="1" applyAlignment="1">
      <alignment vertical="center" wrapText="1"/>
    </xf>
    <xf numFmtId="0" fontId="19" fillId="22" borderId="14" xfId="0" applyFont="1" applyFill="1" applyBorder="1" applyAlignment="1">
      <alignment horizontal="center" vertical="center"/>
    </xf>
    <xf numFmtId="0" fontId="19" fillId="22"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pplyProtection="1">
      <alignment horizontal="left" vertical="center"/>
    </xf>
    <xf numFmtId="0" fontId="0" fillId="12" borderId="12" xfId="0" applyFill="1" applyBorder="1" applyAlignment="1" applyProtection="1">
      <alignment horizontal="left" vertical="center"/>
    </xf>
    <xf numFmtId="0" fontId="0" fillId="12" borderId="49" xfId="0" applyFill="1" applyBorder="1" applyAlignment="1" applyProtection="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2">
    <cellStyle name="ハイパーリンク" xfId="1" builtinId="8"/>
    <cellStyle name="標準" xfId="0" builtinId="0"/>
  </cellStyles>
  <dxfs count="14">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43542</xdr:colOff>
      <xdr:row>21</xdr:row>
      <xdr:rowOff>76200</xdr:rowOff>
    </xdr:from>
    <xdr:to>
      <xdr:col>29</xdr:col>
      <xdr:colOff>516498</xdr:colOff>
      <xdr:row>71</xdr:row>
      <xdr:rowOff>43643</xdr:rowOff>
    </xdr:to>
    <xdr:grpSp>
      <xdr:nvGrpSpPr>
        <xdr:cNvPr id="29" name="グループ化 28"/>
        <xdr:cNvGrpSpPr/>
      </xdr:nvGrpSpPr>
      <xdr:grpSpPr>
        <a:xfrm>
          <a:off x="20214771" y="5867400"/>
          <a:ext cx="5959356" cy="8142614"/>
          <a:chOff x="20171229" y="17068800"/>
          <a:chExt cx="5959356" cy="8142614"/>
        </a:xfrm>
      </xdr:grpSpPr>
      <xdr:pic>
        <xdr:nvPicPr>
          <xdr:cNvPr id="27" name="図 26" descr="画面の領域"/>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71229" y="17068800"/>
            <a:ext cx="5959356" cy="6934801"/>
          </a:xfrm>
          <a:prstGeom prst="rect">
            <a:avLst/>
          </a:prstGeom>
        </xdr:spPr>
      </xdr:pic>
      <xdr:pic>
        <xdr:nvPicPr>
          <xdr:cNvPr id="28" name="図 27" descr="画面の領域"/>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14773" y="24068315"/>
            <a:ext cx="5799323" cy="1143099"/>
          </a:xfrm>
          <a:prstGeom prst="rect">
            <a:avLst/>
          </a:prstGeom>
        </xdr:spPr>
      </xdr:pic>
    </xdr:grpSp>
    <xdr:clientData/>
  </xdr:twoCellAnchor>
  <xdr:twoCellAnchor editAs="oneCell">
    <xdr:from>
      <xdr:col>19</xdr:col>
      <xdr:colOff>576943</xdr:colOff>
      <xdr:row>5</xdr:row>
      <xdr:rowOff>87085</xdr:rowOff>
    </xdr:from>
    <xdr:to>
      <xdr:col>29</xdr:col>
      <xdr:colOff>257404</xdr:colOff>
      <xdr:row>19</xdr:row>
      <xdr:rowOff>82042</xdr:rowOff>
    </xdr:to>
    <xdr:pic>
      <xdr:nvPicPr>
        <xdr:cNvPr id="5" name="図 4" descr="画面の領域"/>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38572" y="936171"/>
          <a:ext cx="5776461" cy="4610500"/>
        </a:xfrm>
        <a:prstGeom prst="rect">
          <a:avLst/>
        </a:prstGeom>
      </xdr:spPr>
    </xdr:pic>
    <xdr:clientData/>
  </xdr:twoCellAnchor>
  <xdr:twoCellAnchor>
    <xdr:from>
      <xdr:col>10</xdr:col>
      <xdr:colOff>1074965</xdr:colOff>
      <xdr:row>0</xdr:row>
      <xdr:rowOff>108857</xdr:rowOff>
    </xdr:from>
    <xdr:to>
      <xdr:col>12</xdr:col>
      <xdr:colOff>530678</xdr:colOff>
      <xdr:row>3</xdr:row>
      <xdr:rowOff>112059</xdr:rowOff>
    </xdr:to>
    <xdr:sp macro="" textlink="">
      <xdr:nvSpPr>
        <xdr:cNvPr id="2" name="線吹き出し 1 (枠付き) 1"/>
        <xdr:cNvSpPr/>
      </xdr:nvSpPr>
      <xdr:spPr>
        <a:xfrm>
          <a:off x="9748318" y="108857"/>
          <a:ext cx="3669125" cy="507467"/>
        </a:xfrm>
        <a:prstGeom prst="borderCallout1">
          <a:avLst>
            <a:gd name="adj1" fmla="val 63554"/>
            <a:gd name="adj2" fmla="val -3589"/>
            <a:gd name="adj3" fmla="val 159002"/>
            <a:gd name="adj4" fmla="val -47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xdr:from>
      <xdr:col>1</xdr:col>
      <xdr:colOff>3320141</xdr:colOff>
      <xdr:row>33</xdr:row>
      <xdr:rowOff>68035</xdr:rowOff>
    </xdr:from>
    <xdr:to>
      <xdr:col>12</xdr:col>
      <xdr:colOff>466268</xdr:colOff>
      <xdr:row>37</xdr:row>
      <xdr:rowOff>100851</xdr:rowOff>
    </xdr:to>
    <xdr:sp macro="" textlink="">
      <xdr:nvSpPr>
        <xdr:cNvPr id="3" name="線吹き出し 1 (枠付き) 2"/>
        <xdr:cNvSpPr/>
      </xdr:nvSpPr>
      <xdr:spPr>
        <a:xfrm>
          <a:off x="4003700" y="8013006"/>
          <a:ext cx="9349333" cy="705169"/>
        </a:xfrm>
        <a:prstGeom prst="borderCallout1">
          <a:avLst>
            <a:gd name="adj1" fmla="val 2685"/>
            <a:gd name="adj2" fmla="val 33082"/>
            <a:gd name="adj3" fmla="val -576894"/>
            <a:gd name="adj4" fmla="val 52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VEHSPD_STSBIT_VALID</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VEHSPD_STSBIT_EMSTOP  </a:t>
          </a:r>
        </a:p>
      </xdr:txBody>
    </xdr:sp>
    <xdr:clientData/>
  </xdr:twoCellAnchor>
  <xdr:twoCellAnchor>
    <xdr:from>
      <xdr:col>30</xdr:col>
      <xdr:colOff>345043</xdr:colOff>
      <xdr:row>23</xdr:row>
      <xdr:rowOff>106888</xdr:rowOff>
    </xdr:from>
    <xdr:to>
      <xdr:col>36</xdr:col>
      <xdr:colOff>247531</xdr:colOff>
      <xdr:row>30</xdr:row>
      <xdr:rowOff>165208</xdr:rowOff>
    </xdr:to>
    <xdr:sp macro="" textlink="">
      <xdr:nvSpPr>
        <xdr:cNvPr id="7" name="線吹き出し 1 (枠付き) 6"/>
        <xdr:cNvSpPr/>
      </xdr:nvSpPr>
      <xdr:spPr>
        <a:xfrm>
          <a:off x="26612272" y="6224659"/>
          <a:ext cx="3560088" cy="1201320"/>
        </a:xfrm>
        <a:prstGeom prst="borderCallout1">
          <a:avLst>
            <a:gd name="adj1" fmla="val 56200"/>
            <a:gd name="adj2" fmla="val -39086"/>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機能から車速を取得する。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・メータ読み指示値での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公差補正後の値で判定を行う。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※u1_g_VehspdKmphBiased()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69478</xdr:colOff>
      <xdr:row>11</xdr:row>
      <xdr:rowOff>446315</xdr:rowOff>
    </xdr:from>
    <xdr:to>
      <xdr:col>29</xdr:col>
      <xdr:colOff>69476</xdr:colOff>
      <xdr:row>14</xdr:row>
      <xdr:rowOff>21772</xdr:rowOff>
    </xdr:to>
    <xdr:sp macro="" textlink="">
      <xdr:nvSpPr>
        <xdr:cNvPr id="8" name="正方形/長方形 7"/>
        <xdr:cNvSpPr/>
      </xdr:nvSpPr>
      <xdr:spPr>
        <a:xfrm>
          <a:off x="20240707" y="4005944"/>
          <a:ext cx="5486398" cy="664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65312</xdr:colOff>
      <xdr:row>22</xdr:row>
      <xdr:rowOff>141515</xdr:rowOff>
    </xdr:from>
    <xdr:to>
      <xdr:col>29</xdr:col>
      <xdr:colOff>500741</xdr:colOff>
      <xdr:row>47</xdr:row>
      <xdr:rowOff>152400</xdr:rowOff>
    </xdr:to>
    <xdr:sp macro="" textlink="">
      <xdr:nvSpPr>
        <xdr:cNvPr id="9" name="正方形/長方形 8"/>
        <xdr:cNvSpPr/>
      </xdr:nvSpPr>
      <xdr:spPr>
        <a:xfrm>
          <a:off x="20236541" y="6096001"/>
          <a:ext cx="5921829" cy="41039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550931</xdr:colOff>
      <xdr:row>33</xdr:row>
      <xdr:rowOff>83771</xdr:rowOff>
    </xdr:from>
    <xdr:to>
      <xdr:col>37</xdr:col>
      <xdr:colOff>297053</xdr:colOff>
      <xdr:row>38</xdr:row>
      <xdr:rowOff>2562</xdr:rowOff>
    </xdr:to>
    <xdr:sp macro="" textlink="">
      <xdr:nvSpPr>
        <xdr:cNvPr id="10" name="線吹き出し 1 (枠付き) 9"/>
        <xdr:cNvSpPr/>
      </xdr:nvSpPr>
      <xdr:spPr>
        <a:xfrm>
          <a:off x="26818160" y="7845285"/>
          <a:ext cx="4013322" cy="735220"/>
        </a:xfrm>
        <a:prstGeom prst="borderCallout1">
          <a:avLst>
            <a:gd name="adj1" fmla="val 32085"/>
            <a:gd name="adj2" fmla="val 292"/>
            <a:gd name="adj3" fmla="val -78218"/>
            <a:gd name="adj4" fmla="val -96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・ヒスあり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119.5km/h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以上は点滅とする。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173318</xdr:colOff>
      <xdr:row>18</xdr:row>
      <xdr:rowOff>102795</xdr:rowOff>
    </xdr:from>
    <xdr:to>
      <xdr:col>38</xdr:col>
      <xdr:colOff>391886</xdr:colOff>
      <xdr:row>21</xdr:row>
      <xdr:rowOff>18852</xdr:rowOff>
    </xdr:to>
    <xdr:sp macro="" textlink="">
      <xdr:nvSpPr>
        <xdr:cNvPr id="11" name="線吹き出し 1 (枠付き) 10"/>
        <xdr:cNvSpPr/>
      </xdr:nvSpPr>
      <xdr:spPr>
        <a:xfrm>
          <a:off x="30098147" y="5404138"/>
          <a:ext cx="1437768" cy="405914"/>
        </a:xfrm>
        <a:prstGeom prst="borderCallout1">
          <a:avLst>
            <a:gd name="adj1" fmla="val 63554"/>
            <a:gd name="adj2" fmla="val -3589"/>
            <a:gd name="adj3" fmla="val 236659"/>
            <a:gd name="adj4" fmla="val -6129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540152</xdr:colOff>
      <xdr:row>67</xdr:row>
      <xdr:rowOff>91023</xdr:rowOff>
    </xdr:from>
    <xdr:to>
      <xdr:col>41</xdr:col>
      <xdr:colOff>102916</xdr:colOff>
      <xdr:row>71</xdr:row>
      <xdr:rowOff>155602</xdr:rowOff>
    </xdr:to>
    <xdr:sp macro="" textlink="">
      <xdr:nvSpPr>
        <xdr:cNvPr id="12" name="線吹き出し 1 (枠付き) 11"/>
        <xdr:cNvSpPr/>
      </xdr:nvSpPr>
      <xdr:spPr>
        <a:xfrm>
          <a:off x="28636181" y="13404252"/>
          <a:ext cx="4439564" cy="717721"/>
        </a:xfrm>
        <a:prstGeom prst="borderCallout1">
          <a:avLst>
            <a:gd name="adj1" fmla="val 47395"/>
            <a:gd name="adj2" fmla="val 80"/>
            <a:gd name="adj3" fmla="val 34778"/>
            <a:gd name="adj4" fmla="val -660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・通信途絶動作に関しては、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からの車速取得戻り値が、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の場合に途絶確定と判定する。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62592</xdr:colOff>
      <xdr:row>64</xdr:row>
      <xdr:rowOff>99519</xdr:rowOff>
    </xdr:from>
    <xdr:to>
      <xdr:col>29</xdr:col>
      <xdr:colOff>237858</xdr:colOff>
      <xdr:row>70</xdr:row>
      <xdr:rowOff>131751</xdr:rowOff>
    </xdr:to>
    <xdr:sp macro="" textlink="">
      <xdr:nvSpPr>
        <xdr:cNvPr id="13" name="正方形/長方形 12"/>
        <xdr:cNvSpPr/>
      </xdr:nvSpPr>
      <xdr:spPr>
        <a:xfrm>
          <a:off x="20233821" y="12922890"/>
          <a:ext cx="5661666" cy="10119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499604</xdr:colOff>
      <xdr:row>11</xdr:row>
      <xdr:rowOff>24333</xdr:rowOff>
    </xdr:from>
    <xdr:to>
      <xdr:col>40</xdr:col>
      <xdr:colOff>532994</xdr:colOff>
      <xdr:row>11</xdr:row>
      <xdr:rowOff>383327</xdr:rowOff>
    </xdr:to>
    <xdr:sp macro="" textlink="">
      <xdr:nvSpPr>
        <xdr:cNvPr id="14" name="線吹き出し 1 (枠付き) 13"/>
        <xdr:cNvSpPr/>
      </xdr:nvSpPr>
      <xdr:spPr>
        <a:xfrm>
          <a:off x="30424433" y="3583962"/>
          <a:ext cx="2471790" cy="358994"/>
        </a:xfrm>
        <a:prstGeom prst="borderCallout1">
          <a:avLst>
            <a:gd name="adj1" fmla="val 63554"/>
            <a:gd name="adj2" fmla="val -3589"/>
            <a:gd name="adj3" fmla="val 191509"/>
            <a:gd name="adj4" fmla="val -200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消去、</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263321</xdr:colOff>
      <xdr:row>52</xdr:row>
      <xdr:rowOff>154002</xdr:rowOff>
    </xdr:from>
    <xdr:to>
      <xdr:col>36</xdr:col>
      <xdr:colOff>165809</xdr:colOff>
      <xdr:row>60</xdr:row>
      <xdr:rowOff>24333</xdr:rowOff>
    </xdr:to>
    <xdr:sp macro="" textlink="">
      <xdr:nvSpPr>
        <xdr:cNvPr id="15" name="線吹き出し 1 (枠付き) 14"/>
        <xdr:cNvSpPr/>
      </xdr:nvSpPr>
      <xdr:spPr>
        <a:xfrm>
          <a:off x="26530550" y="11017945"/>
          <a:ext cx="3560088" cy="1176617"/>
        </a:xfrm>
        <a:prstGeom prst="borderCallout1">
          <a:avLst>
            <a:gd name="adj1" fmla="val 56200"/>
            <a:gd name="adj2" fmla="val -39086"/>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機能から車速を取得する。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・メータ読み指示値での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公差補正後の値で判定を行う。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※u1_g_VehspdKmphBiased()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67269</xdr:colOff>
      <xdr:row>48</xdr:row>
      <xdr:rowOff>76840</xdr:rowOff>
    </xdr:from>
    <xdr:to>
      <xdr:col>29</xdr:col>
      <xdr:colOff>489854</xdr:colOff>
      <xdr:row>64</xdr:row>
      <xdr:rowOff>10887</xdr:rowOff>
    </xdr:to>
    <xdr:sp macro="" textlink="">
      <xdr:nvSpPr>
        <xdr:cNvPr id="16" name="正方形/長方形 15"/>
        <xdr:cNvSpPr/>
      </xdr:nvSpPr>
      <xdr:spPr>
        <a:xfrm>
          <a:off x="20238498" y="10287640"/>
          <a:ext cx="5908985" cy="2546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526659</xdr:colOff>
      <xdr:row>61</xdr:row>
      <xdr:rowOff>96459</xdr:rowOff>
    </xdr:from>
    <xdr:to>
      <xdr:col>38</xdr:col>
      <xdr:colOff>230683</xdr:colOff>
      <xdr:row>65</xdr:row>
      <xdr:rowOff>87085</xdr:rowOff>
    </xdr:to>
    <xdr:sp macro="" textlink="">
      <xdr:nvSpPr>
        <xdr:cNvPr id="17" name="線吹き出し 1 (枠付き) 16"/>
        <xdr:cNvSpPr/>
      </xdr:nvSpPr>
      <xdr:spPr>
        <a:xfrm>
          <a:off x="27403488" y="12429973"/>
          <a:ext cx="3971224" cy="643769"/>
        </a:xfrm>
        <a:prstGeom prst="borderCallout1">
          <a:avLst>
            <a:gd name="adj1" fmla="val 32085"/>
            <a:gd name="adj2" fmla="val 292"/>
            <a:gd name="adj3" fmla="val -58036"/>
            <a:gd name="adj4" fmla="val -1123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・ヒスあり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119.5km/h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120.5km/h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以上は表示とする。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483880</xdr:colOff>
      <xdr:row>13</xdr:row>
      <xdr:rowOff>15368</xdr:rowOff>
    </xdr:from>
    <xdr:to>
      <xdr:col>33</xdr:col>
      <xdr:colOff>471243</xdr:colOff>
      <xdr:row>17</xdr:row>
      <xdr:rowOff>7654</xdr:rowOff>
    </xdr:to>
    <xdr:sp macro="" textlink="">
      <xdr:nvSpPr>
        <xdr:cNvPr id="18" name="線吹き出し 1 (枠付き) 17"/>
        <xdr:cNvSpPr/>
      </xdr:nvSpPr>
      <xdr:spPr>
        <a:xfrm>
          <a:off x="26751109" y="4500282"/>
          <a:ext cx="1816163" cy="645429"/>
        </a:xfrm>
        <a:prstGeom prst="borderCallout1">
          <a:avLst>
            <a:gd name="adj1" fmla="val 47395"/>
            <a:gd name="adj2" fmla="val 80"/>
            <a:gd name="adj3" fmla="val 84964"/>
            <a:gd name="adj4" fmla="val -641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のみバルブチェックあり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eiryo UI" panose="020B0604030504040204" pitchFamily="50" charset="-128"/>
              <a:ea typeface="Meiryo UI" panose="020B0604030504040204" pitchFamily="50" charset="-128"/>
              <a:cs typeface="+mn-cs"/>
            </a:rPr>
            <a:t>IGN_TM</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を使用して判定</a:t>
          </a:r>
          <a:endParaRPr lang="ja-JP" altLang="ja-JP" sz="1200">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1537606</xdr:colOff>
      <xdr:row>31</xdr:row>
      <xdr:rowOff>163285</xdr:rowOff>
    </xdr:from>
    <xdr:to>
      <xdr:col>18</xdr:col>
      <xdr:colOff>816428</xdr:colOff>
      <xdr:row>48</xdr:row>
      <xdr:rowOff>136071</xdr:rowOff>
    </xdr:to>
    <xdr:sp macro="" textlink="">
      <xdr:nvSpPr>
        <xdr:cNvPr id="21" name="線吹き出し 1 (枠付き) 20"/>
        <xdr:cNvSpPr/>
      </xdr:nvSpPr>
      <xdr:spPr>
        <a:xfrm>
          <a:off x="16070035" y="7429499"/>
          <a:ext cx="5021036" cy="2979965"/>
        </a:xfrm>
        <a:prstGeom prst="borderCallout1">
          <a:avLst>
            <a:gd name="adj1" fmla="val 47395"/>
            <a:gd name="adj2" fmla="val 80"/>
            <a:gd name="adj3" fmla="val -169240"/>
            <a:gd name="adj4" fmla="val -156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IGN_TM(※)</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を使用して判定</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pPr algn="l"/>
          <a:r>
            <a:rPr kumimoji="1" lang="ja-JP" altLang="en-US" sz="1200" b="1">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IGN_TM</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3s</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の場合ビット</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ON</a:t>
          </a:r>
          <a:br>
            <a:rPr kumimoji="1" lang="en-US" altLang="ja-JP" sz="1200" b="1">
              <a:solidFill>
                <a:schemeClr val="tx1"/>
              </a:solidFill>
              <a:effectLst/>
              <a:latin typeface="Meiryo UI" panose="020B0604030504040204" pitchFamily="50" charset="-128"/>
              <a:ea typeface="Meiryo UI" panose="020B0604030504040204" pitchFamily="50" charset="-128"/>
              <a:cs typeface="+mn-cs"/>
            </a:rPr>
          </a:b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pPr algn="l"/>
          <a:r>
            <a:rPr lang="en-US" altLang="ja-JP" sz="1200" b="1">
              <a:solidFill>
                <a:schemeClr val="tx1"/>
              </a:solidFill>
              <a:effectLst/>
              <a:latin typeface="Meiryo UI" panose="020B0604030504040204" pitchFamily="50" charset="-128"/>
              <a:ea typeface="Meiryo UI" panose="020B0604030504040204" pitchFamily="50" charset="-128"/>
            </a:rPr>
            <a:t>※IGN_TM</a:t>
          </a:r>
          <a:r>
            <a:rPr lang="ja-JP" altLang="en-US" sz="1200" b="1">
              <a:solidFill>
                <a:schemeClr val="tx1"/>
              </a:solidFill>
              <a:effectLst/>
              <a:latin typeface="Meiryo UI" panose="020B0604030504040204" pitchFamily="50" charset="-128"/>
              <a:ea typeface="Meiryo UI" panose="020B0604030504040204" pitchFamily="50" charset="-128"/>
            </a:rPr>
            <a:t>の仕様</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Alert</a:t>
          </a:r>
          <a:r>
            <a:rPr lang="ja-JP" altLang="en-US" sz="1200" b="1">
              <a:solidFill>
                <a:schemeClr val="tx1"/>
              </a:solidFill>
              <a:effectLst/>
              <a:latin typeface="Meiryo UI" panose="020B0604030504040204" pitchFamily="50" charset="-128"/>
              <a:ea typeface="Meiryo UI" panose="020B0604030504040204" pitchFamily="50" charset="-128"/>
            </a:rPr>
            <a:t>イニシャル処理、</a:t>
          </a:r>
          <a:r>
            <a:rPr lang="en-US" altLang="ja-JP" sz="1200" b="1">
              <a:solidFill>
                <a:schemeClr val="tx1"/>
              </a:solidFill>
              <a:effectLst/>
              <a:latin typeface="Meiryo UI" panose="020B0604030504040204" pitchFamily="50" charset="-128"/>
              <a:ea typeface="Meiryo UI" panose="020B0604030504040204" pitchFamily="50" charset="-128"/>
            </a:rPr>
            <a:t>IG</a:t>
          </a:r>
          <a:r>
            <a:rPr lang="ja-JP" altLang="en-US" sz="1200" b="1">
              <a:solidFill>
                <a:schemeClr val="tx1"/>
              </a:solidFill>
              <a:effectLst/>
              <a:latin typeface="Meiryo UI" panose="020B0604030504040204" pitchFamily="50" charset="-128"/>
              <a:ea typeface="Meiryo UI" panose="020B0604030504040204" pitchFamily="50" charset="-128"/>
            </a:rPr>
            <a:t>状態変化</a:t>
          </a:r>
          <a:r>
            <a:rPr lang="en-US" altLang="ja-JP" sz="1200" b="1">
              <a:solidFill>
                <a:schemeClr val="tx1"/>
              </a:solidFill>
              <a:effectLst/>
              <a:latin typeface="Meiryo UI" panose="020B0604030504040204" pitchFamily="50" charset="-128"/>
              <a:ea typeface="Meiryo UI" panose="020B0604030504040204" pitchFamily="50" charset="-128"/>
            </a:rPr>
            <a:t>(ON</a:t>
          </a:r>
          <a:r>
            <a:rPr lang="ja-JP" altLang="en-US" sz="1200" b="1">
              <a:solidFill>
                <a:schemeClr val="tx1"/>
              </a:solidFill>
              <a:effectLst/>
              <a:latin typeface="Meiryo UI" panose="020B0604030504040204" pitchFamily="50" charset="-128"/>
              <a:ea typeface="Meiryo UI" panose="020B0604030504040204" pitchFamily="50" charset="-128"/>
            </a:rPr>
            <a:t>→</a:t>
          </a:r>
          <a:r>
            <a:rPr lang="en-US" altLang="ja-JP" sz="1200" b="1">
              <a:solidFill>
                <a:schemeClr val="tx1"/>
              </a:solidFill>
              <a:effectLst/>
              <a:latin typeface="Meiryo UI" panose="020B0604030504040204" pitchFamily="50" charset="-128"/>
              <a:ea typeface="Meiryo UI" panose="020B0604030504040204" pitchFamily="50" charset="-128"/>
            </a:rPr>
            <a:t>OFF/OFF</a:t>
          </a:r>
          <a:r>
            <a:rPr lang="ja-JP" altLang="en-US" sz="1200" b="1">
              <a:solidFill>
                <a:schemeClr val="tx1"/>
              </a:solidFill>
              <a:effectLst/>
              <a:latin typeface="Meiryo UI" panose="020B0604030504040204" pitchFamily="50" charset="-128"/>
              <a:ea typeface="Meiryo UI" panose="020B0604030504040204" pitchFamily="50" charset="-128"/>
            </a:rPr>
            <a:t>→</a:t>
          </a:r>
          <a:r>
            <a:rPr lang="en-US" altLang="ja-JP" sz="1200" b="1">
              <a:solidFill>
                <a:schemeClr val="tx1"/>
              </a:solidFill>
              <a:effectLst/>
              <a:latin typeface="Meiryo UI" panose="020B0604030504040204" pitchFamily="50" charset="-128"/>
              <a:ea typeface="Meiryo UI" panose="020B0604030504040204" pitchFamily="50" charset="-128"/>
            </a:rPr>
            <a:t>ON)</a:t>
          </a:r>
          <a:r>
            <a:rPr lang="ja-JP" altLang="en-US" sz="1200" b="1">
              <a:solidFill>
                <a:schemeClr val="tx1"/>
              </a:solidFill>
              <a:effectLst/>
              <a:latin typeface="Meiryo UI" panose="020B0604030504040204" pitchFamily="50" charset="-128"/>
              <a:ea typeface="Meiryo UI" panose="020B0604030504040204" pitchFamily="50" charset="-128"/>
            </a:rPr>
            <a:t>時に</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クリア</a:t>
          </a:r>
          <a:r>
            <a:rPr lang="en-US" altLang="ja-JP" sz="1200" b="1">
              <a:solidFill>
                <a:schemeClr val="tx1"/>
              </a:solidFill>
              <a:effectLst/>
              <a:latin typeface="Meiryo UI" panose="020B0604030504040204" pitchFamily="50" charset="-128"/>
              <a:ea typeface="Meiryo UI" panose="020B0604030504040204" pitchFamily="50" charset="-128"/>
            </a:rPr>
            <a:t>(U4_MAX)</a:t>
          </a: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Alert</a:t>
          </a:r>
          <a:r>
            <a:rPr lang="ja-JP" altLang="en-US" sz="1200" b="1">
              <a:solidFill>
                <a:schemeClr val="tx1"/>
              </a:solidFill>
              <a:effectLst/>
              <a:latin typeface="Meiryo UI" panose="020B0604030504040204" pitchFamily="50" charset="-128"/>
              <a:ea typeface="Meiryo UI" panose="020B0604030504040204" pitchFamily="50" charset="-128"/>
            </a:rPr>
            <a:t>メイン処理開始時に以下を実施</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U4_MAX</a:t>
          </a:r>
          <a:r>
            <a:rPr lang="ja-JP" altLang="en-US" sz="1200" b="1">
              <a:solidFill>
                <a:schemeClr val="tx1"/>
              </a:solidFill>
              <a:effectLst/>
              <a:latin typeface="Meiryo UI" panose="020B0604030504040204" pitchFamily="50" charset="-128"/>
              <a:ea typeface="Meiryo UI" panose="020B0604030504040204" pitchFamily="50" charset="-128"/>
            </a:rPr>
            <a:t>以上の場合</a:t>
          </a:r>
          <a:r>
            <a:rPr lang="en-US" altLang="ja-JP" sz="1200" b="1">
              <a:solidFill>
                <a:schemeClr val="tx1"/>
              </a:solidFill>
              <a:effectLst/>
              <a:latin typeface="Meiryo UI" panose="020B0604030504040204" pitchFamily="50" charset="-128"/>
              <a:ea typeface="Meiryo UI" panose="020B0604030504040204" pitchFamily="50" charset="-128"/>
            </a:rPr>
            <a:t>0</a:t>
          </a:r>
          <a:r>
            <a:rPr lang="ja-JP" altLang="en-US" sz="1200" b="1">
              <a:solidFill>
                <a:schemeClr val="tx1"/>
              </a:solidFill>
              <a:effectLst/>
              <a:latin typeface="Meiryo UI" panose="020B0604030504040204" pitchFamily="50" charset="-128"/>
              <a:ea typeface="Meiryo UI" panose="020B0604030504040204" pitchFamily="50" charset="-128"/>
            </a:rPr>
            <a:t>クリア</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0xFFFFFFFE</a:t>
          </a:r>
          <a:r>
            <a:rPr lang="ja-JP" altLang="en-US" sz="1200" b="1">
              <a:solidFill>
                <a:schemeClr val="tx1"/>
              </a:solidFill>
              <a:effectLst/>
              <a:latin typeface="Meiryo UI" panose="020B0604030504040204" pitchFamily="50" charset="-128"/>
              <a:ea typeface="Meiryo UI" panose="020B0604030504040204" pitchFamily="50" charset="-128"/>
            </a:rPr>
            <a:t>以上の場合</a:t>
          </a:r>
          <a:r>
            <a:rPr lang="en-US" altLang="ja-JP" sz="1200" b="1">
              <a:solidFill>
                <a:schemeClr val="tx1"/>
              </a:solidFill>
              <a:effectLst/>
              <a:latin typeface="Meiryo UI" panose="020B0604030504040204" pitchFamily="50" charset="-128"/>
              <a:ea typeface="Meiryo UI" panose="020B0604030504040204" pitchFamily="50" charset="-128"/>
            </a:rPr>
            <a:t>0xFFFFFFFE</a:t>
          </a:r>
          <a:r>
            <a:rPr lang="ja-JP" altLang="en-US" sz="1200" b="1">
              <a:solidFill>
                <a:schemeClr val="tx1"/>
              </a:solidFill>
              <a:effectLst/>
              <a:latin typeface="Meiryo UI" panose="020B0604030504040204" pitchFamily="50" charset="-128"/>
              <a:ea typeface="Meiryo UI" panose="020B0604030504040204" pitchFamily="50" charset="-128"/>
            </a:rPr>
            <a:t>に丸め</a:t>
          </a:r>
          <a:endParaRPr lang="en-US" altLang="ja-JP" sz="1200" b="1">
            <a:solidFill>
              <a:schemeClr val="tx1"/>
            </a:solidFill>
            <a:effectLst/>
            <a:latin typeface="Meiryo UI" panose="020B0604030504040204" pitchFamily="50" charset="-128"/>
            <a:ea typeface="Meiryo UI" panose="020B0604030504040204" pitchFamily="50" charset="-128"/>
          </a:endParaRPr>
        </a:p>
        <a:p>
          <a:pPr algn="l"/>
          <a:r>
            <a:rPr lang="ja-JP" altLang="en-US" sz="1200" b="1">
              <a:solidFill>
                <a:schemeClr val="tx1"/>
              </a:solidFill>
              <a:effectLst/>
              <a:latin typeface="Meiryo UI" panose="020B0604030504040204" pitchFamily="50" charset="-128"/>
              <a:ea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rPr>
            <a:t>0xFFFFFFFE</a:t>
          </a:r>
          <a:r>
            <a:rPr lang="ja-JP" altLang="en-US" sz="1200" b="1">
              <a:solidFill>
                <a:schemeClr val="tx1"/>
              </a:solidFill>
              <a:effectLst/>
              <a:latin typeface="Meiryo UI" panose="020B0604030504040204" pitchFamily="50" charset="-128"/>
              <a:ea typeface="Meiryo UI" panose="020B0604030504040204" pitchFamily="50" charset="-128"/>
            </a:rPr>
            <a:t>未満の場合インクリメント</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870857</xdr:colOff>
      <xdr:row>40</xdr:row>
      <xdr:rowOff>145144</xdr:rowOff>
    </xdr:from>
    <xdr:to>
      <xdr:col>13</xdr:col>
      <xdr:colOff>819149</xdr:colOff>
      <xdr:row>57</xdr:row>
      <xdr:rowOff>45359</xdr:rowOff>
    </xdr:to>
    <xdr:sp macro="" textlink="">
      <xdr:nvSpPr>
        <xdr:cNvPr id="22" name="線吹き出し 1 (枠付き) 21"/>
        <xdr:cNvSpPr/>
      </xdr:nvSpPr>
      <xdr:spPr>
        <a:xfrm>
          <a:off x="8799286" y="8490858"/>
          <a:ext cx="5327649" cy="2676072"/>
        </a:xfrm>
        <a:prstGeom prst="borderCallout1">
          <a:avLst>
            <a:gd name="adj1" fmla="val 530"/>
            <a:gd name="adj2" fmla="val 96393"/>
            <a:gd name="adj3" fmla="val -210164"/>
            <a:gd name="adj4" fmla="val 741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ALERT_REQ_M_T120_PRMRYCHK_PD※/ALERT_REQ_M_T120_TT_PD_ON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の場合に、条件成立とする。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実施条件成立となった場合、今回車速がヒステリシスの適用範囲内であれば、</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表示を継続する。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この時、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以内であれば、バルブチェック点灯が優先されるため、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ALERT_REQ_M_T120_PRMRYCHK_PD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の場合に、車速がヒステリシス適用範囲内となった場合、前回車速は点滅条件を満たしていると判断できるため、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経過後であれば、</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は点滅動作となる。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455229</xdr:colOff>
      <xdr:row>49</xdr:row>
      <xdr:rowOff>69925</xdr:rowOff>
    </xdr:from>
    <xdr:to>
      <xdr:col>36</xdr:col>
      <xdr:colOff>239806</xdr:colOff>
      <xdr:row>51</xdr:row>
      <xdr:rowOff>152721</xdr:rowOff>
    </xdr:to>
    <xdr:sp macro="" textlink="">
      <xdr:nvSpPr>
        <xdr:cNvPr id="25" name="線吹き出し 1 (枠付き) 24"/>
        <xdr:cNvSpPr/>
      </xdr:nvSpPr>
      <xdr:spPr>
        <a:xfrm>
          <a:off x="28551258" y="10444011"/>
          <a:ext cx="1613377" cy="409367"/>
        </a:xfrm>
        <a:prstGeom prst="borderCallout1">
          <a:avLst>
            <a:gd name="adj1" fmla="val 127596"/>
            <a:gd name="adj2" fmla="val -185623"/>
            <a:gd name="adj3" fmla="val 32605"/>
            <a:gd name="adj4" fmla="val -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の記載が追加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0</xdr:colOff>
      <xdr:row>2</xdr:row>
      <xdr:rowOff>0</xdr:rowOff>
    </xdr:from>
    <xdr:to>
      <xdr:col>37</xdr:col>
      <xdr:colOff>591774</xdr:colOff>
      <xdr:row>4</xdr:row>
      <xdr:rowOff>180119</xdr:rowOff>
    </xdr:to>
    <xdr:sp macro="" textlink="">
      <xdr:nvSpPr>
        <xdr:cNvPr id="23" name="正方形/長方形 22"/>
        <xdr:cNvSpPr/>
      </xdr:nvSpPr>
      <xdr:spPr>
        <a:xfrm>
          <a:off x="26903082" y="340659"/>
          <a:ext cx="4249374" cy="52077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twoCellAnchor>
    <xdr:from>
      <xdr:col>20</xdr:col>
      <xdr:colOff>58593</xdr:colOff>
      <xdr:row>14</xdr:row>
      <xdr:rowOff>97972</xdr:rowOff>
    </xdr:from>
    <xdr:to>
      <xdr:col>29</xdr:col>
      <xdr:colOff>58591</xdr:colOff>
      <xdr:row>18</xdr:row>
      <xdr:rowOff>108857</xdr:rowOff>
    </xdr:to>
    <xdr:sp macro="" textlink="">
      <xdr:nvSpPr>
        <xdr:cNvPr id="26" name="正方形/長方形 25"/>
        <xdr:cNvSpPr/>
      </xdr:nvSpPr>
      <xdr:spPr>
        <a:xfrm>
          <a:off x="20229822" y="4746172"/>
          <a:ext cx="5486398" cy="664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151547</xdr:colOff>
      <xdr:row>44</xdr:row>
      <xdr:rowOff>48367</xdr:rowOff>
    </xdr:from>
    <xdr:to>
      <xdr:col>38</xdr:col>
      <xdr:colOff>370115</xdr:colOff>
      <xdr:row>46</xdr:row>
      <xdr:rowOff>127709</xdr:rowOff>
    </xdr:to>
    <xdr:sp macro="" textlink="">
      <xdr:nvSpPr>
        <xdr:cNvPr id="30" name="線吹き出し 1 (枠付き) 29"/>
        <xdr:cNvSpPr/>
      </xdr:nvSpPr>
      <xdr:spPr>
        <a:xfrm>
          <a:off x="30076376" y="9606024"/>
          <a:ext cx="1437768" cy="405914"/>
        </a:xfrm>
        <a:prstGeom prst="borderCallout1">
          <a:avLst>
            <a:gd name="adj1" fmla="val 63554"/>
            <a:gd name="adj2" fmla="val -3589"/>
            <a:gd name="adj3" fmla="val 236659"/>
            <a:gd name="adj4" fmla="val -6129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40" t="s">
        <v>14</v>
      </c>
      <c r="J2" s="240"/>
      <c r="K2" s="240"/>
      <c r="L2" s="240"/>
      <c r="M2" s="240"/>
      <c r="N2" s="240"/>
      <c r="O2" s="240"/>
      <c r="P2" s="240"/>
      <c r="Q2" s="240"/>
      <c r="R2" s="240"/>
    </row>
    <row r="3" spans="2:18" ht="25.5" customHeight="1">
      <c r="C3" s="6"/>
      <c r="D3" s="10" t="str">
        <f ca="1">REPLACE(LEFT(CELL("filename",$B$1),FIND(".xls",CELL("filename",$B$1))-1),1,FIND("[",CELL("filename",$B$1)),)</f>
        <v>alert_M_T120-CSTD-0-01-D-C0</v>
      </c>
      <c r="E3" s="6"/>
      <c r="F3" s="6"/>
      <c r="H3" s="8" t="s">
        <v>172</v>
      </c>
      <c r="I3" s="241" t="s">
        <v>197</v>
      </c>
      <c r="J3" s="242"/>
      <c r="K3" s="242"/>
      <c r="L3" s="242"/>
      <c r="M3" s="242"/>
      <c r="N3" s="242"/>
      <c r="O3" s="242"/>
      <c r="P3" s="242"/>
      <c r="Q3" s="242"/>
      <c r="R3" s="242"/>
    </row>
    <row r="4" spans="2:18" ht="25.5" customHeight="1">
      <c r="C4" s="6"/>
      <c r="D4" s="6"/>
      <c r="E4" s="23" t="str">
        <f>DGET(B8:C14,"Ver.",H4:H5)</f>
        <v>1.1.0</v>
      </c>
      <c r="F4" s="6"/>
      <c r="H4" s="9" t="s">
        <v>16</v>
      </c>
    </row>
    <row r="5" spans="2:18" ht="25.5" customHeight="1">
      <c r="C5" s="6"/>
      <c r="D5" s="6"/>
      <c r="E5" s="6"/>
      <c r="F5" s="6"/>
      <c r="H5" s="11">
        <f>MAX(B9:B14)</f>
        <v>2</v>
      </c>
    </row>
    <row r="6" spans="2:18" ht="14.25" thickBot="1"/>
    <row r="7" spans="2:18">
      <c r="C7" s="234" t="s">
        <v>0</v>
      </c>
      <c r="D7" s="235"/>
      <c r="E7" s="236" t="s">
        <v>2</v>
      </c>
      <c r="F7" s="236"/>
      <c r="G7" s="237" t="s">
        <v>5</v>
      </c>
      <c r="H7" s="237"/>
      <c r="I7" s="237"/>
      <c r="J7" s="237"/>
      <c r="K7" s="237"/>
      <c r="L7" s="237"/>
      <c r="M7" s="238" t="s">
        <v>12</v>
      </c>
      <c r="N7" s="238"/>
      <c r="O7" s="238"/>
      <c r="P7" s="238"/>
      <c r="Q7" s="238"/>
      <c r="R7" s="239"/>
    </row>
    <row r="8" spans="2:18"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62.75" thickTop="1">
      <c r="B9" s="9">
        <f>IF(C9=0,0,ROW()-ROW($B$8))</f>
        <v>1</v>
      </c>
      <c r="C9" s="12" t="s">
        <v>15</v>
      </c>
      <c r="D9" s="230" t="s">
        <v>323</v>
      </c>
      <c r="E9" s="1" t="s">
        <v>127</v>
      </c>
      <c r="F9" s="1" t="s">
        <v>196</v>
      </c>
      <c r="G9" s="1" t="s">
        <v>127</v>
      </c>
      <c r="H9" s="1" t="s">
        <v>127</v>
      </c>
      <c r="I9" s="1" t="s">
        <v>127</v>
      </c>
      <c r="J9" s="1" t="s">
        <v>127</v>
      </c>
      <c r="K9" s="1" t="s">
        <v>127</v>
      </c>
      <c r="L9" s="1" t="s">
        <v>127</v>
      </c>
      <c r="M9" s="1"/>
      <c r="N9" s="1"/>
      <c r="O9" s="1"/>
      <c r="P9" s="1"/>
      <c r="Q9" s="1" t="s">
        <v>321</v>
      </c>
      <c r="R9" s="229">
        <v>44264</v>
      </c>
    </row>
    <row r="10" spans="2:18" ht="94.5">
      <c r="B10" s="9">
        <f t="shared" ref="B10:B13" si="0">IF(C10=0,0,ROW()-ROW($B$8))</f>
        <v>2</v>
      </c>
      <c r="C10" s="2" t="s">
        <v>324</v>
      </c>
      <c r="D10" s="227" t="s">
        <v>327</v>
      </c>
      <c r="E10" s="13" t="s">
        <v>31</v>
      </c>
      <c r="F10" s="13" t="s">
        <v>325</v>
      </c>
      <c r="G10" s="13" t="s">
        <v>31</v>
      </c>
      <c r="H10" s="13" t="s">
        <v>31</v>
      </c>
      <c r="I10" s="13" t="s">
        <v>31</v>
      </c>
      <c r="J10" s="13" t="s">
        <v>31</v>
      </c>
      <c r="K10" s="13" t="s">
        <v>31</v>
      </c>
      <c r="L10" s="13" t="s">
        <v>31</v>
      </c>
      <c r="M10" s="13"/>
      <c r="N10" s="226"/>
      <c r="O10" s="13"/>
      <c r="P10" s="226"/>
      <c r="Q10" s="13" t="s">
        <v>326</v>
      </c>
      <c r="R10" s="188">
        <v>44575</v>
      </c>
    </row>
    <row r="11" spans="2:18">
      <c r="B11" s="9">
        <f t="shared" si="0"/>
        <v>0</v>
      </c>
      <c r="C11" s="2"/>
      <c r="D11" s="227"/>
      <c r="E11" s="1"/>
      <c r="F11" s="1"/>
      <c r="G11" s="1"/>
      <c r="H11" s="1"/>
      <c r="I11" s="1"/>
      <c r="J11" s="1"/>
      <c r="K11" s="1"/>
      <c r="L11" s="1"/>
      <c r="M11" s="1"/>
      <c r="N11" s="1"/>
      <c r="O11" s="1"/>
      <c r="P11" s="1"/>
      <c r="Q11" s="1"/>
      <c r="R11" s="229"/>
    </row>
    <row r="12" spans="2:18">
      <c r="B12" s="9">
        <f t="shared" si="0"/>
        <v>0</v>
      </c>
      <c r="C12" s="2"/>
      <c r="D12" s="227"/>
      <c r="E12" s="1"/>
      <c r="F12" s="1"/>
      <c r="G12" s="1"/>
      <c r="H12" s="1"/>
      <c r="I12" s="1"/>
      <c r="J12" s="1"/>
      <c r="K12" s="1"/>
      <c r="L12" s="1"/>
      <c r="M12" s="1"/>
      <c r="N12" s="1"/>
      <c r="O12" s="1"/>
      <c r="P12" s="1"/>
      <c r="Q12" s="1"/>
      <c r="R12" s="229"/>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election activeCell="E20" sqref="E20"/>
    </sheetView>
  </sheetViews>
  <sheetFormatPr defaultRowHeight="13.5"/>
  <cols>
    <col min="2" max="2" width="4.625" customWidth="1"/>
    <col min="3" max="3" width="3.5" customWidth="1"/>
    <col min="4" max="4" width="17.5" customWidth="1"/>
    <col min="5" max="5" width="106" customWidth="1"/>
  </cols>
  <sheetData>
    <row r="2" spans="2:5">
      <c r="B2" s="151" t="s">
        <v>129</v>
      </c>
    </row>
    <row r="3" spans="2:5">
      <c r="C3" t="s">
        <v>139</v>
      </c>
    </row>
    <row r="6" spans="2:5" ht="14.25" thickBot="1">
      <c r="B6" s="151" t="s">
        <v>130</v>
      </c>
      <c r="C6" s="151"/>
    </row>
    <row r="7" spans="2:5" ht="14.25" thickBot="1">
      <c r="C7" s="75" t="s">
        <v>132</v>
      </c>
      <c r="D7" s="83"/>
      <c r="E7" s="76" t="s">
        <v>140</v>
      </c>
    </row>
    <row r="8" spans="2:5" ht="20.25" customHeight="1" thickTop="1">
      <c r="C8" s="155">
        <v>0</v>
      </c>
      <c r="D8" s="84" t="s">
        <v>141</v>
      </c>
      <c r="E8" s="154" t="s">
        <v>331</v>
      </c>
    </row>
    <row r="9" spans="2:5">
      <c r="C9" s="161"/>
      <c r="D9" s="163"/>
      <c r="E9" s="162"/>
    </row>
    <row r="10" spans="2:5" ht="14.25" thickBot="1">
      <c r="C10" s="159"/>
      <c r="D10" s="86"/>
      <c r="E10" s="5"/>
    </row>
    <row r="11" spans="2:5">
      <c r="C11" s="157"/>
    </row>
    <row r="12" spans="2:5" ht="14.25" thickBot="1">
      <c r="B12" s="152" t="s">
        <v>131</v>
      </c>
      <c r="C12" s="82"/>
      <c r="D12" s="82"/>
    </row>
    <row r="13" spans="2:5" ht="14.25" thickBot="1">
      <c r="B13" s="153"/>
      <c r="C13" s="158" t="s">
        <v>132</v>
      </c>
      <c r="D13" s="83" t="s">
        <v>133</v>
      </c>
      <c r="E13" s="76" t="s">
        <v>134</v>
      </c>
    </row>
    <row r="14" spans="2:5" ht="14.25" thickTop="1">
      <c r="C14" s="155">
        <v>0</v>
      </c>
      <c r="D14" s="84" t="s">
        <v>146</v>
      </c>
      <c r="E14" s="160" t="s">
        <v>147</v>
      </c>
    </row>
    <row r="15" spans="2:5">
      <c r="C15" s="156">
        <v>1</v>
      </c>
      <c r="D15" s="85" t="s">
        <v>23</v>
      </c>
      <c r="E15" s="72" t="s">
        <v>135</v>
      </c>
    </row>
    <row r="16" spans="2:5">
      <c r="C16" s="156">
        <v>2</v>
      </c>
      <c r="D16" s="85" t="s">
        <v>24</v>
      </c>
      <c r="E16" s="72" t="s">
        <v>136</v>
      </c>
    </row>
    <row r="17" spans="2:5">
      <c r="C17" s="156">
        <v>3</v>
      </c>
      <c r="D17" s="85" t="s">
        <v>25</v>
      </c>
      <c r="E17" s="72" t="s">
        <v>137</v>
      </c>
    </row>
    <row r="18" spans="2:5">
      <c r="C18" s="156">
        <v>4</v>
      </c>
      <c r="D18" s="85" t="s">
        <v>26</v>
      </c>
      <c r="E18" s="72" t="s">
        <v>138</v>
      </c>
    </row>
    <row r="19" spans="2:5">
      <c r="C19" s="156">
        <v>5</v>
      </c>
      <c r="D19" s="85" t="s">
        <v>148</v>
      </c>
      <c r="E19" s="72" t="s">
        <v>150</v>
      </c>
    </row>
    <row r="20" spans="2:5">
      <c r="C20" s="156">
        <v>6</v>
      </c>
      <c r="D20" s="85" t="s">
        <v>154</v>
      </c>
      <c r="E20" s="72" t="s">
        <v>167</v>
      </c>
    </row>
    <row r="21" spans="2:5" ht="14.25" thickBot="1">
      <c r="C21" s="159"/>
      <c r="D21" s="86"/>
      <c r="E21" s="5"/>
    </row>
    <row r="24" spans="2:5" ht="14.25" thickBot="1">
      <c r="B24" s="151" t="s">
        <v>142</v>
      </c>
    </row>
    <row r="25" spans="2:5" ht="14.25" thickBot="1">
      <c r="C25" s="158" t="s">
        <v>132</v>
      </c>
      <c r="D25" s="83" t="s">
        <v>133</v>
      </c>
      <c r="E25" s="76" t="s">
        <v>134</v>
      </c>
    </row>
    <row r="26" spans="2:5" ht="30.75" customHeight="1" thickTop="1">
      <c r="C26" s="155">
        <v>0</v>
      </c>
      <c r="D26" s="84" t="s">
        <v>143</v>
      </c>
      <c r="E26" s="160" t="s">
        <v>151</v>
      </c>
    </row>
    <row r="27" spans="2:5" ht="120" customHeight="1">
      <c r="C27" s="156">
        <v>1</v>
      </c>
      <c r="D27" s="85" t="s">
        <v>169</v>
      </c>
      <c r="E27" s="87" t="s">
        <v>171</v>
      </c>
    </row>
    <row r="28" spans="2:5" ht="81" customHeight="1">
      <c r="C28" s="156">
        <v>2</v>
      </c>
      <c r="D28" s="85" t="s">
        <v>166</v>
      </c>
      <c r="E28" s="87" t="s">
        <v>176</v>
      </c>
    </row>
    <row r="29" spans="2:5" ht="45" customHeight="1">
      <c r="C29" s="156">
        <v>3</v>
      </c>
      <c r="D29" s="85" t="s">
        <v>149</v>
      </c>
      <c r="E29" s="87" t="s">
        <v>152</v>
      </c>
    </row>
    <row r="30" spans="2:5" ht="16.5" customHeight="1">
      <c r="C30" s="156">
        <v>4</v>
      </c>
      <c r="D30" s="85" t="s">
        <v>144</v>
      </c>
      <c r="E30" s="72" t="s">
        <v>158</v>
      </c>
    </row>
    <row r="31" spans="2:5" ht="16.5" customHeight="1">
      <c r="C31" s="156">
        <v>5</v>
      </c>
      <c r="D31" s="85" t="s">
        <v>145</v>
      </c>
      <c r="E31" s="72" t="s">
        <v>153</v>
      </c>
    </row>
    <row r="32" spans="2:5">
      <c r="C32" s="156"/>
      <c r="D32" s="85"/>
      <c r="E32" s="72"/>
    </row>
    <row r="33" spans="2:5">
      <c r="C33" s="156"/>
      <c r="D33" s="85"/>
      <c r="E33" s="72"/>
    </row>
    <row r="34" spans="2:5" ht="14.25" thickBot="1">
      <c r="C34" s="159"/>
      <c r="D34" s="86"/>
      <c r="E34" s="5"/>
    </row>
    <row r="37" spans="2:5" ht="14.25" thickBot="1">
      <c r="B37" s="151" t="s">
        <v>163</v>
      </c>
    </row>
    <row r="38" spans="2:5">
      <c r="C38" s="243"/>
      <c r="D38" s="244"/>
      <c r="E38" s="110" t="s">
        <v>118</v>
      </c>
    </row>
    <row r="39" spans="2:5" ht="14.25" thickBot="1">
      <c r="C39" s="245"/>
      <c r="D39" s="246"/>
      <c r="E39" s="5" t="s">
        <v>119</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7" t="s">
        <v>19</v>
      </c>
      <c r="C2" s="248"/>
      <c r="D2" s="253" t="s">
        <v>330</v>
      </c>
      <c r="E2" s="254"/>
      <c r="F2" s="254"/>
      <c r="G2" s="254"/>
      <c r="H2" s="255"/>
    </row>
    <row r="3" spans="2:14">
      <c r="B3" s="249" t="s">
        <v>116</v>
      </c>
      <c r="C3" s="250"/>
      <c r="D3" s="256" t="s">
        <v>328</v>
      </c>
      <c r="E3" s="257"/>
      <c r="F3" s="257"/>
      <c r="G3" s="257"/>
      <c r="H3" s="258"/>
    </row>
    <row r="4" spans="2:14" ht="14.25" thickBot="1">
      <c r="B4" s="251" t="s">
        <v>18</v>
      </c>
      <c r="C4" s="252"/>
      <c r="D4" s="259" t="str">
        <f ca="1">表紙!D3&amp;".c"</f>
        <v>alert_M_T120-CSTD-0-01-D-C0.c</v>
      </c>
      <c r="E4" s="260"/>
      <c r="F4" s="260"/>
      <c r="G4" s="260"/>
      <c r="H4" s="26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7" t="s">
        <v>36</v>
      </c>
      <c r="C6" s="248"/>
      <c r="D6" s="262" t="str">
        <f ca="1">MID(D4, LEN("alert_") + 1, FIND("-",D4,1) - LEN("alert_") - 1)</f>
        <v>M_T120</v>
      </c>
      <c r="E6" s="263"/>
      <c r="F6" s="263"/>
      <c r="G6" s="263"/>
      <c r="H6" s="264"/>
    </row>
    <row r="7" spans="2:14">
      <c r="B7" s="249" t="s">
        <v>37</v>
      </c>
      <c r="C7" s="250"/>
      <c r="D7" s="265">
        <f>COUNTA($D$13:$D$37)</f>
        <v>1</v>
      </c>
      <c r="E7" s="266"/>
      <c r="F7" s="266"/>
      <c r="G7" s="266"/>
      <c r="H7" s="267"/>
    </row>
    <row r="8" spans="2:14">
      <c r="B8" s="249" t="s">
        <v>95</v>
      </c>
      <c r="C8" s="250"/>
      <c r="D8" s="265" t="str">
        <f ca="1">"st_gp_ALERT_"&amp;UPPER(D6)&amp;"_MTRX"</f>
        <v>st_gp_ALERT_M_T120_MTRX</v>
      </c>
      <c r="E8" s="266"/>
      <c r="F8" s="266"/>
      <c r="G8" s="266"/>
      <c r="H8" s="267"/>
    </row>
    <row r="9" spans="2:14">
      <c r="B9" s="249" t="s">
        <v>38</v>
      </c>
      <c r="C9" s="250"/>
      <c r="D9" s="268" t="s">
        <v>200</v>
      </c>
      <c r="E9" s="269"/>
      <c r="F9" s="269"/>
      <c r="G9" s="269"/>
      <c r="H9" s="270"/>
    </row>
    <row r="10" spans="2:14" ht="14.25" thickBot="1">
      <c r="B10" s="251" t="s">
        <v>44</v>
      </c>
      <c r="C10" s="252"/>
      <c r="D10" s="271" t="s">
        <v>322</v>
      </c>
      <c r="E10" s="272"/>
      <c r="F10" s="272"/>
      <c r="G10" s="272"/>
      <c r="H10" s="273"/>
    </row>
    <row r="11" spans="2:14" ht="14.25" thickBot="1"/>
    <row r="12" spans="2:14" ht="14.25" thickBot="1">
      <c r="B12" s="142" t="s">
        <v>34</v>
      </c>
      <c r="C12" s="101" t="s">
        <v>43</v>
      </c>
      <c r="D12" s="102" t="s">
        <v>35</v>
      </c>
      <c r="E12" s="102" t="s">
        <v>39</v>
      </c>
      <c r="F12" s="102" t="s">
        <v>40</v>
      </c>
      <c r="G12" s="102" t="s">
        <v>41</v>
      </c>
      <c r="H12" s="103" t="s">
        <v>42</v>
      </c>
      <c r="I12" s="147" t="s">
        <v>51</v>
      </c>
      <c r="K12" s="43" t="s">
        <v>45</v>
      </c>
      <c r="L12" s="43" t="s">
        <v>38</v>
      </c>
      <c r="M12" t="s">
        <v>87</v>
      </c>
    </row>
    <row r="13" spans="2:14" ht="14.25" thickTop="1">
      <c r="B13" s="104">
        <v>1</v>
      </c>
      <c r="C13" s="108" t="s">
        <v>198</v>
      </c>
      <c r="D13" s="109" t="s">
        <v>48</v>
      </c>
      <c r="E13" s="109" t="s">
        <v>162</v>
      </c>
      <c r="F13" s="49" t="str">
        <f t="shared" ref="F13:F37" ca="1" si="0">IF($D13&lt;&gt;"","u4_s_Alert"&amp;UPPER(LEFT($D$6,1))&amp;LOWER(MID($D$6,2,100))&amp;IF($D$7=1,"",N13)&amp;"Srcchk","")</f>
        <v>u4_s_AlertM_t120Srcchk</v>
      </c>
      <c r="G13" s="49" t="str">
        <f t="shared" ref="G13:G37" si="1">IF($D13&lt;&gt;"",IF($E13="○","vd_s_Alert"&amp;UPPER(LEFT($D$6,1))&amp;LOWER(MID($D$6,2,100))&amp;IF($D$7=1,"",N13)&amp;"RwTx","NULL"),"")</f>
        <v>NULL</v>
      </c>
      <c r="H13" s="107" t="str">
        <f ca="1">IF($D13&lt;&gt;"","ALERT_CH_"&amp;UPPER($D$6)&amp;IF($D$7=1,"","_"&amp;UPPER($C13)),"")</f>
        <v>ALERT_CH_M_T120</v>
      </c>
      <c r="I13" s="148" t="str">
        <f ca="1">IF($D13&lt;&gt;"","ALERT_REQ_"&amp;UPPER($D$6)&amp;IF($D$7=1,"","_"&amp;UPPER($C13)),"")</f>
        <v>ALERT_REQ_M_T120</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4">
        <v>2</v>
      </c>
      <c r="C14" s="145"/>
      <c r="D14" s="146"/>
      <c r="E14" s="146"/>
      <c r="F14" s="44" t="str">
        <f t="shared" si="0"/>
        <v/>
      </c>
      <c r="G14" s="44" t="str">
        <f t="shared" si="1"/>
        <v/>
      </c>
      <c r="H14" s="65" t="str">
        <f t="shared" ref="H14:H37" si="4">IF($D14&lt;&gt;"","ALERT_CH_"&amp;UPPER($D$6)&amp;IF($D$7=1,"","_"&amp;UPPER($C14)),"")</f>
        <v/>
      </c>
      <c r="I14" s="149" t="str">
        <f t="shared" ref="I14:I37" si="5">IF($D14&lt;&gt;"","ALERT_REQ_"&amp;UPPER($D$6)&amp;IF($D$7=1,"","_"&amp;UPPER($C14)),"")</f>
        <v/>
      </c>
      <c r="K14" t="s">
        <v>47</v>
      </c>
      <c r="L14" t="str">
        <f ca="1">"vd_g_Alert"&amp;UPPER(LEFT(D6,1))&amp;LOWER(MID(D6,2,100))&amp;"Init"</f>
        <v>vd_g_AlertM_t120Init</v>
      </c>
      <c r="M14" t="e">
        <f t="shared" si="2"/>
        <v>#VALUE!</v>
      </c>
      <c r="N14" t="str">
        <f t="shared" si="3"/>
        <v/>
      </c>
    </row>
    <row r="15" spans="2:14">
      <c r="B15" s="94">
        <v>3</v>
      </c>
      <c r="C15" s="145"/>
      <c r="D15" s="146"/>
      <c r="E15" s="146"/>
      <c r="F15" s="44" t="str">
        <f t="shared" si="0"/>
        <v/>
      </c>
      <c r="G15" s="44" t="str">
        <f t="shared" si="1"/>
        <v/>
      </c>
      <c r="H15" s="65" t="str">
        <f t="shared" si="4"/>
        <v/>
      </c>
      <c r="I15" s="149" t="str">
        <f t="shared" si="5"/>
        <v/>
      </c>
      <c r="K15" t="s">
        <v>120</v>
      </c>
      <c r="M15" t="e">
        <f t="shared" si="2"/>
        <v>#VALUE!</v>
      </c>
      <c r="N15" t="str">
        <f t="shared" si="3"/>
        <v/>
      </c>
    </row>
    <row r="16" spans="2:14">
      <c r="B16" s="94">
        <v>4</v>
      </c>
      <c r="C16" s="145"/>
      <c r="D16" s="146"/>
      <c r="E16" s="146"/>
      <c r="F16" s="44" t="str">
        <f t="shared" si="0"/>
        <v/>
      </c>
      <c r="G16" s="44" t="str">
        <f t="shared" si="1"/>
        <v/>
      </c>
      <c r="H16" s="65" t="str">
        <f t="shared" si="4"/>
        <v/>
      </c>
      <c r="I16" s="149" t="str">
        <f t="shared" si="5"/>
        <v/>
      </c>
      <c r="K16" t="s">
        <v>121</v>
      </c>
      <c r="M16" t="e">
        <f t="shared" si="2"/>
        <v>#VALUE!</v>
      </c>
      <c r="N16" t="str">
        <f t="shared" si="3"/>
        <v/>
      </c>
    </row>
    <row r="17" spans="2:14">
      <c r="B17" s="94">
        <v>5</v>
      </c>
      <c r="C17" s="145"/>
      <c r="D17" s="146"/>
      <c r="E17" s="146"/>
      <c r="F17" s="44" t="str">
        <f t="shared" si="0"/>
        <v/>
      </c>
      <c r="G17" s="44" t="str">
        <f t="shared" si="1"/>
        <v/>
      </c>
      <c r="H17" s="65" t="str">
        <f t="shared" si="4"/>
        <v/>
      </c>
      <c r="I17" s="149" t="str">
        <f t="shared" si="5"/>
        <v/>
      </c>
      <c r="K17" t="s">
        <v>48</v>
      </c>
      <c r="M17" t="e">
        <f t="shared" si="2"/>
        <v>#VALUE!</v>
      </c>
      <c r="N17" t="str">
        <f t="shared" si="3"/>
        <v/>
      </c>
    </row>
    <row r="18" spans="2:14">
      <c r="B18" s="94">
        <v>6</v>
      </c>
      <c r="C18" s="145"/>
      <c r="D18" s="146"/>
      <c r="E18" s="146"/>
      <c r="F18" s="44" t="str">
        <f t="shared" si="0"/>
        <v/>
      </c>
      <c r="G18" s="44" t="str">
        <f t="shared" si="1"/>
        <v/>
      </c>
      <c r="H18" s="65" t="str">
        <f t="shared" si="4"/>
        <v/>
      </c>
      <c r="I18" s="149" t="str">
        <f t="shared" si="5"/>
        <v/>
      </c>
      <c r="K18" t="s">
        <v>49</v>
      </c>
      <c r="M18" t="e">
        <f t="shared" si="2"/>
        <v>#VALUE!</v>
      </c>
      <c r="N18" t="str">
        <f t="shared" si="3"/>
        <v/>
      </c>
    </row>
    <row r="19" spans="2:14">
      <c r="B19" s="94">
        <v>7</v>
      </c>
      <c r="C19" s="145"/>
      <c r="D19" s="146"/>
      <c r="E19" s="146"/>
      <c r="F19" s="44" t="str">
        <f t="shared" si="0"/>
        <v/>
      </c>
      <c r="G19" s="44" t="str">
        <f t="shared" si="1"/>
        <v/>
      </c>
      <c r="H19" s="65" t="str">
        <f t="shared" si="4"/>
        <v/>
      </c>
      <c r="I19" s="149" t="str">
        <f t="shared" si="5"/>
        <v/>
      </c>
      <c r="K19" t="s">
        <v>49</v>
      </c>
      <c r="M19" t="e">
        <f t="shared" si="2"/>
        <v>#VALUE!</v>
      </c>
      <c r="N19" t="str">
        <f t="shared" si="3"/>
        <v/>
      </c>
    </row>
    <row r="20" spans="2:14">
      <c r="B20" s="94">
        <v>8</v>
      </c>
      <c r="C20" s="145"/>
      <c r="D20" s="146"/>
      <c r="E20" s="146"/>
      <c r="F20" s="44" t="str">
        <f t="shared" si="0"/>
        <v/>
      </c>
      <c r="G20" s="44" t="str">
        <f t="shared" si="1"/>
        <v/>
      </c>
      <c r="H20" s="65" t="str">
        <f t="shared" si="4"/>
        <v/>
      </c>
      <c r="I20" s="149" t="str">
        <f t="shared" si="5"/>
        <v/>
      </c>
      <c r="K20" t="s">
        <v>49</v>
      </c>
      <c r="M20" t="e">
        <f t="shared" si="2"/>
        <v>#VALUE!</v>
      </c>
      <c r="N20" t="str">
        <f t="shared" si="3"/>
        <v/>
      </c>
    </row>
    <row r="21" spans="2:14">
      <c r="B21" s="94">
        <v>9</v>
      </c>
      <c r="C21" s="145"/>
      <c r="D21" s="146"/>
      <c r="E21" s="146"/>
      <c r="F21" s="44" t="str">
        <f t="shared" si="0"/>
        <v/>
      </c>
      <c r="G21" s="44" t="str">
        <f t="shared" si="1"/>
        <v/>
      </c>
      <c r="H21" s="65" t="str">
        <f t="shared" si="4"/>
        <v/>
      </c>
      <c r="I21" s="149" t="str">
        <f t="shared" si="5"/>
        <v/>
      </c>
      <c r="K21" t="s">
        <v>49</v>
      </c>
      <c r="M21" t="e">
        <f t="shared" si="2"/>
        <v>#VALUE!</v>
      </c>
      <c r="N21" t="str">
        <f t="shared" si="3"/>
        <v/>
      </c>
    </row>
    <row r="22" spans="2:14">
      <c r="B22" s="94">
        <v>10</v>
      </c>
      <c r="C22" s="145"/>
      <c r="D22" s="146"/>
      <c r="E22" s="146"/>
      <c r="F22" s="44" t="str">
        <f t="shared" si="0"/>
        <v/>
      </c>
      <c r="G22" s="44" t="str">
        <f t="shared" si="1"/>
        <v/>
      </c>
      <c r="H22" s="65" t="str">
        <f t="shared" si="4"/>
        <v/>
      </c>
      <c r="I22" s="149" t="str">
        <f t="shared" si="5"/>
        <v/>
      </c>
      <c r="K22" t="s">
        <v>49</v>
      </c>
      <c r="M22" t="e">
        <f t="shared" si="2"/>
        <v>#VALUE!</v>
      </c>
      <c r="N22" t="str">
        <f t="shared" si="3"/>
        <v/>
      </c>
    </row>
    <row r="23" spans="2:14">
      <c r="B23" s="94">
        <v>11</v>
      </c>
      <c r="C23" s="145"/>
      <c r="D23" s="146"/>
      <c r="E23" s="146"/>
      <c r="F23" s="44" t="str">
        <f t="shared" si="0"/>
        <v/>
      </c>
      <c r="G23" s="44" t="str">
        <f t="shared" si="1"/>
        <v/>
      </c>
      <c r="H23" s="65" t="str">
        <f t="shared" si="4"/>
        <v/>
      </c>
      <c r="I23" s="149" t="str">
        <f t="shared" si="5"/>
        <v/>
      </c>
      <c r="K23" t="s">
        <v>49</v>
      </c>
      <c r="M23" t="e">
        <f t="shared" si="2"/>
        <v>#VALUE!</v>
      </c>
      <c r="N23" t="str">
        <f t="shared" si="3"/>
        <v/>
      </c>
    </row>
    <row r="24" spans="2:14">
      <c r="B24" s="94">
        <v>12</v>
      </c>
      <c r="C24" s="145"/>
      <c r="D24" s="146"/>
      <c r="E24" s="146"/>
      <c r="F24" s="44" t="str">
        <f t="shared" si="0"/>
        <v/>
      </c>
      <c r="G24" s="44" t="str">
        <f t="shared" si="1"/>
        <v/>
      </c>
      <c r="H24" s="65" t="str">
        <f t="shared" si="4"/>
        <v/>
      </c>
      <c r="I24" s="149" t="str">
        <f t="shared" si="5"/>
        <v/>
      </c>
      <c r="K24" t="s">
        <v>49</v>
      </c>
      <c r="M24" t="e">
        <f t="shared" si="2"/>
        <v>#VALUE!</v>
      </c>
      <c r="N24" t="str">
        <f t="shared" si="3"/>
        <v/>
      </c>
    </row>
    <row r="25" spans="2:14">
      <c r="B25" s="94">
        <v>13</v>
      </c>
      <c r="C25" s="145"/>
      <c r="D25" s="146"/>
      <c r="E25" s="146"/>
      <c r="F25" s="44" t="str">
        <f t="shared" si="0"/>
        <v/>
      </c>
      <c r="G25" s="44" t="str">
        <f t="shared" si="1"/>
        <v/>
      </c>
      <c r="H25" s="65" t="str">
        <f t="shared" si="4"/>
        <v/>
      </c>
      <c r="I25" s="149" t="str">
        <f t="shared" si="5"/>
        <v/>
      </c>
      <c r="K25" t="s">
        <v>49</v>
      </c>
      <c r="M25" t="e">
        <f t="shared" si="2"/>
        <v>#VALUE!</v>
      </c>
      <c r="N25" t="str">
        <f t="shared" si="3"/>
        <v/>
      </c>
    </row>
    <row r="26" spans="2:14">
      <c r="B26" s="94">
        <v>14</v>
      </c>
      <c r="C26" s="145"/>
      <c r="D26" s="146"/>
      <c r="E26" s="146"/>
      <c r="F26" s="44" t="str">
        <f t="shared" si="0"/>
        <v/>
      </c>
      <c r="G26" s="44" t="str">
        <f t="shared" si="1"/>
        <v/>
      </c>
      <c r="H26" s="65" t="str">
        <f t="shared" si="4"/>
        <v/>
      </c>
      <c r="I26" s="149" t="str">
        <f t="shared" si="5"/>
        <v/>
      </c>
      <c r="K26" t="s">
        <v>49</v>
      </c>
      <c r="M26" t="e">
        <f t="shared" si="2"/>
        <v>#VALUE!</v>
      </c>
      <c r="N26" t="str">
        <f t="shared" si="3"/>
        <v/>
      </c>
    </row>
    <row r="27" spans="2:14">
      <c r="B27" s="94">
        <v>15</v>
      </c>
      <c r="C27" s="145"/>
      <c r="D27" s="146"/>
      <c r="E27" s="146"/>
      <c r="F27" s="44" t="str">
        <f t="shared" si="0"/>
        <v/>
      </c>
      <c r="G27" s="44" t="str">
        <f t="shared" si="1"/>
        <v/>
      </c>
      <c r="H27" s="65" t="str">
        <f t="shared" si="4"/>
        <v/>
      </c>
      <c r="I27" s="149" t="str">
        <f t="shared" si="5"/>
        <v/>
      </c>
      <c r="K27" t="s">
        <v>49</v>
      </c>
      <c r="M27" t="e">
        <f t="shared" si="2"/>
        <v>#VALUE!</v>
      </c>
      <c r="N27" t="str">
        <f t="shared" si="3"/>
        <v/>
      </c>
    </row>
    <row r="28" spans="2:14">
      <c r="B28" s="94">
        <v>16</v>
      </c>
      <c r="C28" s="145"/>
      <c r="D28" s="146"/>
      <c r="E28" s="146"/>
      <c r="F28" s="44" t="str">
        <f t="shared" si="0"/>
        <v/>
      </c>
      <c r="G28" s="44" t="str">
        <f t="shared" si="1"/>
        <v/>
      </c>
      <c r="H28" s="65" t="str">
        <f t="shared" si="4"/>
        <v/>
      </c>
      <c r="I28" s="149" t="str">
        <f t="shared" si="5"/>
        <v/>
      </c>
      <c r="K28" t="s">
        <v>49</v>
      </c>
      <c r="M28" t="e">
        <f t="shared" si="2"/>
        <v>#VALUE!</v>
      </c>
      <c r="N28" t="str">
        <f t="shared" si="3"/>
        <v/>
      </c>
    </row>
    <row r="29" spans="2:14">
      <c r="B29" s="94">
        <v>17</v>
      </c>
      <c r="C29" s="145"/>
      <c r="D29" s="146"/>
      <c r="E29" s="146"/>
      <c r="F29" s="44" t="str">
        <f t="shared" si="0"/>
        <v/>
      </c>
      <c r="G29" s="44" t="str">
        <f t="shared" si="1"/>
        <v/>
      </c>
      <c r="H29" s="65" t="str">
        <f t="shared" si="4"/>
        <v/>
      </c>
      <c r="I29" s="149" t="str">
        <f t="shared" si="5"/>
        <v/>
      </c>
      <c r="K29" t="s">
        <v>49</v>
      </c>
      <c r="M29" t="e">
        <f t="shared" si="2"/>
        <v>#VALUE!</v>
      </c>
      <c r="N29" t="str">
        <f t="shared" si="3"/>
        <v/>
      </c>
    </row>
    <row r="30" spans="2:14">
      <c r="B30" s="94">
        <v>18</v>
      </c>
      <c r="C30" s="145"/>
      <c r="D30" s="146"/>
      <c r="E30" s="146"/>
      <c r="F30" s="44" t="str">
        <f t="shared" si="0"/>
        <v/>
      </c>
      <c r="G30" s="44" t="str">
        <f t="shared" si="1"/>
        <v/>
      </c>
      <c r="H30" s="65" t="str">
        <f t="shared" si="4"/>
        <v/>
      </c>
      <c r="I30" s="149" t="str">
        <f t="shared" si="5"/>
        <v/>
      </c>
      <c r="K30" t="s">
        <v>49</v>
      </c>
      <c r="M30" t="e">
        <f t="shared" si="2"/>
        <v>#VALUE!</v>
      </c>
      <c r="N30" t="str">
        <f t="shared" si="3"/>
        <v/>
      </c>
    </row>
    <row r="31" spans="2:14">
      <c r="B31" s="94">
        <v>19</v>
      </c>
      <c r="C31" s="145"/>
      <c r="D31" s="146"/>
      <c r="E31" s="146"/>
      <c r="F31" s="44" t="str">
        <f t="shared" si="0"/>
        <v/>
      </c>
      <c r="G31" s="44" t="str">
        <f t="shared" si="1"/>
        <v/>
      </c>
      <c r="H31" s="65" t="str">
        <f t="shared" si="4"/>
        <v/>
      </c>
      <c r="I31" s="149" t="str">
        <f t="shared" si="5"/>
        <v/>
      </c>
      <c r="K31" t="s">
        <v>49</v>
      </c>
      <c r="M31" t="e">
        <f t="shared" si="2"/>
        <v>#VALUE!</v>
      </c>
      <c r="N31" t="str">
        <f t="shared" si="3"/>
        <v/>
      </c>
    </row>
    <row r="32" spans="2:14">
      <c r="B32" s="94">
        <v>20</v>
      </c>
      <c r="C32" s="145"/>
      <c r="D32" s="146"/>
      <c r="E32" s="146"/>
      <c r="F32" s="44" t="str">
        <f t="shared" si="0"/>
        <v/>
      </c>
      <c r="G32" s="44" t="str">
        <f t="shared" si="1"/>
        <v/>
      </c>
      <c r="H32" s="65" t="str">
        <f t="shared" si="4"/>
        <v/>
      </c>
      <c r="I32" s="149" t="str">
        <f t="shared" si="5"/>
        <v/>
      </c>
      <c r="K32" t="s">
        <v>49</v>
      </c>
      <c r="M32" t="e">
        <f t="shared" si="2"/>
        <v>#VALUE!</v>
      </c>
      <c r="N32" t="str">
        <f t="shared" si="3"/>
        <v/>
      </c>
    </row>
    <row r="33" spans="2:14">
      <c r="B33" s="94">
        <v>21</v>
      </c>
      <c r="C33" s="145"/>
      <c r="D33" s="146"/>
      <c r="E33" s="146"/>
      <c r="F33" s="44" t="str">
        <f t="shared" si="0"/>
        <v/>
      </c>
      <c r="G33" s="44" t="str">
        <f t="shared" si="1"/>
        <v/>
      </c>
      <c r="H33" s="65" t="str">
        <f t="shared" si="4"/>
        <v/>
      </c>
      <c r="I33" s="149" t="str">
        <f t="shared" si="5"/>
        <v/>
      </c>
      <c r="K33" t="s">
        <v>49</v>
      </c>
      <c r="M33" t="e">
        <f t="shared" si="2"/>
        <v>#VALUE!</v>
      </c>
      <c r="N33" t="str">
        <f t="shared" si="3"/>
        <v/>
      </c>
    </row>
    <row r="34" spans="2:14">
      <c r="B34" s="94">
        <v>22</v>
      </c>
      <c r="C34" s="145"/>
      <c r="D34" s="146"/>
      <c r="E34" s="146"/>
      <c r="F34" s="44" t="str">
        <f t="shared" si="0"/>
        <v/>
      </c>
      <c r="G34" s="44" t="str">
        <f t="shared" si="1"/>
        <v/>
      </c>
      <c r="H34" s="65" t="str">
        <f t="shared" si="4"/>
        <v/>
      </c>
      <c r="I34" s="149" t="str">
        <f t="shared" si="5"/>
        <v/>
      </c>
      <c r="K34" t="s">
        <v>49</v>
      </c>
      <c r="M34" t="e">
        <f t="shared" si="2"/>
        <v>#VALUE!</v>
      </c>
      <c r="N34" t="str">
        <f t="shared" si="3"/>
        <v/>
      </c>
    </row>
    <row r="35" spans="2:14">
      <c r="B35" s="94">
        <v>23</v>
      </c>
      <c r="C35" s="145"/>
      <c r="D35" s="146"/>
      <c r="E35" s="146"/>
      <c r="F35" s="44" t="str">
        <f t="shared" si="0"/>
        <v/>
      </c>
      <c r="G35" s="44" t="str">
        <f t="shared" si="1"/>
        <v/>
      </c>
      <c r="H35" s="65" t="str">
        <f t="shared" si="4"/>
        <v/>
      </c>
      <c r="I35" s="149" t="str">
        <f t="shared" si="5"/>
        <v/>
      </c>
      <c r="K35" t="s">
        <v>49</v>
      </c>
      <c r="M35" t="e">
        <f t="shared" si="2"/>
        <v>#VALUE!</v>
      </c>
      <c r="N35" t="str">
        <f t="shared" si="3"/>
        <v/>
      </c>
    </row>
    <row r="36" spans="2:14">
      <c r="B36" s="94">
        <v>24</v>
      </c>
      <c r="C36" s="145"/>
      <c r="D36" s="146"/>
      <c r="E36" s="146"/>
      <c r="F36" s="44" t="str">
        <f t="shared" si="0"/>
        <v/>
      </c>
      <c r="G36" s="44" t="str">
        <f t="shared" si="1"/>
        <v/>
      </c>
      <c r="H36" s="65" t="str">
        <f t="shared" si="4"/>
        <v/>
      </c>
      <c r="I36" s="149" t="str">
        <f t="shared" si="5"/>
        <v/>
      </c>
      <c r="K36" t="s">
        <v>49</v>
      </c>
      <c r="M36" t="e">
        <f t="shared" si="2"/>
        <v>#VALUE!</v>
      </c>
      <c r="N36" t="str">
        <f t="shared" si="3"/>
        <v/>
      </c>
    </row>
    <row r="37" spans="2:14" ht="14.25" thickBot="1">
      <c r="B37" s="95">
        <v>25</v>
      </c>
      <c r="C37" s="143"/>
      <c r="D37" s="144"/>
      <c r="E37" s="144"/>
      <c r="F37" s="52" t="str">
        <f t="shared" si="0"/>
        <v/>
      </c>
      <c r="G37" s="52" t="str">
        <f t="shared" si="1"/>
        <v/>
      </c>
      <c r="H37" s="66" t="str">
        <f t="shared" si="4"/>
        <v/>
      </c>
      <c r="I37" s="150"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3" priority="4">
      <formula>14&lt;LEN($D$6)+LEN($C13)</formula>
    </cfRule>
  </conditionalFormatting>
  <conditionalFormatting sqref="D6">
    <cfRule type="expression" dxfId="12" priority="3">
      <formula>14 &lt; LEN($D$6)</formula>
    </cfRule>
  </conditionalFormatting>
  <conditionalFormatting sqref="D5">
    <cfRule type="containsText" dxfId="11"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42" t="s">
        <v>34</v>
      </c>
      <c r="C3" s="102" t="s">
        <v>178</v>
      </c>
      <c r="D3" s="102" t="s">
        <v>184</v>
      </c>
      <c r="E3" s="103" t="s">
        <v>185</v>
      </c>
      <c r="F3" s="185" t="s">
        <v>180</v>
      </c>
      <c r="G3" s="182" t="s">
        <v>193</v>
      </c>
      <c r="H3" s="43"/>
      <c r="I3" s="43"/>
      <c r="J3" s="43"/>
      <c r="K3" s="43"/>
      <c r="L3" s="43"/>
      <c r="M3" s="43"/>
      <c r="O3" s="142" t="s">
        <v>34</v>
      </c>
      <c r="P3" s="181" t="s">
        <v>174</v>
      </c>
      <c r="Q3" s="181" t="s">
        <v>187</v>
      </c>
      <c r="R3" s="182" t="s">
        <v>180</v>
      </c>
    </row>
    <row r="4" spans="2:18" ht="14.25" hidden="1" thickTop="1">
      <c r="B4" s="173">
        <v>0</v>
      </c>
      <c r="C4" s="174" t="s">
        <v>164</v>
      </c>
      <c r="D4" s="174"/>
      <c r="E4" s="175"/>
      <c r="F4" s="186"/>
      <c r="G4" s="187"/>
      <c r="H4" s="43"/>
      <c r="I4" s="43"/>
      <c r="J4" s="43"/>
      <c r="K4" s="43"/>
      <c r="L4" s="43"/>
      <c r="M4" s="43"/>
      <c r="O4" s="183">
        <v>0</v>
      </c>
      <c r="P4" s="180" t="s">
        <v>164</v>
      </c>
      <c r="Q4" s="180" t="s">
        <v>164</v>
      </c>
      <c r="R4" s="137"/>
    </row>
    <row r="5" spans="2:18" ht="14.25" thickTop="1">
      <c r="B5" s="176">
        <v>1</v>
      </c>
      <c r="C5" s="146"/>
      <c r="D5" s="24"/>
      <c r="E5" s="65" t="str">
        <f>IF($C5&lt;&gt;"","ALERT_" &amp; D5 &amp; "_ID_"&amp;UPPER(Matrix!$D$6) &amp; "_" &amp; $C5,"")</f>
        <v/>
      </c>
      <c r="F5" s="112"/>
      <c r="G5" s="65" t="str">
        <f>IF(E5&lt;&gt;"",LEN(E5),"")</f>
        <v/>
      </c>
      <c r="O5" s="176">
        <v>1</v>
      </c>
      <c r="P5" s="146"/>
      <c r="Q5" s="146"/>
      <c r="R5" s="113"/>
    </row>
    <row r="6" spans="2:18">
      <c r="B6" s="176">
        <v>2</v>
      </c>
      <c r="C6" s="146"/>
      <c r="D6" s="24"/>
      <c r="E6" s="65" t="str">
        <f>IF($C6&lt;&gt;"","ALERT_" &amp; D6 &amp; "_ID_"&amp;UPPER(Matrix!$D$6) &amp; "_" &amp; $C6,"")</f>
        <v/>
      </c>
      <c r="F6" s="112"/>
      <c r="G6" s="65" t="str">
        <f t="shared" ref="G6:G29" si="0">IF(E6&lt;&gt;"",LEN(E6),"")</f>
        <v/>
      </c>
      <c r="O6" s="176">
        <v>2</v>
      </c>
      <c r="P6" s="146"/>
      <c r="Q6" s="146"/>
      <c r="R6" s="113"/>
    </row>
    <row r="7" spans="2:18">
      <c r="B7" s="176">
        <v>3</v>
      </c>
      <c r="C7" s="146"/>
      <c r="D7" s="24"/>
      <c r="E7" s="65" t="str">
        <f>IF($C7&lt;&gt;"","ALERT_" &amp; D7 &amp; "_ID_"&amp;UPPER(Matrix!$D$6) &amp; "_" &amp; $C7,"")</f>
        <v/>
      </c>
      <c r="F7" s="112"/>
      <c r="G7" s="65" t="str">
        <f t="shared" si="0"/>
        <v/>
      </c>
      <c r="O7" s="176">
        <v>3</v>
      </c>
      <c r="P7" s="146"/>
      <c r="Q7" s="146"/>
      <c r="R7" s="113"/>
    </row>
    <row r="8" spans="2:18">
      <c r="B8" s="176">
        <v>4</v>
      </c>
      <c r="C8" s="146"/>
      <c r="D8" s="24"/>
      <c r="E8" s="65" t="str">
        <f>IF($C8&lt;&gt;"","ALERT_" &amp; D8 &amp; "_ID_"&amp;UPPER(Matrix!$D$6) &amp; "_" &amp; $C8,"")</f>
        <v/>
      </c>
      <c r="F8" s="112"/>
      <c r="G8" s="65" t="str">
        <f t="shared" si="0"/>
        <v/>
      </c>
      <c r="O8" s="176">
        <v>4</v>
      </c>
      <c r="P8" s="146"/>
      <c r="Q8" s="146"/>
      <c r="R8" s="113"/>
    </row>
    <row r="9" spans="2:18">
      <c r="B9" s="176">
        <v>5</v>
      </c>
      <c r="C9" s="146"/>
      <c r="D9" s="24"/>
      <c r="E9" s="65" t="str">
        <f>IF($C9&lt;&gt;"","ALERT_" &amp; D9 &amp; "_ID_"&amp;UPPER(Matrix!$D$6) &amp; "_" &amp; $C9,"")</f>
        <v/>
      </c>
      <c r="F9" s="112"/>
      <c r="G9" s="65" t="str">
        <f t="shared" si="0"/>
        <v/>
      </c>
      <c r="O9" s="176">
        <v>5</v>
      </c>
      <c r="P9" s="146"/>
      <c r="Q9" s="146"/>
      <c r="R9" s="113"/>
    </row>
    <row r="10" spans="2:18">
      <c r="B10" s="176">
        <v>6</v>
      </c>
      <c r="C10" s="146"/>
      <c r="D10" s="24"/>
      <c r="E10" s="65" t="str">
        <f>IF($C10&lt;&gt;"","ALERT_" &amp; D10 &amp; "_ID_"&amp;UPPER(Matrix!$D$6) &amp; "_" &amp; $C10,"")</f>
        <v/>
      </c>
      <c r="F10" s="112"/>
      <c r="G10" s="65" t="str">
        <f t="shared" si="0"/>
        <v/>
      </c>
      <c r="O10" s="176">
        <v>6</v>
      </c>
      <c r="P10" s="146"/>
      <c r="Q10" s="146"/>
      <c r="R10" s="113"/>
    </row>
    <row r="11" spans="2:18">
      <c r="B11" s="176">
        <v>7</v>
      </c>
      <c r="C11" s="146"/>
      <c r="D11" s="24"/>
      <c r="E11" s="65" t="str">
        <f>IF($C11&lt;&gt;"","ALERT_" &amp; D11 &amp; "_ID_"&amp;UPPER(Matrix!$D$6) &amp; "_" &amp; $C11,"")</f>
        <v/>
      </c>
      <c r="F11" s="112"/>
      <c r="G11" s="65" t="str">
        <f t="shared" si="0"/>
        <v/>
      </c>
      <c r="O11" s="176">
        <v>7</v>
      </c>
      <c r="P11" s="146"/>
      <c r="Q11" s="146"/>
      <c r="R11" s="113"/>
    </row>
    <row r="12" spans="2:18">
      <c r="B12" s="176">
        <v>8</v>
      </c>
      <c r="C12" s="146"/>
      <c r="D12" s="24"/>
      <c r="E12" s="65" t="str">
        <f>IF($C12&lt;&gt;"","ALERT_" &amp; D12 &amp; "_ID_"&amp;UPPER(Matrix!$D$6) &amp; "_" &amp; $C12,"")</f>
        <v/>
      </c>
      <c r="F12" s="112"/>
      <c r="G12" s="65" t="str">
        <f t="shared" si="0"/>
        <v/>
      </c>
      <c r="O12" s="176">
        <v>8</v>
      </c>
      <c r="P12" s="146"/>
      <c r="Q12" s="146"/>
      <c r="R12" s="113"/>
    </row>
    <row r="13" spans="2:18">
      <c r="B13" s="176">
        <v>9</v>
      </c>
      <c r="C13" s="146"/>
      <c r="D13" s="24"/>
      <c r="E13" s="65" t="str">
        <f>IF($C13&lt;&gt;"","ALERT_" &amp; D13 &amp; "_ID_"&amp;UPPER(Matrix!$D$6) &amp; "_" &amp; $C13,"")</f>
        <v/>
      </c>
      <c r="F13" s="112"/>
      <c r="G13" s="65" t="str">
        <f t="shared" si="0"/>
        <v/>
      </c>
      <c r="O13" s="176">
        <v>9</v>
      </c>
      <c r="P13" s="146"/>
      <c r="Q13" s="146"/>
      <c r="R13" s="113"/>
    </row>
    <row r="14" spans="2:18">
      <c r="B14" s="176">
        <v>10</v>
      </c>
      <c r="C14" s="146"/>
      <c r="D14" s="24"/>
      <c r="E14" s="65" t="str">
        <f>IF($C14&lt;&gt;"","ALERT_" &amp; D14 &amp; "_ID_"&amp;UPPER(Matrix!$D$6) &amp; "_" &amp; $C14,"")</f>
        <v/>
      </c>
      <c r="F14" s="112"/>
      <c r="G14" s="65" t="str">
        <f t="shared" si="0"/>
        <v/>
      </c>
      <c r="O14" s="176">
        <v>10</v>
      </c>
      <c r="P14" s="146"/>
      <c r="Q14" s="146"/>
      <c r="R14" s="113"/>
    </row>
    <row r="15" spans="2:18">
      <c r="B15" s="176">
        <v>11</v>
      </c>
      <c r="C15" s="146"/>
      <c r="D15" s="24"/>
      <c r="E15" s="65" t="str">
        <f>IF($C15&lt;&gt;"","ALERT_" &amp; D15 &amp; "_ID_"&amp;UPPER(Matrix!$D$6) &amp; "_" &amp; $C15,"")</f>
        <v/>
      </c>
      <c r="F15" s="112"/>
      <c r="G15" s="65" t="str">
        <f t="shared" si="0"/>
        <v/>
      </c>
      <c r="O15" s="176">
        <v>11</v>
      </c>
      <c r="P15" s="146"/>
      <c r="Q15" s="146"/>
      <c r="R15" s="113"/>
    </row>
    <row r="16" spans="2:18">
      <c r="B16" s="176">
        <v>12</v>
      </c>
      <c r="C16" s="146"/>
      <c r="D16" s="24"/>
      <c r="E16" s="65" t="str">
        <f>IF($C16&lt;&gt;"","ALERT_" &amp; D16 &amp; "_ID_"&amp;UPPER(Matrix!$D$6) &amp; "_" &amp; $C16,"")</f>
        <v/>
      </c>
      <c r="F16" s="112"/>
      <c r="G16" s="65" t="str">
        <f t="shared" si="0"/>
        <v/>
      </c>
      <c r="O16" s="176">
        <v>12</v>
      </c>
      <c r="P16" s="146"/>
      <c r="Q16" s="146"/>
      <c r="R16" s="113"/>
    </row>
    <row r="17" spans="2:18">
      <c r="B17" s="176">
        <v>13</v>
      </c>
      <c r="C17" s="146"/>
      <c r="D17" s="24"/>
      <c r="E17" s="65" t="str">
        <f>IF($C17&lt;&gt;"","ALERT_" &amp; D17 &amp; "_ID_"&amp;UPPER(Matrix!$D$6) &amp; "_" &amp; $C17,"")</f>
        <v/>
      </c>
      <c r="F17" s="112"/>
      <c r="G17" s="65" t="str">
        <f t="shared" si="0"/>
        <v/>
      </c>
      <c r="O17" s="176">
        <v>13</v>
      </c>
      <c r="P17" s="146"/>
      <c r="Q17" s="146"/>
      <c r="R17" s="113"/>
    </row>
    <row r="18" spans="2:18">
      <c r="B18" s="176">
        <v>14</v>
      </c>
      <c r="C18" s="146"/>
      <c r="D18" s="24"/>
      <c r="E18" s="65" t="str">
        <f>IF($C18&lt;&gt;"","ALERT_" &amp; D18 &amp; "_ID_"&amp;UPPER(Matrix!$D$6) &amp; "_" &amp; $C18,"")</f>
        <v/>
      </c>
      <c r="F18" s="112"/>
      <c r="G18" s="65" t="str">
        <f t="shared" si="0"/>
        <v/>
      </c>
      <c r="O18" s="176">
        <v>14</v>
      </c>
      <c r="P18" s="146"/>
      <c r="Q18" s="146"/>
      <c r="R18" s="113"/>
    </row>
    <row r="19" spans="2:18">
      <c r="B19" s="176">
        <v>15</v>
      </c>
      <c r="C19" s="146"/>
      <c r="D19" s="24"/>
      <c r="E19" s="65" t="str">
        <f>IF($C19&lt;&gt;"","ALERT_" &amp; D19 &amp; "_ID_"&amp;UPPER(Matrix!$D$6) &amp; "_" &amp; $C19,"")</f>
        <v/>
      </c>
      <c r="F19" s="112"/>
      <c r="G19" s="65" t="str">
        <f t="shared" si="0"/>
        <v/>
      </c>
      <c r="O19" s="176">
        <v>15</v>
      </c>
      <c r="P19" s="146"/>
      <c r="Q19" s="146"/>
      <c r="R19" s="113"/>
    </row>
    <row r="20" spans="2:18">
      <c r="B20" s="176">
        <v>16</v>
      </c>
      <c r="C20" s="146"/>
      <c r="D20" s="24"/>
      <c r="E20" s="65" t="str">
        <f>IF($C20&lt;&gt;"","ALERT_" &amp; D20 &amp; "_ID_"&amp;UPPER(Matrix!$D$6) &amp; "_" &amp; $C20,"")</f>
        <v/>
      </c>
      <c r="F20" s="112"/>
      <c r="G20" s="65" t="str">
        <f t="shared" si="0"/>
        <v/>
      </c>
      <c r="O20" s="176">
        <v>16</v>
      </c>
      <c r="P20" s="146"/>
      <c r="Q20" s="146"/>
      <c r="R20" s="113"/>
    </row>
    <row r="21" spans="2:18">
      <c r="B21" s="176">
        <v>17</v>
      </c>
      <c r="C21" s="146"/>
      <c r="D21" s="24"/>
      <c r="E21" s="65" t="str">
        <f>IF($C21&lt;&gt;"","ALERT_" &amp; D21 &amp; "_ID_"&amp;UPPER(Matrix!$D$6) &amp; "_" &amp; $C21,"")</f>
        <v/>
      </c>
      <c r="F21" s="112"/>
      <c r="G21" s="65" t="str">
        <f t="shared" si="0"/>
        <v/>
      </c>
      <c r="O21" s="176">
        <v>17</v>
      </c>
      <c r="P21" s="146"/>
      <c r="Q21" s="146"/>
      <c r="R21" s="113"/>
    </row>
    <row r="22" spans="2:18">
      <c r="B22" s="176">
        <v>18</v>
      </c>
      <c r="C22" s="146"/>
      <c r="D22" s="24"/>
      <c r="E22" s="65" t="str">
        <f>IF($C22&lt;&gt;"","ALERT_" &amp; D22 &amp; "_ID_"&amp;UPPER(Matrix!$D$6) &amp; "_" &amp; $C22,"")</f>
        <v/>
      </c>
      <c r="F22" s="112"/>
      <c r="G22" s="65" t="str">
        <f t="shared" si="0"/>
        <v/>
      </c>
      <c r="O22" s="176">
        <v>18</v>
      </c>
      <c r="P22" s="146"/>
      <c r="Q22" s="146"/>
      <c r="R22" s="113"/>
    </row>
    <row r="23" spans="2:18">
      <c r="B23" s="176">
        <v>19</v>
      </c>
      <c r="C23" s="146"/>
      <c r="D23" s="24"/>
      <c r="E23" s="65" t="str">
        <f>IF($C23&lt;&gt;"","ALERT_" &amp; D23 &amp; "_ID_"&amp;UPPER(Matrix!$D$6) &amp; "_" &amp; $C23,"")</f>
        <v/>
      </c>
      <c r="F23" s="112"/>
      <c r="G23" s="65" t="str">
        <f t="shared" si="0"/>
        <v/>
      </c>
      <c r="O23" s="176">
        <v>19</v>
      </c>
      <c r="P23" s="146"/>
      <c r="Q23" s="146"/>
      <c r="R23" s="113"/>
    </row>
    <row r="24" spans="2:18">
      <c r="B24" s="176">
        <v>20</v>
      </c>
      <c r="C24" s="146"/>
      <c r="D24" s="24"/>
      <c r="E24" s="65" t="str">
        <f>IF($C24&lt;&gt;"","ALERT_" &amp; D24 &amp; "_ID_"&amp;UPPER(Matrix!$D$6) &amp; "_" &amp; $C24,"")</f>
        <v/>
      </c>
      <c r="F24" s="112"/>
      <c r="G24" s="65" t="str">
        <f t="shared" si="0"/>
        <v/>
      </c>
      <c r="O24" s="176">
        <v>20</v>
      </c>
      <c r="P24" s="146"/>
      <c r="Q24" s="146"/>
      <c r="R24" s="113"/>
    </row>
    <row r="25" spans="2:18">
      <c r="B25" s="176">
        <v>21</v>
      </c>
      <c r="C25" s="146"/>
      <c r="D25" s="24"/>
      <c r="E25" s="65" t="str">
        <f>IF($C25&lt;&gt;"","ALERT_" &amp; D25 &amp; "_ID_"&amp;UPPER(Matrix!$D$6) &amp; "_" &amp; $C25,"")</f>
        <v/>
      </c>
      <c r="F25" s="112"/>
      <c r="G25" s="65" t="str">
        <f t="shared" si="0"/>
        <v/>
      </c>
      <c r="O25" s="176">
        <v>21</v>
      </c>
      <c r="P25" s="146"/>
      <c r="Q25" s="146"/>
      <c r="R25" s="113"/>
    </row>
    <row r="26" spans="2:18">
      <c r="B26" s="176">
        <v>22</v>
      </c>
      <c r="C26" s="146"/>
      <c r="D26" s="24"/>
      <c r="E26" s="65" t="str">
        <f>IF($C26&lt;&gt;"","ALERT_" &amp; D26 &amp; "_ID_"&amp;UPPER(Matrix!$D$6) &amp; "_" &amp; $C26,"")</f>
        <v/>
      </c>
      <c r="F26" s="112"/>
      <c r="G26" s="65" t="str">
        <f t="shared" si="0"/>
        <v/>
      </c>
      <c r="O26" s="176">
        <v>22</v>
      </c>
      <c r="P26" s="146"/>
      <c r="Q26" s="146"/>
      <c r="R26" s="113"/>
    </row>
    <row r="27" spans="2:18">
      <c r="B27" s="176">
        <v>23</v>
      </c>
      <c r="C27" s="146"/>
      <c r="D27" s="24"/>
      <c r="E27" s="65" t="str">
        <f>IF($C27&lt;&gt;"","ALERT_" &amp; D27 &amp; "_ID_"&amp;UPPER(Matrix!$D$6) &amp; "_" &amp; $C27,"")</f>
        <v/>
      </c>
      <c r="F27" s="112"/>
      <c r="G27" s="65" t="str">
        <f t="shared" si="0"/>
        <v/>
      </c>
      <c r="O27" s="176">
        <v>23</v>
      </c>
      <c r="P27" s="146"/>
      <c r="Q27" s="146"/>
      <c r="R27" s="113"/>
    </row>
    <row r="28" spans="2:18">
      <c r="B28" s="176">
        <v>24</v>
      </c>
      <c r="C28" s="146"/>
      <c r="D28" s="24"/>
      <c r="E28" s="65" t="str">
        <f>IF($C28&lt;&gt;"","ALERT_" &amp; D28 &amp; "_ID_"&amp;UPPER(Matrix!$D$6) &amp; "_" &amp; $C28,"")</f>
        <v/>
      </c>
      <c r="F28" s="112"/>
      <c r="G28" s="65" t="str">
        <f t="shared" si="0"/>
        <v/>
      </c>
      <c r="O28" s="176">
        <v>24</v>
      </c>
      <c r="P28" s="146"/>
      <c r="Q28" s="146"/>
      <c r="R28" s="113"/>
    </row>
    <row r="29" spans="2:18" ht="14.25" thickBot="1">
      <c r="B29" s="177">
        <v>25</v>
      </c>
      <c r="C29" s="144"/>
      <c r="D29" s="51"/>
      <c r="E29" s="66" t="str">
        <f>IF($C29&lt;&gt;"","ALERT_" &amp; D29 &amp; "_ID_"&amp;UPPER(Matrix!$D$6) &amp; "_" &amp; $C29,"")</f>
        <v/>
      </c>
      <c r="F29" s="114"/>
      <c r="G29" s="66" t="str">
        <f t="shared" si="0"/>
        <v/>
      </c>
      <c r="O29" s="177">
        <v>25</v>
      </c>
      <c r="P29" s="144"/>
      <c r="Q29" s="144"/>
      <c r="R29" s="115"/>
    </row>
    <row r="32" spans="2:18" ht="14.25" thickBot="1">
      <c r="B32" t="s">
        <v>189</v>
      </c>
      <c r="O32" t="s">
        <v>186</v>
      </c>
    </row>
    <row r="33" spans="2:18" ht="14.25" thickBot="1">
      <c r="B33" s="142" t="s">
        <v>34</v>
      </c>
      <c r="C33" s="102" t="s">
        <v>178</v>
      </c>
      <c r="D33" s="102" t="s">
        <v>183</v>
      </c>
      <c r="E33" s="103" t="s">
        <v>181</v>
      </c>
      <c r="F33" s="182" t="s">
        <v>182</v>
      </c>
      <c r="G33" s="182" t="s">
        <v>193</v>
      </c>
      <c r="O33" s="142" t="s">
        <v>34</v>
      </c>
      <c r="P33" s="181" t="s">
        <v>175</v>
      </c>
      <c r="Q33" s="181" t="s">
        <v>191</v>
      </c>
      <c r="R33" s="182" t="s">
        <v>179</v>
      </c>
    </row>
    <row r="34" spans="2:18" ht="14.25" hidden="1" thickTop="1">
      <c r="B34" s="173">
        <v>0</v>
      </c>
      <c r="C34" s="174" t="s">
        <v>164</v>
      </c>
      <c r="D34" s="174"/>
      <c r="E34" s="175"/>
      <c r="F34" s="184" t="s">
        <v>164</v>
      </c>
      <c r="G34" s="187"/>
      <c r="O34" s="183">
        <v>0</v>
      </c>
      <c r="P34" s="180" t="s">
        <v>164</v>
      </c>
      <c r="Q34" s="180" t="s">
        <v>164</v>
      </c>
      <c r="R34" s="184" t="s">
        <v>164</v>
      </c>
    </row>
    <row r="35" spans="2:18" ht="14.25" thickTop="1">
      <c r="B35" s="176">
        <v>1</v>
      </c>
      <c r="C35" s="146"/>
      <c r="D35" s="24"/>
      <c r="E35" s="65" t="str">
        <f>IF($C35&lt;&gt;"","ALERT_" &amp; UPPER(Matrix!$D$6) &amp; "_" &amp; $C35,"")</f>
        <v/>
      </c>
      <c r="F35" s="178"/>
      <c r="G35" s="65" t="str">
        <f>IF(E35&lt;&gt;"",LEN(E35),"")</f>
        <v/>
      </c>
      <c r="O35" s="176">
        <v>1</v>
      </c>
      <c r="P35" s="146"/>
      <c r="Q35" s="146"/>
      <c r="R35" s="178"/>
    </row>
    <row r="36" spans="2:18">
      <c r="B36" s="176">
        <v>2</v>
      </c>
      <c r="C36" s="146"/>
      <c r="D36" s="24"/>
      <c r="E36" s="65" t="str">
        <f>IF($C36&lt;&gt;"","ALERT_" &amp; UPPER(Matrix!$D$6) &amp; "_" &amp; $C36,"")</f>
        <v/>
      </c>
      <c r="F36" s="178"/>
      <c r="G36" s="65" t="str">
        <f>IF(E36&lt;&gt;"",LEN(E36),"")</f>
        <v/>
      </c>
      <c r="O36" s="176">
        <v>2</v>
      </c>
      <c r="P36" s="146"/>
      <c r="Q36" s="146"/>
      <c r="R36" s="178"/>
    </row>
    <row r="37" spans="2:18">
      <c r="B37" s="176">
        <v>3</v>
      </c>
      <c r="C37" s="146"/>
      <c r="D37" s="24"/>
      <c r="E37" s="65" t="str">
        <f>IF($C37&lt;&gt;"","ALERT_" &amp; UPPER(Matrix!$D$6) &amp; "_" &amp; $C37,"")</f>
        <v/>
      </c>
      <c r="F37" s="178"/>
      <c r="G37" s="65" t="str">
        <f>IF(E37&lt;&gt;"",LEN(E37),"")</f>
        <v/>
      </c>
      <c r="O37" s="176">
        <v>3</v>
      </c>
      <c r="P37" s="146"/>
      <c r="Q37" s="146"/>
      <c r="R37" s="178"/>
    </row>
    <row r="38" spans="2:18">
      <c r="B38" s="176">
        <v>4</v>
      </c>
      <c r="C38" s="146"/>
      <c r="D38" s="24"/>
      <c r="E38" s="65" t="str">
        <f>IF($C38&lt;&gt;"","ALERT_" &amp; UPPER(Matrix!$D$6) &amp; "_" &amp; $C38,"")</f>
        <v/>
      </c>
      <c r="F38" s="178"/>
      <c r="G38" s="65" t="str">
        <f t="shared" ref="G38:G59" si="1">IF(E38&lt;&gt;"",LEN(E38),"")</f>
        <v/>
      </c>
      <c r="O38" s="176">
        <v>4</v>
      </c>
      <c r="P38" s="146"/>
      <c r="Q38" s="146"/>
      <c r="R38" s="178"/>
    </row>
    <row r="39" spans="2:18">
      <c r="B39" s="176">
        <v>5</v>
      </c>
      <c r="C39" s="146"/>
      <c r="D39" s="24"/>
      <c r="E39" s="65" t="str">
        <f>IF($C39&lt;&gt;"","ALERT_" &amp; UPPER(Matrix!$D$6) &amp; "_" &amp; $C39,"")</f>
        <v/>
      </c>
      <c r="F39" s="178"/>
      <c r="G39" s="65" t="str">
        <f t="shared" si="1"/>
        <v/>
      </c>
      <c r="O39" s="176">
        <v>5</v>
      </c>
      <c r="P39" s="146"/>
      <c r="Q39" s="146"/>
      <c r="R39" s="178"/>
    </row>
    <row r="40" spans="2:18">
      <c r="B40" s="176">
        <v>6</v>
      </c>
      <c r="C40" s="146"/>
      <c r="D40" s="24"/>
      <c r="E40" s="65" t="str">
        <f>IF($C40&lt;&gt;"","ALERT_" &amp; UPPER(Matrix!$D$6) &amp; "_" &amp; $C40,"")</f>
        <v/>
      </c>
      <c r="F40" s="178"/>
      <c r="G40" s="65" t="str">
        <f t="shared" si="1"/>
        <v/>
      </c>
      <c r="O40" s="176">
        <v>6</v>
      </c>
      <c r="P40" s="146"/>
      <c r="Q40" s="146"/>
      <c r="R40" s="178"/>
    </row>
    <row r="41" spans="2:18">
      <c r="B41" s="176">
        <v>7</v>
      </c>
      <c r="C41" s="146"/>
      <c r="D41" s="24"/>
      <c r="E41" s="65" t="str">
        <f>IF($C41&lt;&gt;"","ALERT_" &amp; UPPER(Matrix!$D$6) &amp; "_" &amp; $C41,"")</f>
        <v/>
      </c>
      <c r="F41" s="178"/>
      <c r="G41" s="65" t="str">
        <f t="shared" si="1"/>
        <v/>
      </c>
      <c r="O41" s="176">
        <v>7</v>
      </c>
      <c r="P41" s="146"/>
      <c r="Q41" s="146"/>
      <c r="R41" s="178"/>
    </row>
    <row r="42" spans="2:18">
      <c r="B42" s="176">
        <v>8</v>
      </c>
      <c r="C42" s="146"/>
      <c r="D42" s="24"/>
      <c r="E42" s="65" t="str">
        <f>IF($C42&lt;&gt;"","ALERT_" &amp; UPPER(Matrix!$D$6) &amp; "_" &amp; $C42,"")</f>
        <v/>
      </c>
      <c r="F42" s="178"/>
      <c r="G42" s="65" t="str">
        <f t="shared" si="1"/>
        <v/>
      </c>
      <c r="O42" s="176">
        <v>8</v>
      </c>
      <c r="P42" s="146"/>
      <c r="Q42" s="146"/>
      <c r="R42" s="178"/>
    </row>
    <row r="43" spans="2:18">
      <c r="B43" s="176">
        <v>9</v>
      </c>
      <c r="C43" s="146"/>
      <c r="D43" s="24"/>
      <c r="E43" s="65" t="str">
        <f>IF($C43&lt;&gt;"","ALERT_" &amp; UPPER(Matrix!$D$6) &amp; "_" &amp; $C43,"")</f>
        <v/>
      </c>
      <c r="F43" s="178"/>
      <c r="G43" s="65" t="str">
        <f t="shared" si="1"/>
        <v/>
      </c>
      <c r="O43" s="176">
        <v>9</v>
      </c>
      <c r="P43" s="146"/>
      <c r="Q43" s="146"/>
      <c r="R43" s="178"/>
    </row>
    <row r="44" spans="2:18">
      <c r="B44" s="176">
        <v>10</v>
      </c>
      <c r="C44" s="146"/>
      <c r="D44" s="24"/>
      <c r="E44" s="65" t="str">
        <f>IF($C44&lt;&gt;"","ALERT_" &amp; UPPER(Matrix!$D$6) &amp; "_" &amp; $C44,"")</f>
        <v/>
      </c>
      <c r="F44" s="178"/>
      <c r="G44" s="65" t="str">
        <f t="shared" si="1"/>
        <v/>
      </c>
      <c r="O44" s="176">
        <v>10</v>
      </c>
      <c r="P44" s="146"/>
      <c r="Q44" s="146"/>
      <c r="R44" s="178"/>
    </row>
    <row r="45" spans="2:18">
      <c r="B45" s="176">
        <v>11</v>
      </c>
      <c r="C45" s="146"/>
      <c r="D45" s="24"/>
      <c r="E45" s="65" t="str">
        <f>IF($C45&lt;&gt;"","ALERT_" &amp; UPPER(Matrix!$D$6) &amp; "_" &amp; $C45,"")</f>
        <v/>
      </c>
      <c r="F45" s="178"/>
      <c r="G45" s="65" t="str">
        <f t="shared" si="1"/>
        <v/>
      </c>
      <c r="O45" s="176">
        <v>11</v>
      </c>
      <c r="P45" s="146"/>
      <c r="Q45" s="146"/>
      <c r="R45" s="178"/>
    </row>
    <row r="46" spans="2:18">
      <c r="B46" s="176">
        <v>12</v>
      </c>
      <c r="C46" s="146"/>
      <c r="D46" s="24"/>
      <c r="E46" s="65" t="str">
        <f>IF($C46&lt;&gt;"","ALERT_" &amp; UPPER(Matrix!$D$6) &amp; "_" &amp; $C46,"")</f>
        <v/>
      </c>
      <c r="F46" s="178"/>
      <c r="G46" s="65" t="str">
        <f t="shared" si="1"/>
        <v/>
      </c>
      <c r="O46" s="176">
        <v>12</v>
      </c>
      <c r="P46" s="146"/>
      <c r="Q46" s="146"/>
      <c r="R46" s="178"/>
    </row>
    <row r="47" spans="2:18">
      <c r="B47" s="176">
        <v>13</v>
      </c>
      <c r="C47" s="146"/>
      <c r="D47" s="24"/>
      <c r="E47" s="65" t="str">
        <f>IF($C47&lt;&gt;"","ALERT_" &amp; UPPER(Matrix!$D$6) &amp; "_" &amp; $C47,"")</f>
        <v/>
      </c>
      <c r="F47" s="178"/>
      <c r="G47" s="65" t="str">
        <f t="shared" si="1"/>
        <v/>
      </c>
      <c r="O47" s="176">
        <v>13</v>
      </c>
      <c r="P47" s="146"/>
      <c r="Q47" s="146"/>
      <c r="R47" s="178"/>
    </row>
    <row r="48" spans="2:18">
      <c r="B48" s="176">
        <v>14</v>
      </c>
      <c r="C48" s="146"/>
      <c r="D48" s="24"/>
      <c r="E48" s="65" t="str">
        <f>IF($C48&lt;&gt;"","ALERT_" &amp; UPPER(Matrix!$D$6) &amp; "_" &amp; $C48,"")</f>
        <v/>
      </c>
      <c r="F48" s="178"/>
      <c r="G48" s="65" t="str">
        <f t="shared" si="1"/>
        <v/>
      </c>
      <c r="O48" s="176">
        <v>14</v>
      </c>
      <c r="P48" s="146"/>
      <c r="Q48" s="146"/>
      <c r="R48" s="178"/>
    </row>
    <row r="49" spans="2:18">
      <c r="B49" s="176">
        <v>15</v>
      </c>
      <c r="C49" s="146"/>
      <c r="D49" s="24"/>
      <c r="E49" s="65" t="str">
        <f>IF($C49&lt;&gt;"","ALERT_" &amp; UPPER(Matrix!$D$6) &amp; "_" &amp; $C49,"")</f>
        <v/>
      </c>
      <c r="F49" s="178"/>
      <c r="G49" s="65" t="str">
        <f t="shared" si="1"/>
        <v/>
      </c>
      <c r="O49" s="176">
        <v>15</v>
      </c>
      <c r="P49" s="146"/>
      <c r="Q49" s="146"/>
      <c r="R49" s="178"/>
    </row>
    <row r="50" spans="2:18">
      <c r="B50" s="176">
        <v>16</v>
      </c>
      <c r="C50" s="146"/>
      <c r="D50" s="24"/>
      <c r="E50" s="65" t="str">
        <f>IF($C50&lt;&gt;"","ALERT_" &amp; UPPER(Matrix!$D$6) &amp; "_" &amp; $C50,"")</f>
        <v/>
      </c>
      <c r="F50" s="178"/>
      <c r="G50" s="65" t="str">
        <f t="shared" si="1"/>
        <v/>
      </c>
      <c r="O50" s="176">
        <v>16</v>
      </c>
      <c r="P50" s="146"/>
      <c r="Q50" s="146"/>
      <c r="R50" s="178"/>
    </row>
    <row r="51" spans="2:18">
      <c r="B51" s="176">
        <v>17</v>
      </c>
      <c r="C51" s="146"/>
      <c r="D51" s="24"/>
      <c r="E51" s="65" t="str">
        <f>IF($C51&lt;&gt;"","ALERT_" &amp; UPPER(Matrix!$D$6) &amp; "_" &amp; $C51,"")</f>
        <v/>
      </c>
      <c r="F51" s="178"/>
      <c r="G51" s="65" t="str">
        <f t="shared" si="1"/>
        <v/>
      </c>
      <c r="O51" s="176">
        <v>17</v>
      </c>
      <c r="P51" s="146"/>
      <c r="Q51" s="146"/>
      <c r="R51" s="178"/>
    </row>
    <row r="52" spans="2:18">
      <c r="B52" s="176">
        <v>18</v>
      </c>
      <c r="C52" s="146"/>
      <c r="D52" s="24"/>
      <c r="E52" s="65" t="str">
        <f>IF($C52&lt;&gt;"","ALERT_" &amp; UPPER(Matrix!$D$6) &amp; "_" &amp; $C52,"")</f>
        <v/>
      </c>
      <c r="F52" s="178"/>
      <c r="G52" s="65" t="str">
        <f t="shared" si="1"/>
        <v/>
      </c>
      <c r="O52" s="176">
        <v>18</v>
      </c>
      <c r="P52" s="146"/>
      <c r="Q52" s="146"/>
      <c r="R52" s="178"/>
    </row>
    <row r="53" spans="2:18">
      <c r="B53" s="176">
        <v>19</v>
      </c>
      <c r="C53" s="146"/>
      <c r="D53" s="24"/>
      <c r="E53" s="65" t="str">
        <f>IF($C53&lt;&gt;"","ALERT_" &amp; UPPER(Matrix!$D$6) &amp; "_" &amp; $C53,"")</f>
        <v/>
      </c>
      <c r="F53" s="178"/>
      <c r="G53" s="65" t="str">
        <f t="shared" si="1"/>
        <v/>
      </c>
      <c r="O53" s="176">
        <v>19</v>
      </c>
      <c r="P53" s="146"/>
      <c r="Q53" s="146"/>
      <c r="R53" s="178"/>
    </row>
    <row r="54" spans="2:18">
      <c r="B54" s="176">
        <v>20</v>
      </c>
      <c r="C54" s="146"/>
      <c r="D54" s="24"/>
      <c r="E54" s="65" t="str">
        <f>IF($C54&lt;&gt;"","ALERT_" &amp; UPPER(Matrix!$D$6) &amp; "_" &amp; $C54,"")</f>
        <v/>
      </c>
      <c r="F54" s="178"/>
      <c r="G54" s="65" t="str">
        <f t="shared" si="1"/>
        <v/>
      </c>
      <c r="O54" s="176">
        <v>20</v>
      </c>
      <c r="P54" s="146"/>
      <c r="Q54" s="146"/>
      <c r="R54" s="178"/>
    </row>
    <row r="55" spans="2:18">
      <c r="B55" s="176">
        <v>21</v>
      </c>
      <c r="C55" s="146"/>
      <c r="D55" s="24"/>
      <c r="E55" s="65" t="str">
        <f>IF($C55&lt;&gt;"","ALERT_" &amp; UPPER(Matrix!$D$6) &amp; "_" &amp; $C55,"")</f>
        <v/>
      </c>
      <c r="F55" s="178"/>
      <c r="G55" s="65" t="str">
        <f t="shared" si="1"/>
        <v/>
      </c>
      <c r="O55" s="176">
        <v>21</v>
      </c>
      <c r="P55" s="146"/>
      <c r="Q55" s="146"/>
      <c r="R55" s="178"/>
    </row>
    <row r="56" spans="2:18">
      <c r="B56" s="176">
        <v>22</v>
      </c>
      <c r="C56" s="146"/>
      <c r="D56" s="24"/>
      <c r="E56" s="65" t="str">
        <f>IF($C56&lt;&gt;"","ALERT_" &amp; UPPER(Matrix!$D$6) &amp; "_" &amp; $C56,"")</f>
        <v/>
      </c>
      <c r="F56" s="178"/>
      <c r="G56" s="65" t="str">
        <f t="shared" si="1"/>
        <v/>
      </c>
      <c r="O56" s="176">
        <v>22</v>
      </c>
      <c r="P56" s="146"/>
      <c r="Q56" s="146"/>
      <c r="R56" s="178"/>
    </row>
    <row r="57" spans="2:18">
      <c r="B57" s="176">
        <v>23</v>
      </c>
      <c r="C57" s="146"/>
      <c r="D57" s="24"/>
      <c r="E57" s="65" t="str">
        <f>IF($C57&lt;&gt;"","ALERT_" &amp; UPPER(Matrix!$D$6) &amp; "_" &amp; $C57,"")</f>
        <v/>
      </c>
      <c r="F57" s="178"/>
      <c r="G57" s="65" t="str">
        <f t="shared" si="1"/>
        <v/>
      </c>
      <c r="O57" s="176">
        <v>23</v>
      </c>
      <c r="P57" s="146"/>
      <c r="Q57" s="146"/>
      <c r="R57" s="178"/>
    </row>
    <row r="58" spans="2:18">
      <c r="B58" s="176">
        <v>24</v>
      </c>
      <c r="C58" s="146"/>
      <c r="D58" s="24"/>
      <c r="E58" s="65" t="str">
        <f>IF($C58&lt;&gt;"","ALERT_" &amp; UPPER(Matrix!$D$6) &amp; "_" &amp; $C58,"")</f>
        <v/>
      </c>
      <c r="F58" s="178"/>
      <c r="G58" s="65" t="str">
        <f t="shared" si="1"/>
        <v/>
      </c>
      <c r="O58" s="176">
        <v>24</v>
      </c>
      <c r="P58" s="146"/>
      <c r="Q58" s="146"/>
      <c r="R58" s="178"/>
    </row>
    <row r="59" spans="2:18" ht="14.25" thickBot="1">
      <c r="B59" s="177">
        <v>25</v>
      </c>
      <c r="C59" s="144"/>
      <c r="D59" s="51"/>
      <c r="E59" s="66" t="str">
        <f>IF($C59&lt;&gt;"","ALERT_" &amp; UPPER(Matrix!$D$6) &amp; "_" &amp; $C59,"")</f>
        <v/>
      </c>
      <c r="F59" s="179"/>
      <c r="G59" s="66" t="str">
        <f t="shared" si="1"/>
        <v/>
      </c>
      <c r="O59" s="177">
        <v>25</v>
      </c>
      <c r="P59" s="144"/>
      <c r="Q59" s="144"/>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3.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8" t="s">
        <v>104</v>
      </c>
    </row>
    <row r="2" spans="2:21" ht="14.25" thickBot="1">
      <c r="B2" s="96" t="s">
        <v>58</v>
      </c>
      <c r="C2" s="97" t="s">
        <v>122</v>
      </c>
      <c r="D2" s="98" t="s">
        <v>52</v>
      </c>
      <c r="E2" s="99" t="s">
        <v>53</v>
      </c>
      <c r="F2" s="100" t="s">
        <v>23</v>
      </c>
      <c r="G2" s="99" t="s">
        <v>54</v>
      </c>
      <c r="H2" s="100" t="s">
        <v>25</v>
      </c>
      <c r="I2" s="99" t="s">
        <v>55</v>
      </c>
      <c r="J2" s="100" t="s">
        <v>161</v>
      </c>
      <c r="K2" s="99" t="s">
        <v>56</v>
      </c>
      <c r="L2" s="100" t="s">
        <v>26</v>
      </c>
      <c r="M2" s="97" t="s">
        <v>57</v>
      </c>
      <c r="N2" s="100" t="s">
        <v>117</v>
      </c>
      <c r="O2" s="118" t="s">
        <v>83</v>
      </c>
    </row>
    <row r="3" spans="2:21" ht="15" hidden="1" thickTop="1" thickBot="1">
      <c r="B3" s="25"/>
      <c r="C3" s="48" t="s">
        <v>108</v>
      </c>
      <c r="D3" s="111"/>
      <c r="E3" s="12"/>
      <c r="F3" s="14"/>
      <c r="G3" s="12"/>
      <c r="H3" s="14"/>
      <c r="I3" s="12"/>
      <c r="J3" s="14"/>
      <c r="K3" s="12"/>
      <c r="L3" s="14"/>
      <c r="M3" s="49"/>
      <c r="N3" s="107"/>
      <c r="O3" s="119"/>
      <c r="U3" s="92" t="s">
        <v>98</v>
      </c>
    </row>
    <row r="4" spans="2:21" ht="14.25" thickTop="1">
      <c r="B4" s="106" t="s">
        <v>201</v>
      </c>
      <c r="C4" s="105" t="s">
        <v>202</v>
      </c>
      <c r="D4" s="116">
        <v>0</v>
      </c>
      <c r="E4" s="204" t="s">
        <v>126</v>
      </c>
      <c r="F4" s="205" t="s">
        <v>203</v>
      </c>
      <c r="G4" s="204" t="s">
        <v>204</v>
      </c>
      <c r="H4" s="205" t="s">
        <v>127</v>
      </c>
      <c r="I4" s="204" t="s">
        <v>164</v>
      </c>
      <c r="J4" s="205" t="s">
        <v>127</v>
      </c>
      <c r="K4" s="204" t="s">
        <v>126</v>
      </c>
      <c r="L4" s="205" t="s">
        <v>205</v>
      </c>
      <c r="M4" s="49">
        <f ca="1">LEN(N4)</f>
        <v>25</v>
      </c>
      <c r="N4" s="107" t="str">
        <f ca="1">VLOOKUP($B4,Matrix!$H$13:$I$37,2,FALSE)&amp;"_"&amp;C4</f>
        <v>ALERT_REQ_M_T120_PRMRYCHK</v>
      </c>
      <c r="O4" s="119" t="str">
        <f t="shared" ref="O4:O35" ca="1" si="0">"#define "&amp;N4&amp;REPT(" ",48-M4)&amp;"("&amp;D4&amp;"U)"</f>
        <v>#define ALERT_REQ_M_T120_PRMRYCHK                       (0U)</v>
      </c>
      <c r="U4" s="92" t="s">
        <v>98</v>
      </c>
    </row>
    <row r="5" spans="2:21">
      <c r="B5" s="106" t="s">
        <v>201</v>
      </c>
      <c r="C5" s="105" t="s">
        <v>206</v>
      </c>
      <c r="D5" s="117">
        <v>1</v>
      </c>
      <c r="E5" s="106" t="s">
        <v>207</v>
      </c>
      <c r="F5" s="206" t="s">
        <v>208</v>
      </c>
      <c r="G5" s="204" t="s">
        <v>209</v>
      </c>
      <c r="H5" s="205" t="s">
        <v>127</v>
      </c>
      <c r="I5" s="204" t="s">
        <v>164</v>
      </c>
      <c r="J5" s="205" t="s">
        <v>320</v>
      </c>
      <c r="K5" s="204" t="s">
        <v>164</v>
      </c>
      <c r="L5" s="205" t="s">
        <v>127</v>
      </c>
      <c r="M5" s="44">
        <f t="shared" ref="M5:M68" ca="1" si="1">LEN(N5)</f>
        <v>25</v>
      </c>
      <c r="N5" s="107" t="str">
        <f ca="1">VLOOKUP($B5,Matrix!$H$13:$I$37,2,FALSE)&amp;"_"&amp;C5</f>
        <v>ALERT_REQ_M_T120_TT_PD_ON</v>
      </c>
      <c r="O5" s="120" t="str">
        <f t="shared" ca="1" si="0"/>
        <v>#define ALERT_REQ_M_T120_TT_PD_ON                       (1U)</v>
      </c>
      <c r="U5" s="90" t="s">
        <v>99</v>
      </c>
    </row>
    <row r="6" spans="2:21">
      <c r="B6" s="106" t="s">
        <v>201</v>
      </c>
      <c r="C6" s="105" t="s">
        <v>313</v>
      </c>
      <c r="D6" s="116">
        <v>2</v>
      </c>
      <c r="E6" s="106" t="s">
        <v>207</v>
      </c>
      <c r="F6" s="206" t="s">
        <v>314</v>
      </c>
      <c r="G6" s="204" t="s">
        <v>209</v>
      </c>
      <c r="H6" s="205" t="s">
        <v>127</v>
      </c>
      <c r="I6" s="204" t="s">
        <v>164</v>
      </c>
      <c r="J6" s="205" t="s">
        <v>320</v>
      </c>
      <c r="K6" s="204" t="s">
        <v>164</v>
      </c>
      <c r="L6" s="205" t="s">
        <v>127</v>
      </c>
      <c r="M6" s="44">
        <f t="shared" ca="1" si="1"/>
        <v>28</v>
      </c>
      <c r="N6" s="107" t="str">
        <f ca="1">VLOOKUP($B6,Matrix!$H$13:$I$37,2,FALSE)&amp;"_"&amp;C6</f>
        <v>ALERT_REQ_M_T120_PRMRYCHK_PD</v>
      </c>
      <c r="O6" s="120" t="str">
        <f t="shared" ca="1" si="0"/>
        <v>#define ALERT_REQ_M_T120_PRMRYCHK_PD                    (2U)</v>
      </c>
      <c r="U6" s="30" t="s">
        <v>100</v>
      </c>
    </row>
    <row r="7" spans="2:21">
      <c r="B7" s="106"/>
      <c r="C7" s="105"/>
      <c r="D7" s="117"/>
      <c r="E7" s="25"/>
      <c r="F7" s="113"/>
      <c r="G7" s="25"/>
      <c r="H7" s="113"/>
      <c r="I7" s="25"/>
      <c r="J7" s="113"/>
      <c r="K7" s="25"/>
      <c r="L7" s="113"/>
      <c r="M7" s="44" t="e">
        <f t="shared" ca="1" si="1"/>
        <v>#N/A</v>
      </c>
      <c r="N7" s="107" t="e">
        <f ca="1">VLOOKUP($B7,Matrix!$H$13:$I$37,2,FALSE)&amp;"_"&amp;C7</f>
        <v>#N/A</v>
      </c>
      <c r="O7" s="120" t="e">
        <f t="shared" ca="1" si="0"/>
        <v>#N/A</v>
      </c>
      <c r="U7" s="30" t="s">
        <v>101</v>
      </c>
    </row>
    <row r="8" spans="2:21">
      <c r="B8" s="106"/>
      <c r="C8" s="105"/>
      <c r="D8" s="117"/>
      <c r="E8" s="25"/>
      <c r="F8" s="113"/>
      <c r="G8" s="25"/>
      <c r="H8" s="113"/>
      <c r="I8" s="25"/>
      <c r="J8" s="113"/>
      <c r="K8" s="25"/>
      <c r="L8" s="113"/>
      <c r="M8" s="44" t="e">
        <f t="shared" ca="1" si="1"/>
        <v>#N/A</v>
      </c>
      <c r="N8" s="107" t="e">
        <f ca="1">VLOOKUP($B8,Matrix!$H$13:$I$37,2,FALSE)&amp;"_"&amp;C8</f>
        <v>#N/A</v>
      </c>
      <c r="O8" s="120" t="e">
        <f t="shared" ca="1" si="0"/>
        <v>#N/A</v>
      </c>
      <c r="U8" s="30" t="s">
        <v>102</v>
      </c>
    </row>
    <row r="9" spans="2:21">
      <c r="B9" s="25"/>
      <c r="C9" s="24"/>
      <c r="D9" s="112"/>
      <c r="E9" s="25"/>
      <c r="F9" s="113"/>
      <c r="G9" s="25"/>
      <c r="H9" s="113"/>
      <c r="I9" s="25"/>
      <c r="J9" s="113"/>
      <c r="K9" s="25"/>
      <c r="L9" s="113"/>
      <c r="M9" s="44" t="e">
        <f t="shared" ca="1" si="1"/>
        <v>#N/A</v>
      </c>
      <c r="N9" s="107" t="e">
        <f ca="1">VLOOKUP($B9,Matrix!$H$13:$I$37,2,FALSE)&amp;"_"&amp;C9</f>
        <v>#N/A</v>
      </c>
      <c r="O9" s="120" t="e">
        <f t="shared" ca="1" si="0"/>
        <v>#N/A</v>
      </c>
      <c r="U9" s="30" t="s">
        <v>103</v>
      </c>
    </row>
    <row r="10" spans="2:21">
      <c r="B10" s="25"/>
      <c r="C10" s="24"/>
      <c r="D10" s="112"/>
      <c r="E10" s="25"/>
      <c r="F10" s="113"/>
      <c r="G10" s="25"/>
      <c r="H10" s="113"/>
      <c r="I10" s="25"/>
      <c r="J10" s="113"/>
      <c r="K10" s="25"/>
      <c r="L10" s="113"/>
      <c r="M10" s="44" t="e">
        <f t="shared" ca="1" si="1"/>
        <v>#N/A</v>
      </c>
      <c r="N10" s="107" t="e">
        <f ca="1">VLOOKUP($B10,Matrix!$H$13:$I$37,2,FALSE)&amp;"_"&amp;C10</f>
        <v>#N/A</v>
      </c>
      <c r="O10" s="120" t="e">
        <f t="shared" ca="1" si="0"/>
        <v>#N/A</v>
      </c>
      <c r="U10" s="30"/>
    </row>
    <row r="11" spans="2:21">
      <c r="B11" s="25"/>
      <c r="C11" s="24"/>
      <c r="D11" s="112"/>
      <c r="E11" s="25"/>
      <c r="F11" s="113"/>
      <c r="G11" s="25"/>
      <c r="H11" s="113"/>
      <c r="I11" s="25"/>
      <c r="J11" s="113"/>
      <c r="K11" s="25"/>
      <c r="L11" s="113"/>
      <c r="M11" s="44" t="e">
        <f t="shared" ca="1" si="1"/>
        <v>#N/A</v>
      </c>
      <c r="N11" s="107" t="e">
        <f ca="1">VLOOKUP($B11,Matrix!$H$13:$I$37,2,FALSE)&amp;"_"&amp;C11</f>
        <v>#N/A</v>
      </c>
      <c r="O11" s="120" t="e">
        <f t="shared" ca="1" si="0"/>
        <v>#N/A</v>
      </c>
      <c r="U11" s="30"/>
    </row>
    <row r="12" spans="2:21">
      <c r="B12" s="25"/>
      <c r="C12" s="24"/>
      <c r="D12" s="112"/>
      <c r="E12" s="25"/>
      <c r="F12" s="113"/>
      <c r="G12" s="25"/>
      <c r="H12" s="113"/>
      <c r="I12" s="25"/>
      <c r="J12" s="113"/>
      <c r="K12" s="25"/>
      <c r="L12" s="113"/>
      <c r="M12" s="44" t="e">
        <f t="shared" ca="1" si="1"/>
        <v>#N/A</v>
      </c>
      <c r="N12" s="107" t="e">
        <f ca="1">VLOOKUP($B12,Matrix!$H$13:$I$37,2,FALSE)&amp;"_"&amp;C12</f>
        <v>#N/A</v>
      </c>
      <c r="O12" s="120" t="e">
        <f t="shared" ca="1" si="0"/>
        <v>#N/A</v>
      </c>
      <c r="U12" s="30"/>
    </row>
    <row r="13" spans="2:21" ht="14.25" thickBot="1">
      <c r="B13" s="25"/>
      <c r="C13" s="24"/>
      <c r="D13" s="112"/>
      <c r="E13" s="25"/>
      <c r="F13" s="113"/>
      <c r="G13" s="25"/>
      <c r="H13" s="113"/>
      <c r="I13" s="25"/>
      <c r="J13" s="113"/>
      <c r="K13" s="25"/>
      <c r="L13" s="113"/>
      <c r="M13" s="44" t="e">
        <f t="shared" ca="1" si="1"/>
        <v>#N/A</v>
      </c>
      <c r="N13" s="107" t="e">
        <f ca="1">VLOOKUP($B13,Matrix!$H$13:$I$37,2,FALSE)&amp;"_"&amp;C13</f>
        <v>#N/A</v>
      </c>
      <c r="O13" s="120" t="e">
        <f t="shared" ca="1" si="0"/>
        <v>#N/A</v>
      </c>
      <c r="U13" s="91"/>
    </row>
    <row r="14" spans="2:21">
      <c r="B14" s="25"/>
      <c r="C14" s="24"/>
      <c r="D14" s="112"/>
      <c r="E14" s="25"/>
      <c r="F14" s="113"/>
      <c r="G14" s="25"/>
      <c r="H14" s="113"/>
      <c r="I14" s="25"/>
      <c r="J14" s="113"/>
      <c r="K14" s="25"/>
      <c r="L14" s="113"/>
      <c r="M14" s="44" t="e">
        <f t="shared" ca="1" si="1"/>
        <v>#N/A</v>
      </c>
      <c r="N14" s="107" t="e">
        <f ca="1">VLOOKUP($B14,Matrix!$H$13:$I$37,2,FALSE)&amp;"_"&amp;C14</f>
        <v>#N/A</v>
      </c>
      <c r="O14" s="120" t="e">
        <f t="shared" ca="1" si="0"/>
        <v>#N/A</v>
      </c>
    </row>
    <row r="15" spans="2:21">
      <c r="B15" s="25"/>
      <c r="C15" s="24"/>
      <c r="D15" s="112"/>
      <c r="E15" s="25"/>
      <c r="F15" s="113"/>
      <c r="G15" s="25"/>
      <c r="H15" s="113"/>
      <c r="I15" s="25"/>
      <c r="J15" s="113"/>
      <c r="K15" s="25"/>
      <c r="L15" s="113"/>
      <c r="M15" s="44" t="e">
        <f t="shared" ca="1" si="1"/>
        <v>#N/A</v>
      </c>
      <c r="N15" s="107" t="e">
        <f ca="1">VLOOKUP($B15,Matrix!$H$13:$I$37,2,FALSE)&amp;"_"&amp;C15</f>
        <v>#N/A</v>
      </c>
      <c r="O15" s="120" t="e">
        <f t="shared" ca="1" si="0"/>
        <v>#N/A</v>
      </c>
    </row>
    <row r="16" spans="2:21">
      <c r="B16" s="25"/>
      <c r="C16" s="24"/>
      <c r="D16" s="112"/>
      <c r="E16" s="25"/>
      <c r="F16" s="113"/>
      <c r="G16" s="25"/>
      <c r="H16" s="113"/>
      <c r="I16" s="25"/>
      <c r="J16" s="113"/>
      <c r="K16" s="25"/>
      <c r="L16" s="113"/>
      <c r="M16" s="44" t="e">
        <f t="shared" ca="1" si="1"/>
        <v>#N/A</v>
      </c>
      <c r="N16" s="107" t="e">
        <f ca="1">VLOOKUP($B16,Matrix!$H$13:$I$37,2,FALSE)&amp;"_"&amp;C16</f>
        <v>#N/A</v>
      </c>
      <c r="O16" s="120" t="e">
        <f t="shared" ca="1" si="0"/>
        <v>#N/A</v>
      </c>
    </row>
    <row r="17" spans="2:15">
      <c r="B17" s="25"/>
      <c r="C17" s="24"/>
      <c r="D17" s="112"/>
      <c r="E17" s="25"/>
      <c r="F17" s="113"/>
      <c r="G17" s="25"/>
      <c r="H17" s="113"/>
      <c r="I17" s="25"/>
      <c r="J17" s="113"/>
      <c r="K17" s="25"/>
      <c r="L17" s="113"/>
      <c r="M17" s="44" t="e">
        <f t="shared" ca="1" si="1"/>
        <v>#N/A</v>
      </c>
      <c r="N17" s="107" t="e">
        <f ca="1">VLOOKUP($B17,Matrix!$H$13:$I$37,2,FALSE)&amp;"_"&amp;C17</f>
        <v>#N/A</v>
      </c>
      <c r="O17" s="120" t="e">
        <f t="shared" ca="1" si="0"/>
        <v>#N/A</v>
      </c>
    </row>
    <row r="18" spans="2:15">
      <c r="B18" s="25"/>
      <c r="C18" s="24"/>
      <c r="D18" s="112"/>
      <c r="E18" s="25"/>
      <c r="F18" s="113"/>
      <c r="G18" s="25"/>
      <c r="H18" s="113"/>
      <c r="I18" s="25"/>
      <c r="J18" s="113"/>
      <c r="K18" s="25"/>
      <c r="L18" s="113"/>
      <c r="M18" s="44" t="e">
        <f t="shared" ca="1" si="1"/>
        <v>#N/A</v>
      </c>
      <c r="N18" s="107" t="e">
        <f ca="1">VLOOKUP($B18,Matrix!$H$13:$I$37,2,FALSE)&amp;"_"&amp;C18</f>
        <v>#N/A</v>
      </c>
      <c r="O18" s="120" t="e">
        <f t="shared" ca="1" si="0"/>
        <v>#N/A</v>
      </c>
    </row>
    <row r="19" spans="2:15">
      <c r="B19" s="25"/>
      <c r="C19" s="24"/>
      <c r="D19" s="112"/>
      <c r="E19" s="25"/>
      <c r="F19" s="113"/>
      <c r="G19" s="25"/>
      <c r="H19" s="113"/>
      <c r="I19" s="25"/>
      <c r="J19" s="113"/>
      <c r="K19" s="25"/>
      <c r="L19" s="113"/>
      <c r="M19" s="44" t="e">
        <f t="shared" ca="1" si="1"/>
        <v>#N/A</v>
      </c>
      <c r="N19" s="107" t="e">
        <f ca="1">VLOOKUP($B19,Matrix!$H$13:$I$37,2,FALSE)&amp;"_"&amp;C19</f>
        <v>#N/A</v>
      </c>
      <c r="O19" s="120" t="e">
        <f t="shared" ca="1" si="0"/>
        <v>#N/A</v>
      </c>
    </row>
    <row r="20" spans="2:15">
      <c r="B20" s="25"/>
      <c r="C20" s="24"/>
      <c r="D20" s="112"/>
      <c r="E20" s="25"/>
      <c r="F20" s="113"/>
      <c r="G20" s="25"/>
      <c r="H20" s="113"/>
      <c r="I20" s="25"/>
      <c r="J20" s="113"/>
      <c r="K20" s="25"/>
      <c r="L20" s="113"/>
      <c r="M20" s="44" t="e">
        <f t="shared" ca="1" si="1"/>
        <v>#N/A</v>
      </c>
      <c r="N20" s="107" t="e">
        <f ca="1">VLOOKUP($B20,Matrix!$H$13:$I$37,2,FALSE)&amp;"_"&amp;C20</f>
        <v>#N/A</v>
      </c>
      <c r="O20" s="120" t="e">
        <f t="shared" ca="1" si="0"/>
        <v>#N/A</v>
      </c>
    </row>
    <row r="21" spans="2:15">
      <c r="B21" s="25"/>
      <c r="C21" s="24"/>
      <c r="D21" s="112"/>
      <c r="E21" s="25"/>
      <c r="F21" s="113"/>
      <c r="G21" s="25"/>
      <c r="H21" s="113"/>
      <c r="I21" s="25"/>
      <c r="J21" s="113"/>
      <c r="K21" s="25"/>
      <c r="L21" s="113"/>
      <c r="M21" s="44" t="e">
        <f t="shared" ca="1" si="1"/>
        <v>#N/A</v>
      </c>
      <c r="N21" s="107" t="e">
        <f ca="1">VLOOKUP($B21,Matrix!$H$13:$I$37,2,FALSE)&amp;"_"&amp;C21</f>
        <v>#N/A</v>
      </c>
      <c r="O21" s="120" t="e">
        <f t="shared" ca="1" si="0"/>
        <v>#N/A</v>
      </c>
    </row>
    <row r="22" spans="2:15">
      <c r="B22" s="25"/>
      <c r="C22" s="24"/>
      <c r="D22" s="112"/>
      <c r="E22" s="25"/>
      <c r="F22" s="113"/>
      <c r="G22" s="25"/>
      <c r="H22" s="113"/>
      <c r="I22" s="25"/>
      <c r="J22" s="113"/>
      <c r="K22" s="25"/>
      <c r="L22" s="113"/>
      <c r="M22" s="44" t="e">
        <f t="shared" ca="1" si="1"/>
        <v>#N/A</v>
      </c>
      <c r="N22" s="107" t="e">
        <f ca="1">VLOOKUP($B22,Matrix!$H$13:$I$37,2,FALSE)&amp;"_"&amp;C22</f>
        <v>#N/A</v>
      </c>
      <c r="O22" s="120" t="e">
        <f t="shared" ca="1" si="0"/>
        <v>#N/A</v>
      </c>
    </row>
    <row r="23" spans="2:15">
      <c r="B23" s="25"/>
      <c r="C23" s="24"/>
      <c r="D23" s="112"/>
      <c r="E23" s="25"/>
      <c r="F23" s="113"/>
      <c r="G23" s="25"/>
      <c r="H23" s="113"/>
      <c r="I23" s="25"/>
      <c r="J23" s="113"/>
      <c r="K23" s="25"/>
      <c r="L23" s="113"/>
      <c r="M23" s="44" t="e">
        <f t="shared" ca="1" si="1"/>
        <v>#N/A</v>
      </c>
      <c r="N23" s="107" t="e">
        <f ca="1">VLOOKUP($B23,Matrix!$H$13:$I$37,2,FALSE)&amp;"_"&amp;C23</f>
        <v>#N/A</v>
      </c>
      <c r="O23" s="120" t="e">
        <f t="shared" ca="1" si="0"/>
        <v>#N/A</v>
      </c>
    </row>
    <row r="24" spans="2:15">
      <c r="B24" s="25"/>
      <c r="C24" s="24"/>
      <c r="D24" s="112"/>
      <c r="E24" s="25"/>
      <c r="F24" s="113"/>
      <c r="G24" s="25"/>
      <c r="H24" s="113"/>
      <c r="I24" s="25"/>
      <c r="J24" s="113"/>
      <c r="K24" s="25"/>
      <c r="L24" s="113"/>
      <c r="M24" s="44" t="e">
        <f t="shared" ca="1" si="1"/>
        <v>#N/A</v>
      </c>
      <c r="N24" s="107" t="e">
        <f ca="1">VLOOKUP($B24,Matrix!$H$13:$I$37,2,FALSE)&amp;"_"&amp;C24</f>
        <v>#N/A</v>
      </c>
      <c r="O24" s="120" t="e">
        <f t="shared" ca="1" si="0"/>
        <v>#N/A</v>
      </c>
    </row>
    <row r="25" spans="2:15">
      <c r="B25" s="25"/>
      <c r="C25" s="24"/>
      <c r="D25" s="112"/>
      <c r="E25" s="25"/>
      <c r="F25" s="113"/>
      <c r="G25" s="25"/>
      <c r="H25" s="113"/>
      <c r="I25" s="25"/>
      <c r="J25" s="113"/>
      <c r="K25" s="25"/>
      <c r="L25" s="113"/>
      <c r="M25" s="44" t="e">
        <f t="shared" ca="1" si="1"/>
        <v>#N/A</v>
      </c>
      <c r="N25" s="107" t="e">
        <f ca="1">VLOOKUP($B25,Matrix!$H$13:$I$37,2,FALSE)&amp;"_"&amp;C25</f>
        <v>#N/A</v>
      </c>
      <c r="O25" s="120" t="e">
        <f t="shared" ca="1" si="0"/>
        <v>#N/A</v>
      </c>
    </row>
    <row r="26" spans="2:15">
      <c r="B26" s="25"/>
      <c r="C26" s="24"/>
      <c r="D26" s="112"/>
      <c r="E26" s="25"/>
      <c r="F26" s="113"/>
      <c r="G26" s="25"/>
      <c r="H26" s="113"/>
      <c r="I26" s="25"/>
      <c r="J26" s="113"/>
      <c r="K26" s="25"/>
      <c r="L26" s="113"/>
      <c r="M26" s="44" t="e">
        <f t="shared" ca="1" si="1"/>
        <v>#N/A</v>
      </c>
      <c r="N26" s="107" t="e">
        <f ca="1">VLOOKUP($B26,Matrix!$H$13:$I$37,2,FALSE)&amp;"_"&amp;C26</f>
        <v>#N/A</v>
      </c>
      <c r="O26" s="120" t="e">
        <f t="shared" ca="1" si="0"/>
        <v>#N/A</v>
      </c>
    </row>
    <row r="27" spans="2:15">
      <c r="B27" s="25"/>
      <c r="C27" s="24"/>
      <c r="D27" s="112"/>
      <c r="E27" s="25"/>
      <c r="F27" s="113"/>
      <c r="G27" s="25"/>
      <c r="H27" s="113"/>
      <c r="I27" s="25"/>
      <c r="J27" s="113"/>
      <c r="K27" s="25"/>
      <c r="L27" s="113"/>
      <c r="M27" s="44" t="e">
        <f t="shared" ca="1" si="1"/>
        <v>#N/A</v>
      </c>
      <c r="N27" s="107" t="e">
        <f ca="1">VLOOKUP($B27,Matrix!$H$13:$I$37,2,FALSE)&amp;"_"&amp;C27</f>
        <v>#N/A</v>
      </c>
      <c r="O27" s="120" t="e">
        <f t="shared" ca="1" si="0"/>
        <v>#N/A</v>
      </c>
    </row>
    <row r="28" spans="2:15">
      <c r="B28" s="25"/>
      <c r="C28" s="24"/>
      <c r="D28" s="112"/>
      <c r="E28" s="25"/>
      <c r="F28" s="113"/>
      <c r="G28" s="25"/>
      <c r="H28" s="113"/>
      <c r="I28" s="25"/>
      <c r="J28" s="113"/>
      <c r="K28" s="25"/>
      <c r="L28" s="113"/>
      <c r="M28" s="44" t="e">
        <f t="shared" ca="1" si="1"/>
        <v>#N/A</v>
      </c>
      <c r="N28" s="107" t="e">
        <f ca="1">VLOOKUP($B28,Matrix!$H$13:$I$37,2,FALSE)&amp;"_"&amp;C28</f>
        <v>#N/A</v>
      </c>
      <c r="O28" s="120" t="e">
        <f t="shared" ca="1" si="0"/>
        <v>#N/A</v>
      </c>
    </row>
    <row r="29" spans="2:15">
      <c r="B29" s="25"/>
      <c r="C29" s="24"/>
      <c r="D29" s="112"/>
      <c r="E29" s="25"/>
      <c r="F29" s="113"/>
      <c r="G29" s="25"/>
      <c r="H29" s="113"/>
      <c r="I29" s="25"/>
      <c r="J29" s="113"/>
      <c r="K29" s="25"/>
      <c r="L29" s="113"/>
      <c r="M29" s="44" t="e">
        <f t="shared" ca="1" si="1"/>
        <v>#N/A</v>
      </c>
      <c r="N29" s="107" t="e">
        <f ca="1">VLOOKUP($B29,Matrix!$H$13:$I$37,2,FALSE)&amp;"_"&amp;C29</f>
        <v>#N/A</v>
      </c>
      <c r="O29" s="120" t="e">
        <f t="shared" ca="1" si="0"/>
        <v>#N/A</v>
      </c>
    </row>
    <row r="30" spans="2:15">
      <c r="B30" s="25"/>
      <c r="C30" s="24"/>
      <c r="D30" s="112"/>
      <c r="E30" s="25"/>
      <c r="F30" s="113"/>
      <c r="G30" s="25"/>
      <c r="H30" s="113"/>
      <c r="I30" s="25"/>
      <c r="J30" s="113"/>
      <c r="K30" s="25"/>
      <c r="L30" s="113"/>
      <c r="M30" s="44" t="e">
        <f t="shared" ca="1" si="1"/>
        <v>#N/A</v>
      </c>
      <c r="N30" s="107" t="e">
        <f ca="1">VLOOKUP($B30,Matrix!$H$13:$I$37,2,FALSE)&amp;"_"&amp;C30</f>
        <v>#N/A</v>
      </c>
      <c r="O30" s="120" t="e">
        <f t="shared" ca="1" si="0"/>
        <v>#N/A</v>
      </c>
    </row>
    <row r="31" spans="2:15">
      <c r="B31" s="25"/>
      <c r="C31" s="24"/>
      <c r="D31" s="112"/>
      <c r="E31" s="25"/>
      <c r="F31" s="113"/>
      <c r="G31" s="25"/>
      <c r="H31" s="113"/>
      <c r="I31" s="25"/>
      <c r="J31" s="113"/>
      <c r="K31" s="25"/>
      <c r="L31" s="113"/>
      <c r="M31" s="44" t="e">
        <f t="shared" ca="1" si="1"/>
        <v>#N/A</v>
      </c>
      <c r="N31" s="107" t="e">
        <f ca="1">VLOOKUP($B31,Matrix!$H$13:$I$37,2,FALSE)&amp;"_"&amp;C31</f>
        <v>#N/A</v>
      </c>
      <c r="O31" s="120" t="e">
        <f t="shared" ca="1" si="0"/>
        <v>#N/A</v>
      </c>
    </row>
    <row r="32" spans="2:15">
      <c r="B32" s="25"/>
      <c r="C32" s="24"/>
      <c r="D32" s="112"/>
      <c r="E32" s="25"/>
      <c r="F32" s="113"/>
      <c r="G32" s="25"/>
      <c r="H32" s="113"/>
      <c r="I32" s="25"/>
      <c r="J32" s="113"/>
      <c r="K32" s="25"/>
      <c r="L32" s="113"/>
      <c r="M32" s="44" t="e">
        <f t="shared" ca="1" si="1"/>
        <v>#N/A</v>
      </c>
      <c r="N32" s="107" t="e">
        <f ca="1">VLOOKUP($B32,Matrix!$H$13:$I$37,2,FALSE)&amp;"_"&amp;C32</f>
        <v>#N/A</v>
      </c>
      <c r="O32" s="120" t="e">
        <f t="shared" ca="1" si="0"/>
        <v>#N/A</v>
      </c>
    </row>
    <row r="33" spans="2:15">
      <c r="B33" s="25"/>
      <c r="C33" s="24"/>
      <c r="D33" s="112"/>
      <c r="E33" s="25"/>
      <c r="F33" s="113"/>
      <c r="G33" s="25"/>
      <c r="H33" s="113"/>
      <c r="I33" s="25"/>
      <c r="J33" s="113"/>
      <c r="K33" s="25"/>
      <c r="L33" s="113"/>
      <c r="M33" s="44" t="e">
        <f t="shared" ca="1" si="1"/>
        <v>#N/A</v>
      </c>
      <c r="N33" s="107" t="e">
        <f ca="1">VLOOKUP($B33,Matrix!$H$13:$I$37,2,FALSE)&amp;"_"&amp;C33</f>
        <v>#N/A</v>
      </c>
      <c r="O33" s="120" t="e">
        <f t="shared" ca="1" si="0"/>
        <v>#N/A</v>
      </c>
    </row>
    <row r="34" spans="2:15">
      <c r="B34" s="25"/>
      <c r="C34" s="24"/>
      <c r="D34" s="112"/>
      <c r="E34" s="25"/>
      <c r="F34" s="113"/>
      <c r="G34" s="25"/>
      <c r="H34" s="113"/>
      <c r="I34" s="25"/>
      <c r="J34" s="113"/>
      <c r="K34" s="25"/>
      <c r="L34" s="113"/>
      <c r="M34" s="44" t="e">
        <f t="shared" ca="1" si="1"/>
        <v>#N/A</v>
      </c>
      <c r="N34" s="107" t="e">
        <f ca="1">VLOOKUP($B34,Matrix!$H$13:$I$37,2,FALSE)&amp;"_"&amp;C34</f>
        <v>#N/A</v>
      </c>
      <c r="O34" s="120" t="e">
        <f t="shared" ca="1" si="0"/>
        <v>#N/A</v>
      </c>
    </row>
    <row r="35" spans="2:15">
      <c r="B35" s="25"/>
      <c r="C35" s="24"/>
      <c r="D35" s="112"/>
      <c r="E35" s="25"/>
      <c r="F35" s="113"/>
      <c r="G35" s="25"/>
      <c r="H35" s="113"/>
      <c r="I35" s="25"/>
      <c r="J35" s="113"/>
      <c r="K35" s="25"/>
      <c r="L35" s="113"/>
      <c r="M35" s="44" t="e">
        <f t="shared" ca="1" si="1"/>
        <v>#N/A</v>
      </c>
      <c r="N35" s="107" t="e">
        <f ca="1">VLOOKUP($B35,Matrix!$H$13:$I$37,2,FALSE)&amp;"_"&amp;C35</f>
        <v>#N/A</v>
      </c>
      <c r="O35" s="120" t="e">
        <f t="shared" ca="1" si="0"/>
        <v>#N/A</v>
      </c>
    </row>
    <row r="36" spans="2:15">
      <c r="B36" s="25"/>
      <c r="C36" s="24"/>
      <c r="D36" s="112"/>
      <c r="E36" s="25"/>
      <c r="F36" s="113"/>
      <c r="G36" s="25"/>
      <c r="H36" s="113"/>
      <c r="I36" s="25"/>
      <c r="J36" s="113"/>
      <c r="K36" s="25"/>
      <c r="L36" s="113"/>
      <c r="M36" s="44" t="e">
        <f t="shared" ca="1" si="1"/>
        <v>#N/A</v>
      </c>
      <c r="N36" s="107" t="e">
        <f ca="1">VLOOKUP($B36,Matrix!$H$13:$I$37,2,FALSE)&amp;"_"&amp;C36</f>
        <v>#N/A</v>
      </c>
      <c r="O36" s="120" t="e">
        <f t="shared" ref="O36:O67" ca="1" si="2">"#define "&amp;N36&amp;REPT(" ",48-M36)&amp;"("&amp;D36&amp;"U)"</f>
        <v>#N/A</v>
      </c>
    </row>
    <row r="37" spans="2:15">
      <c r="B37" s="25"/>
      <c r="C37" s="24"/>
      <c r="D37" s="112"/>
      <c r="E37" s="25"/>
      <c r="F37" s="113"/>
      <c r="G37" s="25"/>
      <c r="H37" s="113"/>
      <c r="I37" s="25"/>
      <c r="J37" s="113"/>
      <c r="K37" s="25"/>
      <c r="L37" s="113"/>
      <c r="M37" s="44" t="e">
        <f t="shared" ca="1" si="1"/>
        <v>#N/A</v>
      </c>
      <c r="N37" s="107" t="e">
        <f ca="1">VLOOKUP($B37,Matrix!$H$13:$I$37,2,FALSE)&amp;"_"&amp;C37</f>
        <v>#N/A</v>
      </c>
      <c r="O37" s="120" t="e">
        <f t="shared" ca="1" si="2"/>
        <v>#N/A</v>
      </c>
    </row>
    <row r="38" spans="2:15">
      <c r="B38" s="25"/>
      <c r="C38" s="24"/>
      <c r="D38" s="112"/>
      <c r="E38" s="25"/>
      <c r="F38" s="113"/>
      <c r="G38" s="25"/>
      <c r="H38" s="113"/>
      <c r="I38" s="25"/>
      <c r="J38" s="113"/>
      <c r="K38" s="25"/>
      <c r="L38" s="113"/>
      <c r="M38" s="44" t="e">
        <f t="shared" ca="1" si="1"/>
        <v>#N/A</v>
      </c>
      <c r="N38" s="107" t="e">
        <f ca="1">VLOOKUP($B38,Matrix!$H$13:$I$37,2,FALSE)&amp;"_"&amp;C38</f>
        <v>#N/A</v>
      </c>
      <c r="O38" s="120" t="e">
        <f t="shared" ca="1" si="2"/>
        <v>#N/A</v>
      </c>
    </row>
    <row r="39" spans="2:15">
      <c r="B39" s="25"/>
      <c r="C39" s="24"/>
      <c r="D39" s="112"/>
      <c r="E39" s="25"/>
      <c r="F39" s="113"/>
      <c r="G39" s="25"/>
      <c r="H39" s="113"/>
      <c r="I39" s="25"/>
      <c r="J39" s="113"/>
      <c r="K39" s="25"/>
      <c r="L39" s="113"/>
      <c r="M39" s="44" t="e">
        <f t="shared" ca="1" si="1"/>
        <v>#N/A</v>
      </c>
      <c r="N39" s="107" t="e">
        <f ca="1">VLOOKUP($B39,Matrix!$H$13:$I$37,2,FALSE)&amp;"_"&amp;C39</f>
        <v>#N/A</v>
      </c>
      <c r="O39" s="120" t="e">
        <f t="shared" ca="1" si="2"/>
        <v>#N/A</v>
      </c>
    </row>
    <row r="40" spans="2:15">
      <c r="B40" s="25"/>
      <c r="C40" s="24"/>
      <c r="D40" s="112"/>
      <c r="E40" s="25"/>
      <c r="F40" s="113"/>
      <c r="G40" s="25"/>
      <c r="H40" s="113"/>
      <c r="I40" s="25"/>
      <c r="J40" s="113"/>
      <c r="K40" s="25"/>
      <c r="L40" s="113"/>
      <c r="M40" s="44" t="e">
        <f t="shared" ca="1" si="1"/>
        <v>#N/A</v>
      </c>
      <c r="N40" s="107" t="e">
        <f ca="1">VLOOKUP($B40,Matrix!$H$13:$I$37,2,FALSE)&amp;"_"&amp;C40</f>
        <v>#N/A</v>
      </c>
      <c r="O40" s="120" t="e">
        <f t="shared" ca="1" si="2"/>
        <v>#N/A</v>
      </c>
    </row>
    <row r="41" spans="2:15">
      <c r="B41" s="25"/>
      <c r="C41" s="24"/>
      <c r="D41" s="112"/>
      <c r="E41" s="25"/>
      <c r="F41" s="113"/>
      <c r="G41" s="25"/>
      <c r="H41" s="113"/>
      <c r="I41" s="25"/>
      <c r="J41" s="113"/>
      <c r="K41" s="25"/>
      <c r="L41" s="113"/>
      <c r="M41" s="44" t="e">
        <f t="shared" ca="1" si="1"/>
        <v>#N/A</v>
      </c>
      <c r="N41" s="107" t="e">
        <f ca="1">VLOOKUP($B41,Matrix!$H$13:$I$37,2,FALSE)&amp;"_"&amp;C41</f>
        <v>#N/A</v>
      </c>
      <c r="O41" s="120" t="e">
        <f t="shared" ca="1" si="2"/>
        <v>#N/A</v>
      </c>
    </row>
    <row r="42" spans="2:15">
      <c r="B42" s="25"/>
      <c r="C42" s="24"/>
      <c r="D42" s="112"/>
      <c r="E42" s="25"/>
      <c r="F42" s="113"/>
      <c r="G42" s="25"/>
      <c r="H42" s="113"/>
      <c r="I42" s="25"/>
      <c r="J42" s="113"/>
      <c r="K42" s="25"/>
      <c r="L42" s="113"/>
      <c r="M42" s="44" t="e">
        <f t="shared" ca="1" si="1"/>
        <v>#N/A</v>
      </c>
      <c r="N42" s="107" t="e">
        <f ca="1">VLOOKUP($B42,Matrix!$H$13:$I$37,2,FALSE)&amp;"_"&amp;C42</f>
        <v>#N/A</v>
      </c>
      <c r="O42" s="120" t="e">
        <f t="shared" ca="1" si="2"/>
        <v>#N/A</v>
      </c>
    </row>
    <row r="43" spans="2:15">
      <c r="B43" s="25"/>
      <c r="C43" s="24"/>
      <c r="D43" s="112"/>
      <c r="E43" s="25"/>
      <c r="F43" s="113"/>
      <c r="G43" s="25"/>
      <c r="H43" s="113"/>
      <c r="I43" s="25"/>
      <c r="J43" s="113"/>
      <c r="K43" s="25"/>
      <c r="L43" s="113"/>
      <c r="M43" s="44" t="e">
        <f t="shared" ca="1" si="1"/>
        <v>#N/A</v>
      </c>
      <c r="N43" s="107" t="e">
        <f ca="1">VLOOKUP($B43,Matrix!$H$13:$I$37,2,FALSE)&amp;"_"&amp;C43</f>
        <v>#N/A</v>
      </c>
      <c r="O43" s="120" t="e">
        <f t="shared" ca="1" si="2"/>
        <v>#N/A</v>
      </c>
    </row>
    <row r="44" spans="2:15">
      <c r="B44" s="25"/>
      <c r="C44" s="24"/>
      <c r="D44" s="112"/>
      <c r="E44" s="25"/>
      <c r="F44" s="113"/>
      <c r="G44" s="25"/>
      <c r="H44" s="113"/>
      <c r="I44" s="25"/>
      <c r="J44" s="113"/>
      <c r="K44" s="25"/>
      <c r="L44" s="113"/>
      <c r="M44" s="44" t="e">
        <f t="shared" ca="1" si="1"/>
        <v>#N/A</v>
      </c>
      <c r="N44" s="107" t="e">
        <f ca="1">VLOOKUP($B44,Matrix!$H$13:$I$37,2,FALSE)&amp;"_"&amp;C44</f>
        <v>#N/A</v>
      </c>
      <c r="O44" s="120" t="e">
        <f t="shared" ca="1" si="2"/>
        <v>#N/A</v>
      </c>
    </row>
    <row r="45" spans="2:15">
      <c r="B45" s="25"/>
      <c r="C45" s="24"/>
      <c r="D45" s="112"/>
      <c r="E45" s="25"/>
      <c r="F45" s="113"/>
      <c r="G45" s="25"/>
      <c r="H45" s="113"/>
      <c r="I45" s="25"/>
      <c r="J45" s="113"/>
      <c r="K45" s="25"/>
      <c r="L45" s="113"/>
      <c r="M45" s="44" t="e">
        <f t="shared" ca="1" si="1"/>
        <v>#N/A</v>
      </c>
      <c r="N45" s="107" t="e">
        <f ca="1">VLOOKUP($B45,Matrix!$H$13:$I$37,2,FALSE)&amp;"_"&amp;C45</f>
        <v>#N/A</v>
      </c>
      <c r="O45" s="120" t="e">
        <f t="shared" ca="1" si="2"/>
        <v>#N/A</v>
      </c>
    </row>
    <row r="46" spans="2:15">
      <c r="B46" s="25"/>
      <c r="C46" s="24"/>
      <c r="D46" s="112"/>
      <c r="E46" s="25"/>
      <c r="F46" s="113"/>
      <c r="G46" s="25"/>
      <c r="H46" s="113"/>
      <c r="I46" s="25"/>
      <c r="J46" s="113"/>
      <c r="K46" s="25"/>
      <c r="L46" s="113"/>
      <c r="M46" s="44" t="e">
        <f t="shared" ca="1" si="1"/>
        <v>#N/A</v>
      </c>
      <c r="N46" s="107" t="e">
        <f ca="1">VLOOKUP($B46,Matrix!$H$13:$I$37,2,FALSE)&amp;"_"&amp;C46</f>
        <v>#N/A</v>
      </c>
      <c r="O46" s="120" t="e">
        <f t="shared" ca="1" si="2"/>
        <v>#N/A</v>
      </c>
    </row>
    <row r="47" spans="2:15">
      <c r="B47" s="25"/>
      <c r="C47" s="24"/>
      <c r="D47" s="112"/>
      <c r="E47" s="25"/>
      <c r="F47" s="113"/>
      <c r="G47" s="25"/>
      <c r="H47" s="113"/>
      <c r="I47" s="25"/>
      <c r="J47" s="113"/>
      <c r="K47" s="25"/>
      <c r="L47" s="113"/>
      <c r="M47" s="44" t="e">
        <f t="shared" ca="1" si="1"/>
        <v>#N/A</v>
      </c>
      <c r="N47" s="107" t="e">
        <f ca="1">VLOOKUP($B47,Matrix!$H$13:$I$37,2,FALSE)&amp;"_"&amp;C47</f>
        <v>#N/A</v>
      </c>
      <c r="O47" s="120" t="e">
        <f t="shared" ca="1" si="2"/>
        <v>#N/A</v>
      </c>
    </row>
    <row r="48" spans="2:15">
      <c r="B48" s="25"/>
      <c r="C48" s="24"/>
      <c r="D48" s="112"/>
      <c r="E48" s="25"/>
      <c r="F48" s="113"/>
      <c r="G48" s="25"/>
      <c r="H48" s="113"/>
      <c r="I48" s="25"/>
      <c r="J48" s="113"/>
      <c r="K48" s="25"/>
      <c r="L48" s="113"/>
      <c r="M48" s="44" t="e">
        <f t="shared" ca="1" si="1"/>
        <v>#N/A</v>
      </c>
      <c r="N48" s="107" t="e">
        <f ca="1">VLOOKUP($B48,Matrix!$H$13:$I$37,2,FALSE)&amp;"_"&amp;C48</f>
        <v>#N/A</v>
      </c>
      <c r="O48" s="120" t="e">
        <f t="shared" ca="1" si="2"/>
        <v>#N/A</v>
      </c>
    </row>
    <row r="49" spans="2:15">
      <c r="B49" s="25"/>
      <c r="C49" s="24"/>
      <c r="D49" s="112"/>
      <c r="E49" s="25"/>
      <c r="F49" s="113"/>
      <c r="G49" s="25"/>
      <c r="H49" s="113"/>
      <c r="I49" s="25"/>
      <c r="J49" s="113"/>
      <c r="K49" s="25"/>
      <c r="L49" s="113"/>
      <c r="M49" s="44" t="e">
        <f t="shared" ca="1" si="1"/>
        <v>#N/A</v>
      </c>
      <c r="N49" s="107" t="e">
        <f ca="1">VLOOKUP($B49,Matrix!$H$13:$I$37,2,FALSE)&amp;"_"&amp;C49</f>
        <v>#N/A</v>
      </c>
      <c r="O49" s="120" t="e">
        <f t="shared" ca="1" si="2"/>
        <v>#N/A</v>
      </c>
    </row>
    <row r="50" spans="2:15">
      <c r="B50" s="25"/>
      <c r="C50" s="24"/>
      <c r="D50" s="112"/>
      <c r="E50" s="25"/>
      <c r="F50" s="113"/>
      <c r="G50" s="25"/>
      <c r="H50" s="113"/>
      <c r="I50" s="25"/>
      <c r="J50" s="113"/>
      <c r="K50" s="25"/>
      <c r="L50" s="113"/>
      <c r="M50" s="44" t="e">
        <f t="shared" ca="1" si="1"/>
        <v>#N/A</v>
      </c>
      <c r="N50" s="107" t="e">
        <f ca="1">VLOOKUP($B50,Matrix!$H$13:$I$37,2,FALSE)&amp;"_"&amp;C50</f>
        <v>#N/A</v>
      </c>
      <c r="O50" s="120" t="e">
        <f t="shared" ca="1" si="2"/>
        <v>#N/A</v>
      </c>
    </row>
    <row r="51" spans="2:15">
      <c r="B51" s="25"/>
      <c r="C51" s="24"/>
      <c r="D51" s="112"/>
      <c r="E51" s="25"/>
      <c r="F51" s="113"/>
      <c r="G51" s="25"/>
      <c r="H51" s="113"/>
      <c r="I51" s="25"/>
      <c r="J51" s="113"/>
      <c r="K51" s="25"/>
      <c r="L51" s="113"/>
      <c r="M51" s="44" t="e">
        <f t="shared" ca="1" si="1"/>
        <v>#N/A</v>
      </c>
      <c r="N51" s="107" t="e">
        <f ca="1">VLOOKUP($B51,Matrix!$H$13:$I$37,2,FALSE)&amp;"_"&amp;C51</f>
        <v>#N/A</v>
      </c>
      <c r="O51" s="120" t="e">
        <f t="shared" ca="1" si="2"/>
        <v>#N/A</v>
      </c>
    </row>
    <row r="52" spans="2:15">
      <c r="B52" s="25"/>
      <c r="C52" s="24"/>
      <c r="D52" s="112"/>
      <c r="E52" s="25"/>
      <c r="F52" s="113"/>
      <c r="G52" s="25"/>
      <c r="H52" s="113"/>
      <c r="I52" s="25"/>
      <c r="J52" s="113"/>
      <c r="K52" s="25"/>
      <c r="L52" s="113"/>
      <c r="M52" s="44" t="e">
        <f t="shared" ca="1" si="1"/>
        <v>#N/A</v>
      </c>
      <c r="N52" s="107" t="e">
        <f ca="1">VLOOKUP($B52,Matrix!$H$13:$I$37,2,FALSE)&amp;"_"&amp;C52</f>
        <v>#N/A</v>
      </c>
      <c r="O52" s="120" t="e">
        <f t="shared" ca="1" si="2"/>
        <v>#N/A</v>
      </c>
    </row>
    <row r="53" spans="2:15">
      <c r="B53" s="25"/>
      <c r="C53" s="24"/>
      <c r="D53" s="112"/>
      <c r="E53" s="25"/>
      <c r="F53" s="113"/>
      <c r="G53" s="25"/>
      <c r="H53" s="113"/>
      <c r="I53" s="25"/>
      <c r="J53" s="113"/>
      <c r="K53" s="25"/>
      <c r="L53" s="113"/>
      <c r="M53" s="44" t="e">
        <f t="shared" ca="1" si="1"/>
        <v>#N/A</v>
      </c>
      <c r="N53" s="107" t="e">
        <f ca="1">VLOOKUP($B53,Matrix!$H$13:$I$37,2,FALSE)&amp;"_"&amp;C53</f>
        <v>#N/A</v>
      </c>
      <c r="O53" s="120" t="e">
        <f t="shared" ca="1" si="2"/>
        <v>#N/A</v>
      </c>
    </row>
    <row r="54" spans="2:15">
      <c r="B54" s="25"/>
      <c r="C54" s="24"/>
      <c r="D54" s="112"/>
      <c r="E54" s="25"/>
      <c r="F54" s="113"/>
      <c r="G54" s="25"/>
      <c r="H54" s="113"/>
      <c r="I54" s="25"/>
      <c r="J54" s="113"/>
      <c r="K54" s="25"/>
      <c r="L54" s="113"/>
      <c r="M54" s="44" t="e">
        <f t="shared" ca="1" si="1"/>
        <v>#N/A</v>
      </c>
      <c r="N54" s="107" t="e">
        <f ca="1">VLOOKUP($B54,Matrix!$H$13:$I$37,2,FALSE)&amp;"_"&amp;C54</f>
        <v>#N/A</v>
      </c>
      <c r="O54" s="120" t="e">
        <f t="shared" ca="1" si="2"/>
        <v>#N/A</v>
      </c>
    </row>
    <row r="55" spans="2:15">
      <c r="B55" s="25"/>
      <c r="C55" s="24"/>
      <c r="D55" s="112"/>
      <c r="E55" s="25"/>
      <c r="F55" s="113"/>
      <c r="G55" s="25"/>
      <c r="H55" s="113"/>
      <c r="I55" s="25"/>
      <c r="J55" s="113"/>
      <c r="K55" s="25"/>
      <c r="L55" s="113"/>
      <c r="M55" s="44" t="e">
        <f t="shared" ca="1" si="1"/>
        <v>#N/A</v>
      </c>
      <c r="N55" s="107" t="e">
        <f ca="1">VLOOKUP($B55,Matrix!$H$13:$I$37,2,FALSE)&amp;"_"&amp;C55</f>
        <v>#N/A</v>
      </c>
      <c r="O55" s="120" t="e">
        <f t="shared" ca="1" si="2"/>
        <v>#N/A</v>
      </c>
    </row>
    <row r="56" spans="2:15">
      <c r="B56" s="25"/>
      <c r="C56" s="24"/>
      <c r="D56" s="112"/>
      <c r="E56" s="25"/>
      <c r="F56" s="113"/>
      <c r="G56" s="25"/>
      <c r="H56" s="113"/>
      <c r="I56" s="25"/>
      <c r="J56" s="113"/>
      <c r="K56" s="25"/>
      <c r="L56" s="113"/>
      <c r="M56" s="44" t="e">
        <f t="shared" ca="1" si="1"/>
        <v>#N/A</v>
      </c>
      <c r="N56" s="107" t="e">
        <f ca="1">VLOOKUP($B56,Matrix!$H$13:$I$37,2,FALSE)&amp;"_"&amp;C56</f>
        <v>#N/A</v>
      </c>
      <c r="O56" s="120" t="e">
        <f t="shared" ca="1" si="2"/>
        <v>#N/A</v>
      </c>
    </row>
    <row r="57" spans="2:15">
      <c r="B57" s="25"/>
      <c r="C57" s="24"/>
      <c r="D57" s="112"/>
      <c r="E57" s="25"/>
      <c r="F57" s="113"/>
      <c r="G57" s="25"/>
      <c r="H57" s="113"/>
      <c r="I57" s="25"/>
      <c r="J57" s="113"/>
      <c r="K57" s="25"/>
      <c r="L57" s="113"/>
      <c r="M57" s="44" t="e">
        <f t="shared" ca="1" si="1"/>
        <v>#N/A</v>
      </c>
      <c r="N57" s="107" t="e">
        <f ca="1">VLOOKUP($B57,Matrix!$H$13:$I$37,2,FALSE)&amp;"_"&amp;C57</f>
        <v>#N/A</v>
      </c>
      <c r="O57" s="120" t="e">
        <f t="shared" ca="1" si="2"/>
        <v>#N/A</v>
      </c>
    </row>
    <row r="58" spans="2:15">
      <c r="B58" s="25"/>
      <c r="C58" s="24"/>
      <c r="D58" s="112"/>
      <c r="E58" s="25"/>
      <c r="F58" s="113"/>
      <c r="G58" s="25"/>
      <c r="H58" s="113"/>
      <c r="I58" s="25"/>
      <c r="J58" s="113"/>
      <c r="K58" s="25"/>
      <c r="L58" s="113"/>
      <c r="M58" s="44" t="e">
        <f t="shared" ca="1" si="1"/>
        <v>#N/A</v>
      </c>
      <c r="N58" s="107" t="e">
        <f ca="1">VLOOKUP($B58,Matrix!$H$13:$I$37,2,FALSE)&amp;"_"&amp;C58</f>
        <v>#N/A</v>
      </c>
      <c r="O58" s="120" t="e">
        <f t="shared" ca="1" si="2"/>
        <v>#N/A</v>
      </c>
    </row>
    <row r="59" spans="2:15">
      <c r="B59" s="25"/>
      <c r="C59" s="24"/>
      <c r="D59" s="112"/>
      <c r="E59" s="25"/>
      <c r="F59" s="113"/>
      <c r="G59" s="25"/>
      <c r="H59" s="113"/>
      <c r="I59" s="25"/>
      <c r="J59" s="113"/>
      <c r="K59" s="25"/>
      <c r="L59" s="113"/>
      <c r="M59" s="44" t="e">
        <f t="shared" ca="1" si="1"/>
        <v>#N/A</v>
      </c>
      <c r="N59" s="107" t="e">
        <f ca="1">VLOOKUP($B59,Matrix!$H$13:$I$37,2,FALSE)&amp;"_"&amp;C59</f>
        <v>#N/A</v>
      </c>
      <c r="O59" s="120" t="e">
        <f t="shared" ca="1" si="2"/>
        <v>#N/A</v>
      </c>
    </row>
    <row r="60" spans="2:15">
      <c r="B60" s="25"/>
      <c r="C60" s="24"/>
      <c r="D60" s="112"/>
      <c r="E60" s="25"/>
      <c r="F60" s="113"/>
      <c r="G60" s="25"/>
      <c r="H60" s="113"/>
      <c r="I60" s="25"/>
      <c r="J60" s="113"/>
      <c r="K60" s="25"/>
      <c r="L60" s="113"/>
      <c r="M60" s="44" t="e">
        <f t="shared" ca="1" si="1"/>
        <v>#N/A</v>
      </c>
      <c r="N60" s="107" t="e">
        <f ca="1">VLOOKUP($B60,Matrix!$H$13:$I$37,2,FALSE)&amp;"_"&amp;C60</f>
        <v>#N/A</v>
      </c>
      <c r="O60" s="120" t="e">
        <f t="shared" ca="1" si="2"/>
        <v>#N/A</v>
      </c>
    </row>
    <row r="61" spans="2:15">
      <c r="B61" s="25"/>
      <c r="C61" s="24"/>
      <c r="D61" s="112"/>
      <c r="E61" s="25"/>
      <c r="F61" s="113"/>
      <c r="G61" s="25"/>
      <c r="H61" s="113"/>
      <c r="I61" s="25"/>
      <c r="J61" s="113"/>
      <c r="K61" s="25"/>
      <c r="L61" s="113"/>
      <c r="M61" s="44" t="e">
        <f t="shared" ca="1" si="1"/>
        <v>#N/A</v>
      </c>
      <c r="N61" s="107" t="e">
        <f ca="1">VLOOKUP($B61,Matrix!$H$13:$I$37,2,FALSE)&amp;"_"&amp;C61</f>
        <v>#N/A</v>
      </c>
      <c r="O61" s="120" t="e">
        <f t="shared" ca="1" si="2"/>
        <v>#N/A</v>
      </c>
    </row>
    <row r="62" spans="2:15">
      <c r="B62" s="25"/>
      <c r="C62" s="24"/>
      <c r="D62" s="112"/>
      <c r="E62" s="25"/>
      <c r="F62" s="113"/>
      <c r="G62" s="25"/>
      <c r="H62" s="113"/>
      <c r="I62" s="25"/>
      <c r="J62" s="113"/>
      <c r="K62" s="25"/>
      <c r="L62" s="113"/>
      <c r="M62" s="44" t="e">
        <f t="shared" ca="1" si="1"/>
        <v>#N/A</v>
      </c>
      <c r="N62" s="107" t="e">
        <f ca="1">VLOOKUP($B62,Matrix!$H$13:$I$37,2,FALSE)&amp;"_"&amp;C62</f>
        <v>#N/A</v>
      </c>
      <c r="O62" s="120" t="e">
        <f t="shared" ca="1" si="2"/>
        <v>#N/A</v>
      </c>
    </row>
    <row r="63" spans="2:15">
      <c r="B63" s="25"/>
      <c r="C63" s="24"/>
      <c r="D63" s="112"/>
      <c r="E63" s="25"/>
      <c r="F63" s="113"/>
      <c r="G63" s="25"/>
      <c r="H63" s="113"/>
      <c r="I63" s="25"/>
      <c r="J63" s="113"/>
      <c r="K63" s="25"/>
      <c r="L63" s="113"/>
      <c r="M63" s="44" t="e">
        <f t="shared" ca="1" si="1"/>
        <v>#N/A</v>
      </c>
      <c r="N63" s="107" t="e">
        <f ca="1">VLOOKUP($B63,Matrix!$H$13:$I$37,2,FALSE)&amp;"_"&amp;C63</f>
        <v>#N/A</v>
      </c>
      <c r="O63" s="120" t="e">
        <f t="shared" ca="1" si="2"/>
        <v>#N/A</v>
      </c>
    </row>
    <row r="64" spans="2:15">
      <c r="B64" s="25"/>
      <c r="C64" s="24"/>
      <c r="D64" s="112"/>
      <c r="E64" s="25"/>
      <c r="F64" s="113"/>
      <c r="G64" s="25"/>
      <c r="H64" s="113"/>
      <c r="I64" s="25"/>
      <c r="J64" s="113"/>
      <c r="K64" s="25"/>
      <c r="L64" s="113"/>
      <c r="M64" s="44" t="e">
        <f t="shared" ca="1" si="1"/>
        <v>#N/A</v>
      </c>
      <c r="N64" s="107" t="e">
        <f ca="1">VLOOKUP($B64,Matrix!$H$13:$I$37,2,FALSE)&amp;"_"&amp;C64</f>
        <v>#N/A</v>
      </c>
      <c r="O64" s="120" t="e">
        <f t="shared" ca="1" si="2"/>
        <v>#N/A</v>
      </c>
    </row>
    <row r="65" spans="2:15">
      <c r="B65" s="25"/>
      <c r="C65" s="24"/>
      <c r="D65" s="112"/>
      <c r="E65" s="25"/>
      <c r="F65" s="113"/>
      <c r="G65" s="25"/>
      <c r="H65" s="113"/>
      <c r="I65" s="25"/>
      <c r="J65" s="113"/>
      <c r="K65" s="25"/>
      <c r="L65" s="113"/>
      <c r="M65" s="44" t="e">
        <f t="shared" ca="1" si="1"/>
        <v>#N/A</v>
      </c>
      <c r="N65" s="107" t="e">
        <f ca="1">VLOOKUP($B65,Matrix!$H$13:$I$37,2,FALSE)&amp;"_"&amp;C65</f>
        <v>#N/A</v>
      </c>
      <c r="O65" s="120" t="e">
        <f t="shared" ca="1" si="2"/>
        <v>#N/A</v>
      </c>
    </row>
    <row r="66" spans="2:15">
      <c r="B66" s="25"/>
      <c r="C66" s="24"/>
      <c r="D66" s="112"/>
      <c r="E66" s="25"/>
      <c r="F66" s="113"/>
      <c r="G66" s="25"/>
      <c r="H66" s="113"/>
      <c r="I66" s="25"/>
      <c r="J66" s="113"/>
      <c r="K66" s="25"/>
      <c r="L66" s="113"/>
      <c r="M66" s="44" t="e">
        <f t="shared" ca="1" si="1"/>
        <v>#N/A</v>
      </c>
      <c r="N66" s="107" t="e">
        <f ca="1">VLOOKUP($B66,Matrix!$H$13:$I$37,2,FALSE)&amp;"_"&amp;C66</f>
        <v>#N/A</v>
      </c>
      <c r="O66" s="120" t="e">
        <f t="shared" ca="1" si="2"/>
        <v>#N/A</v>
      </c>
    </row>
    <row r="67" spans="2:15">
      <c r="B67" s="25"/>
      <c r="C67" s="24"/>
      <c r="D67" s="112"/>
      <c r="E67" s="25"/>
      <c r="F67" s="113"/>
      <c r="G67" s="25"/>
      <c r="H67" s="113"/>
      <c r="I67" s="25"/>
      <c r="J67" s="113"/>
      <c r="K67" s="25"/>
      <c r="L67" s="113"/>
      <c r="M67" s="44" t="e">
        <f t="shared" ca="1" si="1"/>
        <v>#N/A</v>
      </c>
      <c r="N67" s="107" t="e">
        <f ca="1">VLOOKUP($B67,Matrix!$H$13:$I$37,2,FALSE)&amp;"_"&amp;C67</f>
        <v>#N/A</v>
      </c>
      <c r="O67" s="120" t="e">
        <f t="shared" ca="1" si="2"/>
        <v>#N/A</v>
      </c>
    </row>
    <row r="68" spans="2:15">
      <c r="B68" s="25"/>
      <c r="C68" s="24"/>
      <c r="D68" s="112"/>
      <c r="E68" s="25"/>
      <c r="F68" s="113"/>
      <c r="G68" s="25"/>
      <c r="H68" s="113"/>
      <c r="I68" s="25"/>
      <c r="J68" s="113"/>
      <c r="K68" s="25"/>
      <c r="L68" s="113"/>
      <c r="M68" s="44" t="e">
        <f t="shared" ca="1" si="1"/>
        <v>#N/A</v>
      </c>
      <c r="N68" s="107" t="e">
        <f ca="1">VLOOKUP($B68,Matrix!$H$13:$I$37,2,FALSE)&amp;"_"&amp;C68</f>
        <v>#N/A</v>
      </c>
      <c r="O68" s="120" t="e">
        <f t="shared" ref="O68:O99" ca="1" si="3">"#define "&amp;N68&amp;REPT(" ",48-M68)&amp;"("&amp;D68&amp;"U)"</f>
        <v>#N/A</v>
      </c>
    </row>
    <row r="69" spans="2:15">
      <c r="B69" s="25"/>
      <c r="C69" s="24"/>
      <c r="D69" s="112"/>
      <c r="E69" s="25"/>
      <c r="F69" s="113"/>
      <c r="G69" s="25"/>
      <c r="H69" s="113"/>
      <c r="I69" s="25"/>
      <c r="J69" s="113"/>
      <c r="K69" s="25"/>
      <c r="L69" s="113"/>
      <c r="M69" s="44" t="e">
        <f t="shared" ref="M69:M103" ca="1" si="4">LEN(N69)</f>
        <v>#N/A</v>
      </c>
      <c r="N69" s="107" t="e">
        <f ca="1">VLOOKUP($B69,Matrix!$H$13:$I$37,2,FALSE)&amp;"_"&amp;C69</f>
        <v>#N/A</v>
      </c>
      <c r="O69" s="120" t="e">
        <f t="shared" ca="1" si="3"/>
        <v>#N/A</v>
      </c>
    </row>
    <row r="70" spans="2:15">
      <c r="B70" s="25"/>
      <c r="C70" s="24"/>
      <c r="D70" s="112"/>
      <c r="E70" s="25"/>
      <c r="F70" s="113"/>
      <c r="G70" s="25"/>
      <c r="H70" s="113"/>
      <c r="I70" s="25"/>
      <c r="J70" s="113"/>
      <c r="K70" s="25"/>
      <c r="L70" s="113"/>
      <c r="M70" s="44" t="e">
        <f t="shared" ca="1" si="4"/>
        <v>#N/A</v>
      </c>
      <c r="N70" s="107" t="e">
        <f ca="1">VLOOKUP($B70,Matrix!$H$13:$I$37,2,FALSE)&amp;"_"&amp;C70</f>
        <v>#N/A</v>
      </c>
      <c r="O70" s="120" t="e">
        <f t="shared" ca="1" si="3"/>
        <v>#N/A</v>
      </c>
    </row>
    <row r="71" spans="2:15">
      <c r="B71" s="25"/>
      <c r="C71" s="24"/>
      <c r="D71" s="112"/>
      <c r="E71" s="25"/>
      <c r="F71" s="113"/>
      <c r="G71" s="25"/>
      <c r="H71" s="113"/>
      <c r="I71" s="25"/>
      <c r="J71" s="113"/>
      <c r="K71" s="25"/>
      <c r="L71" s="113"/>
      <c r="M71" s="44" t="e">
        <f t="shared" ca="1" si="4"/>
        <v>#N/A</v>
      </c>
      <c r="N71" s="107" t="e">
        <f ca="1">VLOOKUP($B71,Matrix!$H$13:$I$37,2,FALSE)&amp;"_"&amp;C71</f>
        <v>#N/A</v>
      </c>
      <c r="O71" s="120" t="e">
        <f t="shared" ca="1" si="3"/>
        <v>#N/A</v>
      </c>
    </row>
    <row r="72" spans="2:15">
      <c r="B72" s="25"/>
      <c r="C72" s="24"/>
      <c r="D72" s="112"/>
      <c r="E72" s="25"/>
      <c r="F72" s="113"/>
      <c r="G72" s="25"/>
      <c r="H72" s="113"/>
      <c r="I72" s="25"/>
      <c r="J72" s="113"/>
      <c r="K72" s="25"/>
      <c r="L72" s="113"/>
      <c r="M72" s="44" t="e">
        <f t="shared" ca="1" si="4"/>
        <v>#N/A</v>
      </c>
      <c r="N72" s="107" t="e">
        <f ca="1">VLOOKUP($B72,Matrix!$H$13:$I$37,2,FALSE)&amp;"_"&amp;C72</f>
        <v>#N/A</v>
      </c>
      <c r="O72" s="120" t="e">
        <f t="shared" ca="1" si="3"/>
        <v>#N/A</v>
      </c>
    </row>
    <row r="73" spans="2:15">
      <c r="B73" s="25"/>
      <c r="C73" s="24"/>
      <c r="D73" s="112"/>
      <c r="E73" s="25"/>
      <c r="F73" s="113"/>
      <c r="G73" s="25"/>
      <c r="H73" s="113"/>
      <c r="I73" s="25"/>
      <c r="J73" s="113"/>
      <c r="K73" s="25"/>
      <c r="L73" s="113"/>
      <c r="M73" s="44" t="e">
        <f t="shared" ca="1" si="4"/>
        <v>#N/A</v>
      </c>
      <c r="N73" s="107" t="e">
        <f ca="1">VLOOKUP($B73,Matrix!$H$13:$I$37,2,FALSE)&amp;"_"&amp;C73</f>
        <v>#N/A</v>
      </c>
      <c r="O73" s="120" t="e">
        <f t="shared" ca="1" si="3"/>
        <v>#N/A</v>
      </c>
    </row>
    <row r="74" spans="2:15">
      <c r="B74" s="25"/>
      <c r="C74" s="24"/>
      <c r="D74" s="112"/>
      <c r="E74" s="25"/>
      <c r="F74" s="113"/>
      <c r="G74" s="25"/>
      <c r="H74" s="113"/>
      <c r="I74" s="25"/>
      <c r="J74" s="113"/>
      <c r="K74" s="25"/>
      <c r="L74" s="113"/>
      <c r="M74" s="44" t="e">
        <f t="shared" ca="1" si="4"/>
        <v>#N/A</v>
      </c>
      <c r="N74" s="107" t="e">
        <f ca="1">VLOOKUP($B74,Matrix!$H$13:$I$37,2,FALSE)&amp;"_"&amp;C74</f>
        <v>#N/A</v>
      </c>
      <c r="O74" s="120" t="e">
        <f t="shared" ca="1" si="3"/>
        <v>#N/A</v>
      </c>
    </row>
    <row r="75" spans="2:15">
      <c r="B75" s="25"/>
      <c r="C75" s="24"/>
      <c r="D75" s="112"/>
      <c r="E75" s="25"/>
      <c r="F75" s="113"/>
      <c r="G75" s="25"/>
      <c r="H75" s="113"/>
      <c r="I75" s="25"/>
      <c r="J75" s="113"/>
      <c r="K75" s="25"/>
      <c r="L75" s="113"/>
      <c r="M75" s="44" t="e">
        <f t="shared" ca="1" si="4"/>
        <v>#N/A</v>
      </c>
      <c r="N75" s="107" t="e">
        <f ca="1">VLOOKUP($B75,Matrix!$H$13:$I$37,2,FALSE)&amp;"_"&amp;C75</f>
        <v>#N/A</v>
      </c>
      <c r="O75" s="120" t="e">
        <f t="shared" ca="1" si="3"/>
        <v>#N/A</v>
      </c>
    </row>
    <row r="76" spans="2:15">
      <c r="B76" s="25"/>
      <c r="C76" s="24"/>
      <c r="D76" s="112"/>
      <c r="E76" s="25"/>
      <c r="F76" s="113"/>
      <c r="G76" s="25"/>
      <c r="H76" s="113"/>
      <c r="I76" s="25"/>
      <c r="J76" s="113"/>
      <c r="K76" s="25"/>
      <c r="L76" s="113"/>
      <c r="M76" s="44" t="e">
        <f t="shared" ca="1" si="4"/>
        <v>#N/A</v>
      </c>
      <c r="N76" s="107" t="e">
        <f ca="1">VLOOKUP($B76,Matrix!$H$13:$I$37,2,FALSE)&amp;"_"&amp;C76</f>
        <v>#N/A</v>
      </c>
      <c r="O76" s="120" t="e">
        <f t="shared" ca="1" si="3"/>
        <v>#N/A</v>
      </c>
    </row>
    <row r="77" spans="2:15">
      <c r="B77" s="25"/>
      <c r="C77" s="24"/>
      <c r="D77" s="112"/>
      <c r="E77" s="25"/>
      <c r="F77" s="113"/>
      <c r="G77" s="25"/>
      <c r="H77" s="113"/>
      <c r="I77" s="25"/>
      <c r="J77" s="113"/>
      <c r="K77" s="25"/>
      <c r="L77" s="113"/>
      <c r="M77" s="44" t="e">
        <f t="shared" ca="1" si="4"/>
        <v>#N/A</v>
      </c>
      <c r="N77" s="107" t="e">
        <f ca="1">VLOOKUP($B77,Matrix!$H$13:$I$37,2,FALSE)&amp;"_"&amp;C77</f>
        <v>#N/A</v>
      </c>
      <c r="O77" s="120" t="e">
        <f t="shared" ca="1" si="3"/>
        <v>#N/A</v>
      </c>
    </row>
    <row r="78" spans="2:15">
      <c r="B78" s="25"/>
      <c r="C78" s="24"/>
      <c r="D78" s="112"/>
      <c r="E78" s="25"/>
      <c r="F78" s="113"/>
      <c r="G78" s="25"/>
      <c r="H78" s="113"/>
      <c r="I78" s="25"/>
      <c r="J78" s="113"/>
      <c r="K78" s="25"/>
      <c r="L78" s="113"/>
      <c r="M78" s="44" t="e">
        <f t="shared" ca="1" si="4"/>
        <v>#N/A</v>
      </c>
      <c r="N78" s="107" t="e">
        <f ca="1">VLOOKUP($B78,Matrix!$H$13:$I$37,2,FALSE)&amp;"_"&amp;C78</f>
        <v>#N/A</v>
      </c>
      <c r="O78" s="120" t="e">
        <f t="shared" ca="1" si="3"/>
        <v>#N/A</v>
      </c>
    </row>
    <row r="79" spans="2:15">
      <c r="B79" s="25"/>
      <c r="C79" s="24"/>
      <c r="D79" s="112"/>
      <c r="E79" s="25"/>
      <c r="F79" s="113"/>
      <c r="G79" s="25"/>
      <c r="H79" s="113"/>
      <c r="I79" s="25"/>
      <c r="J79" s="113"/>
      <c r="K79" s="25"/>
      <c r="L79" s="113"/>
      <c r="M79" s="44" t="e">
        <f t="shared" ca="1" si="4"/>
        <v>#N/A</v>
      </c>
      <c r="N79" s="107" t="e">
        <f ca="1">VLOOKUP($B79,Matrix!$H$13:$I$37,2,FALSE)&amp;"_"&amp;C79</f>
        <v>#N/A</v>
      </c>
      <c r="O79" s="120" t="e">
        <f t="shared" ca="1" si="3"/>
        <v>#N/A</v>
      </c>
    </row>
    <row r="80" spans="2:15">
      <c r="B80" s="25"/>
      <c r="C80" s="24"/>
      <c r="D80" s="112"/>
      <c r="E80" s="25"/>
      <c r="F80" s="113"/>
      <c r="G80" s="25"/>
      <c r="H80" s="113"/>
      <c r="I80" s="25"/>
      <c r="J80" s="113"/>
      <c r="K80" s="25"/>
      <c r="L80" s="113"/>
      <c r="M80" s="44" t="e">
        <f t="shared" ca="1" si="4"/>
        <v>#N/A</v>
      </c>
      <c r="N80" s="107" t="e">
        <f ca="1">VLOOKUP($B80,Matrix!$H$13:$I$37,2,FALSE)&amp;"_"&amp;C80</f>
        <v>#N/A</v>
      </c>
      <c r="O80" s="120" t="e">
        <f t="shared" ca="1" si="3"/>
        <v>#N/A</v>
      </c>
    </row>
    <row r="81" spans="2:15">
      <c r="B81" s="25"/>
      <c r="C81" s="24"/>
      <c r="D81" s="112"/>
      <c r="E81" s="25"/>
      <c r="F81" s="113"/>
      <c r="G81" s="25"/>
      <c r="H81" s="113"/>
      <c r="I81" s="25"/>
      <c r="J81" s="113"/>
      <c r="K81" s="25"/>
      <c r="L81" s="113"/>
      <c r="M81" s="44" t="e">
        <f t="shared" ca="1" si="4"/>
        <v>#N/A</v>
      </c>
      <c r="N81" s="107" t="e">
        <f ca="1">VLOOKUP($B81,Matrix!$H$13:$I$37,2,FALSE)&amp;"_"&amp;C81</f>
        <v>#N/A</v>
      </c>
      <c r="O81" s="120" t="e">
        <f t="shared" ca="1" si="3"/>
        <v>#N/A</v>
      </c>
    </row>
    <row r="82" spans="2:15">
      <c r="B82" s="25"/>
      <c r="C82" s="24"/>
      <c r="D82" s="112"/>
      <c r="E82" s="25"/>
      <c r="F82" s="113"/>
      <c r="G82" s="25"/>
      <c r="H82" s="113"/>
      <c r="I82" s="25"/>
      <c r="J82" s="113"/>
      <c r="K82" s="25"/>
      <c r="L82" s="113"/>
      <c r="M82" s="44" t="e">
        <f t="shared" ca="1" si="4"/>
        <v>#N/A</v>
      </c>
      <c r="N82" s="107" t="e">
        <f ca="1">VLOOKUP($B82,Matrix!$H$13:$I$37,2,FALSE)&amp;"_"&amp;C82</f>
        <v>#N/A</v>
      </c>
      <c r="O82" s="120" t="e">
        <f t="shared" ca="1" si="3"/>
        <v>#N/A</v>
      </c>
    </row>
    <row r="83" spans="2:15">
      <c r="B83" s="25"/>
      <c r="C83" s="24"/>
      <c r="D83" s="112"/>
      <c r="E83" s="25"/>
      <c r="F83" s="113"/>
      <c r="G83" s="25"/>
      <c r="H83" s="113"/>
      <c r="I83" s="25"/>
      <c r="J83" s="113"/>
      <c r="K83" s="25"/>
      <c r="L83" s="113"/>
      <c r="M83" s="44" t="e">
        <f t="shared" ca="1" si="4"/>
        <v>#N/A</v>
      </c>
      <c r="N83" s="107" t="e">
        <f ca="1">VLOOKUP($B83,Matrix!$H$13:$I$37,2,FALSE)&amp;"_"&amp;C83</f>
        <v>#N/A</v>
      </c>
      <c r="O83" s="120" t="e">
        <f t="shared" ca="1" si="3"/>
        <v>#N/A</v>
      </c>
    </row>
    <row r="84" spans="2:15">
      <c r="B84" s="25"/>
      <c r="C84" s="24"/>
      <c r="D84" s="112"/>
      <c r="E84" s="25"/>
      <c r="F84" s="113"/>
      <c r="G84" s="25"/>
      <c r="H84" s="113"/>
      <c r="I84" s="25"/>
      <c r="J84" s="113"/>
      <c r="K84" s="25"/>
      <c r="L84" s="113"/>
      <c r="M84" s="44" t="e">
        <f t="shared" ca="1" si="4"/>
        <v>#N/A</v>
      </c>
      <c r="N84" s="107" t="e">
        <f ca="1">VLOOKUP($B84,Matrix!$H$13:$I$37,2,FALSE)&amp;"_"&amp;C84</f>
        <v>#N/A</v>
      </c>
      <c r="O84" s="120" t="e">
        <f t="shared" ca="1" si="3"/>
        <v>#N/A</v>
      </c>
    </row>
    <row r="85" spans="2:15">
      <c r="B85" s="25"/>
      <c r="C85" s="24"/>
      <c r="D85" s="112"/>
      <c r="E85" s="25"/>
      <c r="F85" s="113"/>
      <c r="G85" s="25"/>
      <c r="H85" s="113"/>
      <c r="I85" s="25"/>
      <c r="J85" s="113"/>
      <c r="K85" s="25"/>
      <c r="L85" s="113"/>
      <c r="M85" s="44" t="e">
        <f t="shared" ca="1" si="4"/>
        <v>#N/A</v>
      </c>
      <c r="N85" s="107" t="e">
        <f ca="1">VLOOKUP($B85,Matrix!$H$13:$I$37,2,FALSE)&amp;"_"&amp;C85</f>
        <v>#N/A</v>
      </c>
      <c r="O85" s="120" t="e">
        <f t="shared" ca="1" si="3"/>
        <v>#N/A</v>
      </c>
    </row>
    <row r="86" spans="2:15">
      <c r="B86" s="25"/>
      <c r="C86" s="24"/>
      <c r="D86" s="112"/>
      <c r="E86" s="25"/>
      <c r="F86" s="113"/>
      <c r="G86" s="25"/>
      <c r="H86" s="113"/>
      <c r="I86" s="25"/>
      <c r="J86" s="113"/>
      <c r="K86" s="25"/>
      <c r="L86" s="113"/>
      <c r="M86" s="44" t="e">
        <f t="shared" ca="1" si="4"/>
        <v>#N/A</v>
      </c>
      <c r="N86" s="107" t="e">
        <f ca="1">VLOOKUP($B86,Matrix!$H$13:$I$37,2,FALSE)&amp;"_"&amp;C86</f>
        <v>#N/A</v>
      </c>
      <c r="O86" s="120" t="e">
        <f t="shared" ca="1" si="3"/>
        <v>#N/A</v>
      </c>
    </row>
    <row r="87" spans="2:15">
      <c r="B87" s="25"/>
      <c r="C87" s="24"/>
      <c r="D87" s="112"/>
      <c r="E87" s="25"/>
      <c r="F87" s="113"/>
      <c r="G87" s="25"/>
      <c r="H87" s="113"/>
      <c r="I87" s="25"/>
      <c r="J87" s="113"/>
      <c r="K87" s="25"/>
      <c r="L87" s="113"/>
      <c r="M87" s="44" t="e">
        <f t="shared" ca="1" si="4"/>
        <v>#N/A</v>
      </c>
      <c r="N87" s="65" t="e">
        <f ca="1">VLOOKUP($B87,Matrix!$H$13:$I$37,2,FALSE)&amp;"_"&amp;C87</f>
        <v>#N/A</v>
      </c>
      <c r="O87" s="120" t="e">
        <f t="shared" ca="1" si="3"/>
        <v>#N/A</v>
      </c>
    </row>
    <row r="88" spans="2:15">
      <c r="B88" s="25"/>
      <c r="C88" s="24"/>
      <c r="D88" s="112"/>
      <c r="E88" s="25"/>
      <c r="F88" s="113"/>
      <c r="G88" s="25"/>
      <c r="H88" s="113"/>
      <c r="I88" s="25"/>
      <c r="J88" s="113"/>
      <c r="K88" s="25"/>
      <c r="L88" s="113"/>
      <c r="M88" s="44" t="e">
        <f t="shared" ca="1" si="4"/>
        <v>#N/A</v>
      </c>
      <c r="N88" s="65" t="e">
        <f ca="1">VLOOKUP($B88,Matrix!$H$13:$I$37,2,FALSE)&amp;"_"&amp;C88</f>
        <v>#N/A</v>
      </c>
      <c r="O88" s="120" t="e">
        <f t="shared" ca="1" si="3"/>
        <v>#N/A</v>
      </c>
    </row>
    <row r="89" spans="2:15">
      <c r="B89" s="25"/>
      <c r="C89" s="24"/>
      <c r="D89" s="112"/>
      <c r="E89" s="25"/>
      <c r="F89" s="113"/>
      <c r="G89" s="25"/>
      <c r="H89" s="113"/>
      <c r="I89" s="25"/>
      <c r="J89" s="113"/>
      <c r="K89" s="25"/>
      <c r="L89" s="113"/>
      <c r="M89" s="44" t="e">
        <f t="shared" ca="1" si="4"/>
        <v>#N/A</v>
      </c>
      <c r="N89" s="65" t="e">
        <f ca="1">VLOOKUP($B89,Matrix!$H$13:$I$37,2,FALSE)&amp;"_"&amp;C89</f>
        <v>#N/A</v>
      </c>
      <c r="O89" s="120" t="e">
        <f t="shared" ca="1" si="3"/>
        <v>#N/A</v>
      </c>
    </row>
    <row r="90" spans="2:15">
      <c r="B90" s="25"/>
      <c r="C90" s="24"/>
      <c r="D90" s="112"/>
      <c r="E90" s="25"/>
      <c r="F90" s="113"/>
      <c r="G90" s="25"/>
      <c r="H90" s="113"/>
      <c r="I90" s="25"/>
      <c r="J90" s="113"/>
      <c r="K90" s="25"/>
      <c r="L90" s="113"/>
      <c r="M90" s="44" t="e">
        <f t="shared" ca="1" si="4"/>
        <v>#N/A</v>
      </c>
      <c r="N90" s="65" t="e">
        <f ca="1">VLOOKUP($B90,Matrix!$H$13:$I$37,2,FALSE)&amp;"_"&amp;C90</f>
        <v>#N/A</v>
      </c>
      <c r="O90" s="120" t="e">
        <f t="shared" ca="1" si="3"/>
        <v>#N/A</v>
      </c>
    </row>
    <row r="91" spans="2:15">
      <c r="B91" s="25"/>
      <c r="C91" s="24"/>
      <c r="D91" s="112"/>
      <c r="E91" s="25"/>
      <c r="F91" s="113"/>
      <c r="G91" s="25"/>
      <c r="H91" s="113"/>
      <c r="I91" s="25"/>
      <c r="J91" s="113"/>
      <c r="K91" s="25"/>
      <c r="L91" s="113"/>
      <c r="M91" s="44" t="e">
        <f t="shared" ca="1" si="4"/>
        <v>#N/A</v>
      </c>
      <c r="N91" s="65" t="e">
        <f ca="1">VLOOKUP($B91,Matrix!$H$13:$I$37,2,FALSE)&amp;"_"&amp;C91</f>
        <v>#N/A</v>
      </c>
      <c r="O91" s="120" t="e">
        <f t="shared" ca="1" si="3"/>
        <v>#N/A</v>
      </c>
    </row>
    <row r="92" spans="2:15">
      <c r="B92" s="25"/>
      <c r="C92" s="24"/>
      <c r="D92" s="112"/>
      <c r="E92" s="25"/>
      <c r="F92" s="113"/>
      <c r="G92" s="25"/>
      <c r="H92" s="113"/>
      <c r="I92" s="25"/>
      <c r="J92" s="113"/>
      <c r="K92" s="25"/>
      <c r="L92" s="113"/>
      <c r="M92" s="44" t="e">
        <f t="shared" ca="1" si="4"/>
        <v>#N/A</v>
      </c>
      <c r="N92" s="65" t="e">
        <f ca="1">VLOOKUP($B92,Matrix!$H$13:$I$37,2,FALSE)&amp;"_"&amp;C92</f>
        <v>#N/A</v>
      </c>
      <c r="O92" s="120" t="e">
        <f t="shared" ca="1" si="3"/>
        <v>#N/A</v>
      </c>
    </row>
    <row r="93" spans="2:15">
      <c r="B93" s="25"/>
      <c r="C93" s="24"/>
      <c r="D93" s="112"/>
      <c r="E93" s="25"/>
      <c r="F93" s="113"/>
      <c r="G93" s="25"/>
      <c r="H93" s="113"/>
      <c r="I93" s="25"/>
      <c r="J93" s="113"/>
      <c r="K93" s="25"/>
      <c r="L93" s="113"/>
      <c r="M93" s="44" t="e">
        <f t="shared" ca="1" si="4"/>
        <v>#N/A</v>
      </c>
      <c r="N93" s="65" t="e">
        <f ca="1">VLOOKUP($B93,Matrix!$H$13:$I$37,2,FALSE)&amp;"_"&amp;C93</f>
        <v>#N/A</v>
      </c>
      <c r="O93" s="120" t="e">
        <f t="shared" ca="1" si="3"/>
        <v>#N/A</v>
      </c>
    </row>
    <row r="94" spans="2:15">
      <c r="B94" s="25"/>
      <c r="C94" s="24"/>
      <c r="D94" s="112"/>
      <c r="E94" s="25"/>
      <c r="F94" s="113"/>
      <c r="G94" s="25"/>
      <c r="H94" s="113"/>
      <c r="I94" s="25"/>
      <c r="J94" s="113"/>
      <c r="K94" s="25"/>
      <c r="L94" s="113"/>
      <c r="M94" s="44" t="e">
        <f t="shared" ca="1" si="4"/>
        <v>#N/A</v>
      </c>
      <c r="N94" s="65" t="e">
        <f ca="1">VLOOKUP($B94,Matrix!$H$13:$I$37,2,FALSE)&amp;"_"&amp;C94</f>
        <v>#N/A</v>
      </c>
      <c r="O94" s="120" t="e">
        <f t="shared" ca="1" si="3"/>
        <v>#N/A</v>
      </c>
    </row>
    <row r="95" spans="2:15">
      <c r="B95" s="25"/>
      <c r="C95" s="24"/>
      <c r="D95" s="112"/>
      <c r="E95" s="25"/>
      <c r="F95" s="113"/>
      <c r="G95" s="25"/>
      <c r="H95" s="113"/>
      <c r="I95" s="25"/>
      <c r="J95" s="113"/>
      <c r="K95" s="25"/>
      <c r="L95" s="113"/>
      <c r="M95" s="44" t="e">
        <f t="shared" ca="1" si="4"/>
        <v>#N/A</v>
      </c>
      <c r="N95" s="65" t="e">
        <f ca="1">VLOOKUP($B95,Matrix!$H$13:$I$37,2,FALSE)&amp;"_"&amp;C95</f>
        <v>#N/A</v>
      </c>
      <c r="O95" s="120" t="e">
        <f t="shared" ca="1" si="3"/>
        <v>#N/A</v>
      </c>
    </row>
    <row r="96" spans="2:15">
      <c r="B96" s="25"/>
      <c r="C96" s="24"/>
      <c r="D96" s="112"/>
      <c r="E96" s="25"/>
      <c r="F96" s="113"/>
      <c r="G96" s="25"/>
      <c r="H96" s="113"/>
      <c r="I96" s="25"/>
      <c r="J96" s="113"/>
      <c r="K96" s="25"/>
      <c r="L96" s="113"/>
      <c r="M96" s="44" t="e">
        <f t="shared" ca="1" si="4"/>
        <v>#N/A</v>
      </c>
      <c r="N96" s="65" t="e">
        <f ca="1">VLOOKUP($B96,Matrix!$H$13:$I$37,2,FALSE)&amp;"_"&amp;C96</f>
        <v>#N/A</v>
      </c>
      <c r="O96" s="120" t="e">
        <f t="shared" ca="1" si="3"/>
        <v>#N/A</v>
      </c>
    </row>
    <row r="97" spans="2:15">
      <c r="B97" s="25"/>
      <c r="C97" s="24"/>
      <c r="D97" s="112"/>
      <c r="E97" s="25"/>
      <c r="F97" s="113"/>
      <c r="G97" s="25"/>
      <c r="H97" s="113"/>
      <c r="I97" s="25"/>
      <c r="J97" s="113"/>
      <c r="K97" s="25"/>
      <c r="L97" s="113"/>
      <c r="M97" s="44" t="e">
        <f t="shared" ca="1" si="4"/>
        <v>#N/A</v>
      </c>
      <c r="N97" s="65" t="e">
        <f ca="1">VLOOKUP($B97,Matrix!$H$13:$I$37,2,FALSE)&amp;"_"&amp;C97</f>
        <v>#N/A</v>
      </c>
      <c r="O97" s="120" t="e">
        <f t="shared" ca="1" si="3"/>
        <v>#N/A</v>
      </c>
    </row>
    <row r="98" spans="2:15">
      <c r="B98" s="25"/>
      <c r="C98" s="24"/>
      <c r="D98" s="112"/>
      <c r="E98" s="25"/>
      <c r="F98" s="113"/>
      <c r="G98" s="25"/>
      <c r="H98" s="113"/>
      <c r="I98" s="25"/>
      <c r="J98" s="113"/>
      <c r="K98" s="25"/>
      <c r="L98" s="113"/>
      <c r="M98" s="44" t="e">
        <f t="shared" ca="1" si="4"/>
        <v>#N/A</v>
      </c>
      <c r="N98" s="65" t="e">
        <f ca="1">VLOOKUP($B98,Matrix!$H$13:$I$37,2,FALSE)&amp;"_"&amp;C98</f>
        <v>#N/A</v>
      </c>
      <c r="O98" s="120" t="e">
        <f t="shared" ca="1" si="3"/>
        <v>#N/A</v>
      </c>
    </row>
    <row r="99" spans="2:15">
      <c r="B99" s="25"/>
      <c r="C99" s="24"/>
      <c r="D99" s="112"/>
      <c r="E99" s="25"/>
      <c r="F99" s="113"/>
      <c r="G99" s="25"/>
      <c r="H99" s="113"/>
      <c r="I99" s="25"/>
      <c r="J99" s="113"/>
      <c r="K99" s="25"/>
      <c r="L99" s="113"/>
      <c r="M99" s="44" t="e">
        <f t="shared" ca="1" si="4"/>
        <v>#N/A</v>
      </c>
      <c r="N99" s="65" t="e">
        <f ca="1">VLOOKUP($B99,Matrix!$H$13:$I$37,2,FALSE)&amp;"_"&amp;C99</f>
        <v>#N/A</v>
      </c>
      <c r="O99" s="120" t="e">
        <f t="shared" ca="1" si="3"/>
        <v>#N/A</v>
      </c>
    </row>
    <row r="100" spans="2:15">
      <c r="B100" s="25"/>
      <c r="C100" s="24"/>
      <c r="D100" s="112"/>
      <c r="E100" s="25"/>
      <c r="F100" s="113"/>
      <c r="G100" s="25"/>
      <c r="H100" s="113"/>
      <c r="I100" s="25"/>
      <c r="J100" s="113"/>
      <c r="K100" s="25"/>
      <c r="L100" s="113"/>
      <c r="M100" s="44" t="e">
        <f t="shared" ca="1" si="4"/>
        <v>#N/A</v>
      </c>
      <c r="N100" s="65" t="e">
        <f ca="1">VLOOKUP($B100,Matrix!$H$13:$I$37,2,FALSE)&amp;"_"&amp;C100</f>
        <v>#N/A</v>
      </c>
      <c r="O100" s="120" t="e">
        <f t="shared" ref="O100:O103" ca="1" si="5">"#define "&amp;N100&amp;REPT(" ",48-M100)&amp;"("&amp;D100&amp;"U)"</f>
        <v>#N/A</v>
      </c>
    </row>
    <row r="101" spans="2:15">
      <c r="B101" s="25"/>
      <c r="C101" s="24"/>
      <c r="D101" s="112"/>
      <c r="E101" s="25"/>
      <c r="F101" s="113"/>
      <c r="G101" s="25"/>
      <c r="H101" s="113"/>
      <c r="I101" s="25"/>
      <c r="J101" s="113"/>
      <c r="K101" s="25"/>
      <c r="L101" s="113"/>
      <c r="M101" s="44" t="e">
        <f t="shared" ca="1" si="4"/>
        <v>#N/A</v>
      </c>
      <c r="N101" s="65" t="e">
        <f ca="1">VLOOKUP($B101,Matrix!$H$13:$I$37,2,FALSE)&amp;"_"&amp;C101</f>
        <v>#N/A</v>
      </c>
      <c r="O101" s="120" t="e">
        <f t="shared" ca="1" si="5"/>
        <v>#N/A</v>
      </c>
    </row>
    <row r="102" spans="2:15">
      <c r="B102" s="25"/>
      <c r="C102" s="24"/>
      <c r="D102" s="112"/>
      <c r="E102" s="25"/>
      <c r="F102" s="113"/>
      <c r="G102" s="25"/>
      <c r="H102" s="113"/>
      <c r="I102" s="25"/>
      <c r="J102" s="113"/>
      <c r="K102" s="25"/>
      <c r="L102" s="113"/>
      <c r="M102" s="44" t="e">
        <f t="shared" ca="1" si="4"/>
        <v>#N/A</v>
      </c>
      <c r="N102" s="65" t="e">
        <f ca="1">VLOOKUP($B102,Matrix!$H$13:$I$37,2,FALSE)&amp;"_"&amp;C102</f>
        <v>#N/A</v>
      </c>
      <c r="O102" s="120" t="e">
        <f t="shared" ca="1" si="5"/>
        <v>#N/A</v>
      </c>
    </row>
    <row r="103" spans="2:15" ht="14.25" thickBot="1">
      <c r="B103" s="50"/>
      <c r="C103" s="51"/>
      <c r="D103" s="114"/>
      <c r="E103" s="50"/>
      <c r="F103" s="115"/>
      <c r="G103" s="50"/>
      <c r="H103" s="115"/>
      <c r="I103" s="50"/>
      <c r="J103" s="115"/>
      <c r="K103" s="50"/>
      <c r="L103" s="115"/>
      <c r="M103" s="52" t="e">
        <f t="shared" ca="1" si="4"/>
        <v>#N/A</v>
      </c>
      <c r="N103" s="66" t="e">
        <f ca="1">VLOOKUP($B103,Matrix!$H$13:$I$37,2,FALSE)&amp;"_"&amp;C103</f>
        <v>#N/A</v>
      </c>
      <c r="O103" s="121" t="e">
        <f t="shared" ca="1" si="5"/>
        <v>#N/A</v>
      </c>
    </row>
  </sheetData>
  <sheetProtection sheet="1" objects="1" scenarios="1"/>
  <protectedRanges>
    <protectedRange sqref="B4:L103" name="範囲1"/>
  </protectedRanges>
  <phoneticPr fontId="2"/>
  <conditionalFormatting sqref="M4:M103">
    <cfRule type="cellIs" dxfId="10" priority="2" operator="greaterThan">
      <formula>32</formula>
    </cfRule>
  </conditionalFormatting>
  <conditionalFormatting sqref="M3">
    <cfRule type="cellIs" dxfId="9"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2" t="s">
        <v>123</v>
      </c>
      <c r="C2" s="274" t="s">
        <v>84</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76" t="s">
        <v>155</v>
      </c>
    </row>
    <row r="3" spans="1:49" ht="213" customHeight="1" thickBot="1">
      <c r="B3" s="228" t="str">
        <f>IF(OR(IF(COUNTIF(D6:AC69,"0")&lt;&gt;0,TRUE,FALSE),IF(COUNTIF(D6:AC69,"1")&lt;&gt;0,TRUE,FALSE)),"Search Table","Index Table")</f>
        <v>Index Table</v>
      </c>
      <c r="C3" s="275"/>
      <c r="D3" s="124" t="s">
        <v>61</v>
      </c>
      <c r="E3" s="124" t="s">
        <v>66</v>
      </c>
      <c r="F3" s="124" t="s">
        <v>49</v>
      </c>
      <c r="G3" s="124" t="s">
        <v>48</v>
      </c>
      <c r="H3" s="124" t="s">
        <v>121</v>
      </c>
      <c r="I3" s="124" t="s">
        <v>120</v>
      </c>
      <c r="J3" s="124" t="s">
        <v>125</v>
      </c>
      <c r="K3" s="124" t="s">
        <v>124</v>
      </c>
      <c r="L3" s="125" t="s">
        <v>66</v>
      </c>
      <c r="M3" s="125" t="s">
        <v>62</v>
      </c>
      <c r="N3" s="125" t="s">
        <v>62</v>
      </c>
      <c r="O3" s="125" t="s">
        <v>62</v>
      </c>
      <c r="P3" s="125" t="s">
        <v>62</v>
      </c>
      <c r="Q3" s="125" t="s">
        <v>62</v>
      </c>
      <c r="R3" s="125" t="s">
        <v>62</v>
      </c>
      <c r="S3" s="125" t="s">
        <v>62</v>
      </c>
      <c r="T3" s="125" t="s">
        <v>62</v>
      </c>
      <c r="U3" s="125" t="s">
        <v>62</v>
      </c>
      <c r="V3" s="125" t="s">
        <v>62</v>
      </c>
      <c r="W3" s="125" t="s">
        <v>62</v>
      </c>
      <c r="X3" s="125" t="s">
        <v>62</v>
      </c>
      <c r="Y3" s="125" t="s">
        <v>62</v>
      </c>
      <c r="Z3" s="125" t="s">
        <v>62</v>
      </c>
      <c r="AA3" s="125" t="s">
        <v>62</v>
      </c>
      <c r="AB3" s="125" t="s">
        <v>157</v>
      </c>
      <c r="AC3" s="125" t="s">
        <v>66</v>
      </c>
      <c r="AD3" s="124" t="s">
        <v>194</v>
      </c>
      <c r="AE3" s="207" t="s">
        <v>210</v>
      </c>
      <c r="AF3" s="202" t="s">
        <v>211</v>
      </c>
      <c r="AG3" s="203"/>
      <c r="AH3" s="208" t="s">
        <v>212</v>
      </c>
      <c r="AI3" s="208" t="s">
        <v>213</v>
      </c>
      <c r="AJ3" s="277"/>
      <c r="AR3" s="89" t="s">
        <v>96</v>
      </c>
    </row>
    <row r="4" spans="1:49" ht="14.25" thickBot="1">
      <c r="A4" s="278" t="s">
        <v>63</v>
      </c>
      <c r="B4" s="279"/>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77" t="s">
        <v>82</v>
      </c>
      <c r="AS4" s="78"/>
      <c r="AT4" s="78"/>
      <c r="AU4" s="78"/>
      <c r="AV4" s="78"/>
      <c r="AW4" s="79"/>
    </row>
    <row r="5" spans="1:49" ht="14.25" thickBot="1">
      <c r="A5" s="280"/>
      <c r="B5" s="281"/>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0" t="str">
        <f ca="1">"static const U4  "&amp;AW8&amp;"["&amp;AW10&amp;"]"&amp;" = {"</f>
        <v>static const U4  u4_sp_ALERT_M_T120_CRIT[ALERT_M_T120_NUM_DST] = {</v>
      </c>
      <c r="AS5" s="80" t="str">
        <f ca="1">"static const U4  "&amp;$AW$9&amp;"["&amp;$AW$10&amp;"] = {"</f>
        <v>static const U4  u4_sp_ALERT_M_T120_MASK[ALERT_M_T120_NUM_DST] = {</v>
      </c>
      <c r="AT5" s="80" t="str">
        <f ca="1">"static const U1  "&amp;$AW$11&amp;"["&amp;$AW$10&amp;"] = {"</f>
        <v>static const U1  u1_sp_ALERT_M_T120_DST[ALERT_M_T120_NUM_DST] = {</v>
      </c>
      <c r="AU5" s="80" t="str">
        <f ca="1">"const ST_ALERT_MTRX "&amp;$AW$12&amp;" = {"</f>
        <v>const ST_ALERT_MTRX st_gp_ALERT_M_T120_MTRX[1] = {</v>
      </c>
      <c r="AV5" s="62" t="str">
        <f ca="1">"#define "&amp;AW10&amp;REPT(" ",41-LEN(AW10))&amp;"("&amp;AW13&amp;"U)"</f>
        <v>#define ALERT_M_T120_NUM_DST                     (64U)</v>
      </c>
      <c r="AW5" s="63"/>
    </row>
    <row r="6" spans="1:49">
      <c r="B6" s="130" t="str">
        <f ca="1">"Table "&amp;$AW$6</f>
        <v>Table M_T120</v>
      </c>
      <c r="C6" s="49">
        <f>ROW()-ROW($C$6)</f>
        <v>0</v>
      </c>
      <c r="D6" s="126" t="s">
        <v>67</v>
      </c>
      <c r="E6" s="126" t="s">
        <v>67</v>
      </c>
      <c r="F6" s="126" t="s">
        <v>67</v>
      </c>
      <c r="G6" s="126" t="s">
        <v>67</v>
      </c>
      <c r="H6" s="126" t="s">
        <v>67</v>
      </c>
      <c r="I6" s="126" t="s">
        <v>67</v>
      </c>
      <c r="J6" s="126" t="s">
        <v>67</v>
      </c>
      <c r="K6" s="58" t="s">
        <v>67</v>
      </c>
      <c r="L6" s="126" t="s">
        <v>67</v>
      </c>
      <c r="M6" s="126" t="s">
        <v>67</v>
      </c>
      <c r="N6" s="126" t="s">
        <v>67</v>
      </c>
      <c r="O6" s="126" t="s">
        <v>67</v>
      </c>
      <c r="P6" s="126" t="s">
        <v>67</v>
      </c>
      <c r="Q6" s="126" t="s">
        <v>67</v>
      </c>
      <c r="R6" s="126" t="s">
        <v>67</v>
      </c>
      <c r="S6" s="126" t="s">
        <v>67</v>
      </c>
      <c r="T6" s="126" t="s">
        <v>67</v>
      </c>
      <c r="U6" s="126" t="s">
        <v>67</v>
      </c>
      <c r="V6" s="126" t="s">
        <v>67</v>
      </c>
      <c r="W6" s="126" t="s">
        <v>67</v>
      </c>
      <c r="X6" s="126" t="s">
        <v>67</v>
      </c>
      <c r="Y6" s="126" t="s">
        <v>67</v>
      </c>
      <c r="Z6" s="126" t="s">
        <v>67</v>
      </c>
      <c r="AA6" s="126" t="s">
        <v>67</v>
      </c>
      <c r="AB6" s="126" t="s">
        <v>67</v>
      </c>
      <c r="AC6" s="126" t="s">
        <v>67</v>
      </c>
      <c r="AD6" s="126">
        <v>0</v>
      </c>
      <c r="AE6" s="209">
        <v>0</v>
      </c>
      <c r="AF6" s="209">
        <v>0</v>
      </c>
      <c r="AG6" s="209">
        <v>0</v>
      </c>
      <c r="AH6" s="209">
        <v>0</v>
      </c>
      <c r="AI6" s="209">
        <v>0</v>
      </c>
      <c r="AJ6" s="48" t="s">
        <v>32</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(U4)0x0000003FU,                                                           /* 00 UNKNOWN                                         */</v>
      </c>
      <c r="AT6" s="60" t="str">
        <f t="shared" ref="AT6:AT69" si="1">IF(AJ6&lt;&gt;"",AL6&amp;IF(AJ7&lt;&gt;"",","," ")&amp;REPT(" ",78-LEN(AL6))&amp;"/* "&amp;IF(C6&lt;10,"0"&amp;C6,C6)&amp;" "&amp;AJ6&amp;REPT(" ",48-LEN(AJ6))&amp;"*/",IF(AJ5&lt;&gt;"","};",""))</f>
        <v xml:space="preserve">    (U1)ALERT_REQ_UNKNOWN,                                                     /* 00 UNKNOWN                                         */</v>
      </c>
      <c r="AU6" s="60" t="s">
        <v>68</v>
      </c>
      <c r="AV6" s="45" t="s">
        <v>70</v>
      </c>
      <c r="AW6" s="64" t="str">
        <f ca="1">UPPER(RIGHT(CELL("filename",A1),LEN(CELL("filename",A1))-FIND("]",CELL("filename",A1))))</f>
        <v>M_T120</v>
      </c>
    </row>
    <row r="7" spans="1:49">
      <c r="B7" s="130"/>
      <c r="C7" s="44">
        <f t="shared" ref="C7:C69" si="2">ROW()-ROW($C$6)</f>
        <v>1</v>
      </c>
      <c r="D7" s="58" t="s">
        <v>67</v>
      </c>
      <c r="E7" s="58" t="s">
        <v>67</v>
      </c>
      <c r="F7" s="58" t="s">
        <v>67</v>
      </c>
      <c r="G7" s="126" t="s">
        <v>67</v>
      </c>
      <c r="H7" s="58" t="s">
        <v>67</v>
      </c>
      <c r="I7" s="58" t="s">
        <v>67</v>
      </c>
      <c r="J7" s="58" t="s">
        <v>67</v>
      </c>
      <c r="K7" s="58" t="s">
        <v>67</v>
      </c>
      <c r="L7" s="58" t="s">
        <v>67</v>
      </c>
      <c r="M7" s="58" t="s">
        <v>67</v>
      </c>
      <c r="N7" s="58" t="s">
        <v>67</v>
      </c>
      <c r="O7" s="58" t="s">
        <v>67</v>
      </c>
      <c r="P7" s="58" t="s">
        <v>67</v>
      </c>
      <c r="Q7" s="58" t="s">
        <v>67</v>
      </c>
      <c r="R7" s="58" t="s">
        <v>67</v>
      </c>
      <c r="S7" s="58" t="s">
        <v>67</v>
      </c>
      <c r="T7" s="58" t="s">
        <v>67</v>
      </c>
      <c r="U7" s="58" t="s">
        <v>67</v>
      </c>
      <c r="V7" s="58" t="s">
        <v>67</v>
      </c>
      <c r="W7" s="58" t="s">
        <v>67</v>
      </c>
      <c r="X7" s="58" t="s">
        <v>67</v>
      </c>
      <c r="Y7" s="58" t="s">
        <v>67</v>
      </c>
      <c r="Z7" s="58" t="s">
        <v>67</v>
      </c>
      <c r="AA7" s="58" t="s">
        <v>67</v>
      </c>
      <c r="AB7" s="58" t="s">
        <v>67</v>
      </c>
      <c r="AC7" s="58" t="s">
        <v>67</v>
      </c>
      <c r="AD7" s="126">
        <v>0</v>
      </c>
      <c r="AE7" s="209">
        <v>0</v>
      </c>
      <c r="AF7" s="209">
        <v>0</v>
      </c>
      <c r="AG7" s="209">
        <v>0</v>
      </c>
      <c r="AH7" s="209">
        <v>0</v>
      </c>
      <c r="AI7" s="209">
        <v>1</v>
      </c>
      <c r="AJ7" s="48" t="s">
        <v>32</v>
      </c>
      <c r="AL7" t="str">
        <f t="shared" si="0"/>
        <v xml:space="preserve">    (U1)ALERT_REQ_UNKNOWN</v>
      </c>
      <c r="AR7" s="60" t="str">
        <f t="shared" ref="AR7:AR70" si="3">IF(AQ72&lt;&gt;"",AQ72,IF(AQ71&lt;&gt;"","};",""))</f>
        <v xml:space="preserve">    (U4)0x00000001U,                                                           /* 01 UNKNOWN                                         */</v>
      </c>
      <c r="AS7" s="60" t="str">
        <f t="shared" ref="AS7:AS70" si="4">IF(AQ137&lt;&gt;"",AQ137,IF(AQ136&lt;&gt;"","};",""))</f>
        <v xml:space="preserve">    (U4)0x0000003FU,                                                           /* 01 UNKNOWN                                         */</v>
      </c>
      <c r="AT7" s="60" t="str">
        <f t="shared" si="1"/>
        <v xml:space="preserve">    (U1)ALERT_REQ_UNKNOWN,                                                     /* 01 UNKNOWN                                         */</v>
      </c>
      <c r="AU7" s="60" t="str">
        <f ca="1">"        &amp;"&amp;$AW$14&amp;","&amp;REPT(" ",69-LEN($AW$14))&amp;"/* fp_u4_SRC_CHK                                      */"</f>
        <v xml:space="preserve">        &amp;u4_s_AlertM_t120Srcchk,                                               /* fp_u4_SRC_CHK                                      */</v>
      </c>
      <c r="AV7" s="46" t="s">
        <v>71</v>
      </c>
      <c r="AW7" s="129">
        <f>IF(B3="Search Table",1,0)</f>
        <v>0</v>
      </c>
    </row>
    <row r="8" spans="1:49">
      <c r="B8" s="130"/>
      <c r="C8" s="44">
        <f t="shared" si="2"/>
        <v>2</v>
      </c>
      <c r="D8" s="58" t="s">
        <v>67</v>
      </c>
      <c r="E8" s="58" t="s">
        <v>67</v>
      </c>
      <c r="F8" s="58" t="s">
        <v>67</v>
      </c>
      <c r="G8" s="126" t="s">
        <v>67</v>
      </c>
      <c r="H8" s="58" t="s">
        <v>67</v>
      </c>
      <c r="I8" s="58" t="s">
        <v>67</v>
      </c>
      <c r="J8" s="58" t="s">
        <v>67</v>
      </c>
      <c r="K8" s="58" t="s">
        <v>67</v>
      </c>
      <c r="L8" s="58" t="s">
        <v>67</v>
      </c>
      <c r="M8" s="58" t="s">
        <v>67</v>
      </c>
      <c r="N8" s="58" t="s">
        <v>67</v>
      </c>
      <c r="O8" s="58" t="s">
        <v>67</v>
      </c>
      <c r="P8" s="58" t="s">
        <v>67</v>
      </c>
      <c r="Q8" s="58" t="s">
        <v>67</v>
      </c>
      <c r="R8" s="58" t="s">
        <v>67</v>
      </c>
      <c r="S8" s="58" t="s">
        <v>67</v>
      </c>
      <c r="T8" s="58" t="s">
        <v>67</v>
      </c>
      <c r="U8" s="58" t="s">
        <v>67</v>
      </c>
      <c r="V8" s="58" t="s">
        <v>67</v>
      </c>
      <c r="W8" s="58" t="s">
        <v>67</v>
      </c>
      <c r="X8" s="58" t="s">
        <v>67</v>
      </c>
      <c r="Y8" s="58" t="s">
        <v>67</v>
      </c>
      <c r="Z8" s="58" t="s">
        <v>67</v>
      </c>
      <c r="AA8" s="58" t="s">
        <v>67</v>
      </c>
      <c r="AB8" s="58" t="s">
        <v>67</v>
      </c>
      <c r="AC8" s="58" t="s">
        <v>67</v>
      </c>
      <c r="AD8" s="126">
        <v>0</v>
      </c>
      <c r="AE8" s="209">
        <v>0</v>
      </c>
      <c r="AF8" s="209">
        <v>0</v>
      </c>
      <c r="AG8" s="209">
        <v>0</v>
      </c>
      <c r="AH8" s="209">
        <v>1</v>
      </c>
      <c r="AI8" s="209">
        <v>0</v>
      </c>
      <c r="AJ8" s="48" t="s">
        <v>32</v>
      </c>
      <c r="AL8" t="str">
        <f t="shared" si="0"/>
        <v xml:space="preserve">    (U1)ALERT_REQ_UNKNOWN</v>
      </c>
      <c r="AR8" s="60" t="str">
        <f t="shared" si="3"/>
        <v xml:space="preserve">    (U4)0x00000002U,                                                           /* 02 UNKNOWN                                         */</v>
      </c>
      <c r="AS8" s="60" t="str">
        <f t="shared" si="4"/>
        <v xml:space="preserve">    (U4)0x0000003FU,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vdp_PTR_NA,                                                            /* fp_vd_XDST                                         */</v>
      </c>
      <c r="AV8" s="46" t="s">
        <v>72</v>
      </c>
      <c r="AW8" s="65" t="str">
        <f ca="1">"u4_sp_ALERT_"&amp;IF(AW6&lt;&gt;AW17,$AW$17&amp;"_"&amp;$AW$6,AW17)&amp;"_CRIT"</f>
        <v>u4_sp_ALERT_M_T120_CRIT</v>
      </c>
    </row>
    <row r="9" spans="1:49">
      <c r="B9" s="130"/>
      <c r="C9" s="44">
        <f t="shared" si="2"/>
        <v>3</v>
      </c>
      <c r="D9" s="58" t="s">
        <v>67</v>
      </c>
      <c r="E9" s="58" t="s">
        <v>67</v>
      </c>
      <c r="F9" s="58" t="s">
        <v>67</v>
      </c>
      <c r="G9" s="126" t="s">
        <v>67</v>
      </c>
      <c r="H9" s="58" t="s">
        <v>67</v>
      </c>
      <c r="I9" s="58" t="s">
        <v>67</v>
      </c>
      <c r="J9" s="58" t="s">
        <v>67</v>
      </c>
      <c r="K9" s="58" t="s">
        <v>67</v>
      </c>
      <c r="L9" s="58" t="s">
        <v>67</v>
      </c>
      <c r="M9" s="58" t="s">
        <v>67</v>
      </c>
      <c r="N9" s="58" t="s">
        <v>67</v>
      </c>
      <c r="O9" s="58" t="s">
        <v>67</v>
      </c>
      <c r="P9" s="58" t="s">
        <v>67</v>
      </c>
      <c r="Q9" s="58" t="s">
        <v>67</v>
      </c>
      <c r="R9" s="58" t="s">
        <v>67</v>
      </c>
      <c r="S9" s="58" t="s">
        <v>67</v>
      </c>
      <c r="T9" s="58" t="s">
        <v>67</v>
      </c>
      <c r="U9" s="58" t="s">
        <v>67</v>
      </c>
      <c r="V9" s="58" t="s">
        <v>67</v>
      </c>
      <c r="W9" s="58" t="s">
        <v>67</v>
      </c>
      <c r="X9" s="58" t="s">
        <v>67</v>
      </c>
      <c r="Y9" s="58" t="s">
        <v>67</v>
      </c>
      <c r="Z9" s="58" t="s">
        <v>67</v>
      </c>
      <c r="AA9" s="58" t="s">
        <v>67</v>
      </c>
      <c r="AB9" s="58" t="s">
        <v>67</v>
      </c>
      <c r="AC9" s="58" t="s">
        <v>67</v>
      </c>
      <c r="AD9" s="126">
        <v>0</v>
      </c>
      <c r="AE9" s="209">
        <v>0</v>
      </c>
      <c r="AF9" s="209">
        <v>0</v>
      </c>
      <c r="AG9" s="209">
        <v>0</v>
      </c>
      <c r="AH9" s="209">
        <v>1</v>
      </c>
      <c r="AI9" s="209">
        <v>1</v>
      </c>
      <c r="AJ9" s="48" t="s">
        <v>32</v>
      </c>
      <c r="AL9" t="str">
        <f t="shared" si="0"/>
        <v xml:space="preserve">    (U1)ALERT_REQ_UNKNOWN</v>
      </c>
      <c r="AR9" s="60" t="str">
        <f t="shared" si="3"/>
        <v xml:space="preserve">    (U4)0x00000003U,                                                           /* 03 UNKNOWN                                         */</v>
      </c>
      <c r="AS9" s="60" t="str">
        <f t="shared" si="4"/>
        <v xml:space="preserve">    (U4)0x0000003FU,                                                           /* 03 UNKNOWN                                         */</v>
      </c>
      <c r="AT9" s="60" t="str">
        <f t="shared" si="1"/>
        <v xml:space="preserve">    (U1)ALERT_REQ_UNKNOWN,                                                     /* 03 UNKNOWN                                         */</v>
      </c>
      <c r="AU9" s="60"/>
      <c r="AV9" s="46" t="s">
        <v>73</v>
      </c>
      <c r="AW9" s="65" t="str">
        <f ca="1">"u4_sp_ALERT_"&amp;IF(AW6&lt;&gt;AW17,$AW$17&amp;"_"&amp;$AW$6,AW17)&amp;"_MASK"</f>
        <v>u4_sp_ALERT_M_T120_MASK</v>
      </c>
    </row>
    <row r="10" spans="1:49">
      <c r="B10" s="130"/>
      <c r="C10" s="44">
        <f t="shared" si="2"/>
        <v>4</v>
      </c>
      <c r="D10" s="58" t="s">
        <v>67</v>
      </c>
      <c r="E10" s="58" t="s">
        <v>67</v>
      </c>
      <c r="F10" s="58" t="s">
        <v>67</v>
      </c>
      <c r="G10" s="58" t="s">
        <v>67</v>
      </c>
      <c r="H10" s="58" t="s">
        <v>67</v>
      </c>
      <c r="I10" s="58" t="s">
        <v>67</v>
      </c>
      <c r="J10" s="58" t="s">
        <v>67</v>
      </c>
      <c r="K10" s="58" t="s">
        <v>67</v>
      </c>
      <c r="L10" s="58" t="s">
        <v>67</v>
      </c>
      <c r="M10" s="58" t="s">
        <v>67</v>
      </c>
      <c r="N10" s="58" t="s">
        <v>67</v>
      </c>
      <c r="O10" s="58" t="s">
        <v>67</v>
      </c>
      <c r="P10" s="58" t="s">
        <v>67</v>
      </c>
      <c r="Q10" s="58" t="s">
        <v>67</v>
      </c>
      <c r="R10" s="58" t="s">
        <v>67</v>
      </c>
      <c r="S10" s="58" t="s">
        <v>67</v>
      </c>
      <c r="T10" s="58" t="s">
        <v>67</v>
      </c>
      <c r="U10" s="58" t="s">
        <v>67</v>
      </c>
      <c r="V10" s="58" t="s">
        <v>67</v>
      </c>
      <c r="W10" s="58" t="s">
        <v>67</v>
      </c>
      <c r="X10" s="58" t="s">
        <v>67</v>
      </c>
      <c r="Y10" s="58" t="s">
        <v>67</v>
      </c>
      <c r="Z10" s="58" t="s">
        <v>67</v>
      </c>
      <c r="AA10" s="58" t="s">
        <v>67</v>
      </c>
      <c r="AB10" s="58" t="s">
        <v>67</v>
      </c>
      <c r="AC10" s="58" t="s">
        <v>67</v>
      </c>
      <c r="AD10" s="58">
        <v>0</v>
      </c>
      <c r="AE10" s="209">
        <v>0</v>
      </c>
      <c r="AF10" s="209">
        <v>0</v>
      </c>
      <c r="AG10" s="209">
        <v>1</v>
      </c>
      <c r="AH10" s="209">
        <v>0</v>
      </c>
      <c r="AI10" s="209">
        <v>0</v>
      </c>
      <c r="AJ10" s="48" t="s">
        <v>32</v>
      </c>
      <c r="AL10" t="str">
        <f t="shared" si="0"/>
        <v xml:space="preserve">    (U1)ALERT_REQ_UNKNOWN</v>
      </c>
      <c r="AR10" s="60" t="str">
        <f t="shared" si="3"/>
        <v xml:space="preserve">    (U4)0x00000004U,                                                           /* 04 UNKNOWN                                         */</v>
      </c>
      <c r="AS10" s="60" t="str">
        <f t="shared" si="4"/>
        <v xml:space="preserve">    (U4)0x0000003FU,                                                           /* 04 UNKNOWN                                         */</v>
      </c>
      <c r="AT10" s="60" t="str">
        <f t="shared" si="1"/>
        <v xml:space="preserve">    (U1)ALERT_REQ_UNKNOWN,                                                     /* 04 UNKNOWN                                         */</v>
      </c>
      <c r="AU10" s="60" t="str">
        <f>IF($AW$7=1,"        &amp;"&amp;$AW$9&amp;"[0],"&amp;REPT(" ",66-LEN($AW$9))&amp;"/* u4p_MASK                                           */","        (const U4 *)vdp_PTR_NA,                                                /* u4p_MASK                                           */")</f>
        <v xml:space="preserve">        (const U4 *)vdp_PTR_NA,                                                /* u4p_MASK                                           */</v>
      </c>
      <c r="AV10" s="46" t="s">
        <v>74</v>
      </c>
      <c r="AW10" s="65" t="str">
        <f ca="1">"ALERT_"&amp;IF(AW6&lt;&gt;AW17,$AW$17&amp;"_"&amp;$AW$6,AW17)&amp;"_NUM_DST"</f>
        <v>ALERT_M_T120_NUM_DST</v>
      </c>
    </row>
    <row r="11" spans="1:49">
      <c r="B11" s="130"/>
      <c r="C11" s="44">
        <f t="shared" si="2"/>
        <v>5</v>
      </c>
      <c r="D11" s="58" t="s">
        <v>67</v>
      </c>
      <c r="E11" s="58" t="s">
        <v>67</v>
      </c>
      <c r="F11" s="58" t="s">
        <v>67</v>
      </c>
      <c r="G11" s="58" t="s">
        <v>67</v>
      </c>
      <c r="H11" s="58" t="s">
        <v>67</v>
      </c>
      <c r="I11" s="58" t="s">
        <v>67</v>
      </c>
      <c r="J11" s="58" t="s">
        <v>67</v>
      </c>
      <c r="K11" s="58" t="s">
        <v>67</v>
      </c>
      <c r="L11" s="58" t="s">
        <v>67</v>
      </c>
      <c r="M11" s="58" t="s">
        <v>67</v>
      </c>
      <c r="N11" s="58" t="s">
        <v>67</v>
      </c>
      <c r="O11" s="58" t="s">
        <v>67</v>
      </c>
      <c r="P11" s="58" t="s">
        <v>67</v>
      </c>
      <c r="Q11" s="58" t="s">
        <v>67</v>
      </c>
      <c r="R11" s="58" t="s">
        <v>67</v>
      </c>
      <c r="S11" s="58" t="s">
        <v>67</v>
      </c>
      <c r="T11" s="58" t="s">
        <v>67</v>
      </c>
      <c r="U11" s="58" t="s">
        <v>67</v>
      </c>
      <c r="V11" s="58" t="s">
        <v>67</v>
      </c>
      <c r="W11" s="58" t="s">
        <v>67</v>
      </c>
      <c r="X11" s="58" t="s">
        <v>67</v>
      </c>
      <c r="Y11" s="58" t="s">
        <v>67</v>
      </c>
      <c r="Z11" s="58" t="s">
        <v>67</v>
      </c>
      <c r="AA11" s="58" t="s">
        <v>67</v>
      </c>
      <c r="AB11" s="58" t="s">
        <v>67</v>
      </c>
      <c r="AC11" s="58" t="s">
        <v>67</v>
      </c>
      <c r="AD11" s="58">
        <v>0</v>
      </c>
      <c r="AE11" s="209">
        <v>0</v>
      </c>
      <c r="AF11" s="209">
        <v>0</v>
      </c>
      <c r="AG11" s="209">
        <v>1</v>
      </c>
      <c r="AH11" s="209">
        <v>0</v>
      </c>
      <c r="AI11" s="209">
        <v>1</v>
      </c>
      <c r="AJ11" s="48" t="s">
        <v>32</v>
      </c>
      <c r="AL11" t="str">
        <f t="shared" si="0"/>
        <v xml:space="preserve">    (U1)ALERT_REQ_UNKNOWN</v>
      </c>
      <c r="AR11" s="60" t="str">
        <f t="shared" si="3"/>
        <v xml:space="preserve">    (U4)0x00000005U,                                                           /* 05 UNKNOWN                                         */</v>
      </c>
      <c r="AS11" s="60" t="str">
        <f t="shared" si="4"/>
        <v xml:space="preserve">    (U4)0x0000003FU,                                                           /* 05 UNKNOWN                                         */</v>
      </c>
      <c r="AT11" s="60" t="str">
        <f t="shared" si="1"/>
        <v xml:space="preserve">    (U1)ALERT_REQ_UNKNOWN,                                                     /* 05 UNKNOWN                                         */</v>
      </c>
      <c r="AU11" s="60" t="str">
        <f>IF($AW$7=1,"        &amp;"&amp;$AW$8&amp;"[0],"&amp;REPT(" ",66-LEN($AW$8))&amp;"/* u4p_CRIT                                           */","        (const U4 *)vdp_PTR_NA,                                                /* u4p_CRIT                                           */")</f>
        <v xml:space="preserve">        (const U4 *)vdp_PTR_NA,                                                /* u4p_CRIT                                           */</v>
      </c>
      <c r="AV11" s="46" t="s">
        <v>75</v>
      </c>
      <c r="AW11" s="65" t="str">
        <f ca="1">"u1_sp_ALERT_"&amp;IF(AW6&lt;&gt;AW17,$AW$17&amp;"_"&amp;$AW$6,AW17)&amp;"_DST"</f>
        <v>u1_sp_ALERT_M_T120_DST</v>
      </c>
    </row>
    <row r="12" spans="1:49">
      <c r="B12" s="130"/>
      <c r="C12" s="44">
        <f t="shared" si="2"/>
        <v>6</v>
      </c>
      <c r="D12" s="58" t="s">
        <v>67</v>
      </c>
      <c r="E12" s="58" t="s">
        <v>67</v>
      </c>
      <c r="F12" s="58" t="s">
        <v>67</v>
      </c>
      <c r="G12" s="58" t="s">
        <v>67</v>
      </c>
      <c r="H12" s="58" t="s">
        <v>67</v>
      </c>
      <c r="I12" s="58" t="s">
        <v>67</v>
      </c>
      <c r="J12" s="58" t="s">
        <v>67</v>
      </c>
      <c r="K12" s="58" t="s">
        <v>67</v>
      </c>
      <c r="L12" s="58" t="s">
        <v>67</v>
      </c>
      <c r="M12" s="58" t="s">
        <v>67</v>
      </c>
      <c r="N12" s="58" t="s">
        <v>67</v>
      </c>
      <c r="O12" s="58" t="s">
        <v>67</v>
      </c>
      <c r="P12" s="58" t="s">
        <v>67</v>
      </c>
      <c r="Q12" s="58" t="s">
        <v>67</v>
      </c>
      <c r="R12" s="58" t="s">
        <v>67</v>
      </c>
      <c r="S12" s="58" t="s">
        <v>67</v>
      </c>
      <c r="T12" s="58" t="s">
        <v>67</v>
      </c>
      <c r="U12" s="58" t="s">
        <v>67</v>
      </c>
      <c r="V12" s="58" t="s">
        <v>67</v>
      </c>
      <c r="W12" s="58" t="s">
        <v>67</v>
      </c>
      <c r="X12" s="58" t="s">
        <v>67</v>
      </c>
      <c r="Y12" s="58" t="s">
        <v>67</v>
      </c>
      <c r="Z12" s="58" t="s">
        <v>67</v>
      </c>
      <c r="AA12" s="58" t="s">
        <v>67</v>
      </c>
      <c r="AB12" s="58" t="s">
        <v>67</v>
      </c>
      <c r="AC12" s="58" t="s">
        <v>67</v>
      </c>
      <c r="AD12" s="58">
        <v>0</v>
      </c>
      <c r="AE12" s="209">
        <v>0</v>
      </c>
      <c r="AF12" s="209">
        <v>0</v>
      </c>
      <c r="AG12" s="209">
        <v>1</v>
      </c>
      <c r="AH12" s="209">
        <v>1</v>
      </c>
      <c r="AI12" s="209">
        <v>0</v>
      </c>
      <c r="AJ12" s="48" t="s">
        <v>32</v>
      </c>
      <c r="AL12" t="str">
        <f t="shared" si="0"/>
        <v xml:space="preserve">    (U1)ALERT_REQ_UNKNOWN</v>
      </c>
      <c r="AR12" s="60" t="str">
        <f t="shared" si="3"/>
        <v xml:space="preserve">    (U4)0x00000006U,                                                           /* 06 UNKNOWN                                         */</v>
      </c>
      <c r="AS12" s="60" t="str">
        <f t="shared" si="4"/>
        <v xml:space="preserve">    (U4)0x0000003FU,                                                           /* 06 UNKNOWN                                         */</v>
      </c>
      <c r="AT12" s="60" t="str">
        <f t="shared" si="1"/>
        <v xml:space="preserve">    (U1)ALERT_REQ_UNKNOWN,                                                     /* 06 UNKNOWN                                         */</v>
      </c>
      <c r="AU12" s="60"/>
      <c r="AV12" s="46" t="s">
        <v>88</v>
      </c>
      <c r="AW12" s="65" t="str">
        <f ca="1">Matrix!D8&amp;"["&amp;Matrix!D7&amp;"]"</f>
        <v>st_gp_ALERT_M_T120_MTRX[1]</v>
      </c>
    </row>
    <row r="13" spans="1:49">
      <c r="B13" s="130"/>
      <c r="C13" s="44">
        <f t="shared" si="2"/>
        <v>7</v>
      </c>
      <c r="D13" s="58" t="s">
        <v>67</v>
      </c>
      <c r="E13" s="58" t="s">
        <v>67</v>
      </c>
      <c r="F13" s="58" t="s">
        <v>67</v>
      </c>
      <c r="G13" s="58" t="s">
        <v>67</v>
      </c>
      <c r="H13" s="58" t="s">
        <v>67</v>
      </c>
      <c r="I13" s="58" t="s">
        <v>67</v>
      </c>
      <c r="J13" s="58" t="s">
        <v>67</v>
      </c>
      <c r="K13" s="58" t="s">
        <v>67</v>
      </c>
      <c r="L13" s="58" t="s">
        <v>67</v>
      </c>
      <c r="M13" s="58" t="s">
        <v>67</v>
      </c>
      <c r="N13" s="58" t="s">
        <v>67</v>
      </c>
      <c r="O13" s="58" t="s">
        <v>67</v>
      </c>
      <c r="P13" s="58" t="s">
        <v>67</v>
      </c>
      <c r="Q13" s="58" t="s">
        <v>67</v>
      </c>
      <c r="R13" s="58" t="s">
        <v>67</v>
      </c>
      <c r="S13" s="58" t="s">
        <v>67</v>
      </c>
      <c r="T13" s="58" t="s">
        <v>67</v>
      </c>
      <c r="U13" s="58" t="s">
        <v>67</v>
      </c>
      <c r="V13" s="58" t="s">
        <v>67</v>
      </c>
      <c r="W13" s="58" t="s">
        <v>67</v>
      </c>
      <c r="X13" s="58" t="s">
        <v>67</v>
      </c>
      <c r="Y13" s="58" t="s">
        <v>67</v>
      </c>
      <c r="Z13" s="58" t="s">
        <v>67</v>
      </c>
      <c r="AA13" s="58" t="s">
        <v>67</v>
      </c>
      <c r="AB13" s="58" t="s">
        <v>67</v>
      </c>
      <c r="AC13" s="58" t="s">
        <v>67</v>
      </c>
      <c r="AD13" s="58">
        <v>0</v>
      </c>
      <c r="AE13" s="209">
        <v>0</v>
      </c>
      <c r="AF13" s="209">
        <v>0</v>
      </c>
      <c r="AG13" s="209">
        <v>1</v>
      </c>
      <c r="AH13" s="209">
        <v>1</v>
      </c>
      <c r="AI13" s="209">
        <v>1</v>
      </c>
      <c r="AJ13" s="48" t="s">
        <v>32</v>
      </c>
      <c r="AL13" t="str">
        <f t="shared" si="0"/>
        <v xml:space="preserve">    (U1)ALERT_REQ_UNKNOWN</v>
      </c>
      <c r="AR13" s="60" t="str">
        <f t="shared" si="3"/>
        <v xml:space="preserve">    (U4)0x00000007U,                                                           /* 07 UNKNOWN                                         */</v>
      </c>
      <c r="AS13" s="60" t="str">
        <f t="shared" si="4"/>
        <v xml:space="preserve">    (U4)0x0000003FU,                                                           /* 07 UNKNOWN                                         */</v>
      </c>
      <c r="AT13" s="60" t="str">
        <f t="shared" si="1"/>
        <v xml:space="preserve">    (U1)ALERT_REQ_UNKNOWN,                                                     /* 07 UNKNOWN                                         */</v>
      </c>
      <c r="AU13" s="60" t="str">
        <f ca="1">"        &amp;"&amp;$AW$11&amp;"[0],"&amp;REPT(" ",66-LEN($AW$11))&amp;"/* u1p_DST                                            */"</f>
        <v xml:space="preserve">        &amp;u1_sp_ALERT_M_T120_DST[0],                                            /* u1p_DST                                            */</v>
      </c>
      <c r="AV13" s="46" t="s">
        <v>76</v>
      </c>
      <c r="AW13" s="129">
        <f>COUNTA($AJ$6:$AJ$69)</f>
        <v>64</v>
      </c>
    </row>
    <row r="14" spans="1:49">
      <c r="B14" s="130"/>
      <c r="C14" s="44">
        <f t="shared" si="2"/>
        <v>8</v>
      </c>
      <c r="D14" s="58" t="s">
        <v>67</v>
      </c>
      <c r="E14" s="58" t="s">
        <v>67</v>
      </c>
      <c r="F14" s="58" t="s">
        <v>67</v>
      </c>
      <c r="G14" s="58" t="s">
        <v>67</v>
      </c>
      <c r="H14" s="58" t="s">
        <v>67</v>
      </c>
      <c r="I14" s="58" t="s">
        <v>67</v>
      </c>
      <c r="J14" s="58" t="s">
        <v>67</v>
      </c>
      <c r="K14" s="58" t="s">
        <v>195</v>
      </c>
      <c r="L14" s="58" t="s">
        <v>67</v>
      </c>
      <c r="M14" s="58" t="s">
        <v>67</v>
      </c>
      <c r="N14" s="58" t="s">
        <v>67</v>
      </c>
      <c r="O14" s="58" t="s">
        <v>67</v>
      </c>
      <c r="P14" s="58" t="s">
        <v>67</v>
      </c>
      <c r="Q14" s="58" t="s">
        <v>67</v>
      </c>
      <c r="R14" s="58" t="s">
        <v>67</v>
      </c>
      <c r="S14" s="58" t="s">
        <v>67</v>
      </c>
      <c r="T14" s="58" t="s">
        <v>67</v>
      </c>
      <c r="U14" s="58" t="s">
        <v>67</v>
      </c>
      <c r="V14" s="58" t="s">
        <v>67</v>
      </c>
      <c r="W14" s="58" t="s">
        <v>67</v>
      </c>
      <c r="X14" s="58" t="s">
        <v>67</v>
      </c>
      <c r="Y14" s="58" t="s">
        <v>67</v>
      </c>
      <c r="Z14" s="58" t="s">
        <v>67</v>
      </c>
      <c r="AA14" s="58" t="s">
        <v>67</v>
      </c>
      <c r="AB14" s="58" t="s">
        <v>67</v>
      </c>
      <c r="AC14" s="58" t="s">
        <v>67</v>
      </c>
      <c r="AD14" s="58">
        <v>0</v>
      </c>
      <c r="AE14" s="209">
        <v>0</v>
      </c>
      <c r="AF14" s="209">
        <v>1</v>
      </c>
      <c r="AG14" s="209">
        <v>0</v>
      </c>
      <c r="AH14" s="209">
        <v>0</v>
      </c>
      <c r="AI14" s="209">
        <v>0</v>
      </c>
      <c r="AJ14" s="48" t="s">
        <v>32</v>
      </c>
      <c r="AL14" t="str">
        <f t="shared" si="0"/>
        <v xml:space="preserve">    (U1)ALERT_REQ_UNKNOWN</v>
      </c>
      <c r="AR14" s="60" t="str">
        <f t="shared" si="3"/>
        <v xml:space="preserve">    (U4)0x00000008U,                                                           /* 08 UNKNOWN                                         */</v>
      </c>
      <c r="AS14" s="60" t="str">
        <f t="shared" si="4"/>
        <v xml:space="preserve">    (U4)0x0000003FU,                                                           /* 08 UNKNOWN                                         */</v>
      </c>
      <c r="AT14" s="60" t="str">
        <f t="shared" si="1"/>
        <v xml:space="preserve">    (U1)ALERT_REQ_UNKNOWN,                                                     /* 08 UNKNOWN                                         */</v>
      </c>
      <c r="AU14" s="60" t="str">
        <f ca="1">"        (U2)"&amp;$AW$10&amp;","&amp;REPT(" ",66-LEN($AW$10))&amp;"/* u2_num_srch                                        */"</f>
        <v xml:space="preserve">        (U2)ALERT_M_T120_NUM_DST,                                              /* u2_num_srch                                        */</v>
      </c>
      <c r="AV14" s="46" t="s">
        <v>77</v>
      </c>
      <c r="AW14" s="65" t="str">
        <f ca="1">IF(AW6&lt;&gt;AW17,VLOOKUP(AW6,Matrix!$C$13:$G$37,4,FALSE),Matrix!F13)</f>
        <v>u4_s_AlertM_t120Srcchk</v>
      </c>
    </row>
    <row r="15" spans="1:49">
      <c r="B15" s="130"/>
      <c r="C15" s="44">
        <f t="shared" si="2"/>
        <v>9</v>
      </c>
      <c r="D15" s="58" t="s">
        <v>67</v>
      </c>
      <c r="E15" s="58" t="s">
        <v>67</v>
      </c>
      <c r="F15" s="58" t="s">
        <v>67</v>
      </c>
      <c r="G15" s="58" t="s">
        <v>67</v>
      </c>
      <c r="H15" s="58" t="s">
        <v>67</v>
      </c>
      <c r="I15" s="58" t="s">
        <v>67</v>
      </c>
      <c r="J15" s="58" t="s">
        <v>67</v>
      </c>
      <c r="K15" s="58" t="s">
        <v>67</v>
      </c>
      <c r="L15" s="58" t="s">
        <v>67</v>
      </c>
      <c r="M15" s="58" t="s">
        <v>67</v>
      </c>
      <c r="N15" s="58" t="s">
        <v>67</v>
      </c>
      <c r="O15" s="58" t="s">
        <v>67</v>
      </c>
      <c r="P15" s="58" t="s">
        <v>67</v>
      </c>
      <c r="Q15" s="58" t="s">
        <v>67</v>
      </c>
      <c r="R15" s="58" t="s">
        <v>67</v>
      </c>
      <c r="S15" s="58" t="s">
        <v>67</v>
      </c>
      <c r="T15" s="58" t="s">
        <v>67</v>
      </c>
      <c r="U15" s="58" t="s">
        <v>67</v>
      </c>
      <c r="V15" s="58" t="s">
        <v>67</v>
      </c>
      <c r="W15" s="58" t="s">
        <v>67</v>
      </c>
      <c r="X15" s="58" t="s">
        <v>67</v>
      </c>
      <c r="Y15" s="58" t="s">
        <v>67</v>
      </c>
      <c r="Z15" s="58" t="s">
        <v>67</v>
      </c>
      <c r="AA15" s="58" t="s">
        <v>67</v>
      </c>
      <c r="AB15" s="58" t="s">
        <v>67</v>
      </c>
      <c r="AC15" s="58" t="s">
        <v>67</v>
      </c>
      <c r="AD15" s="58">
        <v>0</v>
      </c>
      <c r="AE15" s="209">
        <v>0</v>
      </c>
      <c r="AF15" s="209">
        <v>1</v>
      </c>
      <c r="AG15" s="209">
        <v>0</v>
      </c>
      <c r="AH15" s="209">
        <v>0</v>
      </c>
      <c r="AI15" s="209">
        <v>1</v>
      </c>
      <c r="AJ15" s="48" t="s">
        <v>32</v>
      </c>
      <c r="AL15" t="str">
        <f t="shared" si="0"/>
        <v xml:space="preserve">    (U1)ALERT_REQ_UNKNOWN</v>
      </c>
      <c r="AR15" s="60" t="str">
        <f t="shared" si="3"/>
        <v xml:space="preserve">    (U4)0x00000009U,                                                           /* 09 UNKNOWN                                         */</v>
      </c>
      <c r="AS15" s="60" t="str">
        <f t="shared" si="4"/>
        <v xml:space="preserve">    (U4)0x0000003FU,                                                           /* 09 UNKNOWN                                         */</v>
      </c>
      <c r="AT15" s="60" t="str">
        <f t="shared" si="1"/>
        <v xml:space="preserve">    (U1)ALERT_REQ_UNKNOWN,                                                     /* 09 UNKNOWN                                         */</v>
      </c>
      <c r="AU15" s="60" t="str">
        <f ca="1">"        (U1)"&amp;$AW$16&amp;REPT(" ",67-LEN($AW$16))&amp;"/* u1_vom_act                                         */"</f>
        <v xml:space="preserve">        (U1)ALERT_VOM_IGN_ON                                                   /* u1_vom_act                                         */</v>
      </c>
      <c r="AV15" s="46" t="s">
        <v>80</v>
      </c>
      <c r="AW15" s="65" t="str">
        <f ca="1">IF(AW6&lt;&gt;AW17,VLOOKUP(AW6,Matrix!$C$13:$G$37,5,FALSE),Matrix!G13)</f>
        <v>NULL</v>
      </c>
    </row>
    <row r="16" spans="1:49">
      <c r="B16" s="130"/>
      <c r="C16" s="44">
        <f t="shared" si="2"/>
        <v>10</v>
      </c>
      <c r="D16" s="58" t="s">
        <v>67</v>
      </c>
      <c r="E16" s="58" t="s">
        <v>67</v>
      </c>
      <c r="F16" s="58" t="s">
        <v>67</v>
      </c>
      <c r="G16" s="58" t="s">
        <v>67</v>
      </c>
      <c r="H16" s="58" t="s">
        <v>67</v>
      </c>
      <c r="I16" s="58" t="s">
        <v>67</v>
      </c>
      <c r="J16" s="58" t="s">
        <v>67</v>
      </c>
      <c r="K16" s="58" t="s">
        <v>67</v>
      </c>
      <c r="L16" s="58" t="s">
        <v>67</v>
      </c>
      <c r="M16" s="58" t="s">
        <v>67</v>
      </c>
      <c r="N16" s="58" t="s">
        <v>67</v>
      </c>
      <c r="O16" s="58" t="s">
        <v>67</v>
      </c>
      <c r="P16" s="58" t="s">
        <v>67</v>
      </c>
      <c r="Q16" s="58" t="s">
        <v>67</v>
      </c>
      <c r="R16" s="58" t="s">
        <v>67</v>
      </c>
      <c r="S16" s="58" t="s">
        <v>67</v>
      </c>
      <c r="T16" s="58" t="s">
        <v>67</v>
      </c>
      <c r="U16" s="58" t="s">
        <v>67</v>
      </c>
      <c r="V16" s="58" t="s">
        <v>67</v>
      </c>
      <c r="W16" s="58" t="s">
        <v>67</v>
      </c>
      <c r="X16" s="58" t="s">
        <v>67</v>
      </c>
      <c r="Y16" s="58" t="s">
        <v>67</v>
      </c>
      <c r="Z16" s="58" t="s">
        <v>67</v>
      </c>
      <c r="AA16" s="58" t="s">
        <v>67</v>
      </c>
      <c r="AB16" s="58" t="s">
        <v>67</v>
      </c>
      <c r="AC16" s="58" t="s">
        <v>67</v>
      </c>
      <c r="AD16" s="58">
        <v>0</v>
      </c>
      <c r="AE16" s="209">
        <v>0</v>
      </c>
      <c r="AF16" s="209">
        <v>1</v>
      </c>
      <c r="AG16" s="209">
        <v>0</v>
      </c>
      <c r="AH16" s="209">
        <v>1</v>
      </c>
      <c r="AI16" s="209">
        <v>0</v>
      </c>
      <c r="AJ16" s="48" t="s">
        <v>32</v>
      </c>
      <c r="AL16" t="str">
        <f t="shared" si="0"/>
        <v xml:space="preserve">    (U1)ALERT_REQ_UNKNOWN</v>
      </c>
      <c r="AR16" s="60" t="str">
        <f t="shared" si="3"/>
        <v xml:space="preserve">    (U4)0x0000000AU,                                                           /* 10 UNKNOWN                                         */</v>
      </c>
      <c r="AS16" s="60" t="str">
        <f t="shared" si="4"/>
        <v xml:space="preserve">    (U4)0x0000003FU,                                                           /* 10 UNKNOWN                                         */</v>
      </c>
      <c r="AT16" s="60" t="str">
        <f t="shared" si="1"/>
        <v xml:space="preserve">    (U1)ALERT_REQ_UNKNOWN,                                                     /* 10 UNKNOWN                                         */</v>
      </c>
      <c r="AU16" s="60" t="s">
        <v>69</v>
      </c>
      <c r="AV16" s="46" t="s">
        <v>78</v>
      </c>
      <c r="AW16" s="65" t="str">
        <f ca="1">IF(AW6&lt;&gt;AW17,VLOOKUP(AW6,Matrix!$C$13:$G$37,2,FALSE),Matrix!D13)</f>
        <v>ALERT_VOM_IGN_ON</v>
      </c>
    </row>
    <row r="17" spans="2:49" ht="14.25" thickBot="1">
      <c r="B17" s="130"/>
      <c r="C17" s="44">
        <f t="shared" si="2"/>
        <v>11</v>
      </c>
      <c r="D17" s="58" t="s">
        <v>67</v>
      </c>
      <c r="E17" s="58" t="s">
        <v>67</v>
      </c>
      <c r="F17" s="58" t="s">
        <v>67</v>
      </c>
      <c r="G17" s="58" t="s">
        <v>67</v>
      </c>
      <c r="H17" s="58" t="s">
        <v>67</v>
      </c>
      <c r="I17" s="58" t="s">
        <v>67</v>
      </c>
      <c r="J17" s="58" t="s">
        <v>67</v>
      </c>
      <c r="K17" s="58" t="s">
        <v>67</v>
      </c>
      <c r="L17" s="58" t="s">
        <v>67</v>
      </c>
      <c r="M17" s="58" t="s">
        <v>67</v>
      </c>
      <c r="N17" s="58" t="s">
        <v>67</v>
      </c>
      <c r="O17" s="58" t="s">
        <v>67</v>
      </c>
      <c r="P17" s="58" t="s">
        <v>67</v>
      </c>
      <c r="Q17" s="58" t="s">
        <v>67</v>
      </c>
      <c r="R17" s="58" t="s">
        <v>67</v>
      </c>
      <c r="S17" s="58" t="s">
        <v>67</v>
      </c>
      <c r="T17" s="58" t="s">
        <v>67</v>
      </c>
      <c r="U17" s="58" t="s">
        <v>67</v>
      </c>
      <c r="V17" s="58" t="s">
        <v>67</v>
      </c>
      <c r="W17" s="58" t="s">
        <v>67</v>
      </c>
      <c r="X17" s="58" t="s">
        <v>67</v>
      </c>
      <c r="Y17" s="58" t="s">
        <v>67</v>
      </c>
      <c r="Z17" s="58" t="s">
        <v>67</v>
      </c>
      <c r="AA17" s="58" t="s">
        <v>67</v>
      </c>
      <c r="AB17" s="58" t="s">
        <v>67</v>
      </c>
      <c r="AC17" s="58" t="s">
        <v>67</v>
      </c>
      <c r="AD17" s="58">
        <v>0</v>
      </c>
      <c r="AE17" s="209">
        <v>0</v>
      </c>
      <c r="AF17" s="209">
        <v>1</v>
      </c>
      <c r="AG17" s="209">
        <v>0</v>
      </c>
      <c r="AH17" s="209">
        <v>1</v>
      </c>
      <c r="AI17" s="209">
        <v>1</v>
      </c>
      <c r="AJ17" s="48" t="s">
        <v>32</v>
      </c>
      <c r="AL17" t="str">
        <f t="shared" si="0"/>
        <v xml:space="preserve">    (U1)ALERT_REQ_UNKNOWN</v>
      </c>
      <c r="AR17" s="60" t="str">
        <f t="shared" si="3"/>
        <v xml:space="preserve">    (U4)0x0000000BU,                                                           /* 11 UNKNOWN                                         */</v>
      </c>
      <c r="AS17" s="60" t="str">
        <f t="shared" si="4"/>
        <v xml:space="preserve">    (U4)0x0000003FU,                                                           /* 11 UNKNOWN                                         */</v>
      </c>
      <c r="AT17" s="60" t="str">
        <f t="shared" si="1"/>
        <v xml:space="preserve">    (U1)ALERT_REQ_UNKNOWN,                                                     /* 11 UNKNOWN                                         */</v>
      </c>
      <c r="AU17" s="61" t="s">
        <v>81</v>
      </c>
      <c r="AV17" s="47" t="s">
        <v>79</v>
      </c>
      <c r="AW17" s="66" t="str">
        <f ca="1">UPPER(Matrix!$D$6)</f>
        <v>M_T120</v>
      </c>
    </row>
    <row r="18" spans="2:49">
      <c r="B18" s="130"/>
      <c r="C18" s="44">
        <f t="shared" si="2"/>
        <v>12</v>
      </c>
      <c r="D18" s="58" t="s">
        <v>67</v>
      </c>
      <c r="E18" s="58" t="s">
        <v>67</v>
      </c>
      <c r="F18" s="58" t="s">
        <v>67</v>
      </c>
      <c r="G18" s="58" t="s">
        <v>67</v>
      </c>
      <c r="H18" s="58" t="s">
        <v>67</v>
      </c>
      <c r="I18" s="58" t="s">
        <v>67</v>
      </c>
      <c r="J18" s="58" t="s">
        <v>67</v>
      </c>
      <c r="K18" s="58" t="s">
        <v>67</v>
      </c>
      <c r="L18" s="58" t="s">
        <v>67</v>
      </c>
      <c r="M18" s="58" t="s">
        <v>67</v>
      </c>
      <c r="N18" s="58" t="s">
        <v>67</v>
      </c>
      <c r="O18" s="58" t="s">
        <v>67</v>
      </c>
      <c r="P18" s="58" t="s">
        <v>67</v>
      </c>
      <c r="Q18" s="58" t="s">
        <v>67</v>
      </c>
      <c r="R18" s="58" t="s">
        <v>67</v>
      </c>
      <c r="S18" s="58" t="s">
        <v>67</v>
      </c>
      <c r="T18" s="58" t="s">
        <v>67</v>
      </c>
      <c r="U18" s="58" t="s">
        <v>67</v>
      </c>
      <c r="V18" s="58" t="s">
        <v>67</v>
      </c>
      <c r="W18" s="58" t="s">
        <v>67</v>
      </c>
      <c r="X18" s="58" t="s">
        <v>67</v>
      </c>
      <c r="Y18" s="58" t="s">
        <v>67</v>
      </c>
      <c r="Z18" s="58" t="s">
        <v>67</v>
      </c>
      <c r="AA18" s="58" t="s">
        <v>67</v>
      </c>
      <c r="AB18" s="58" t="s">
        <v>67</v>
      </c>
      <c r="AC18" s="58" t="s">
        <v>67</v>
      </c>
      <c r="AD18" s="126">
        <v>0</v>
      </c>
      <c r="AE18" s="209">
        <v>0</v>
      </c>
      <c r="AF18" s="209">
        <v>1</v>
      </c>
      <c r="AG18" s="209">
        <v>1</v>
      </c>
      <c r="AH18" s="209">
        <v>0</v>
      </c>
      <c r="AI18" s="209">
        <v>0</v>
      </c>
      <c r="AJ18" s="48" t="s">
        <v>32</v>
      </c>
      <c r="AL18" t="str">
        <f t="shared" si="0"/>
        <v xml:space="preserve">    (U1)ALERT_REQ_UNKNOWN</v>
      </c>
      <c r="AR18" s="60" t="str">
        <f t="shared" si="3"/>
        <v xml:space="preserve">    (U4)0x0000000CU,                                                           /* 12 UNKNOWN                                         */</v>
      </c>
      <c r="AS18" s="60" t="str">
        <f t="shared" si="4"/>
        <v xml:space="preserve">    (U4)0x0000003FU,                                                           /* 12 UNKNOWN                                         */</v>
      </c>
      <c r="AT18" s="60" t="str">
        <f t="shared" si="1"/>
        <v xml:space="preserve">    (U1)ALERT_REQ_UNKNOWN,                                                     /* 12 UNKNOWN                                         */</v>
      </c>
    </row>
    <row r="19" spans="2:49">
      <c r="B19" s="130"/>
      <c r="C19" s="44">
        <f t="shared" si="2"/>
        <v>13</v>
      </c>
      <c r="D19" s="58" t="s">
        <v>67</v>
      </c>
      <c r="E19" s="58" t="s">
        <v>67</v>
      </c>
      <c r="F19" s="58" t="s">
        <v>67</v>
      </c>
      <c r="G19" s="58" t="s">
        <v>67</v>
      </c>
      <c r="H19" s="58" t="s">
        <v>67</v>
      </c>
      <c r="I19" s="58" t="s">
        <v>67</v>
      </c>
      <c r="J19" s="58" t="s">
        <v>67</v>
      </c>
      <c r="K19" s="58" t="s">
        <v>67</v>
      </c>
      <c r="L19" s="58" t="s">
        <v>67</v>
      </c>
      <c r="M19" s="58" t="s">
        <v>67</v>
      </c>
      <c r="N19" s="58" t="s">
        <v>67</v>
      </c>
      <c r="O19" s="58" t="s">
        <v>67</v>
      </c>
      <c r="P19" s="58" t="s">
        <v>67</v>
      </c>
      <c r="Q19" s="58" t="s">
        <v>67</v>
      </c>
      <c r="R19" s="58" t="s">
        <v>67</v>
      </c>
      <c r="S19" s="58" t="s">
        <v>67</v>
      </c>
      <c r="T19" s="58" t="s">
        <v>67</v>
      </c>
      <c r="U19" s="58" t="s">
        <v>67</v>
      </c>
      <c r="V19" s="58" t="s">
        <v>67</v>
      </c>
      <c r="W19" s="58" t="s">
        <v>67</v>
      </c>
      <c r="X19" s="58" t="s">
        <v>67</v>
      </c>
      <c r="Y19" s="58" t="s">
        <v>67</v>
      </c>
      <c r="Z19" s="58" t="s">
        <v>67</v>
      </c>
      <c r="AA19" s="58" t="s">
        <v>67</v>
      </c>
      <c r="AB19" s="58" t="s">
        <v>67</v>
      </c>
      <c r="AC19" s="58" t="s">
        <v>67</v>
      </c>
      <c r="AD19" s="126">
        <v>0</v>
      </c>
      <c r="AE19" s="209">
        <v>0</v>
      </c>
      <c r="AF19" s="209">
        <v>1</v>
      </c>
      <c r="AG19" s="209">
        <v>1</v>
      </c>
      <c r="AH19" s="209">
        <v>0</v>
      </c>
      <c r="AI19" s="209">
        <v>1</v>
      </c>
      <c r="AJ19" s="48" t="s">
        <v>32</v>
      </c>
      <c r="AL19" t="str">
        <f t="shared" si="0"/>
        <v xml:space="preserve">    (U1)ALERT_REQ_UNKNOWN</v>
      </c>
      <c r="AR19" s="60" t="str">
        <f t="shared" si="3"/>
        <v xml:space="preserve">    (U4)0x0000000DU,                                                           /* 13 UNKNOWN                                         */</v>
      </c>
      <c r="AS19" s="60" t="str">
        <f t="shared" si="4"/>
        <v xml:space="preserve">    (U4)0x0000003FU,                                                           /* 13 UNKNOWN                                         */</v>
      </c>
      <c r="AT19" s="60" t="str">
        <f t="shared" si="1"/>
        <v xml:space="preserve">    (U1)ALERT_REQ_UNKNOWN,                                                     /* 13 UNKNOWN                                         */</v>
      </c>
    </row>
    <row r="20" spans="2:49">
      <c r="B20" s="130"/>
      <c r="C20" s="44">
        <f t="shared" si="2"/>
        <v>14</v>
      </c>
      <c r="D20" s="58" t="s">
        <v>67</v>
      </c>
      <c r="E20" s="58" t="s">
        <v>67</v>
      </c>
      <c r="F20" s="58" t="s">
        <v>67</v>
      </c>
      <c r="G20" s="58" t="s">
        <v>67</v>
      </c>
      <c r="H20" s="58" t="s">
        <v>67</v>
      </c>
      <c r="I20" s="58" t="s">
        <v>67</v>
      </c>
      <c r="J20" s="58" t="s">
        <v>67</v>
      </c>
      <c r="K20" s="58" t="s">
        <v>67</v>
      </c>
      <c r="L20" s="58" t="s">
        <v>67</v>
      </c>
      <c r="M20" s="58" t="s">
        <v>67</v>
      </c>
      <c r="N20" s="58" t="s">
        <v>67</v>
      </c>
      <c r="O20" s="58" t="s">
        <v>67</v>
      </c>
      <c r="P20" s="58" t="s">
        <v>67</v>
      </c>
      <c r="Q20" s="58" t="s">
        <v>67</v>
      </c>
      <c r="R20" s="58" t="s">
        <v>67</v>
      </c>
      <c r="S20" s="58" t="s">
        <v>67</v>
      </c>
      <c r="T20" s="58" t="s">
        <v>67</v>
      </c>
      <c r="U20" s="58" t="s">
        <v>67</v>
      </c>
      <c r="V20" s="58" t="s">
        <v>67</v>
      </c>
      <c r="W20" s="58" t="s">
        <v>67</v>
      </c>
      <c r="X20" s="58" t="s">
        <v>67</v>
      </c>
      <c r="Y20" s="58" t="s">
        <v>67</v>
      </c>
      <c r="Z20" s="58" t="s">
        <v>67</v>
      </c>
      <c r="AA20" s="58" t="s">
        <v>67</v>
      </c>
      <c r="AB20" s="58" t="s">
        <v>67</v>
      </c>
      <c r="AC20" s="58" t="s">
        <v>67</v>
      </c>
      <c r="AD20" s="58">
        <v>0</v>
      </c>
      <c r="AE20" s="209">
        <v>0</v>
      </c>
      <c r="AF20" s="209">
        <v>1</v>
      </c>
      <c r="AG20" s="209">
        <v>1</v>
      </c>
      <c r="AH20" s="209">
        <v>1</v>
      </c>
      <c r="AI20" s="209">
        <v>0</v>
      </c>
      <c r="AJ20" s="48" t="s">
        <v>32</v>
      </c>
      <c r="AL20" t="str">
        <f t="shared" si="0"/>
        <v xml:space="preserve">    (U1)ALERT_REQ_UNKNOWN</v>
      </c>
      <c r="AR20" s="60" t="str">
        <f t="shared" si="3"/>
        <v xml:space="preserve">    (U4)0x0000000EU,                                                           /* 14 UNKNOWN                                         */</v>
      </c>
      <c r="AS20" s="60" t="str">
        <f t="shared" si="4"/>
        <v xml:space="preserve">    (U4)0x0000003FU,                                                           /* 14 UNKNOWN                                         */</v>
      </c>
      <c r="AT20" s="60" t="str">
        <f t="shared" si="1"/>
        <v xml:space="preserve">    (U1)ALERT_REQ_UNKNOWN,                                                     /* 14 UNKNOWN                                         */</v>
      </c>
    </row>
    <row r="21" spans="2:49">
      <c r="B21" s="130"/>
      <c r="C21" s="44">
        <f t="shared" si="2"/>
        <v>15</v>
      </c>
      <c r="D21" s="58" t="s">
        <v>67</v>
      </c>
      <c r="E21" s="58" t="s">
        <v>67</v>
      </c>
      <c r="F21" s="58" t="s">
        <v>67</v>
      </c>
      <c r="G21" s="58" t="s">
        <v>67</v>
      </c>
      <c r="H21" s="58" t="s">
        <v>67</v>
      </c>
      <c r="I21" s="58" t="s">
        <v>67</v>
      </c>
      <c r="J21" s="58" t="s">
        <v>67</v>
      </c>
      <c r="K21" s="58" t="s">
        <v>67</v>
      </c>
      <c r="L21" s="58" t="s">
        <v>67</v>
      </c>
      <c r="M21" s="58" t="s">
        <v>67</v>
      </c>
      <c r="N21" s="58" t="s">
        <v>67</v>
      </c>
      <c r="O21" s="58" t="s">
        <v>67</v>
      </c>
      <c r="P21" s="58" t="s">
        <v>67</v>
      </c>
      <c r="Q21" s="58" t="s">
        <v>67</v>
      </c>
      <c r="R21" s="58" t="s">
        <v>67</v>
      </c>
      <c r="S21" s="58" t="s">
        <v>67</v>
      </c>
      <c r="T21" s="58" t="s">
        <v>67</v>
      </c>
      <c r="U21" s="58" t="s">
        <v>67</v>
      </c>
      <c r="V21" s="58" t="s">
        <v>67</v>
      </c>
      <c r="W21" s="58" t="s">
        <v>67</v>
      </c>
      <c r="X21" s="58" t="s">
        <v>67</v>
      </c>
      <c r="Y21" s="58" t="s">
        <v>67</v>
      </c>
      <c r="Z21" s="58" t="s">
        <v>67</v>
      </c>
      <c r="AA21" s="58" t="s">
        <v>67</v>
      </c>
      <c r="AB21" s="58" t="s">
        <v>67</v>
      </c>
      <c r="AC21" s="58" t="s">
        <v>67</v>
      </c>
      <c r="AD21" s="58">
        <v>0</v>
      </c>
      <c r="AE21" s="209">
        <v>0</v>
      </c>
      <c r="AF21" s="209">
        <v>1</v>
      </c>
      <c r="AG21" s="209">
        <v>1</v>
      </c>
      <c r="AH21" s="209">
        <v>1</v>
      </c>
      <c r="AI21" s="209">
        <v>1</v>
      </c>
      <c r="AJ21" s="48" t="s">
        <v>32</v>
      </c>
      <c r="AL21" t="str">
        <f t="shared" si="0"/>
        <v xml:space="preserve">    (U1)ALERT_REQ_UNKNOWN</v>
      </c>
      <c r="AR21" s="60" t="str">
        <f t="shared" si="3"/>
        <v xml:space="preserve">    (U4)0x0000000FU,                                                           /* 15 UNKNOWN                                         */</v>
      </c>
      <c r="AS21" s="60" t="str">
        <f t="shared" si="4"/>
        <v xml:space="preserve">    (U4)0x0000003FU,                                                           /* 15 UNKNOWN                                         */</v>
      </c>
      <c r="AT21" s="60" t="str">
        <f t="shared" si="1"/>
        <v xml:space="preserve">    (U1)ALERT_REQ_UNKNOWN,                                                     /* 15 UNKNOWN                                         */</v>
      </c>
    </row>
    <row r="22" spans="2:49">
      <c r="B22" s="130"/>
      <c r="C22" s="44">
        <f t="shared" si="2"/>
        <v>16</v>
      </c>
      <c r="D22" s="58" t="s">
        <v>67</v>
      </c>
      <c r="E22" s="58" t="s">
        <v>67</v>
      </c>
      <c r="F22" s="58" t="s">
        <v>67</v>
      </c>
      <c r="G22" s="58" t="s">
        <v>67</v>
      </c>
      <c r="H22" s="58" t="s">
        <v>67</v>
      </c>
      <c r="I22" s="58" t="s">
        <v>67</v>
      </c>
      <c r="J22" s="58" t="s">
        <v>67</v>
      </c>
      <c r="K22" s="58" t="s">
        <v>67</v>
      </c>
      <c r="L22" s="58" t="s">
        <v>67</v>
      </c>
      <c r="M22" s="58" t="s">
        <v>67</v>
      </c>
      <c r="N22" s="58" t="s">
        <v>67</v>
      </c>
      <c r="O22" s="58" t="s">
        <v>67</v>
      </c>
      <c r="P22" s="58" t="s">
        <v>67</v>
      </c>
      <c r="Q22" s="58" t="s">
        <v>67</v>
      </c>
      <c r="R22" s="58" t="s">
        <v>67</v>
      </c>
      <c r="S22" s="58" t="s">
        <v>67</v>
      </c>
      <c r="T22" s="58" t="s">
        <v>67</v>
      </c>
      <c r="U22" s="58" t="s">
        <v>67</v>
      </c>
      <c r="V22" s="58" t="s">
        <v>67</v>
      </c>
      <c r="W22" s="58" t="s">
        <v>67</v>
      </c>
      <c r="X22" s="58" t="s">
        <v>67</v>
      </c>
      <c r="Y22" s="58" t="s">
        <v>67</v>
      </c>
      <c r="Z22" s="58" t="s">
        <v>67</v>
      </c>
      <c r="AA22" s="58" t="s">
        <v>67</v>
      </c>
      <c r="AB22" s="58" t="s">
        <v>67</v>
      </c>
      <c r="AC22" s="58" t="s">
        <v>67</v>
      </c>
      <c r="AD22" s="58">
        <v>0</v>
      </c>
      <c r="AE22" s="209">
        <v>1</v>
      </c>
      <c r="AF22" s="209">
        <v>0</v>
      </c>
      <c r="AG22" s="209">
        <v>0</v>
      </c>
      <c r="AH22" s="209">
        <v>0</v>
      </c>
      <c r="AI22" s="209">
        <v>0</v>
      </c>
      <c r="AJ22" s="48" t="s">
        <v>32</v>
      </c>
      <c r="AL22" t="str">
        <f t="shared" si="0"/>
        <v xml:space="preserve">    (U1)ALERT_REQ_UNKNOWN</v>
      </c>
      <c r="AR22" s="60" t="str">
        <f t="shared" si="3"/>
        <v xml:space="preserve">    (U4)0x00000010U,                                                           /* 16 UNKNOWN                                         */</v>
      </c>
      <c r="AS22" s="60" t="str">
        <f t="shared" si="4"/>
        <v xml:space="preserve">    (U4)0x0000003FU,                                                           /* 16 UNKNOWN                                         */</v>
      </c>
      <c r="AT22" s="60" t="str">
        <f t="shared" si="1"/>
        <v xml:space="preserve">    (U1)ALERT_REQ_UNKNOWN,                                                     /* 16 UNKNOWN                                         */</v>
      </c>
    </row>
    <row r="23" spans="2:49">
      <c r="B23" s="130"/>
      <c r="C23" s="44">
        <f t="shared" si="2"/>
        <v>17</v>
      </c>
      <c r="D23" s="58" t="s">
        <v>67</v>
      </c>
      <c r="E23" s="58" t="s">
        <v>67</v>
      </c>
      <c r="F23" s="58" t="s">
        <v>67</v>
      </c>
      <c r="G23" s="58" t="s">
        <v>67</v>
      </c>
      <c r="H23" s="58" t="s">
        <v>67</v>
      </c>
      <c r="I23" s="58" t="s">
        <v>67</v>
      </c>
      <c r="J23" s="58" t="s">
        <v>67</v>
      </c>
      <c r="K23" s="58" t="s">
        <v>67</v>
      </c>
      <c r="L23" s="58" t="s">
        <v>67</v>
      </c>
      <c r="M23" s="58" t="s">
        <v>67</v>
      </c>
      <c r="N23" s="58" t="s">
        <v>67</v>
      </c>
      <c r="O23" s="58" t="s">
        <v>67</v>
      </c>
      <c r="P23" s="58" t="s">
        <v>67</v>
      </c>
      <c r="Q23" s="58" t="s">
        <v>67</v>
      </c>
      <c r="R23" s="58" t="s">
        <v>67</v>
      </c>
      <c r="S23" s="58" t="s">
        <v>67</v>
      </c>
      <c r="T23" s="58" t="s">
        <v>67</v>
      </c>
      <c r="U23" s="58" t="s">
        <v>67</v>
      </c>
      <c r="V23" s="58" t="s">
        <v>67</v>
      </c>
      <c r="W23" s="58" t="s">
        <v>67</v>
      </c>
      <c r="X23" s="58" t="s">
        <v>67</v>
      </c>
      <c r="Y23" s="58" t="s">
        <v>67</v>
      </c>
      <c r="Z23" s="58" t="s">
        <v>67</v>
      </c>
      <c r="AA23" s="58" t="s">
        <v>67</v>
      </c>
      <c r="AB23" s="58" t="s">
        <v>67</v>
      </c>
      <c r="AC23" s="58" t="s">
        <v>67</v>
      </c>
      <c r="AD23" s="58">
        <v>0</v>
      </c>
      <c r="AE23" s="209">
        <v>1</v>
      </c>
      <c r="AF23" s="209">
        <v>0</v>
      </c>
      <c r="AG23" s="209">
        <v>0</v>
      </c>
      <c r="AH23" s="209">
        <v>0</v>
      </c>
      <c r="AI23" s="209">
        <v>1</v>
      </c>
      <c r="AJ23" s="48" t="s">
        <v>32</v>
      </c>
      <c r="AL23" t="str">
        <f t="shared" si="0"/>
        <v xml:space="preserve">    (U1)ALERT_REQ_UNKNOWN</v>
      </c>
      <c r="AR23" s="60" t="str">
        <f t="shared" si="3"/>
        <v xml:space="preserve">    (U4)0x00000011U,                                                           /* 17 UNKNOWN                                         */</v>
      </c>
      <c r="AS23" s="60" t="str">
        <f t="shared" si="4"/>
        <v xml:space="preserve">    (U4)0x0000003FU,                                                           /* 17 UNKNOWN                                         */</v>
      </c>
      <c r="AT23" s="60" t="str">
        <f t="shared" si="1"/>
        <v xml:space="preserve">    (U1)ALERT_REQ_UNKNOWN,                                                     /* 17 UNKNOWN                                         */</v>
      </c>
    </row>
    <row r="24" spans="2:49">
      <c r="B24" s="130"/>
      <c r="C24" s="44">
        <f t="shared" si="2"/>
        <v>18</v>
      </c>
      <c r="D24" s="58" t="s">
        <v>67</v>
      </c>
      <c r="E24" s="58" t="s">
        <v>67</v>
      </c>
      <c r="F24" s="58" t="s">
        <v>67</v>
      </c>
      <c r="G24" s="58" t="s">
        <v>67</v>
      </c>
      <c r="H24" s="58" t="s">
        <v>67</v>
      </c>
      <c r="I24" s="58" t="s">
        <v>67</v>
      </c>
      <c r="J24" s="58" t="s">
        <v>67</v>
      </c>
      <c r="K24" s="58" t="s">
        <v>67</v>
      </c>
      <c r="L24" s="58" t="s">
        <v>67</v>
      </c>
      <c r="M24" s="58" t="s">
        <v>67</v>
      </c>
      <c r="N24" s="58" t="s">
        <v>67</v>
      </c>
      <c r="O24" s="58" t="s">
        <v>67</v>
      </c>
      <c r="P24" s="58" t="s">
        <v>67</v>
      </c>
      <c r="Q24" s="58" t="s">
        <v>67</v>
      </c>
      <c r="R24" s="58" t="s">
        <v>67</v>
      </c>
      <c r="S24" s="58" t="s">
        <v>67</v>
      </c>
      <c r="T24" s="58" t="s">
        <v>67</v>
      </c>
      <c r="U24" s="58" t="s">
        <v>67</v>
      </c>
      <c r="V24" s="58" t="s">
        <v>67</v>
      </c>
      <c r="W24" s="58" t="s">
        <v>67</v>
      </c>
      <c r="X24" s="58" t="s">
        <v>67</v>
      </c>
      <c r="Y24" s="58" t="s">
        <v>67</v>
      </c>
      <c r="Z24" s="58" t="s">
        <v>67</v>
      </c>
      <c r="AA24" s="58" t="s">
        <v>67</v>
      </c>
      <c r="AB24" s="58" t="s">
        <v>67</v>
      </c>
      <c r="AC24" s="58" t="s">
        <v>67</v>
      </c>
      <c r="AD24" s="58">
        <v>0</v>
      </c>
      <c r="AE24" s="209">
        <v>1</v>
      </c>
      <c r="AF24" s="209">
        <v>0</v>
      </c>
      <c r="AG24" s="209">
        <v>0</v>
      </c>
      <c r="AH24" s="209">
        <v>1</v>
      </c>
      <c r="AI24" s="209">
        <v>0</v>
      </c>
      <c r="AJ24" s="48" t="s">
        <v>32</v>
      </c>
      <c r="AL24" t="str">
        <f t="shared" si="0"/>
        <v xml:space="preserve">    (U1)ALERT_REQ_UNKNOWN</v>
      </c>
      <c r="AR24" s="60" t="str">
        <f t="shared" si="3"/>
        <v xml:space="preserve">    (U4)0x00000012U,                                                           /* 18 UNKNOWN                                         */</v>
      </c>
      <c r="AS24" s="60" t="str">
        <f t="shared" si="4"/>
        <v xml:space="preserve">    (U4)0x0000003FU,                                                           /* 18 UNKNOWN                                         */</v>
      </c>
      <c r="AT24" s="60" t="str">
        <f t="shared" si="1"/>
        <v xml:space="preserve">    (U1)ALERT_REQ_UNKNOWN,                                                     /* 18 UNKNOWN                                         */</v>
      </c>
    </row>
    <row r="25" spans="2:49">
      <c r="B25" s="130"/>
      <c r="C25" s="44">
        <f t="shared" si="2"/>
        <v>19</v>
      </c>
      <c r="D25" s="58" t="s">
        <v>67</v>
      </c>
      <c r="E25" s="58" t="s">
        <v>67</v>
      </c>
      <c r="F25" s="58" t="s">
        <v>67</v>
      </c>
      <c r="G25" s="58" t="s">
        <v>67</v>
      </c>
      <c r="H25" s="58" t="s">
        <v>67</v>
      </c>
      <c r="I25" s="58" t="s">
        <v>67</v>
      </c>
      <c r="J25" s="58" t="s">
        <v>67</v>
      </c>
      <c r="K25" s="58" t="s">
        <v>67</v>
      </c>
      <c r="L25" s="58" t="s">
        <v>67</v>
      </c>
      <c r="M25" s="58" t="s">
        <v>67</v>
      </c>
      <c r="N25" s="58" t="s">
        <v>67</v>
      </c>
      <c r="O25" s="58" t="s">
        <v>67</v>
      </c>
      <c r="P25" s="58" t="s">
        <v>67</v>
      </c>
      <c r="Q25" s="58" t="s">
        <v>67</v>
      </c>
      <c r="R25" s="58" t="s">
        <v>67</v>
      </c>
      <c r="S25" s="58" t="s">
        <v>67</v>
      </c>
      <c r="T25" s="58" t="s">
        <v>67</v>
      </c>
      <c r="U25" s="58" t="s">
        <v>67</v>
      </c>
      <c r="V25" s="58" t="s">
        <v>67</v>
      </c>
      <c r="W25" s="58" t="s">
        <v>67</v>
      </c>
      <c r="X25" s="58" t="s">
        <v>67</v>
      </c>
      <c r="Y25" s="58" t="s">
        <v>67</v>
      </c>
      <c r="Z25" s="58" t="s">
        <v>67</v>
      </c>
      <c r="AA25" s="58" t="s">
        <v>67</v>
      </c>
      <c r="AB25" s="58" t="s">
        <v>67</v>
      </c>
      <c r="AC25" s="58" t="s">
        <v>67</v>
      </c>
      <c r="AD25" s="58">
        <v>0</v>
      </c>
      <c r="AE25" s="209">
        <v>1</v>
      </c>
      <c r="AF25" s="209">
        <v>0</v>
      </c>
      <c r="AG25" s="209">
        <v>0</v>
      </c>
      <c r="AH25" s="209">
        <v>1</v>
      </c>
      <c r="AI25" s="209">
        <v>1</v>
      </c>
      <c r="AJ25" s="48" t="s">
        <v>32</v>
      </c>
      <c r="AL25" t="str">
        <f t="shared" si="0"/>
        <v xml:space="preserve">    (U1)ALERT_REQ_UNKNOWN</v>
      </c>
      <c r="AR25" s="60" t="str">
        <f t="shared" si="3"/>
        <v xml:space="preserve">    (U4)0x00000013U,                                                           /* 19 UNKNOWN                                         */</v>
      </c>
      <c r="AS25" s="60" t="str">
        <f t="shared" si="4"/>
        <v xml:space="preserve">    (U4)0x0000003FU,                                                           /* 19 UNKNOWN                                         */</v>
      </c>
      <c r="AT25" s="60" t="str">
        <f t="shared" si="1"/>
        <v xml:space="preserve">    (U1)ALERT_REQ_UNKNOWN,                                                     /* 19 UNKNOWN                                         */</v>
      </c>
    </row>
    <row r="26" spans="2:49">
      <c r="B26" s="130"/>
      <c r="C26" s="44">
        <f t="shared" si="2"/>
        <v>20</v>
      </c>
      <c r="D26" s="58" t="s">
        <v>67</v>
      </c>
      <c r="E26" s="58" t="s">
        <v>67</v>
      </c>
      <c r="F26" s="58" t="s">
        <v>67</v>
      </c>
      <c r="G26" s="58" t="s">
        <v>67</v>
      </c>
      <c r="H26" s="58" t="s">
        <v>67</v>
      </c>
      <c r="I26" s="58" t="s">
        <v>67</v>
      </c>
      <c r="J26" s="58" t="s">
        <v>67</v>
      </c>
      <c r="K26" s="58" t="s">
        <v>67</v>
      </c>
      <c r="L26" s="58" t="s">
        <v>67</v>
      </c>
      <c r="M26" s="58" t="s">
        <v>67</v>
      </c>
      <c r="N26" s="58" t="s">
        <v>67</v>
      </c>
      <c r="O26" s="58" t="s">
        <v>67</v>
      </c>
      <c r="P26" s="58" t="s">
        <v>67</v>
      </c>
      <c r="Q26" s="58" t="s">
        <v>67</v>
      </c>
      <c r="R26" s="58" t="s">
        <v>67</v>
      </c>
      <c r="S26" s="58" t="s">
        <v>67</v>
      </c>
      <c r="T26" s="58" t="s">
        <v>67</v>
      </c>
      <c r="U26" s="58" t="s">
        <v>67</v>
      </c>
      <c r="V26" s="58" t="s">
        <v>67</v>
      </c>
      <c r="W26" s="58" t="s">
        <v>67</v>
      </c>
      <c r="X26" s="58" t="s">
        <v>67</v>
      </c>
      <c r="Y26" s="58" t="s">
        <v>67</v>
      </c>
      <c r="Z26" s="58" t="s">
        <v>67</v>
      </c>
      <c r="AA26" s="58" t="s">
        <v>67</v>
      </c>
      <c r="AB26" s="58" t="s">
        <v>67</v>
      </c>
      <c r="AC26" s="58" t="s">
        <v>67</v>
      </c>
      <c r="AD26" s="58">
        <v>0</v>
      </c>
      <c r="AE26" s="209">
        <v>1</v>
      </c>
      <c r="AF26" s="209">
        <v>0</v>
      </c>
      <c r="AG26" s="209">
        <v>1</v>
      </c>
      <c r="AH26" s="209">
        <v>0</v>
      </c>
      <c r="AI26" s="209">
        <v>0</v>
      </c>
      <c r="AJ26" s="48" t="s">
        <v>32</v>
      </c>
      <c r="AL26" t="str">
        <f t="shared" si="0"/>
        <v xml:space="preserve">    (U1)ALERT_REQ_UNKNOWN</v>
      </c>
      <c r="AR26" s="60" t="str">
        <f t="shared" si="3"/>
        <v xml:space="preserve">    (U4)0x00000014U,                                                           /* 20 UNKNOWN                                         */</v>
      </c>
      <c r="AS26" s="60" t="str">
        <f t="shared" si="4"/>
        <v xml:space="preserve">    (U4)0x0000003FU,                                                           /* 20 UNKNOWN                                         */</v>
      </c>
      <c r="AT26" s="60" t="str">
        <f t="shared" si="1"/>
        <v xml:space="preserve">    (U1)ALERT_REQ_UNKNOWN,                                                     /* 20 UNKNOWN                                         */</v>
      </c>
    </row>
    <row r="27" spans="2:49">
      <c r="B27" s="130"/>
      <c r="C27" s="44">
        <f t="shared" si="2"/>
        <v>21</v>
      </c>
      <c r="D27" s="58" t="s">
        <v>67</v>
      </c>
      <c r="E27" s="58" t="s">
        <v>67</v>
      </c>
      <c r="F27" s="58" t="s">
        <v>67</v>
      </c>
      <c r="G27" s="58" t="s">
        <v>67</v>
      </c>
      <c r="H27" s="58" t="s">
        <v>67</v>
      </c>
      <c r="I27" s="58" t="s">
        <v>67</v>
      </c>
      <c r="J27" s="58" t="s">
        <v>67</v>
      </c>
      <c r="K27" s="58" t="s">
        <v>67</v>
      </c>
      <c r="L27" s="58" t="s">
        <v>67</v>
      </c>
      <c r="M27" s="58" t="s">
        <v>67</v>
      </c>
      <c r="N27" s="58" t="s">
        <v>67</v>
      </c>
      <c r="O27" s="58" t="s">
        <v>67</v>
      </c>
      <c r="P27" s="58" t="s">
        <v>67</v>
      </c>
      <c r="Q27" s="58" t="s">
        <v>67</v>
      </c>
      <c r="R27" s="58" t="s">
        <v>67</v>
      </c>
      <c r="S27" s="58" t="s">
        <v>67</v>
      </c>
      <c r="T27" s="58" t="s">
        <v>67</v>
      </c>
      <c r="U27" s="58" t="s">
        <v>67</v>
      </c>
      <c r="V27" s="58" t="s">
        <v>67</v>
      </c>
      <c r="W27" s="58" t="s">
        <v>67</v>
      </c>
      <c r="X27" s="58" t="s">
        <v>67</v>
      </c>
      <c r="Y27" s="58" t="s">
        <v>67</v>
      </c>
      <c r="Z27" s="58" t="s">
        <v>67</v>
      </c>
      <c r="AA27" s="58" t="s">
        <v>67</v>
      </c>
      <c r="AB27" s="58" t="s">
        <v>67</v>
      </c>
      <c r="AC27" s="58" t="s">
        <v>67</v>
      </c>
      <c r="AD27" s="58">
        <v>0</v>
      </c>
      <c r="AE27" s="209">
        <v>1</v>
      </c>
      <c r="AF27" s="209">
        <v>0</v>
      </c>
      <c r="AG27" s="209">
        <v>1</v>
      </c>
      <c r="AH27" s="209">
        <v>0</v>
      </c>
      <c r="AI27" s="209">
        <v>1</v>
      </c>
      <c r="AJ27" s="48" t="s">
        <v>32</v>
      </c>
      <c r="AL27" t="str">
        <f t="shared" si="0"/>
        <v xml:space="preserve">    (U1)ALERT_REQ_UNKNOWN</v>
      </c>
      <c r="AR27" s="60" t="str">
        <f t="shared" si="3"/>
        <v xml:space="preserve">    (U4)0x00000015U,                                                           /* 21 UNKNOWN                                         */</v>
      </c>
      <c r="AS27" s="60" t="str">
        <f t="shared" si="4"/>
        <v xml:space="preserve">    (U4)0x0000003FU,                                                           /* 21 UNKNOWN                                         */</v>
      </c>
      <c r="AT27" s="60" t="str">
        <f t="shared" si="1"/>
        <v xml:space="preserve">    (U1)ALERT_REQ_UNKNOWN,                                                     /* 21 UNKNOWN                                         */</v>
      </c>
    </row>
    <row r="28" spans="2:49">
      <c r="B28" s="130"/>
      <c r="C28" s="44">
        <f t="shared" si="2"/>
        <v>22</v>
      </c>
      <c r="D28" s="58" t="s">
        <v>67</v>
      </c>
      <c r="E28" s="58" t="s">
        <v>67</v>
      </c>
      <c r="F28" s="58" t="s">
        <v>67</v>
      </c>
      <c r="G28" s="58" t="s">
        <v>67</v>
      </c>
      <c r="H28" s="58" t="s">
        <v>67</v>
      </c>
      <c r="I28" s="58" t="s">
        <v>67</v>
      </c>
      <c r="J28" s="58" t="s">
        <v>67</v>
      </c>
      <c r="K28" s="58" t="s">
        <v>67</v>
      </c>
      <c r="L28" s="58" t="s">
        <v>67</v>
      </c>
      <c r="M28" s="58" t="s">
        <v>67</v>
      </c>
      <c r="N28" s="58" t="s">
        <v>67</v>
      </c>
      <c r="O28" s="58" t="s">
        <v>67</v>
      </c>
      <c r="P28" s="58" t="s">
        <v>67</v>
      </c>
      <c r="Q28" s="58" t="s">
        <v>67</v>
      </c>
      <c r="R28" s="58" t="s">
        <v>67</v>
      </c>
      <c r="S28" s="58" t="s">
        <v>67</v>
      </c>
      <c r="T28" s="58" t="s">
        <v>67</v>
      </c>
      <c r="U28" s="58" t="s">
        <v>67</v>
      </c>
      <c r="V28" s="58" t="s">
        <v>67</v>
      </c>
      <c r="W28" s="58" t="s">
        <v>67</v>
      </c>
      <c r="X28" s="58" t="s">
        <v>67</v>
      </c>
      <c r="Y28" s="58" t="s">
        <v>67</v>
      </c>
      <c r="Z28" s="58" t="s">
        <v>67</v>
      </c>
      <c r="AA28" s="58" t="s">
        <v>67</v>
      </c>
      <c r="AB28" s="58" t="s">
        <v>67</v>
      </c>
      <c r="AC28" s="58" t="s">
        <v>67</v>
      </c>
      <c r="AD28" s="58">
        <v>0</v>
      </c>
      <c r="AE28" s="209">
        <v>1</v>
      </c>
      <c r="AF28" s="209">
        <v>0</v>
      </c>
      <c r="AG28" s="209">
        <v>1</v>
      </c>
      <c r="AH28" s="209">
        <v>1</v>
      </c>
      <c r="AI28" s="209">
        <v>0</v>
      </c>
      <c r="AJ28" s="48" t="s">
        <v>32</v>
      </c>
      <c r="AL28" t="str">
        <f t="shared" si="0"/>
        <v xml:space="preserve">    (U1)ALERT_REQ_UNKNOWN</v>
      </c>
      <c r="AR28" s="60" t="str">
        <f t="shared" si="3"/>
        <v xml:space="preserve">    (U4)0x00000016U,                                                           /* 22 UNKNOWN                                         */</v>
      </c>
      <c r="AS28" s="60" t="str">
        <f t="shared" si="4"/>
        <v xml:space="preserve">    (U4)0x0000003FU,                                                           /* 22 UNKNOWN                                         */</v>
      </c>
      <c r="AT28" s="60" t="str">
        <f t="shared" si="1"/>
        <v xml:space="preserve">    (U1)ALERT_REQ_UNKNOWN,                                                     /* 22 UNKNOWN                                         */</v>
      </c>
    </row>
    <row r="29" spans="2:49">
      <c r="B29" s="130"/>
      <c r="C29" s="44">
        <f t="shared" si="2"/>
        <v>23</v>
      </c>
      <c r="D29" s="58" t="s">
        <v>67</v>
      </c>
      <c r="E29" s="58" t="s">
        <v>67</v>
      </c>
      <c r="F29" s="58" t="s">
        <v>67</v>
      </c>
      <c r="G29" s="58" t="s">
        <v>67</v>
      </c>
      <c r="H29" s="58" t="s">
        <v>67</v>
      </c>
      <c r="I29" s="58" t="s">
        <v>67</v>
      </c>
      <c r="J29" s="58" t="s">
        <v>67</v>
      </c>
      <c r="K29" s="58" t="s">
        <v>67</v>
      </c>
      <c r="L29" s="58" t="s">
        <v>67</v>
      </c>
      <c r="M29" s="58" t="s">
        <v>67</v>
      </c>
      <c r="N29" s="58" t="s">
        <v>67</v>
      </c>
      <c r="O29" s="58" t="s">
        <v>67</v>
      </c>
      <c r="P29" s="58" t="s">
        <v>67</v>
      </c>
      <c r="Q29" s="58" t="s">
        <v>67</v>
      </c>
      <c r="R29" s="58" t="s">
        <v>67</v>
      </c>
      <c r="S29" s="58" t="s">
        <v>67</v>
      </c>
      <c r="T29" s="58" t="s">
        <v>67</v>
      </c>
      <c r="U29" s="58" t="s">
        <v>67</v>
      </c>
      <c r="V29" s="58" t="s">
        <v>67</v>
      </c>
      <c r="W29" s="58" t="s">
        <v>67</v>
      </c>
      <c r="X29" s="58" t="s">
        <v>67</v>
      </c>
      <c r="Y29" s="58" t="s">
        <v>67</v>
      </c>
      <c r="Z29" s="58" t="s">
        <v>67</v>
      </c>
      <c r="AA29" s="58" t="s">
        <v>67</v>
      </c>
      <c r="AB29" s="58" t="s">
        <v>67</v>
      </c>
      <c r="AC29" s="58" t="s">
        <v>67</v>
      </c>
      <c r="AD29" s="58">
        <v>0</v>
      </c>
      <c r="AE29" s="209">
        <v>1</v>
      </c>
      <c r="AF29" s="209">
        <v>0</v>
      </c>
      <c r="AG29" s="209">
        <v>1</v>
      </c>
      <c r="AH29" s="209">
        <v>1</v>
      </c>
      <c r="AI29" s="209">
        <v>1</v>
      </c>
      <c r="AJ29" s="48" t="s">
        <v>32</v>
      </c>
      <c r="AL29" t="str">
        <f t="shared" si="0"/>
        <v xml:space="preserve">    (U1)ALERT_REQ_UNKNOWN</v>
      </c>
      <c r="AR29" s="60" t="str">
        <f t="shared" si="3"/>
        <v xml:space="preserve">    (U4)0x00000017U,                                                           /* 23 UNKNOWN                                         */</v>
      </c>
      <c r="AS29" s="60" t="str">
        <f t="shared" si="4"/>
        <v xml:space="preserve">    (U4)0x0000003FU,                                                           /* 23 UNKNOWN                                         */</v>
      </c>
      <c r="AT29" s="60" t="str">
        <f t="shared" si="1"/>
        <v xml:space="preserve">    (U1)ALERT_REQ_UNKNOWN,                                                     /* 23 UNKNOWN                                         */</v>
      </c>
    </row>
    <row r="30" spans="2:49">
      <c r="B30" s="130"/>
      <c r="C30" s="44">
        <f t="shared" si="2"/>
        <v>24</v>
      </c>
      <c r="D30" s="58" t="s">
        <v>67</v>
      </c>
      <c r="E30" s="58" t="s">
        <v>67</v>
      </c>
      <c r="F30" s="58" t="s">
        <v>67</v>
      </c>
      <c r="G30" s="58" t="s">
        <v>67</v>
      </c>
      <c r="H30" s="58" t="s">
        <v>67</v>
      </c>
      <c r="I30" s="58" t="s">
        <v>67</v>
      </c>
      <c r="J30" s="58" t="s">
        <v>67</v>
      </c>
      <c r="K30" s="58" t="s">
        <v>67</v>
      </c>
      <c r="L30" s="58" t="s">
        <v>67</v>
      </c>
      <c r="M30" s="58" t="s">
        <v>67</v>
      </c>
      <c r="N30" s="58" t="s">
        <v>67</v>
      </c>
      <c r="O30" s="58" t="s">
        <v>67</v>
      </c>
      <c r="P30" s="58" t="s">
        <v>67</v>
      </c>
      <c r="Q30" s="58" t="s">
        <v>67</v>
      </c>
      <c r="R30" s="58" t="s">
        <v>67</v>
      </c>
      <c r="S30" s="58" t="s">
        <v>67</v>
      </c>
      <c r="T30" s="58" t="s">
        <v>67</v>
      </c>
      <c r="U30" s="58" t="s">
        <v>67</v>
      </c>
      <c r="V30" s="58" t="s">
        <v>67</v>
      </c>
      <c r="W30" s="58" t="s">
        <v>67</v>
      </c>
      <c r="X30" s="58" t="s">
        <v>67</v>
      </c>
      <c r="Y30" s="58" t="s">
        <v>67</v>
      </c>
      <c r="Z30" s="58" t="s">
        <v>67</v>
      </c>
      <c r="AA30" s="58" t="s">
        <v>67</v>
      </c>
      <c r="AB30" s="58" t="s">
        <v>67</v>
      </c>
      <c r="AC30" s="58" t="s">
        <v>67</v>
      </c>
      <c r="AD30" s="58">
        <v>0</v>
      </c>
      <c r="AE30" s="209">
        <v>1</v>
      </c>
      <c r="AF30" s="209">
        <v>1</v>
      </c>
      <c r="AG30" s="209">
        <v>0</v>
      </c>
      <c r="AH30" s="209">
        <v>0</v>
      </c>
      <c r="AI30" s="209">
        <v>0</v>
      </c>
      <c r="AJ30" s="48" t="s">
        <v>32</v>
      </c>
      <c r="AL30" t="str">
        <f t="shared" si="0"/>
        <v xml:space="preserve">    (U1)ALERT_REQ_UNKNOWN</v>
      </c>
      <c r="AR30" s="60" t="str">
        <f t="shared" si="3"/>
        <v xml:space="preserve">    (U4)0x00000018U,                                                           /* 24 UNKNOWN                                         */</v>
      </c>
      <c r="AS30" s="60" t="str">
        <f t="shared" si="4"/>
        <v xml:space="preserve">    (U4)0x0000003FU,                                                           /* 24 UNKNOWN                                         */</v>
      </c>
      <c r="AT30" s="60" t="str">
        <f t="shared" si="1"/>
        <v xml:space="preserve">    (U1)ALERT_REQ_UNKNOWN,                                                     /* 24 UNKNOWN                                         */</v>
      </c>
    </row>
    <row r="31" spans="2:49">
      <c r="B31" s="130"/>
      <c r="C31" s="44">
        <f t="shared" si="2"/>
        <v>25</v>
      </c>
      <c r="D31" s="58" t="s">
        <v>67</v>
      </c>
      <c r="E31" s="58" t="s">
        <v>67</v>
      </c>
      <c r="F31" s="58" t="s">
        <v>67</v>
      </c>
      <c r="G31" s="58" t="s">
        <v>67</v>
      </c>
      <c r="H31" s="58" t="s">
        <v>67</v>
      </c>
      <c r="I31" s="58" t="s">
        <v>67</v>
      </c>
      <c r="J31" s="58" t="s">
        <v>67</v>
      </c>
      <c r="K31" s="58" t="s">
        <v>67</v>
      </c>
      <c r="L31" s="58" t="s">
        <v>67</v>
      </c>
      <c r="M31" s="58" t="s">
        <v>67</v>
      </c>
      <c r="N31" s="58" t="s">
        <v>67</v>
      </c>
      <c r="O31" s="58" t="s">
        <v>67</v>
      </c>
      <c r="P31" s="58" t="s">
        <v>67</v>
      </c>
      <c r="Q31" s="58" t="s">
        <v>67</v>
      </c>
      <c r="R31" s="58" t="s">
        <v>67</v>
      </c>
      <c r="S31" s="58" t="s">
        <v>67</v>
      </c>
      <c r="T31" s="58" t="s">
        <v>67</v>
      </c>
      <c r="U31" s="58" t="s">
        <v>67</v>
      </c>
      <c r="V31" s="58" t="s">
        <v>67</v>
      </c>
      <c r="W31" s="58" t="s">
        <v>67</v>
      </c>
      <c r="X31" s="58" t="s">
        <v>67</v>
      </c>
      <c r="Y31" s="58" t="s">
        <v>67</v>
      </c>
      <c r="Z31" s="58" t="s">
        <v>67</v>
      </c>
      <c r="AA31" s="58" t="s">
        <v>67</v>
      </c>
      <c r="AB31" s="58" t="s">
        <v>67</v>
      </c>
      <c r="AC31" s="58" t="s">
        <v>67</v>
      </c>
      <c r="AD31" s="58">
        <v>0</v>
      </c>
      <c r="AE31" s="209">
        <v>1</v>
      </c>
      <c r="AF31" s="209">
        <v>1</v>
      </c>
      <c r="AG31" s="209">
        <v>0</v>
      </c>
      <c r="AH31" s="209">
        <v>0</v>
      </c>
      <c r="AI31" s="209">
        <v>1</v>
      </c>
      <c r="AJ31" s="48" t="s">
        <v>32</v>
      </c>
      <c r="AL31" t="str">
        <f t="shared" si="0"/>
        <v xml:space="preserve">    (U1)ALERT_REQ_UNKNOWN</v>
      </c>
      <c r="AR31" s="60" t="str">
        <f t="shared" si="3"/>
        <v xml:space="preserve">    (U4)0x00000019U,                                                           /* 25 UNKNOWN                                         */</v>
      </c>
      <c r="AS31" s="60" t="str">
        <f t="shared" si="4"/>
        <v xml:space="preserve">    (U4)0x0000003FU,                                                           /* 25 UNKNOWN                                         */</v>
      </c>
      <c r="AT31" s="60" t="str">
        <f t="shared" si="1"/>
        <v xml:space="preserve">    (U1)ALERT_REQ_UNKNOWN,                                                     /* 25 UNKNOWN                                         */</v>
      </c>
    </row>
    <row r="32" spans="2:49">
      <c r="B32" s="130"/>
      <c r="C32" s="44">
        <f t="shared" si="2"/>
        <v>26</v>
      </c>
      <c r="D32" s="58" t="s">
        <v>67</v>
      </c>
      <c r="E32" s="58" t="s">
        <v>67</v>
      </c>
      <c r="F32" s="58" t="s">
        <v>67</v>
      </c>
      <c r="G32" s="58" t="s">
        <v>67</v>
      </c>
      <c r="H32" s="58" t="s">
        <v>67</v>
      </c>
      <c r="I32" s="58" t="s">
        <v>67</v>
      </c>
      <c r="J32" s="58" t="s">
        <v>67</v>
      </c>
      <c r="K32" s="58" t="s">
        <v>67</v>
      </c>
      <c r="L32" s="58" t="s">
        <v>67</v>
      </c>
      <c r="M32" s="58" t="s">
        <v>67</v>
      </c>
      <c r="N32" s="58" t="s">
        <v>67</v>
      </c>
      <c r="O32" s="58" t="s">
        <v>67</v>
      </c>
      <c r="P32" s="58" t="s">
        <v>67</v>
      </c>
      <c r="Q32" s="58" t="s">
        <v>67</v>
      </c>
      <c r="R32" s="58" t="s">
        <v>67</v>
      </c>
      <c r="S32" s="58" t="s">
        <v>67</v>
      </c>
      <c r="T32" s="58" t="s">
        <v>67</v>
      </c>
      <c r="U32" s="58" t="s">
        <v>67</v>
      </c>
      <c r="V32" s="58" t="s">
        <v>67</v>
      </c>
      <c r="W32" s="58" t="s">
        <v>67</v>
      </c>
      <c r="X32" s="58" t="s">
        <v>67</v>
      </c>
      <c r="Y32" s="58" t="s">
        <v>67</v>
      </c>
      <c r="Z32" s="58" t="s">
        <v>67</v>
      </c>
      <c r="AA32" s="58" t="s">
        <v>67</v>
      </c>
      <c r="AB32" s="58" t="s">
        <v>67</v>
      </c>
      <c r="AC32" s="58" t="s">
        <v>67</v>
      </c>
      <c r="AD32" s="58">
        <v>0</v>
      </c>
      <c r="AE32" s="209">
        <v>1</v>
      </c>
      <c r="AF32" s="209">
        <v>1</v>
      </c>
      <c r="AG32" s="209">
        <v>0</v>
      </c>
      <c r="AH32" s="209">
        <v>1</v>
      </c>
      <c r="AI32" s="209">
        <v>0</v>
      </c>
      <c r="AJ32" s="48" t="s">
        <v>32</v>
      </c>
      <c r="AL32" t="str">
        <f t="shared" si="0"/>
        <v xml:space="preserve">    (U1)ALERT_REQ_UNKNOWN</v>
      </c>
      <c r="AR32" s="60" t="str">
        <f t="shared" si="3"/>
        <v xml:space="preserve">    (U4)0x0000001AU,                                                           /* 26 UNKNOWN                                         */</v>
      </c>
      <c r="AS32" s="60" t="str">
        <f t="shared" si="4"/>
        <v xml:space="preserve">    (U4)0x0000003FU,                                                           /* 26 UNKNOWN                                         */</v>
      </c>
      <c r="AT32" s="60" t="str">
        <f t="shared" si="1"/>
        <v xml:space="preserve">    (U1)ALERT_REQ_UNKNOWN,                                                     /* 26 UNKNOWN                                         */</v>
      </c>
    </row>
    <row r="33" spans="2:46">
      <c r="B33" s="130"/>
      <c r="C33" s="44">
        <f t="shared" si="2"/>
        <v>27</v>
      </c>
      <c r="D33" s="58" t="s">
        <v>67</v>
      </c>
      <c r="E33" s="58" t="s">
        <v>67</v>
      </c>
      <c r="F33" s="58" t="s">
        <v>67</v>
      </c>
      <c r="G33" s="58" t="s">
        <v>67</v>
      </c>
      <c r="H33" s="58" t="s">
        <v>67</v>
      </c>
      <c r="I33" s="58" t="s">
        <v>67</v>
      </c>
      <c r="J33" s="58" t="s">
        <v>67</v>
      </c>
      <c r="K33" s="58" t="s">
        <v>67</v>
      </c>
      <c r="L33" s="58" t="s">
        <v>67</v>
      </c>
      <c r="M33" s="58" t="s">
        <v>67</v>
      </c>
      <c r="N33" s="58" t="s">
        <v>67</v>
      </c>
      <c r="O33" s="58" t="s">
        <v>67</v>
      </c>
      <c r="P33" s="58" t="s">
        <v>67</v>
      </c>
      <c r="Q33" s="58" t="s">
        <v>67</v>
      </c>
      <c r="R33" s="58" t="s">
        <v>67</v>
      </c>
      <c r="S33" s="58" t="s">
        <v>67</v>
      </c>
      <c r="T33" s="58" t="s">
        <v>67</v>
      </c>
      <c r="U33" s="58" t="s">
        <v>67</v>
      </c>
      <c r="V33" s="58" t="s">
        <v>67</v>
      </c>
      <c r="W33" s="58" t="s">
        <v>67</v>
      </c>
      <c r="X33" s="58" t="s">
        <v>67</v>
      </c>
      <c r="Y33" s="58" t="s">
        <v>67</v>
      </c>
      <c r="Z33" s="58" t="s">
        <v>67</v>
      </c>
      <c r="AA33" s="58" t="s">
        <v>67</v>
      </c>
      <c r="AB33" s="58" t="s">
        <v>67</v>
      </c>
      <c r="AC33" s="58" t="s">
        <v>67</v>
      </c>
      <c r="AD33" s="58">
        <v>0</v>
      </c>
      <c r="AE33" s="209">
        <v>1</v>
      </c>
      <c r="AF33" s="209">
        <v>1</v>
      </c>
      <c r="AG33" s="209">
        <v>0</v>
      </c>
      <c r="AH33" s="209">
        <v>1</v>
      </c>
      <c r="AI33" s="209">
        <v>1</v>
      </c>
      <c r="AJ33" s="48" t="s">
        <v>32</v>
      </c>
      <c r="AL33" t="str">
        <f t="shared" si="0"/>
        <v xml:space="preserve">    (U1)ALERT_REQ_UNKNOWN</v>
      </c>
      <c r="AR33" s="60" t="str">
        <f t="shared" si="3"/>
        <v xml:space="preserve">    (U4)0x0000001BU,                                                           /* 27 UNKNOWN                                         */</v>
      </c>
      <c r="AS33" s="60" t="str">
        <f t="shared" si="4"/>
        <v xml:space="preserve">    (U4)0x0000003FU,                                                           /* 27 UNKNOWN                                         */</v>
      </c>
      <c r="AT33" s="60" t="str">
        <f t="shared" si="1"/>
        <v xml:space="preserve">    (U1)ALERT_REQ_UNKNOWN,                                                     /* 27 UNKNOWN                                         */</v>
      </c>
    </row>
    <row r="34" spans="2:46">
      <c r="B34" s="130"/>
      <c r="C34" s="44">
        <f t="shared" si="2"/>
        <v>28</v>
      </c>
      <c r="D34" s="58" t="s">
        <v>67</v>
      </c>
      <c r="E34" s="58" t="s">
        <v>67</v>
      </c>
      <c r="F34" s="58" t="s">
        <v>67</v>
      </c>
      <c r="G34" s="58" t="s">
        <v>67</v>
      </c>
      <c r="H34" s="58" t="s">
        <v>67</v>
      </c>
      <c r="I34" s="58" t="s">
        <v>67</v>
      </c>
      <c r="J34" s="58" t="s">
        <v>67</v>
      </c>
      <c r="K34" s="58" t="s">
        <v>67</v>
      </c>
      <c r="L34" s="58" t="s">
        <v>67</v>
      </c>
      <c r="M34" s="58" t="s">
        <v>67</v>
      </c>
      <c r="N34" s="58" t="s">
        <v>67</v>
      </c>
      <c r="O34" s="58" t="s">
        <v>67</v>
      </c>
      <c r="P34" s="58" t="s">
        <v>67</v>
      </c>
      <c r="Q34" s="58" t="s">
        <v>67</v>
      </c>
      <c r="R34" s="58" t="s">
        <v>67</v>
      </c>
      <c r="S34" s="58" t="s">
        <v>67</v>
      </c>
      <c r="T34" s="58" t="s">
        <v>67</v>
      </c>
      <c r="U34" s="58" t="s">
        <v>67</v>
      </c>
      <c r="V34" s="58" t="s">
        <v>67</v>
      </c>
      <c r="W34" s="58" t="s">
        <v>67</v>
      </c>
      <c r="X34" s="58" t="s">
        <v>67</v>
      </c>
      <c r="Y34" s="58" t="s">
        <v>67</v>
      </c>
      <c r="Z34" s="58" t="s">
        <v>67</v>
      </c>
      <c r="AA34" s="58" t="s">
        <v>67</v>
      </c>
      <c r="AB34" s="58" t="s">
        <v>67</v>
      </c>
      <c r="AC34" s="58" t="s">
        <v>67</v>
      </c>
      <c r="AD34" s="58">
        <v>0</v>
      </c>
      <c r="AE34" s="209">
        <v>1</v>
      </c>
      <c r="AF34" s="209">
        <v>1</v>
      </c>
      <c r="AG34" s="209">
        <v>1</v>
      </c>
      <c r="AH34" s="209">
        <v>0</v>
      </c>
      <c r="AI34" s="209">
        <v>0</v>
      </c>
      <c r="AJ34" s="48" t="s">
        <v>32</v>
      </c>
      <c r="AL34" t="str">
        <f t="shared" si="0"/>
        <v xml:space="preserve">    (U1)ALERT_REQ_UNKNOWN</v>
      </c>
      <c r="AR34" s="60" t="str">
        <f t="shared" si="3"/>
        <v xml:space="preserve">    (U4)0x0000001CU,                                                           /* 28 UNKNOWN                                         */</v>
      </c>
      <c r="AS34" s="60" t="str">
        <f t="shared" si="4"/>
        <v xml:space="preserve">    (U4)0x0000003FU,                                                           /* 28 UNKNOWN                                         */</v>
      </c>
      <c r="AT34" s="60" t="str">
        <f t="shared" si="1"/>
        <v xml:space="preserve">    (U1)ALERT_REQ_UNKNOWN,                                                     /* 28 UNKNOWN                                         */</v>
      </c>
    </row>
    <row r="35" spans="2:46">
      <c r="B35" s="130"/>
      <c r="C35" s="44">
        <f t="shared" si="2"/>
        <v>29</v>
      </c>
      <c r="D35" s="58" t="s">
        <v>67</v>
      </c>
      <c r="E35" s="58" t="s">
        <v>67</v>
      </c>
      <c r="F35" s="58" t="s">
        <v>67</v>
      </c>
      <c r="G35" s="58" t="s">
        <v>67</v>
      </c>
      <c r="H35" s="58" t="s">
        <v>67</v>
      </c>
      <c r="I35" s="58" t="s">
        <v>67</v>
      </c>
      <c r="J35" s="58" t="s">
        <v>67</v>
      </c>
      <c r="K35" s="58" t="s">
        <v>67</v>
      </c>
      <c r="L35" s="58" t="s">
        <v>67</v>
      </c>
      <c r="M35" s="58" t="s">
        <v>67</v>
      </c>
      <c r="N35" s="58" t="s">
        <v>67</v>
      </c>
      <c r="O35" s="58" t="s">
        <v>67</v>
      </c>
      <c r="P35" s="58" t="s">
        <v>67</v>
      </c>
      <c r="Q35" s="58" t="s">
        <v>67</v>
      </c>
      <c r="R35" s="58" t="s">
        <v>67</v>
      </c>
      <c r="S35" s="58" t="s">
        <v>67</v>
      </c>
      <c r="T35" s="58" t="s">
        <v>67</v>
      </c>
      <c r="U35" s="58" t="s">
        <v>67</v>
      </c>
      <c r="V35" s="58" t="s">
        <v>67</v>
      </c>
      <c r="W35" s="58" t="s">
        <v>67</v>
      </c>
      <c r="X35" s="58" t="s">
        <v>67</v>
      </c>
      <c r="Y35" s="58" t="s">
        <v>67</v>
      </c>
      <c r="Z35" s="58" t="s">
        <v>67</v>
      </c>
      <c r="AA35" s="58" t="s">
        <v>67</v>
      </c>
      <c r="AB35" s="58" t="s">
        <v>67</v>
      </c>
      <c r="AC35" s="58" t="s">
        <v>67</v>
      </c>
      <c r="AD35" s="58">
        <v>0</v>
      </c>
      <c r="AE35" s="209">
        <v>1</v>
      </c>
      <c r="AF35" s="209">
        <v>1</v>
      </c>
      <c r="AG35" s="209">
        <v>1</v>
      </c>
      <c r="AH35" s="209">
        <v>0</v>
      </c>
      <c r="AI35" s="209">
        <v>1</v>
      </c>
      <c r="AJ35" s="48" t="s">
        <v>32</v>
      </c>
      <c r="AL35" t="str">
        <f t="shared" si="0"/>
        <v xml:space="preserve">    (U1)ALERT_REQ_UNKNOWN</v>
      </c>
      <c r="AR35" s="60" t="str">
        <f t="shared" si="3"/>
        <v xml:space="preserve">    (U4)0x0000001DU,                                                           /* 29 UNKNOWN                                         */</v>
      </c>
      <c r="AS35" s="60" t="str">
        <f t="shared" si="4"/>
        <v xml:space="preserve">    (U4)0x0000003FU,                                                           /* 29 UNKNOWN                                         */</v>
      </c>
      <c r="AT35" s="60" t="str">
        <f t="shared" si="1"/>
        <v xml:space="preserve">    (U1)ALERT_REQ_UNKNOWN,                                                     /* 29 UNKNOWN                                         */</v>
      </c>
    </row>
    <row r="36" spans="2:46">
      <c r="B36" s="130"/>
      <c r="C36" s="44">
        <f t="shared" si="2"/>
        <v>30</v>
      </c>
      <c r="D36" s="58" t="s">
        <v>67</v>
      </c>
      <c r="E36" s="58" t="s">
        <v>67</v>
      </c>
      <c r="F36" s="58" t="s">
        <v>67</v>
      </c>
      <c r="G36" s="58" t="s">
        <v>67</v>
      </c>
      <c r="H36" s="58" t="s">
        <v>67</v>
      </c>
      <c r="I36" s="58" t="s">
        <v>67</v>
      </c>
      <c r="J36" s="58" t="s">
        <v>67</v>
      </c>
      <c r="K36" s="58" t="s">
        <v>67</v>
      </c>
      <c r="L36" s="58" t="s">
        <v>67</v>
      </c>
      <c r="M36" s="58" t="s">
        <v>67</v>
      </c>
      <c r="N36" s="58" t="s">
        <v>67</v>
      </c>
      <c r="O36" s="58" t="s">
        <v>67</v>
      </c>
      <c r="P36" s="58" t="s">
        <v>67</v>
      </c>
      <c r="Q36" s="58" t="s">
        <v>67</v>
      </c>
      <c r="R36" s="58" t="s">
        <v>67</v>
      </c>
      <c r="S36" s="58" t="s">
        <v>67</v>
      </c>
      <c r="T36" s="58" t="s">
        <v>67</v>
      </c>
      <c r="U36" s="58" t="s">
        <v>67</v>
      </c>
      <c r="V36" s="58" t="s">
        <v>67</v>
      </c>
      <c r="W36" s="58" t="s">
        <v>67</v>
      </c>
      <c r="X36" s="58" t="s">
        <v>67</v>
      </c>
      <c r="Y36" s="58" t="s">
        <v>67</v>
      </c>
      <c r="Z36" s="58" t="s">
        <v>67</v>
      </c>
      <c r="AA36" s="58" t="s">
        <v>67</v>
      </c>
      <c r="AB36" s="58" t="s">
        <v>67</v>
      </c>
      <c r="AC36" s="58" t="s">
        <v>67</v>
      </c>
      <c r="AD36" s="58">
        <v>0</v>
      </c>
      <c r="AE36" s="209">
        <v>1</v>
      </c>
      <c r="AF36" s="209">
        <v>1</v>
      </c>
      <c r="AG36" s="209">
        <v>1</v>
      </c>
      <c r="AH36" s="209">
        <v>1</v>
      </c>
      <c r="AI36" s="209">
        <v>0</v>
      </c>
      <c r="AJ36" s="48" t="s">
        <v>32</v>
      </c>
      <c r="AL36" t="str">
        <f t="shared" si="0"/>
        <v xml:space="preserve">    (U1)ALERT_REQ_UNKNOWN</v>
      </c>
      <c r="AR36" s="60" t="str">
        <f t="shared" si="3"/>
        <v xml:space="preserve">    (U4)0x0000001EU,                                                           /* 30 UNKNOWN                                         */</v>
      </c>
      <c r="AS36" s="60" t="str">
        <f t="shared" si="4"/>
        <v xml:space="preserve">    (U4)0x0000003FU,                                                           /* 30 UNKNOWN                                         */</v>
      </c>
      <c r="AT36" s="60" t="str">
        <f t="shared" si="1"/>
        <v xml:space="preserve">    (U1)ALERT_REQ_UNKNOWN,                                                     /* 30 UNKNOWN                                         */</v>
      </c>
    </row>
    <row r="37" spans="2:46">
      <c r="B37" s="130"/>
      <c r="C37" s="44">
        <f t="shared" si="2"/>
        <v>31</v>
      </c>
      <c r="D37" s="58" t="s">
        <v>67</v>
      </c>
      <c r="E37" s="58" t="s">
        <v>67</v>
      </c>
      <c r="F37" s="58" t="s">
        <v>67</v>
      </c>
      <c r="G37" s="58" t="s">
        <v>67</v>
      </c>
      <c r="H37" s="58" t="s">
        <v>67</v>
      </c>
      <c r="I37" s="58" t="s">
        <v>67</v>
      </c>
      <c r="J37" s="58" t="s">
        <v>67</v>
      </c>
      <c r="K37" s="58" t="s">
        <v>67</v>
      </c>
      <c r="L37" s="58" t="s">
        <v>67</v>
      </c>
      <c r="M37" s="58" t="s">
        <v>67</v>
      </c>
      <c r="N37" s="58" t="s">
        <v>67</v>
      </c>
      <c r="O37" s="58" t="s">
        <v>67</v>
      </c>
      <c r="P37" s="58" t="s">
        <v>67</v>
      </c>
      <c r="Q37" s="58" t="s">
        <v>67</v>
      </c>
      <c r="R37" s="58" t="s">
        <v>67</v>
      </c>
      <c r="S37" s="58" t="s">
        <v>67</v>
      </c>
      <c r="T37" s="58" t="s">
        <v>67</v>
      </c>
      <c r="U37" s="58" t="s">
        <v>67</v>
      </c>
      <c r="V37" s="58" t="s">
        <v>67</v>
      </c>
      <c r="W37" s="58" t="s">
        <v>67</v>
      </c>
      <c r="X37" s="58" t="s">
        <v>67</v>
      </c>
      <c r="Y37" s="58" t="s">
        <v>67</v>
      </c>
      <c r="Z37" s="58" t="s">
        <v>67</v>
      </c>
      <c r="AA37" s="58" t="s">
        <v>67</v>
      </c>
      <c r="AB37" s="58" t="s">
        <v>67</v>
      </c>
      <c r="AC37" s="58" t="s">
        <v>67</v>
      </c>
      <c r="AD37" s="58">
        <v>0</v>
      </c>
      <c r="AE37" s="209">
        <v>1</v>
      </c>
      <c r="AF37" s="209">
        <v>1</v>
      </c>
      <c r="AG37" s="209">
        <v>1</v>
      </c>
      <c r="AH37" s="209">
        <v>1</v>
      </c>
      <c r="AI37" s="209">
        <v>1</v>
      </c>
      <c r="AJ37" s="48" t="s">
        <v>32</v>
      </c>
      <c r="AL37" t="str">
        <f t="shared" si="0"/>
        <v xml:space="preserve">    (U1)ALERT_REQ_UNKNOWN</v>
      </c>
      <c r="AR37" s="60" t="str">
        <f t="shared" si="3"/>
        <v xml:space="preserve">    (U4)0x0000001FU,                                                           /* 31 UNKNOWN                                         */</v>
      </c>
      <c r="AS37" s="60" t="str">
        <f t="shared" si="4"/>
        <v xml:space="preserve">    (U4)0x0000003FU,                                                           /* 31 UNKNOWN                                         */</v>
      </c>
      <c r="AT37" s="60" t="str">
        <f t="shared" si="1"/>
        <v xml:space="preserve">    (U1)ALERT_REQ_UNKNOWN,                                                     /* 31 UNKNOWN                                         */</v>
      </c>
    </row>
    <row r="38" spans="2:46">
      <c r="B38" s="130"/>
      <c r="C38" s="44">
        <f t="shared" si="2"/>
        <v>32</v>
      </c>
      <c r="D38" s="58" t="s">
        <v>67</v>
      </c>
      <c r="E38" s="58" t="s">
        <v>67</v>
      </c>
      <c r="F38" s="58" t="s">
        <v>67</v>
      </c>
      <c r="G38" s="58" t="s">
        <v>67</v>
      </c>
      <c r="H38" s="58" t="s">
        <v>67</v>
      </c>
      <c r="I38" s="58" t="s">
        <v>67</v>
      </c>
      <c r="J38" s="58" t="s">
        <v>67</v>
      </c>
      <c r="K38" s="58" t="s">
        <v>67</v>
      </c>
      <c r="L38" s="58" t="s">
        <v>67</v>
      </c>
      <c r="M38" s="58" t="s">
        <v>67</v>
      </c>
      <c r="N38" s="58" t="s">
        <v>67</v>
      </c>
      <c r="O38" s="58" t="s">
        <v>67</v>
      </c>
      <c r="P38" s="58" t="s">
        <v>67</v>
      </c>
      <c r="Q38" s="58" t="s">
        <v>67</v>
      </c>
      <c r="R38" s="58" t="s">
        <v>67</v>
      </c>
      <c r="S38" s="58" t="s">
        <v>67</v>
      </c>
      <c r="T38" s="58" t="s">
        <v>67</v>
      </c>
      <c r="U38" s="58" t="s">
        <v>67</v>
      </c>
      <c r="V38" s="58" t="s">
        <v>67</v>
      </c>
      <c r="W38" s="58" t="s">
        <v>67</v>
      </c>
      <c r="X38" s="58" t="s">
        <v>67</v>
      </c>
      <c r="Y38" s="58" t="s">
        <v>67</v>
      </c>
      <c r="Z38" s="58" t="s">
        <v>67</v>
      </c>
      <c r="AA38" s="58" t="s">
        <v>67</v>
      </c>
      <c r="AB38" s="58" t="s">
        <v>67</v>
      </c>
      <c r="AC38" s="58" t="s">
        <v>67</v>
      </c>
      <c r="AD38" s="58">
        <v>1</v>
      </c>
      <c r="AE38" s="209">
        <v>0</v>
      </c>
      <c r="AF38" s="209">
        <v>0</v>
      </c>
      <c r="AG38" s="209">
        <v>0</v>
      </c>
      <c r="AH38" s="209">
        <v>0</v>
      </c>
      <c r="AI38" s="209">
        <v>0</v>
      </c>
      <c r="AJ38" s="48" t="s">
        <v>32</v>
      </c>
      <c r="AL38" t="str">
        <f t="shared" si="0"/>
        <v xml:space="preserve">    (U1)ALERT_REQ_UNKNOWN</v>
      </c>
      <c r="AR38" s="60" t="str">
        <f t="shared" si="3"/>
        <v xml:space="preserve">    (U4)0x00000020U,                                                           /* 32 UNKNOWN                                         */</v>
      </c>
      <c r="AS38" s="60" t="str">
        <f t="shared" si="4"/>
        <v xml:space="preserve">    (U4)0x0000003FU,                                                           /* 32 UNKNOWN                                         */</v>
      </c>
      <c r="AT38" s="60" t="str">
        <f t="shared" si="1"/>
        <v xml:space="preserve">    (U1)ALERT_REQ_UNKNOWN,                                                     /* 32 UNKNOWN                                         */</v>
      </c>
    </row>
    <row r="39" spans="2:46">
      <c r="B39" s="130"/>
      <c r="C39" s="44">
        <f t="shared" si="2"/>
        <v>33</v>
      </c>
      <c r="D39" s="58" t="s">
        <v>67</v>
      </c>
      <c r="E39" s="58" t="s">
        <v>67</v>
      </c>
      <c r="F39" s="58" t="s">
        <v>67</v>
      </c>
      <c r="G39" s="58" t="s">
        <v>67</v>
      </c>
      <c r="H39" s="58" t="s">
        <v>67</v>
      </c>
      <c r="I39" s="58" t="s">
        <v>67</v>
      </c>
      <c r="J39" s="58" t="s">
        <v>67</v>
      </c>
      <c r="K39" s="58" t="s">
        <v>67</v>
      </c>
      <c r="L39" s="58" t="s">
        <v>67</v>
      </c>
      <c r="M39" s="58" t="s">
        <v>67</v>
      </c>
      <c r="N39" s="58" t="s">
        <v>67</v>
      </c>
      <c r="O39" s="58" t="s">
        <v>67</v>
      </c>
      <c r="P39" s="58" t="s">
        <v>67</v>
      </c>
      <c r="Q39" s="58" t="s">
        <v>67</v>
      </c>
      <c r="R39" s="58" t="s">
        <v>67</v>
      </c>
      <c r="S39" s="58" t="s">
        <v>67</v>
      </c>
      <c r="T39" s="58" t="s">
        <v>67</v>
      </c>
      <c r="U39" s="58" t="s">
        <v>67</v>
      </c>
      <c r="V39" s="58" t="s">
        <v>67</v>
      </c>
      <c r="W39" s="58" t="s">
        <v>67</v>
      </c>
      <c r="X39" s="58" t="s">
        <v>67</v>
      </c>
      <c r="Y39" s="58" t="s">
        <v>67</v>
      </c>
      <c r="Z39" s="58" t="s">
        <v>67</v>
      </c>
      <c r="AA39" s="58" t="s">
        <v>67</v>
      </c>
      <c r="AB39" s="58" t="s">
        <v>67</v>
      </c>
      <c r="AC39" s="58" t="s">
        <v>67</v>
      </c>
      <c r="AD39" s="58">
        <v>1</v>
      </c>
      <c r="AE39" s="209">
        <v>0</v>
      </c>
      <c r="AF39" s="209">
        <v>0</v>
      </c>
      <c r="AG39" s="209">
        <v>0</v>
      </c>
      <c r="AH39" s="209">
        <v>0</v>
      </c>
      <c r="AI39" s="209">
        <v>1</v>
      </c>
      <c r="AJ39" s="48" t="s">
        <v>214</v>
      </c>
      <c r="AL39" t="str">
        <f t="shared" ca="1" si="0"/>
        <v xml:space="preserve">    (U1)ALERT_REQ_M_T120_PRMRYCHK</v>
      </c>
      <c r="AR39" s="60" t="str">
        <f t="shared" si="3"/>
        <v xml:space="preserve">    (U4)0x00000021U,                                                           /* 33 PRMRYCHK                                        */</v>
      </c>
      <c r="AS39" s="60" t="str">
        <f t="shared" si="4"/>
        <v xml:space="preserve">    (U4)0x0000003FU,                                                           /* 33 PRMRYCHK                                        */</v>
      </c>
      <c r="AT39" s="60" t="str">
        <f t="shared" ca="1" si="1"/>
        <v xml:space="preserve">    (U1)ALERT_REQ_M_T120_PRMRYCHK,                                             /* 33 PRMRYCHK                                        */</v>
      </c>
    </row>
    <row r="40" spans="2:46">
      <c r="B40" s="130"/>
      <c r="C40" s="44">
        <f t="shared" si="2"/>
        <v>34</v>
      </c>
      <c r="D40" s="58" t="s">
        <v>67</v>
      </c>
      <c r="E40" s="58" t="s">
        <v>67</v>
      </c>
      <c r="F40" s="58" t="s">
        <v>67</v>
      </c>
      <c r="G40" s="58" t="s">
        <v>67</v>
      </c>
      <c r="H40" s="58" t="s">
        <v>67</v>
      </c>
      <c r="I40" s="58" t="s">
        <v>67</v>
      </c>
      <c r="J40" s="58" t="s">
        <v>67</v>
      </c>
      <c r="K40" s="58" t="s">
        <v>67</v>
      </c>
      <c r="L40" s="58" t="s">
        <v>67</v>
      </c>
      <c r="M40" s="58" t="s">
        <v>67</v>
      </c>
      <c r="N40" s="58" t="s">
        <v>67</v>
      </c>
      <c r="O40" s="58" t="s">
        <v>67</v>
      </c>
      <c r="P40" s="58" t="s">
        <v>67</v>
      </c>
      <c r="Q40" s="58" t="s">
        <v>67</v>
      </c>
      <c r="R40" s="58" t="s">
        <v>67</v>
      </c>
      <c r="S40" s="58" t="s">
        <v>67</v>
      </c>
      <c r="T40" s="58" t="s">
        <v>67</v>
      </c>
      <c r="U40" s="58" t="s">
        <v>67</v>
      </c>
      <c r="V40" s="58" t="s">
        <v>67</v>
      </c>
      <c r="W40" s="58" t="s">
        <v>67</v>
      </c>
      <c r="X40" s="58" t="s">
        <v>67</v>
      </c>
      <c r="Y40" s="58" t="s">
        <v>67</v>
      </c>
      <c r="Z40" s="58" t="s">
        <v>67</v>
      </c>
      <c r="AA40" s="58" t="s">
        <v>67</v>
      </c>
      <c r="AB40" s="58" t="s">
        <v>67</v>
      </c>
      <c r="AC40" s="58" t="s">
        <v>67</v>
      </c>
      <c r="AD40" s="58">
        <v>1</v>
      </c>
      <c r="AE40" s="209">
        <v>0</v>
      </c>
      <c r="AF40" s="209">
        <v>0</v>
      </c>
      <c r="AG40" s="209">
        <v>0</v>
      </c>
      <c r="AH40" s="209">
        <v>1</v>
      </c>
      <c r="AI40" s="209">
        <v>0</v>
      </c>
      <c r="AJ40" s="48" t="s">
        <v>32</v>
      </c>
      <c r="AL40" t="str">
        <f t="shared" si="0"/>
        <v xml:space="preserve">    (U1)ALERT_REQ_UNKNOWN</v>
      </c>
      <c r="AR40" s="60" t="str">
        <f t="shared" si="3"/>
        <v xml:space="preserve">    (U4)0x00000022U,                                                           /* 34 UNKNOWN                                         */</v>
      </c>
      <c r="AS40" s="60" t="str">
        <f t="shared" si="4"/>
        <v xml:space="preserve">    (U4)0x0000003FU,                                                           /* 34 UNKNOWN                                         */</v>
      </c>
      <c r="AT40" s="60" t="str">
        <f t="shared" si="1"/>
        <v xml:space="preserve">    (U1)ALERT_REQ_UNKNOWN,                                                     /* 34 UNKNOWN                                         */</v>
      </c>
    </row>
    <row r="41" spans="2:46">
      <c r="B41" s="130"/>
      <c r="C41" s="44">
        <f t="shared" si="2"/>
        <v>35</v>
      </c>
      <c r="D41" s="58" t="s">
        <v>67</v>
      </c>
      <c r="E41" s="58" t="s">
        <v>67</v>
      </c>
      <c r="F41" s="58" t="s">
        <v>67</v>
      </c>
      <c r="G41" s="58" t="s">
        <v>67</v>
      </c>
      <c r="H41" s="58" t="s">
        <v>67</v>
      </c>
      <c r="I41" s="58" t="s">
        <v>67</v>
      </c>
      <c r="J41" s="58" t="s">
        <v>67</v>
      </c>
      <c r="K41" s="58" t="s">
        <v>67</v>
      </c>
      <c r="L41" s="58" t="s">
        <v>67</v>
      </c>
      <c r="M41" s="58" t="s">
        <v>67</v>
      </c>
      <c r="N41" s="58" t="s">
        <v>67</v>
      </c>
      <c r="O41" s="58" t="s">
        <v>67</v>
      </c>
      <c r="P41" s="58" t="s">
        <v>67</v>
      </c>
      <c r="Q41" s="58" t="s">
        <v>67</v>
      </c>
      <c r="R41" s="58" t="s">
        <v>67</v>
      </c>
      <c r="S41" s="58" t="s">
        <v>67</v>
      </c>
      <c r="T41" s="58" t="s">
        <v>67</v>
      </c>
      <c r="U41" s="58" t="s">
        <v>67</v>
      </c>
      <c r="V41" s="58" t="s">
        <v>67</v>
      </c>
      <c r="W41" s="58" t="s">
        <v>67</v>
      </c>
      <c r="X41" s="58" t="s">
        <v>67</v>
      </c>
      <c r="Y41" s="58" t="s">
        <v>67</v>
      </c>
      <c r="Z41" s="58" t="s">
        <v>67</v>
      </c>
      <c r="AA41" s="58" t="s">
        <v>67</v>
      </c>
      <c r="AB41" s="58" t="s">
        <v>67</v>
      </c>
      <c r="AC41" s="58" t="s">
        <v>67</v>
      </c>
      <c r="AD41" s="58">
        <v>1</v>
      </c>
      <c r="AE41" s="209">
        <v>0</v>
      </c>
      <c r="AF41" s="209">
        <v>0</v>
      </c>
      <c r="AG41" s="209">
        <v>0</v>
      </c>
      <c r="AH41" s="209">
        <v>1</v>
      </c>
      <c r="AI41" s="209">
        <v>1</v>
      </c>
      <c r="AJ41" s="48" t="s">
        <v>214</v>
      </c>
      <c r="AL41" t="str">
        <f t="shared" ca="1" si="0"/>
        <v xml:space="preserve">    (U1)ALERT_REQ_M_T120_PRMRYCHK</v>
      </c>
      <c r="AR41" s="60" t="str">
        <f t="shared" si="3"/>
        <v xml:space="preserve">    (U4)0x00000023U,                                                           /* 35 PRMRYCHK                                        */</v>
      </c>
      <c r="AS41" s="60" t="str">
        <f t="shared" si="4"/>
        <v xml:space="preserve">    (U4)0x0000003FU,                                                           /* 35 PRMRYCHK                                        */</v>
      </c>
      <c r="AT41" s="60" t="str">
        <f t="shared" ca="1" si="1"/>
        <v xml:space="preserve">    (U1)ALERT_REQ_M_T120_PRMRYCHK,                                             /* 35 PRMRYCHK                                        */</v>
      </c>
    </row>
    <row r="42" spans="2:46">
      <c r="B42" s="130"/>
      <c r="C42" s="44">
        <f t="shared" si="2"/>
        <v>36</v>
      </c>
      <c r="D42" s="58" t="s">
        <v>67</v>
      </c>
      <c r="E42" s="58" t="s">
        <v>67</v>
      </c>
      <c r="F42" s="58" t="s">
        <v>67</v>
      </c>
      <c r="G42" s="58" t="s">
        <v>67</v>
      </c>
      <c r="H42" s="58" t="s">
        <v>67</v>
      </c>
      <c r="I42" s="58" t="s">
        <v>67</v>
      </c>
      <c r="J42" s="58" t="s">
        <v>67</v>
      </c>
      <c r="K42" s="58" t="s">
        <v>67</v>
      </c>
      <c r="L42" s="58" t="s">
        <v>67</v>
      </c>
      <c r="M42" s="58" t="s">
        <v>67</v>
      </c>
      <c r="N42" s="58" t="s">
        <v>67</v>
      </c>
      <c r="O42" s="58" t="s">
        <v>67</v>
      </c>
      <c r="P42" s="58" t="s">
        <v>67</v>
      </c>
      <c r="Q42" s="58" t="s">
        <v>67</v>
      </c>
      <c r="R42" s="58" t="s">
        <v>67</v>
      </c>
      <c r="S42" s="58" t="s">
        <v>67</v>
      </c>
      <c r="T42" s="58" t="s">
        <v>67</v>
      </c>
      <c r="U42" s="58" t="s">
        <v>67</v>
      </c>
      <c r="V42" s="58" t="s">
        <v>67</v>
      </c>
      <c r="W42" s="58" t="s">
        <v>67</v>
      </c>
      <c r="X42" s="58" t="s">
        <v>67</v>
      </c>
      <c r="Y42" s="58" t="s">
        <v>67</v>
      </c>
      <c r="Z42" s="58" t="s">
        <v>67</v>
      </c>
      <c r="AA42" s="58" t="s">
        <v>67</v>
      </c>
      <c r="AB42" s="58" t="s">
        <v>67</v>
      </c>
      <c r="AC42" s="58" t="s">
        <v>67</v>
      </c>
      <c r="AD42" s="58">
        <v>1</v>
      </c>
      <c r="AE42" s="209">
        <v>0</v>
      </c>
      <c r="AF42" s="209">
        <v>0</v>
      </c>
      <c r="AG42" s="209">
        <v>1</v>
      </c>
      <c r="AH42" s="209">
        <v>0</v>
      </c>
      <c r="AI42" s="209">
        <v>0</v>
      </c>
      <c r="AJ42" s="48" t="s">
        <v>32</v>
      </c>
      <c r="AL42" t="str">
        <f t="shared" si="0"/>
        <v xml:space="preserve">    (U1)ALERT_REQ_UNKNOWN</v>
      </c>
      <c r="AR42" s="60" t="str">
        <f t="shared" si="3"/>
        <v xml:space="preserve">    (U4)0x00000024U,                                                           /* 36 UNKNOWN                                         */</v>
      </c>
      <c r="AS42" s="60" t="str">
        <f t="shared" si="4"/>
        <v xml:space="preserve">    (U4)0x0000003FU,                                                           /* 36 UNKNOWN                                         */</v>
      </c>
      <c r="AT42" s="60" t="str">
        <f t="shared" si="1"/>
        <v xml:space="preserve">    (U1)ALERT_REQ_UNKNOWN,                                                     /* 36 UNKNOWN                                         */</v>
      </c>
    </row>
    <row r="43" spans="2:46">
      <c r="B43" s="130"/>
      <c r="C43" s="44">
        <f t="shared" si="2"/>
        <v>37</v>
      </c>
      <c r="D43" s="58" t="s">
        <v>67</v>
      </c>
      <c r="E43" s="58" t="s">
        <v>67</v>
      </c>
      <c r="F43" s="58" t="s">
        <v>67</v>
      </c>
      <c r="G43" s="58" t="s">
        <v>67</v>
      </c>
      <c r="H43" s="58" t="s">
        <v>67</v>
      </c>
      <c r="I43" s="58" t="s">
        <v>67</v>
      </c>
      <c r="J43" s="58" t="s">
        <v>67</v>
      </c>
      <c r="K43" s="58" t="s">
        <v>67</v>
      </c>
      <c r="L43" s="58" t="s">
        <v>67</v>
      </c>
      <c r="M43" s="58" t="s">
        <v>67</v>
      </c>
      <c r="N43" s="58" t="s">
        <v>67</v>
      </c>
      <c r="O43" s="58" t="s">
        <v>67</v>
      </c>
      <c r="P43" s="58" t="s">
        <v>67</v>
      </c>
      <c r="Q43" s="58" t="s">
        <v>67</v>
      </c>
      <c r="R43" s="58" t="s">
        <v>67</v>
      </c>
      <c r="S43" s="58" t="s">
        <v>67</v>
      </c>
      <c r="T43" s="58" t="s">
        <v>67</v>
      </c>
      <c r="U43" s="58" t="s">
        <v>67</v>
      </c>
      <c r="V43" s="58" t="s">
        <v>67</v>
      </c>
      <c r="W43" s="58" t="s">
        <v>67</v>
      </c>
      <c r="X43" s="58" t="s">
        <v>67</v>
      </c>
      <c r="Y43" s="58" t="s">
        <v>67</v>
      </c>
      <c r="Z43" s="58" t="s">
        <v>67</v>
      </c>
      <c r="AA43" s="58" t="s">
        <v>67</v>
      </c>
      <c r="AB43" s="58" t="s">
        <v>67</v>
      </c>
      <c r="AC43" s="58" t="s">
        <v>67</v>
      </c>
      <c r="AD43" s="58">
        <v>1</v>
      </c>
      <c r="AE43" s="209">
        <v>0</v>
      </c>
      <c r="AF43" s="209">
        <v>0</v>
      </c>
      <c r="AG43" s="209">
        <v>1</v>
      </c>
      <c r="AH43" s="209">
        <v>0</v>
      </c>
      <c r="AI43" s="209">
        <v>1</v>
      </c>
      <c r="AJ43" s="48" t="s">
        <v>214</v>
      </c>
      <c r="AL43" t="str">
        <f t="shared" ca="1" si="0"/>
        <v xml:space="preserve">    (U1)ALERT_REQ_M_T120_PRMRYCHK</v>
      </c>
      <c r="AR43" s="60" t="str">
        <f t="shared" si="3"/>
        <v xml:space="preserve">    (U4)0x00000025U,                                                           /* 37 PRMRYCHK                                        */</v>
      </c>
      <c r="AS43" s="60" t="str">
        <f t="shared" si="4"/>
        <v xml:space="preserve">    (U4)0x0000003FU,                                                           /* 37 PRMRYCHK                                        */</v>
      </c>
      <c r="AT43" s="60" t="str">
        <f t="shared" ca="1" si="1"/>
        <v xml:space="preserve">    (U1)ALERT_REQ_M_T120_PRMRYCHK,                                             /* 37 PRMRYCHK                                        */</v>
      </c>
    </row>
    <row r="44" spans="2:46">
      <c r="B44" s="130"/>
      <c r="C44" s="44">
        <f t="shared" si="2"/>
        <v>38</v>
      </c>
      <c r="D44" s="58" t="s">
        <v>67</v>
      </c>
      <c r="E44" s="58" t="s">
        <v>67</v>
      </c>
      <c r="F44" s="58" t="s">
        <v>67</v>
      </c>
      <c r="G44" s="58" t="s">
        <v>67</v>
      </c>
      <c r="H44" s="58" t="s">
        <v>67</v>
      </c>
      <c r="I44" s="58" t="s">
        <v>67</v>
      </c>
      <c r="J44" s="58" t="s">
        <v>67</v>
      </c>
      <c r="K44" s="58" t="s">
        <v>67</v>
      </c>
      <c r="L44" s="58" t="s">
        <v>67</v>
      </c>
      <c r="M44" s="58" t="s">
        <v>67</v>
      </c>
      <c r="N44" s="58" t="s">
        <v>67</v>
      </c>
      <c r="O44" s="58" t="s">
        <v>67</v>
      </c>
      <c r="P44" s="58" t="s">
        <v>67</v>
      </c>
      <c r="Q44" s="58" t="s">
        <v>67</v>
      </c>
      <c r="R44" s="58" t="s">
        <v>67</v>
      </c>
      <c r="S44" s="58" t="s">
        <v>67</v>
      </c>
      <c r="T44" s="58" t="s">
        <v>67</v>
      </c>
      <c r="U44" s="58" t="s">
        <v>67</v>
      </c>
      <c r="V44" s="58" t="s">
        <v>67</v>
      </c>
      <c r="W44" s="58" t="s">
        <v>67</v>
      </c>
      <c r="X44" s="58" t="s">
        <v>67</v>
      </c>
      <c r="Y44" s="58" t="s">
        <v>67</v>
      </c>
      <c r="Z44" s="58" t="s">
        <v>67</v>
      </c>
      <c r="AA44" s="58" t="s">
        <v>67</v>
      </c>
      <c r="AB44" s="58" t="s">
        <v>67</v>
      </c>
      <c r="AC44" s="58" t="s">
        <v>67</v>
      </c>
      <c r="AD44" s="58">
        <v>1</v>
      </c>
      <c r="AE44" s="209">
        <v>0</v>
      </c>
      <c r="AF44" s="209">
        <v>0</v>
      </c>
      <c r="AG44" s="209">
        <v>1</v>
      </c>
      <c r="AH44" s="209">
        <v>1</v>
      </c>
      <c r="AI44" s="209">
        <v>0</v>
      </c>
      <c r="AJ44" s="48" t="s">
        <v>215</v>
      </c>
      <c r="AL44" t="str">
        <f t="shared" ca="1" si="0"/>
        <v xml:space="preserve">    (U1)ALERT_REQ_M_T120_TT_PD_ON</v>
      </c>
      <c r="AR44" s="60" t="str">
        <f t="shared" si="3"/>
        <v xml:space="preserve">    (U4)0x00000026U,                                                           /* 38 TT_PD_ON                                        */</v>
      </c>
      <c r="AS44" s="60" t="str">
        <f t="shared" si="4"/>
        <v xml:space="preserve">    (U4)0x0000003FU,                                                           /* 38 TT_PD_ON                                        */</v>
      </c>
      <c r="AT44" s="60" t="str">
        <f t="shared" ca="1" si="1"/>
        <v xml:space="preserve">    (U1)ALERT_REQ_M_T120_TT_PD_ON,                                             /* 38 TT_PD_ON                                        */</v>
      </c>
    </row>
    <row r="45" spans="2:46">
      <c r="B45" s="130"/>
      <c r="C45" s="44">
        <f t="shared" si="2"/>
        <v>39</v>
      </c>
      <c r="D45" s="58" t="s">
        <v>67</v>
      </c>
      <c r="E45" s="58" t="s">
        <v>67</v>
      </c>
      <c r="F45" s="58" t="s">
        <v>67</v>
      </c>
      <c r="G45" s="58" t="s">
        <v>67</v>
      </c>
      <c r="H45" s="58" t="s">
        <v>67</v>
      </c>
      <c r="I45" s="58" t="s">
        <v>67</v>
      </c>
      <c r="J45" s="58" t="s">
        <v>67</v>
      </c>
      <c r="K45" s="58" t="s">
        <v>67</v>
      </c>
      <c r="L45" s="58" t="s">
        <v>67</v>
      </c>
      <c r="M45" s="58" t="s">
        <v>67</v>
      </c>
      <c r="N45" s="58" t="s">
        <v>67</v>
      </c>
      <c r="O45" s="58" t="s">
        <v>67</v>
      </c>
      <c r="P45" s="58" t="s">
        <v>67</v>
      </c>
      <c r="Q45" s="58" t="s">
        <v>67</v>
      </c>
      <c r="R45" s="58" t="s">
        <v>67</v>
      </c>
      <c r="S45" s="58" t="s">
        <v>67</v>
      </c>
      <c r="T45" s="58" t="s">
        <v>67</v>
      </c>
      <c r="U45" s="58" t="s">
        <v>67</v>
      </c>
      <c r="V45" s="58" t="s">
        <v>67</v>
      </c>
      <c r="W45" s="58" t="s">
        <v>67</v>
      </c>
      <c r="X45" s="58" t="s">
        <v>67</v>
      </c>
      <c r="Y45" s="58" t="s">
        <v>67</v>
      </c>
      <c r="Z45" s="58" t="s">
        <v>67</v>
      </c>
      <c r="AA45" s="58" t="s">
        <v>67</v>
      </c>
      <c r="AB45" s="58" t="s">
        <v>67</v>
      </c>
      <c r="AC45" s="58" t="s">
        <v>67</v>
      </c>
      <c r="AD45" s="58">
        <v>1</v>
      </c>
      <c r="AE45" s="209">
        <v>0</v>
      </c>
      <c r="AF45" s="209">
        <v>0</v>
      </c>
      <c r="AG45" s="209">
        <v>1</v>
      </c>
      <c r="AH45" s="209">
        <v>1</v>
      </c>
      <c r="AI45" s="209">
        <v>1</v>
      </c>
      <c r="AJ45" s="48" t="s">
        <v>311</v>
      </c>
      <c r="AL45" t="str">
        <f t="shared" ca="1" si="0"/>
        <v xml:space="preserve">    (U1)ALERT_REQ_M_T120_PRMRYCHK_PD</v>
      </c>
      <c r="AR45" s="60" t="str">
        <f t="shared" si="3"/>
        <v xml:space="preserve">    (U4)0x00000027U,                                                           /* 39 PRMRYCHK_PD                                     */</v>
      </c>
      <c r="AS45" s="60" t="str">
        <f t="shared" si="4"/>
        <v xml:space="preserve">    (U4)0x0000003FU,                                                           /* 39 PRMRYCHK_PD                                     */</v>
      </c>
      <c r="AT45" s="60" t="str">
        <f t="shared" ca="1" si="1"/>
        <v xml:space="preserve">    (U1)ALERT_REQ_M_T120_PRMRYCHK_PD,                                          /* 39 PRMRYCHK_PD                                     */</v>
      </c>
    </row>
    <row r="46" spans="2:46">
      <c r="B46" s="130"/>
      <c r="C46" s="44">
        <f t="shared" si="2"/>
        <v>40</v>
      </c>
      <c r="D46" s="58" t="s">
        <v>67</v>
      </c>
      <c r="E46" s="58" t="s">
        <v>67</v>
      </c>
      <c r="F46" s="58" t="s">
        <v>67</v>
      </c>
      <c r="G46" s="58" t="s">
        <v>67</v>
      </c>
      <c r="H46" s="58" t="s">
        <v>67</v>
      </c>
      <c r="I46" s="58" t="s">
        <v>67</v>
      </c>
      <c r="J46" s="58" t="s">
        <v>67</v>
      </c>
      <c r="K46" s="58" t="s">
        <v>67</v>
      </c>
      <c r="L46" s="58" t="s">
        <v>67</v>
      </c>
      <c r="M46" s="58" t="s">
        <v>67</v>
      </c>
      <c r="N46" s="58" t="s">
        <v>67</v>
      </c>
      <c r="O46" s="58" t="s">
        <v>67</v>
      </c>
      <c r="P46" s="58" t="s">
        <v>67</v>
      </c>
      <c r="Q46" s="58" t="s">
        <v>67</v>
      </c>
      <c r="R46" s="58" t="s">
        <v>67</v>
      </c>
      <c r="S46" s="58" t="s">
        <v>67</v>
      </c>
      <c r="T46" s="58" t="s">
        <v>67</v>
      </c>
      <c r="U46" s="58" t="s">
        <v>67</v>
      </c>
      <c r="V46" s="58" t="s">
        <v>67</v>
      </c>
      <c r="W46" s="58" t="s">
        <v>67</v>
      </c>
      <c r="X46" s="58" t="s">
        <v>67</v>
      </c>
      <c r="Y46" s="58" t="s">
        <v>67</v>
      </c>
      <c r="Z46" s="58" t="s">
        <v>67</v>
      </c>
      <c r="AA46" s="58" t="s">
        <v>67</v>
      </c>
      <c r="AB46" s="58" t="s">
        <v>67</v>
      </c>
      <c r="AC46" s="58" t="s">
        <v>67</v>
      </c>
      <c r="AD46" s="58">
        <v>1</v>
      </c>
      <c r="AE46" s="209">
        <v>0</v>
      </c>
      <c r="AF46" s="209">
        <v>1</v>
      </c>
      <c r="AG46" s="209">
        <v>0</v>
      </c>
      <c r="AH46" s="209">
        <v>0</v>
      </c>
      <c r="AI46" s="209">
        <v>0</v>
      </c>
      <c r="AJ46" s="48" t="s">
        <v>215</v>
      </c>
      <c r="AL46" t="str">
        <f t="shared" ca="1" si="0"/>
        <v xml:space="preserve">    (U1)ALERT_REQ_M_T120_TT_PD_ON</v>
      </c>
      <c r="AR46" s="60" t="str">
        <f t="shared" si="3"/>
        <v xml:space="preserve">    (U4)0x00000028U,                                                           /* 40 TT_PD_ON                                        */</v>
      </c>
      <c r="AS46" s="60" t="str">
        <f t="shared" si="4"/>
        <v xml:space="preserve">    (U4)0x0000003FU,                                                           /* 40 TT_PD_ON                                        */</v>
      </c>
      <c r="AT46" s="60" t="str">
        <f t="shared" ca="1" si="1"/>
        <v xml:space="preserve">    (U1)ALERT_REQ_M_T120_TT_PD_ON,                                             /* 40 TT_PD_ON                                        */</v>
      </c>
    </row>
    <row r="47" spans="2:46">
      <c r="B47" s="130"/>
      <c r="C47" s="44">
        <f t="shared" si="2"/>
        <v>41</v>
      </c>
      <c r="D47" s="58" t="s">
        <v>67</v>
      </c>
      <c r="E47" s="58" t="s">
        <v>67</v>
      </c>
      <c r="F47" s="58" t="s">
        <v>67</v>
      </c>
      <c r="G47" s="58" t="s">
        <v>67</v>
      </c>
      <c r="H47" s="58" t="s">
        <v>67</v>
      </c>
      <c r="I47" s="58" t="s">
        <v>67</v>
      </c>
      <c r="J47" s="58" t="s">
        <v>67</v>
      </c>
      <c r="K47" s="58" t="s">
        <v>67</v>
      </c>
      <c r="L47" s="58" t="s">
        <v>67</v>
      </c>
      <c r="M47" s="58" t="s">
        <v>67</v>
      </c>
      <c r="N47" s="58" t="s">
        <v>67</v>
      </c>
      <c r="O47" s="58" t="s">
        <v>67</v>
      </c>
      <c r="P47" s="58" t="s">
        <v>67</v>
      </c>
      <c r="Q47" s="58" t="s">
        <v>67</v>
      </c>
      <c r="R47" s="58" t="s">
        <v>67</v>
      </c>
      <c r="S47" s="58" t="s">
        <v>67</v>
      </c>
      <c r="T47" s="58" t="s">
        <v>67</v>
      </c>
      <c r="U47" s="58" t="s">
        <v>67</v>
      </c>
      <c r="V47" s="58" t="s">
        <v>67</v>
      </c>
      <c r="W47" s="58" t="s">
        <v>67</v>
      </c>
      <c r="X47" s="58" t="s">
        <v>67</v>
      </c>
      <c r="Y47" s="58" t="s">
        <v>67</v>
      </c>
      <c r="Z47" s="58" t="s">
        <v>67</v>
      </c>
      <c r="AA47" s="58" t="s">
        <v>67</v>
      </c>
      <c r="AB47" s="58" t="s">
        <v>67</v>
      </c>
      <c r="AC47" s="58" t="s">
        <v>67</v>
      </c>
      <c r="AD47" s="58">
        <v>1</v>
      </c>
      <c r="AE47" s="209">
        <v>0</v>
      </c>
      <c r="AF47" s="209">
        <v>1</v>
      </c>
      <c r="AG47" s="209">
        <v>0</v>
      </c>
      <c r="AH47" s="209">
        <v>0</v>
      </c>
      <c r="AI47" s="209">
        <v>1</v>
      </c>
      <c r="AJ47" s="48" t="s">
        <v>311</v>
      </c>
      <c r="AL47" t="str">
        <f t="shared" ca="1" si="0"/>
        <v xml:space="preserve">    (U1)ALERT_REQ_M_T120_PRMRYCHK_PD</v>
      </c>
      <c r="AR47" s="60" t="str">
        <f t="shared" si="3"/>
        <v xml:space="preserve">    (U4)0x00000029U,                                                           /* 41 PRMRYCHK_PD                                     */</v>
      </c>
      <c r="AS47" s="60" t="str">
        <f t="shared" si="4"/>
        <v xml:space="preserve">    (U4)0x0000003FU,                                                           /* 41 PRMRYCHK_PD                                     */</v>
      </c>
      <c r="AT47" s="60" t="str">
        <f t="shared" ca="1" si="1"/>
        <v xml:space="preserve">    (U1)ALERT_REQ_M_T120_PRMRYCHK_PD,                                          /* 41 PRMRYCHK_PD                                     */</v>
      </c>
    </row>
    <row r="48" spans="2:46">
      <c r="B48" s="130"/>
      <c r="C48" s="44">
        <f t="shared" si="2"/>
        <v>42</v>
      </c>
      <c r="D48" s="58" t="s">
        <v>67</v>
      </c>
      <c r="E48" s="58" t="s">
        <v>67</v>
      </c>
      <c r="F48" s="58" t="s">
        <v>67</v>
      </c>
      <c r="G48" s="58" t="s">
        <v>67</v>
      </c>
      <c r="H48" s="58" t="s">
        <v>67</v>
      </c>
      <c r="I48" s="58" t="s">
        <v>67</v>
      </c>
      <c r="J48" s="58" t="s">
        <v>67</v>
      </c>
      <c r="K48" s="58" t="s">
        <v>67</v>
      </c>
      <c r="L48" s="58" t="s">
        <v>67</v>
      </c>
      <c r="M48" s="58" t="s">
        <v>67</v>
      </c>
      <c r="N48" s="58" t="s">
        <v>67</v>
      </c>
      <c r="O48" s="58" t="s">
        <v>67</v>
      </c>
      <c r="P48" s="58" t="s">
        <v>67</v>
      </c>
      <c r="Q48" s="58" t="s">
        <v>67</v>
      </c>
      <c r="R48" s="58" t="s">
        <v>67</v>
      </c>
      <c r="S48" s="58" t="s">
        <v>67</v>
      </c>
      <c r="T48" s="58" t="s">
        <v>67</v>
      </c>
      <c r="U48" s="58" t="s">
        <v>67</v>
      </c>
      <c r="V48" s="58" t="s">
        <v>67</v>
      </c>
      <c r="W48" s="58" t="s">
        <v>67</v>
      </c>
      <c r="X48" s="58" t="s">
        <v>67</v>
      </c>
      <c r="Y48" s="58" t="s">
        <v>67</v>
      </c>
      <c r="Z48" s="58" t="s">
        <v>67</v>
      </c>
      <c r="AA48" s="58" t="s">
        <v>67</v>
      </c>
      <c r="AB48" s="58" t="s">
        <v>67</v>
      </c>
      <c r="AC48" s="58" t="s">
        <v>67</v>
      </c>
      <c r="AD48" s="58">
        <v>1</v>
      </c>
      <c r="AE48" s="209">
        <v>0</v>
      </c>
      <c r="AF48" s="209">
        <v>1</v>
      </c>
      <c r="AG48" s="209">
        <v>0</v>
      </c>
      <c r="AH48" s="209">
        <v>1</v>
      </c>
      <c r="AI48" s="209">
        <v>0</v>
      </c>
      <c r="AJ48" s="48" t="s">
        <v>215</v>
      </c>
      <c r="AL48" t="str">
        <f t="shared" ca="1" si="0"/>
        <v xml:space="preserve">    (U1)ALERT_REQ_M_T120_TT_PD_ON</v>
      </c>
      <c r="AR48" s="60" t="str">
        <f t="shared" si="3"/>
        <v xml:space="preserve">    (U4)0x0000002AU,                                                           /* 42 TT_PD_ON                                        */</v>
      </c>
      <c r="AS48" s="60" t="str">
        <f t="shared" si="4"/>
        <v xml:space="preserve">    (U4)0x0000003FU,                                                           /* 42 TT_PD_ON                                        */</v>
      </c>
      <c r="AT48" s="60" t="str">
        <f t="shared" ca="1" si="1"/>
        <v xml:space="preserve">    (U1)ALERT_REQ_M_T120_TT_PD_ON,                                             /* 42 TT_PD_ON                                        */</v>
      </c>
    </row>
    <row r="49" spans="2:46">
      <c r="B49" s="130"/>
      <c r="C49" s="44">
        <f t="shared" si="2"/>
        <v>43</v>
      </c>
      <c r="D49" s="58" t="s">
        <v>67</v>
      </c>
      <c r="E49" s="58" t="s">
        <v>67</v>
      </c>
      <c r="F49" s="58" t="s">
        <v>67</v>
      </c>
      <c r="G49" s="58" t="s">
        <v>67</v>
      </c>
      <c r="H49" s="58" t="s">
        <v>67</v>
      </c>
      <c r="I49" s="58" t="s">
        <v>67</v>
      </c>
      <c r="J49" s="58" t="s">
        <v>67</v>
      </c>
      <c r="K49" s="58" t="s">
        <v>67</v>
      </c>
      <c r="L49" s="58" t="s">
        <v>67</v>
      </c>
      <c r="M49" s="58" t="s">
        <v>67</v>
      </c>
      <c r="N49" s="58" t="s">
        <v>67</v>
      </c>
      <c r="O49" s="58" t="s">
        <v>67</v>
      </c>
      <c r="P49" s="58" t="s">
        <v>67</v>
      </c>
      <c r="Q49" s="58" t="s">
        <v>67</v>
      </c>
      <c r="R49" s="58" t="s">
        <v>67</v>
      </c>
      <c r="S49" s="58" t="s">
        <v>67</v>
      </c>
      <c r="T49" s="58" t="s">
        <v>67</v>
      </c>
      <c r="U49" s="58" t="s">
        <v>67</v>
      </c>
      <c r="V49" s="58" t="s">
        <v>67</v>
      </c>
      <c r="W49" s="58" t="s">
        <v>67</v>
      </c>
      <c r="X49" s="58" t="s">
        <v>67</v>
      </c>
      <c r="Y49" s="58" t="s">
        <v>67</v>
      </c>
      <c r="Z49" s="58" t="s">
        <v>67</v>
      </c>
      <c r="AA49" s="58" t="s">
        <v>67</v>
      </c>
      <c r="AB49" s="58" t="s">
        <v>67</v>
      </c>
      <c r="AC49" s="58" t="s">
        <v>67</v>
      </c>
      <c r="AD49" s="58">
        <v>1</v>
      </c>
      <c r="AE49" s="209">
        <v>0</v>
      </c>
      <c r="AF49" s="209">
        <v>1</v>
      </c>
      <c r="AG49" s="209">
        <v>0</v>
      </c>
      <c r="AH49" s="209">
        <v>1</v>
      </c>
      <c r="AI49" s="209">
        <v>1</v>
      </c>
      <c r="AJ49" s="48" t="s">
        <v>311</v>
      </c>
      <c r="AL49" t="str">
        <f t="shared" ca="1" si="0"/>
        <v xml:space="preserve">    (U1)ALERT_REQ_M_T120_PRMRYCHK_PD</v>
      </c>
      <c r="AR49" s="60" t="str">
        <f t="shared" si="3"/>
        <v xml:space="preserve">    (U4)0x0000002BU,                                                           /* 43 PRMRYCHK_PD                                     */</v>
      </c>
      <c r="AS49" s="60" t="str">
        <f t="shared" si="4"/>
        <v xml:space="preserve">    (U4)0x0000003FU,                                                           /* 43 PRMRYCHK_PD                                     */</v>
      </c>
      <c r="AT49" s="60" t="str">
        <f t="shared" ca="1" si="1"/>
        <v xml:space="preserve">    (U1)ALERT_REQ_M_T120_PRMRYCHK_PD,                                          /* 43 PRMRYCHK_PD                                     */</v>
      </c>
    </row>
    <row r="50" spans="2:46">
      <c r="B50" s="130"/>
      <c r="C50" s="44">
        <f t="shared" si="2"/>
        <v>44</v>
      </c>
      <c r="D50" s="58" t="s">
        <v>67</v>
      </c>
      <c r="E50" s="58" t="s">
        <v>67</v>
      </c>
      <c r="F50" s="58" t="s">
        <v>67</v>
      </c>
      <c r="G50" s="58" t="s">
        <v>67</v>
      </c>
      <c r="H50" s="58" t="s">
        <v>67</v>
      </c>
      <c r="I50" s="58" t="s">
        <v>67</v>
      </c>
      <c r="J50" s="58" t="s">
        <v>67</v>
      </c>
      <c r="K50" s="58" t="s">
        <v>67</v>
      </c>
      <c r="L50" s="58" t="s">
        <v>67</v>
      </c>
      <c r="M50" s="58" t="s">
        <v>67</v>
      </c>
      <c r="N50" s="58" t="s">
        <v>67</v>
      </c>
      <c r="O50" s="58" t="s">
        <v>67</v>
      </c>
      <c r="P50" s="58" t="s">
        <v>67</v>
      </c>
      <c r="Q50" s="58" t="s">
        <v>67</v>
      </c>
      <c r="R50" s="58" t="s">
        <v>67</v>
      </c>
      <c r="S50" s="58" t="s">
        <v>67</v>
      </c>
      <c r="T50" s="58" t="s">
        <v>67</v>
      </c>
      <c r="U50" s="58" t="s">
        <v>67</v>
      </c>
      <c r="V50" s="58" t="s">
        <v>67</v>
      </c>
      <c r="W50" s="58" t="s">
        <v>67</v>
      </c>
      <c r="X50" s="58" t="s">
        <v>67</v>
      </c>
      <c r="Y50" s="58" t="s">
        <v>67</v>
      </c>
      <c r="Z50" s="58" t="s">
        <v>67</v>
      </c>
      <c r="AA50" s="58" t="s">
        <v>67</v>
      </c>
      <c r="AB50" s="58" t="s">
        <v>67</v>
      </c>
      <c r="AC50" s="58" t="s">
        <v>67</v>
      </c>
      <c r="AD50" s="58">
        <v>1</v>
      </c>
      <c r="AE50" s="209">
        <v>0</v>
      </c>
      <c r="AF50" s="209">
        <v>1</v>
      </c>
      <c r="AG50" s="209">
        <v>1</v>
      </c>
      <c r="AH50" s="209">
        <v>0</v>
      </c>
      <c r="AI50" s="209">
        <v>0</v>
      </c>
      <c r="AJ50" s="48" t="s">
        <v>32</v>
      </c>
      <c r="AL50" t="str">
        <f t="shared" si="0"/>
        <v xml:space="preserve">    (U1)ALERT_REQ_UNKNOWN</v>
      </c>
      <c r="AR50" s="60" t="str">
        <f t="shared" si="3"/>
        <v xml:space="preserve">    (U4)0x0000002CU,                                                           /* 44 UNKNOWN                                         */</v>
      </c>
      <c r="AS50" s="60" t="str">
        <f t="shared" si="4"/>
        <v xml:space="preserve">    (U4)0x0000003FU,                                                           /* 44 UNKNOWN                                         */</v>
      </c>
      <c r="AT50" s="60" t="str">
        <f t="shared" si="1"/>
        <v xml:space="preserve">    (U1)ALERT_REQ_UNKNOWN,                                                     /* 44 UNKNOWN                                         */</v>
      </c>
    </row>
    <row r="51" spans="2:46">
      <c r="B51" s="130"/>
      <c r="C51" s="44">
        <f t="shared" si="2"/>
        <v>45</v>
      </c>
      <c r="D51" s="58" t="s">
        <v>67</v>
      </c>
      <c r="E51" s="58" t="s">
        <v>67</v>
      </c>
      <c r="F51" s="58" t="s">
        <v>67</v>
      </c>
      <c r="G51" s="58" t="s">
        <v>67</v>
      </c>
      <c r="H51" s="58" t="s">
        <v>67</v>
      </c>
      <c r="I51" s="58" t="s">
        <v>67</v>
      </c>
      <c r="J51" s="58" t="s">
        <v>67</v>
      </c>
      <c r="K51" s="58" t="s">
        <v>67</v>
      </c>
      <c r="L51" s="58" t="s">
        <v>67</v>
      </c>
      <c r="M51" s="58" t="s">
        <v>67</v>
      </c>
      <c r="N51" s="58" t="s">
        <v>67</v>
      </c>
      <c r="O51" s="58" t="s">
        <v>67</v>
      </c>
      <c r="P51" s="58" t="s">
        <v>67</v>
      </c>
      <c r="Q51" s="58" t="s">
        <v>67</v>
      </c>
      <c r="R51" s="58" t="s">
        <v>67</v>
      </c>
      <c r="S51" s="58" t="s">
        <v>67</v>
      </c>
      <c r="T51" s="58" t="s">
        <v>67</v>
      </c>
      <c r="U51" s="58" t="s">
        <v>67</v>
      </c>
      <c r="V51" s="58" t="s">
        <v>67</v>
      </c>
      <c r="W51" s="58" t="s">
        <v>67</v>
      </c>
      <c r="X51" s="58" t="s">
        <v>67</v>
      </c>
      <c r="Y51" s="58" t="s">
        <v>67</v>
      </c>
      <c r="Z51" s="58" t="s">
        <v>67</v>
      </c>
      <c r="AA51" s="58" t="s">
        <v>67</v>
      </c>
      <c r="AB51" s="58" t="s">
        <v>67</v>
      </c>
      <c r="AC51" s="58" t="s">
        <v>67</v>
      </c>
      <c r="AD51" s="58">
        <v>1</v>
      </c>
      <c r="AE51" s="209">
        <v>0</v>
      </c>
      <c r="AF51" s="209">
        <v>1</v>
      </c>
      <c r="AG51" s="209">
        <v>1</v>
      </c>
      <c r="AH51" s="209">
        <v>0</v>
      </c>
      <c r="AI51" s="209">
        <v>1</v>
      </c>
      <c r="AJ51" s="48" t="s">
        <v>214</v>
      </c>
      <c r="AL51" t="str">
        <f t="shared" ca="1" si="0"/>
        <v xml:space="preserve">    (U1)ALERT_REQ_M_T120_PRMRYCHK</v>
      </c>
      <c r="AR51" s="60" t="str">
        <f t="shared" si="3"/>
        <v xml:space="preserve">    (U4)0x0000002DU,                                                           /* 45 PRMRYCHK                                        */</v>
      </c>
      <c r="AS51" s="60" t="str">
        <f t="shared" si="4"/>
        <v xml:space="preserve">    (U4)0x0000003FU,                                                           /* 45 PRMRYCHK                                        */</v>
      </c>
      <c r="AT51" s="60" t="str">
        <f t="shared" ca="1" si="1"/>
        <v xml:space="preserve">    (U1)ALERT_REQ_M_T120_PRMRYCHK,                                             /* 45 PRMRYCHK                                        */</v>
      </c>
    </row>
    <row r="52" spans="2:46">
      <c r="B52" s="130"/>
      <c r="C52" s="44">
        <f t="shared" si="2"/>
        <v>46</v>
      </c>
      <c r="D52" s="58" t="s">
        <v>67</v>
      </c>
      <c r="E52" s="58" t="s">
        <v>67</v>
      </c>
      <c r="F52" s="58" t="s">
        <v>67</v>
      </c>
      <c r="G52" s="58" t="s">
        <v>67</v>
      </c>
      <c r="H52" s="58" t="s">
        <v>67</v>
      </c>
      <c r="I52" s="58" t="s">
        <v>67</v>
      </c>
      <c r="J52" s="58" t="s">
        <v>67</v>
      </c>
      <c r="K52" s="58" t="s">
        <v>67</v>
      </c>
      <c r="L52" s="58" t="s">
        <v>67</v>
      </c>
      <c r="M52" s="58" t="s">
        <v>67</v>
      </c>
      <c r="N52" s="58" t="s">
        <v>67</v>
      </c>
      <c r="O52" s="58" t="s">
        <v>67</v>
      </c>
      <c r="P52" s="58" t="s">
        <v>67</v>
      </c>
      <c r="Q52" s="58" t="s">
        <v>67</v>
      </c>
      <c r="R52" s="58" t="s">
        <v>67</v>
      </c>
      <c r="S52" s="58" t="s">
        <v>67</v>
      </c>
      <c r="T52" s="58" t="s">
        <v>67</v>
      </c>
      <c r="U52" s="58" t="s">
        <v>67</v>
      </c>
      <c r="V52" s="58" t="s">
        <v>67</v>
      </c>
      <c r="W52" s="58" t="s">
        <v>67</v>
      </c>
      <c r="X52" s="58" t="s">
        <v>67</v>
      </c>
      <c r="Y52" s="58" t="s">
        <v>67</v>
      </c>
      <c r="Z52" s="58" t="s">
        <v>67</v>
      </c>
      <c r="AA52" s="58" t="s">
        <v>67</v>
      </c>
      <c r="AB52" s="58" t="s">
        <v>67</v>
      </c>
      <c r="AC52" s="58" t="s">
        <v>67</v>
      </c>
      <c r="AD52" s="58">
        <v>1</v>
      </c>
      <c r="AE52" s="209">
        <v>0</v>
      </c>
      <c r="AF52" s="209">
        <v>1</v>
      </c>
      <c r="AG52" s="209">
        <v>1</v>
      </c>
      <c r="AH52" s="209">
        <v>1</v>
      </c>
      <c r="AI52" s="209">
        <v>0</v>
      </c>
      <c r="AJ52" s="48" t="s">
        <v>32</v>
      </c>
      <c r="AL52" t="str">
        <f t="shared" si="0"/>
        <v xml:space="preserve">    (U1)ALERT_REQ_UNKNOWN</v>
      </c>
      <c r="AR52" s="60" t="str">
        <f t="shared" si="3"/>
        <v xml:space="preserve">    (U4)0x0000002EU,                                                           /* 46 UNKNOWN                                         */</v>
      </c>
      <c r="AS52" s="60" t="str">
        <f t="shared" si="4"/>
        <v xml:space="preserve">    (U4)0x0000003FU,                                                           /* 46 UNKNOWN                                         */</v>
      </c>
      <c r="AT52" s="60" t="str">
        <f t="shared" si="1"/>
        <v xml:space="preserve">    (U1)ALERT_REQ_UNKNOWN,                                                     /* 46 UNKNOWN                                         */</v>
      </c>
    </row>
    <row r="53" spans="2:46">
      <c r="B53" s="130"/>
      <c r="C53" s="44">
        <f t="shared" si="2"/>
        <v>47</v>
      </c>
      <c r="D53" s="58" t="s">
        <v>67</v>
      </c>
      <c r="E53" s="58" t="s">
        <v>67</v>
      </c>
      <c r="F53" s="58" t="s">
        <v>67</v>
      </c>
      <c r="G53" s="58" t="s">
        <v>67</v>
      </c>
      <c r="H53" s="58" t="s">
        <v>67</v>
      </c>
      <c r="I53" s="58" t="s">
        <v>67</v>
      </c>
      <c r="J53" s="58" t="s">
        <v>67</v>
      </c>
      <c r="K53" s="58" t="s">
        <v>67</v>
      </c>
      <c r="L53" s="58" t="s">
        <v>67</v>
      </c>
      <c r="M53" s="58" t="s">
        <v>67</v>
      </c>
      <c r="N53" s="58" t="s">
        <v>67</v>
      </c>
      <c r="O53" s="58" t="s">
        <v>67</v>
      </c>
      <c r="P53" s="58" t="s">
        <v>67</v>
      </c>
      <c r="Q53" s="58" t="s">
        <v>67</v>
      </c>
      <c r="R53" s="58" t="s">
        <v>67</v>
      </c>
      <c r="S53" s="58" t="s">
        <v>67</v>
      </c>
      <c r="T53" s="58" t="s">
        <v>67</v>
      </c>
      <c r="U53" s="58" t="s">
        <v>67</v>
      </c>
      <c r="V53" s="58" t="s">
        <v>67</v>
      </c>
      <c r="W53" s="58" t="s">
        <v>67</v>
      </c>
      <c r="X53" s="58" t="s">
        <v>67</v>
      </c>
      <c r="Y53" s="58" t="s">
        <v>67</v>
      </c>
      <c r="Z53" s="58" t="s">
        <v>67</v>
      </c>
      <c r="AA53" s="58" t="s">
        <v>67</v>
      </c>
      <c r="AB53" s="58" t="s">
        <v>67</v>
      </c>
      <c r="AC53" s="58" t="s">
        <v>67</v>
      </c>
      <c r="AD53" s="58">
        <v>1</v>
      </c>
      <c r="AE53" s="209">
        <v>0</v>
      </c>
      <c r="AF53" s="209">
        <v>1</v>
      </c>
      <c r="AG53" s="209">
        <v>1</v>
      </c>
      <c r="AH53" s="209">
        <v>1</v>
      </c>
      <c r="AI53" s="209">
        <v>1</v>
      </c>
      <c r="AJ53" s="48" t="s">
        <v>214</v>
      </c>
      <c r="AL53" t="str">
        <f t="shared" ca="1" si="0"/>
        <v xml:space="preserve">    (U1)ALERT_REQ_M_T120_PRMRYCHK</v>
      </c>
      <c r="AR53" s="60" t="str">
        <f t="shared" si="3"/>
        <v xml:space="preserve">    (U4)0x0000002FU,                                                           /* 47 PRMRYCHK                                        */</v>
      </c>
      <c r="AS53" s="60" t="str">
        <f t="shared" si="4"/>
        <v xml:space="preserve">    (U4)0x0000003FU,                                                           /* 47 PRMRYCHK                                        */</v>
      </c>
      <c r="AT53" s="60" t="str">
        <f t="shared" ca="1" si="1"/>
        <v xml:space="preserve">    (U1)ALERT_REQ_M_T120_PRMRYCHK,                                             /* 47 PRMRYCHK                                        */</v>
      </c>
    </row>
    <row r="54" spans="2:46">
      <c r="B54" s="130"/>
      <c r="C54" s="44">
        <f t="shared" si="2"/>
        <v>48</v>
      </c>
      <c r="D54" s="58" t="s">
        <v>67</v>
      </c>
      <c r="E54" s="58" t="s">
        <v>67</v>
      </c>
      <c r="F54" s="58" t="s">
        <v>67</v>
      </c>
      <c r="G54" s="58" t="s">
        <v>67</v>
      </c>
      <c r="H54" s="58" t="s">
        <v>67</v>
      </c>
      <c r="I54" s="58" t="s">
        <v>67</v>
      </c>
      <c r="J54" s="58" t="s">
        <v>67</v>
      </c>
      <c r="K54" s="58" t="s">
        <v>67</v>
      </c>
      <c r="L54" s="58" t="s">
        <v>67</v>
      </c>
      <c r="M54" s="58" t="s">
        <v>67</v>
      </c>
      <c r="N54" s="58" t="s">
        <v>67</v>
      </c>
      <c r="O54" s="58" t="s">
        <v>67</v>
      </c>
      <c r="P54" s="58" t="s">
        <v>67</v>
      </c>
      <c r="Q54" s="58" t="s">
        <v>67</v>
      </c>
      <c r="R54" s="58" t="s">
        <v>67</v>
      </c>
      <c r="S54" s="58" t="s">
        <v>67</v>
      </c>
      <c r="T54" s="58" t="s">
        <v>67</v>
      </c>
      <c r="U54" s="58" t="s">
        <v>67</v>
      </c>
      <c r="V54" s="58" t="s">
        <v>67</v>
      </c>
      <c r="W54" s="58" t="s">
        <v>67</v>
      </c>
      <c r="X54" s="58" t="s">
        <v>67</v>
      </c>
      <c r="Y54" s="58" t="s">
        <v>67</v>
      </c>
      <c r="Z54" s="58" t="s">
        <v>67</v>
      </c>
      <c r="AA54" s="58" t="s">
        <v>67</v>
      </c>
      <c r="AB54" s="58" t="s">
        <v>67</v>
      </c>
      <c r="AC54" s="58" t="s">
        <v>67</v>
      </c>
      <c r="AD54" s="58">
        <v>1</v>
      </c>
      <c r="AE54" s="209">
        <v>1</v>
      </c>
      <c r="AF54" s="209">
        <v>0</v>
      </c>
      <c r="AG54" s="209">
        <v>0</v>
      </c>
      <c r="AH54" s="209">
        <v>0</v>
      </c>
      <c r="AI54" s="209">
        <v>0</v>
      </c>
      <c r="AJ54" s="48" t="s">
        <v>32</v>
      </c>
      <c r="AL54" t="str">
        <f t="shared" si="0"/>
        <v xml:space="preserve">    (U1)ALERT_REQ_UNKNOWN</v>
      </c>
      <c r="AR54" s="60" t="str">
        <f t="shared" si="3"/>
        <v xml:space="preserve">    (U4)0x00000030U,                                                           /* 48 UNKNOWN                                         */</v>
      </c>
      <c r="AS54" s="60" t="str">
        <f t="shared" si="4"/>
        <v xml:space="preserve">    (U4)0x0000003FU,                                                           /* 48 UNKNOWN                                         */</v>
      </c>
      <c r="AT54" s="60" t="str">
        <f t="shared" si="1"/>
        <v xml:space="preserve">    (U1)ALERT_REQ_UNKNOWN,                                                     /* 48 UNKNOWN                                         */</v>
      </c>
    </row>
    <row r="55" spans="2:46">
      <c r="B55" s="130"/>
      <c r="C55" s="44">
        <f t="shared" si="2"/>
        <v>49</v>
      </c>
      <c r="D55" s="58" t="s">
        <v>67</v>
      </c>
      <c r="E55" s="58" t="s">
        <v>67</v>
      </c>
      <c r="F55" s="58" t="s">
        <v>67</v>
      </c>
      <c r="G55" s="58" t="s">
        <v>67</v>
      </c>
      <c r="H55" s="58" t="s">
        <v>67</v>
      </c>
      <c r="I55" s="58" t="s">
        <v>67</v>
      </c>
      <c r="J55" s="58" t="s">
        <v>67</v>
      </c>
      <c r="K55" s="58" t="s">
        <v>67</v>
      </c>
      <c r="L55" s="58" t="s">
        <v>67</v>
      </c>
      <c r="M55" s="58" t="s">
        <v>67</v>
      </c>
      <c r="N55" s="58" t="s">
        <v>67</v>
      </c>
      <c r="O55" s="58" t="s">
        <v>67</v>
      </c>
      <c r="P55" s="58" t="s">
        <v>67</v>
      </c>
      <c r="Q55" s="58" t="s">
        <v>67</v>
      </c>
      <c r="R55" s="58" t="s">
        <v>67</v>
      </c>
      <c r="S55" s="58" t="s">
        <v>67</v>
      </c>
      <c r="T55" s="58" t="s">
        <v>67</v>
      </c>
      <c r="U55" s="58" t="s">
        <v>67</v>
      </c>
      <c r="V55" s="58" t="s">
        <v>67</v>
      </c>
      <c r="W55" s="58" t="s">
        <v>67</v>
      </c>
      <c r="X55" s="58" t="s">
        <v>67</v>
      </c>
      <c r="Y55" s="58" t="s">
        <v>67</v>
      </c>
      <c r="Z55" s="58" t="s">
        <v>67</v>
      </c>
      <c r="AA55" s="58" t="s">
        <v>67</v>
      </c>
      <c r="AB55" s="58" t="s">
        <v>67</v>
      </c>
      <c r="AC55" s="58" t="s">
        <v>67</v>
      </c>
      <c r="AD55" s="58">
        <v>1</v>
      </c>
      <c r="AE55" s="209">
        <v>1</v>
      </c>
      <c r="AF55" s="209">
        <v>0</v>
      </c>
      <c r="AG55" s="209">
        <v>0</v>
      </c>
      <c r="AH55" s="209">
        <v>0</v>
      </c>
      <c r="AI55" s="209">
        <v>1</v>
      </c>
      <c r="AJ55" s="48" t="s">
        <v>214</v>
      </c>
      <c r="AL55" t="str">
        <f t="shared" ca="1" si="0"/>
        <v xml:space="preserve">    (U1)ALERT_REQ_M_T120_PRMRYCHK</v>
      </c>
      <c r="AR55" s="60" t="str">
        <f t="shared" si="3"/>
        <v xml:space="preserve">    (U4)0x00000031U,                                                           /* 49 PRMRYCHK                                        */</v>
      </c>
      <c r="AS55" s="60" t="str">
        <f t="shared" si="4"/>
        <v xml:space="preserve">    (U4)0x0000003FU,                                                           /* 49 PRMRYCHK                                        */</v>
      </c>
      <c r="AT55" s="60" t="str">
        <f t="shared" ca="1" si="1"/>
        <v xml:space="preserve">    (U1)ALERT_REQ_M_T120_PRMRYCHK,                                             /* 49 PRMRYCHK                                        */</v>
      </c>
    </row>
    <row r="56" spans="2:46">
      <c r="B56" s="130"/>
      <c r="C56" s="44">
        <f t="shared" si="2"/>
        <v>50</v>
      </c>
      <c r="D56" s="58" t="s">
        <v>67</v>
      </c>
      <c r="E56" s="58" t="s">
        <v>67</v>
      </c>
      <c r="F56" s="58" t="s">
        <v>67</v>
      </c>
      <c r="G56" s="58" t="s">
        <v>67</v>
      </c>
      <c r="H56" s="58" t="s">
        <v>67</v>
      </c>
      <c r="I56" s="58" t="s">
        <v>67</v>
      </c>
      <c r="J56" s="58" t="s">
        <v>67</v>
      </c>
      <c r="K56" s="58" t="s">
        <v>67</v>
      </c>
      <c r="L56" s="58" t="s">
        <v>67</v>
      </c>
      <c r="M56" s="58" t="s">
        <v>67</v>
      </c>
      <c r="N56" s="58" t="s">
        <v>67</v>
      </c>
      <c r="O56" s="58" t="s">
        <v>67</v>
      </c>
      <c r="P56" s="58" t="s">
        <v>67</v>
      </c>
      <c r="Q56" s="58" t="s">
        <v>67</v>
      </c>
      <c r="R56" s="58" t="s">
        <v>67</v>
      </c>
      <c r="S56" s="58" t="s">
        <v>67</v>
      </c>
      <c r="T56" s="58" t="s">
        <v>67</v>
      </c>
      <c r="U56" s="58" t="s">
        <v>67</v>
      </c>
      <c r="V56" s="58" t="s">
        <v>67</v>
      </c>
      <c r="W56" s="58" t="s">
        <v>67</v>
      </c>
      <c r="X56" s="58" t="s">
        <v>67</v>
      </c>
      <c r="Y56" s="58" t="s">
        <v>67</v>
      </c>
      <c r="Z56" s="58" t="s">
        <v>67</v>
      </c>
      <c r="AA56" s="58" t="s">
        <v>67</v>
      </c>
      <c r="AB56" s="58" t="s">
        <v>67</v>
      </c>
      <c r="AC56" s="58" t="s">
        <v>67</v>
      </c>
      <c r="AD56" s="58">
        <v>1</v>
      </c>
      <c r="AE56" s="209">
        <v>1</v>
      </c>
      <c r="AF56" s="209">
        <v>0</v>
      </c>
      <c r="AG56" s="209">
        <v>0</v>
      </c>
      <c r="AH56" s="209">
        <v>1</v>
      </c>
      <c r="AI56" s="209">
        <v>0</v>
      </c>
      <c r="AJ56" s="48" t="s">
        <v>32</v>
      </c>
      <c r="AL56" t="str">
        <f t="shared" si="0"/>
        <v xml:space="preserve">    (U1)ALERT_REQ_UNKNOWN</v>
      </c>
      <c r="AR56" s="60" t="str">
        <f t="shared" si="3"/>
        <v xml:space="preserve">    (U4)0x00000032U,                                                           /* 50 UNKNOWN                                         */</v>
      </c>
      <c r="AS56" s="60" t="str">
        <f t="shared" si="4"/>
        <v xml:space="preserve">    (U4)0x0000003FU,                                                           /* 50 UNKNOWN                                         */</v>
      </c>
      <c r="AT56" s="60" t="str">
        <f t="shared" si="1"/>
        <v xml:space="preserve">    (U1)ALERT_REQ_UNKNOWN,                                                     /* 50 UNKNOWN                                         */</v>
      </c>
    </row>
    <row r="57" spans="2:46">
      <c r="B57" s="130"/>
      <c r="C57" s="44">
        <f t="shared" si="2"/>
        <v>51</v>
      </c>
      <c r="D57" s="58" t="s">
        <v>67</v>
      </c>
      <c r="E57" s="58" t="s">
        <v>67</v>
      </c>
      <c r="F57" s="58" t="s">
        <v>67</v>
      </c>
      <c r="G57" s="58" t="s">
        <v>67</v>
      </c>
      <c r="H57" s="58" t="s">
        <v>67</v>
      </c>
      <c r="I57" s="58" t="s">
        <v>67</v>
      </c>
      <c r="J57" s="58" t="s">
        <v>67</v>
      </c>
      <c r="K57" s="58" t="s">
        <v>67</v>
      </c>
      <c r="L57" s="58" t="s">
        <v>67</v>
      </c>
      <c r="M57" s="58" t="s">
        <v>67</v>
      </c>
      <c r="N57" s="58" t="s">
        <v>67</v>
      </c>
      <c r="O57" s="58" t="s">
        <v>67</v>
      </c>
      <c r="P57" s="58" t="s">
        <v>67</v>
      </c>
      <c r="Q57" s="58" t="s">
        <v>67</v>
      </c>
      <c r="R57" s="58" t="s">
        <v>67</v>
      </c>
      <c r="S57" s="58" t="s">
        <v>67</v>
      </c>
      <c r="T57" s="58" t="s">
        <v>67</v>
      </c>
      <c r="U57" s="58" t="s">
        <v>67</v>
      </c>
      <c r="V57" s="58" t="s">
        <v>67</v>
      </c>
      <c r="W57" s="58" t="s">
        <v>67</v>
      </c>
      <c r="X57" s="58" t="s">
        <v>67</v>
      </c>
      <c r="Y57" s="58" t="s">
        <v>67</v>
      </c>
      <c r="Z57" s="58" t="s">
        <v>67</v>
      </c>
      <c r="AA57" s="58" t="s">
        <v>67</v>
      </c>
      <c r="AB57" s="58" t="s">
        <v>67</v>
      </c>
      <c r="AC57" s="58" t="s">
        <v>67</v>
      </c>
      <c r="AD57" s="58">
        <v>1</v>
      </c>
      <c r="AE57" s="209">
        <v>1</v>
      </c>
      <c r="AF57" s="209">
        <v>0</v>
      </c>
      <c r="AG57" s="209">
        <v>0</v>
      </c>
      <c r="AH57" s="209">
        <v>1</v>
      </c>
      <c r="AI57" s="209">
        <v>1</v>
      </c>
      <c r="AJ57" s="48" t="s">
        <v>214</v>
      </c>
      <c r="AL57" t="str">
        <f t="shared" ca="1" si="0"/>
        <v xml:space="preserve">    (U1)ALERT_REQ_M_T120_PRMRYCHK</v>
      </c>
      <c r="AR57" s="60" t="str">
        <f t="shared" si="3"/>
        <v xml:space="preserve">    (U4)0x00000033U,                                                           /* 51 PRMRYCHK                                        */</v>
      </c>
      <c r="AS57" s="60" t="str">
        <f t="shared" si="4"/>
        <v xml:space="preserve">    (U4)0x0000003FU,                                                           /* 51 PRMRYCHK                                        */</v>
      </c>
      <c r="AT57" s="60" t="str">
        <f t="shared" ca="1" si="1"/>
        <v xml:space="preserve">    (U1)ALERT_REQ_M_T120_PRMRYCHK,                                             /* 51 PRMRYCHK                                        */</v>
      </c>
    </row>
    <row r="58" spans="2:46">
      <c r="B58" s="130"/>
      <c r="C58" s="44">
        <f t="shared" si="2"/>
        <v>52</v>
      </c>
      <c r="D58" s="58" t="s">
        <v>67</v>
      </c>
      <c r="E58" s="58" t="s">
        <v>67</v>
      </c>
      <c r="F58" s="58" t="s">
        <v>67</v>
      </c>
      <c r="G58" s="58" t="s">
        <v>67</v>
      </c>
      <c r="H58" s="58" t="s">
        <v>67</v>
      </c>
      <c r="I58" s="58" t="s">
        <v>67</v>
      </c>
      <c r="J58" s="58" t="s">
        <v>67</v>
      </c>
      <c r="K58" s="58" t="s">
        <v>67</v>
      </c>
      <c r="L58" s="58" t="s">
        <v>67</v>
      </c>
      <c r="M58" s="58" t="s">
        <v>67</v>
      </c>
      <c r="N58" s="58" t="s">
        <v>67</v>
      </c>
      <c r="O58" s="58" t="s">
        <v>67</v>
      </c>
      <c r="P58" s="58" t="s">
        <v>67</v>
      </c>
      <c r="Q58" s="58" t="s">
        <v>67</v>
      </c>
      <c r="R58" s="58" t="s">
        <v>67</v>
      </c>
      <c r="S58" s="58" t="s">
        <v>67</v>
      </c>
      <c r="T58" s="58" t="s">
        <v>67</v>
      </c>
      <c r="U58" s="58" t="s">
        <v>67</v>
      </c>
      <c r="V58" s="58" t="s">
        <v>67</v>
      </c>
      <c r="W58" s="58" t="s">
        <v>67</v>
      </c>
      <c r="X58" s="58" t="s">
        <v>67</v>
      </c>
      <c r="Y58" s="58" t="s">
        <v>67</v>
      </c>
      <c r="Z58" s="58" t="s">
        <v>67</v>
      </c>
      <c r="AA58" s="58" t="s">
        <v>67</v>
      </c>
      <c r="AB58" s="58" t="s">
        <v>67</v>
      </c>
      <c r="AC58" s="58" t="s">
        <v>67</v>
      </c>
      <c r="AD58" s="58">
        <v>1</v>
      </c>
      <c r="AE58" s="209">
        <v>1</v>
      </c>
      <c r="AF58" s="209">
        <v>0</v>
      </c>
      <c r="AG58" s="209">
        <v>1</v>
      </c>
      <c r="AH58" s="209">
        <v>0</v>
      </c>
      <c r="AI58" s="209">
        <v>0</v>
      </c>
      <c r="AJ58" s="48" t="s">
        <v>32</v>
      </c>
      <c r="AL58" t="str">
        <f t="shared" si="0"/>
        <v xml:space="preserve">    (U1)ALERT_REQ_UNKNOWN</v>
      </c>
      <c r="AR58" s="60" t="str">
        <f t="shared" si="3"/>
        <v xml:space="preserve">    (U4)0x00000034U,                                                           /* 52 UNKNOWN                                         */</v>
      </c>
      <c r="AS58" s="60" t="str">
        <f t="shared" si="4"/>
        <v xml:space="preserve">    (U4)0x0000003FU,                                                           /* 52 UNKNOWN                                         */</v>
      </c>
      <c r="AT58" s="60" t="str">
        <f t="shared" si="1"/>
        <v xml:space="preserve">    (U1)ALERT_REQ_UNKNOWN,                                                     /* 52 UNKNOWN                                         */</v>
      </c>
    </row>
    <row r="59" spans="2:46">
      <c r="B59" s="130"/>
      <c r="C59" s="44">
        <f t="shared" si="2"/>
        <v>53</v>
      </c>
      <c r="D59" s="58" t="s">
        <v>67</v>
      </c>
      <c r="E59" s="58" t="s">
        <v>67</v>
      </c>
      <c r="F59" s="58" t="s">
        <v>67</v>
      </c>
      <c r="G59" s="58" t="s">
        <v>67</v>
      </c>
      <c r="H59" s="58" t="s">
        <v>67</v>
      </c>
      <c r="I59" s="58" t="s">
        <v>67</v>
      </c>
      <c r="J59" s="58" t="s">
        <v>67</v>
      </c>
      <c r="K59" s="58" t="s">
        <v>67</v>
      </c>
      <c r="L59" s="58" t="s">
        <v>67</v>
      </c>
      <c r="M59" s="58" t="s">
        <v>67</v>
      </c>
      <c r="N59" s="58" t="s">
        <v>67</v>
      </c>
      <c r="O59" s="58" t="s">
        <v>67</v>
      </c>
      <c r="P59" s="58" t="s">
        <v>67</v>
      </c>
      <c r="Q59" s="58" t="s">
        <v>67</v>
      </c>
      <c r="R59" s="58" t="s">
        <v>67</v>
      </c>
      <c r="S59" s="58" t="s">
        <v>67</v>
      </c>
      <c r="T59" s="58" t="s">
        <v>67</v>
      </c>
      <c r="U59" s="58" t="s">
        <v>67</v>
      </c>
      <c r="V59" s="58" t="s">
        <v>67</v>
      </c>
      <c r="W59" s="58" t="s">
        <v>67</v>
      </c>
      <c r="X59" s="58" t="s">
        <v>67</v>
      </c>
      <c r="Y59" s="58" t="s">
        <v>67</v>
      </c>
      <c r="Z59" s="58" t="s">
        <v>67</v>
      </c>
      <c r="AA59" s="58" t="s">
        <v>67</v>
      </c>
      <c r="AB59" s="58" t="s">
        <v>67</v>
      </c>
      <c r="AC59" s="58" t="s">
        <v>67</v>
      </c>
      <c r="AD59" s="58">
        <v>1</v>
      </c>
      <c r="AE59" s="209">
        <v>1</v>
      </c>
      <c r="AF59" s="209">
        <v>0</v>
      </c>
      <c r="AG59" s="209">
        <v>1</v>
      </c>
      <c r="AH59" s="209">
        <v>0</v>
      </c>
      <c r="AI59" s="209">
        <v>1</v>
      </c>
      <c r="AJ59" s="48" t="s">
        <v>214</v>
      </c>
      <c r="AL59" t="str">
        <f t="shared" ca="1" si="0"/>
        <v xml:space="preserve">    (U1)ALERT_REQ_M_T120_PRMRYCHK</v>
      </c>
      <c r="AR59" s="60" t="str">
        <f t="shared" si="3"/>
        <v xml:space="preserve">    (U4)0x00000035U,                                                           /* 53 PRMRYCHK                                        */</v>
      </c>
      <c r="AS59" s="60" t="str">
        <f t="shared" si="4"/>
        <v xml:space="preserve">    (U4)0x0000003FU,                                                           /* 53 PRMRYCHK                                        */</v>
      </c>
      <c r="AT59" s="60" t="str">
        <f t="shared" ca="1" si="1"/>
        <v xml:space="preserve">    (U1)ALERT_REQ_M_T120_PRMRYCHK,                                             /* 53 PRMRYCHK                                        */</v>
      </c>
    </row>
    <row r="60" spans="2:46">
      <c r="B60" s="130"/>
      <c r="C60" s="44">
        <f t="shared" si="2"/>
        <v>54</v>
      </c>
      <c r="D60" s="58" t="s">
        <v>67</v>
      </c>
      <c r="E60" s="58" t="s">
        <v>67</v>
      </c>
      <c r="F60" s="58" t="s">
        <v>67</v>
      </c>
      <c r="G60" s="58" t="s">
        <v>67</v>
      </c>
      <c r="H60" s="58" t="s">
        <v>67</v>
      </c>
      <c r="I60" s="58" t="s">
        <v>67</v>
      </c>
      <c r="J60" s="58" t="s">
        <v>67</v>
      </c>
      <c r="K60" s="58" t="s">
        <v>67</v>
      </c>
      <c r="L60" s="58" t="s">
        <v>67</v>
      </c>
      <c r="M60" s="58" t="s">
        <v>67</v>
      </c>
      <c r="N60" s="58" t="s">
        <v>67</v>
      </c>
      <c r="O60" s="58" t="s">
        <v>67</v>
      </c>
      <c r="P60" s="58" t="s">
        <v>67</v>
      </c>
      <c r="Q60" s="58" t="s">
        <v>67</v>
      </c>
      <c r="R60" s="58" t="s">
        <v>67</v>
      </c>
      <c r="S60" s="58" t="s">
        <v>67</v>
      </c>
      <c r="T60" s="58" t="s">
        <v>67</v>
      </c>
      <c r="U60" s="58" t="s">
        <v>67</v>
      </c>
      <c r="V60" s="58" t="s">
        <v>67</v>
      </c>
      <c r="W60" s="58" t="s">
        <v>67</v>
      </c>
      <c r="X60" s="58" t="s">
        <v>67</v>
      </c>
      <c r="Y60" s="58" t="s">
        <v>67</v>
      </c>
      <c r="Z60" s="58" t="s">
        <v>67</v>
      </c>
      <c r="AA60" s="58" t="s">
        <v>67</v>
      </c>
      <c r="AB60" s="58" t="s">
        <v>67</v>
      </c>
      <c r="AC60" s="58" t="s">
        <v>67</v>
      </c>
      <c r="AD60" s="58">
        <v>1</v>
      </c>
      <c r="AE60" s="209">
        <v>1</v>
      </c>
      <c r="AF60" s="209">
        <v>0</v>
      </c>
      <c r="AG60" s="209">
        <v>1</v>
      </c>
      <c r="AH60" s="209">
        <v>1</v>
      </c>
      <c r="AI60" s="209">
        <v>0</v>
      </c>
      <c r="AJ60" s="48" t="s">
        <v>32</v>
      </c>
      <c r="AL60" t="str">
        <f t="shared" si="0"/>
        <v xml:space="preserve">    (U1)ALERT_REQ_UNKNOWN</v>
      </c>
      <c r="AR60" s="60" t="str">
        <f t="shared" si="3"/>
        <v xml:space="preserve">    (U4)0x00000036U,                                                           /* 54 UNKNOWN                                         */</v>
      </c>
      <c r="AS60" s="60" t="str">
        <f t="shared" si="4"/>
        <v xml:space="preserve">    (U4)0x0000003FU,                                                           /* 54 UNKNOWN                                         */</v>
      </c>
      <c r="AT60" s="60" t="str">
        <f t="shared" si="1"/>
        <v xml:space="preserve">    (U1)ALERT_REQ_UNKNOWN,                                                     /* 54 UNKNOWN                                         */</v>
      </c>
    </row>
    <row r="61" spans="2:46">
      <c r="B61" s="130"/>
      <c r="C61" s="44">
        <f t="shared" si="2"/>
        <v>55</v>
      </c>
      <c r="D61" s="58" t="s">
        <v>67</v>
      </c>
      <c r="E61" s="58" t="s">
        <v>67</v>
      </c>
      <c r="F61" s="58" t="s">
        <v>67</v>
      </c>
      <c r="G61" s="58" t="s">
        <v>67</v>
      </c>
      <c r="H61" s="58" t="s">
        <v>67</v>
      </c>
      <c r="I61" s="58" t="s">
        <v>67</v>
      </c>
      <c r="J61" s="58" t="s">
        <v>67</v>
      </c>
      <c r="K61" s="58" t="s">
        <v>67</v>
      </c>
      <c r="L61" s="58" t="s">
        <v>67</v>
      </c>
      <c r="M61" s="58" t="s">
        <v>67</v>
      </c>
      <c r="N61" s="58" t="s">
        <v>67</v>
      </c>
      <c r="O61" s="58" t="s">
        <v>67</v>
      </c>
      <c r="P61" s="58" t="s">
        <v>67</v>
      </c>
      <c r="Q61" s="58" t="s">
        <v>67</v>
      </c>
      <c r="R61" s="58" t="s">
        <v>67</v>
      </c>
      <c r="S61" s="58" t="s">
        <v>67</v>
      </c>
      <c r="T61" s="58" t="s">
        <v>67</v>
      </c>
      <c r="U61" s="58" t="s">
        <v>67</v>
      </c>
      <c r="V61" s="58" t="s">
        <v>67</v>
      </c>
      <c r="W61" s="58" t="s">
        <v>67</v>
      </c>
      <c r="X61" s="58" t="s">
        <v>67</v>
      </c>
      <c r="Y61" s="58" t="s">
        <v>67</v>
      </c>
      <c r="Z61" s="58" t="s">
        <v>67</v>
      </c>
      <c r="AA61" s="58" t="s">
        <v>67</v>
      </c>
      <c r="AB61" s="58" t="s">
        <v>67</v>
      </c>
      <c r="AC61" s="58" t="s">
        <v>67</v>
      </c>
      <c r="AD61" s="58">
        <v>1</v>
      </c>
      <c r="AE61" s="209">
        <v>1</v>
      </c>
      <c r="AF61" s="209">
        <v>0</v>
      </c>
      <c r="AG61" s="209">
        <v>1</v>
      </c>
      <c r="AH61" s="209">
        <v>1</v>
      </c>
      <c r="AI61" s="209">
        <v>1</v>
      </c>
      <c r="AJ61" s="48" t="s">
        <v>214</v>
      </c>
      <c r="AL61" t="str">
        <f t="shared" ca="1" si="0"/>
        <v xml:space="preserve">    (U1)ALERT_REQ_M_T120_PRMRYCHK</v>
      </c>
      <c r="AR61" s="60" t="str">
        <f t="shared" si="3"/>
        <v xml:space="preserve">    (U4)0x00000037U,                                                           /* 55 PRMRYCHK                                        */</v>
      </c>
      <c r="AS61" s="60" t="str">
        <f t="shared" si="4"/>
        <v xml:space="preserve">    (U4)0x0000003FU,                                                           /* 55 PRMRYCHK                                        */</v>
      </c>
      <c r="AT61" s="60" t="str">
        <f t="shared" ca="1" si="1"/>
        <v xml:space="preserve">    (U1)ALERT_REQ_M_T120_PRMRYCHK,                                             /* 55 PRMRYCHK                                        */</v>
      </c>
    </row>
    <row r="62" spans="2:46">
      <c r="B62" s="130"/>
      <c r="C62" s="44">
        <f t="shared" si="2"/>
        <v>56</v>
      </c>
      <c r="D62" s="58" t="s">
        <v>67</v>
      </c>
      <c r="E62" s="58" t="s">
        <v>67</v>
      </c>
      <c r="F62" s="58" t="s">
        <v>67</v>
      </c>
      <c r="G62" s="58" t="s">
        <v>67</v>
      </c>
      <c r="H62" s="58" t="s">
        <v>67</v>
      </c>
      <c r="I62" s="58" t="s">
        <v>67</v>
      </c>
      <c r="J62" s="58" t="s">
        <v>67</v>
      </c>
      <c r="K62" s="58" t="s">
        <v>67</v>
      </c>
      <c r="L62" s="58" t="s">
        <v>67</v>
      </c>
      <c r="M62" s="58" t="s">
        <v>67</v>
      </c>
      <c r="N62" s="58" t="s">
        <v>67</v>
      </c>
      <c r="O62" s="58" t="s">
        <v>67</v>
      </c>
      <c r="P62" s="58" t="s">
        <v>67</v>
      </c>
      <c r="Q62" s="58" t="s">
        <v>67</v>
      </c>
      <c r="R62" s="58" t="s">
        <v>67</v>
      </c>
      <c r="S62" s="58" t="s">
        <v>67</v>
      </c>
      <c r="T62" s="58" t="s">
        <v>67</v>
      </c>
      <c r="U62" s="58" t="s">
        <v>67</v>
      </c>
      <c r="V62" s="58" t="s">
        <v>67</v>
      </c>
      <c r="W62" s="58" t="s">
        <v>67</v>
      </c>
      <c r="X62" s="58" t="s">
        <v>67</v>
      </c>
      <c r="Y62" s="58" t="s">
        <v>67</v>
      </c>
      <c r="Z62" s="58" t="s">
        <v>67</v>
      </c>
      <c r="AA62" s="58" t="s">
        <v>67</v>
      </c>
      <c r="AB62" s="58" t="s">
        <v>67</v>
      </c>
      <c r="AC62" s="58" t="s">
        <v>67</v>
      </c>
      <c r="AD62" s="58">
        <v>1</v>
      </c>
      <c r="AE62" s="209">
        <v>1</v>
      </c>
      <c r="AF62" s="209">
        <v>1</v>
      </c>
      <c r="AG62" s="209">
        <v>0</v>
      </c>
      <c r="AH62" s="209">
        <v>0</v>
      </c>
      <c r="AI62" s="209">
        <v>0</v>
      </c>
      <c r="AJ62" s="48" t="s">
        <v>32</v>
      </c>
      <c r="AL62" t="str">
        <f t="shared" si="0"/>
        <v xml:space="preserve">    (U1)ALERT_REQ_UNKNOWN</v>
      </c>
      <c r="AR62" s="60" t="str">
        <f t="shared" si="3"/>
        <v xml:space="preserve">    (U4)0x00000038U,                                                           /* 56 UNKNOWN                                         */</v>
      </c>
      <c r="AS62" s="60" t="str">
        <f t="shared" si="4"/>
        <v xml:space="preserve">    (U4)0x0000003FU,                                                           /* 56 UNKNOWN                                         */</v>
      </c>
      <c r="AT62" s="60" t="str">
        <f t="shared" si="1"/>
        <v xml:space="preserve">    (U1)ALERT_REQ_UNKNOWN,                                                     /* 56 UNKNOWN                                         */</v>
      </c>
    </row>
    <row r="63" spans="2:46">
      <c r="B63" s="130"/>
      <c r="C63" s="44">
        <f t="shared" si="2"/>
        <v>57</v>
      </c>
      <c r="D63" s="58" t="s">
        <v>67</v>
      </c>
      <c r="E63" s="58" t="s">
        <v>67</v>
      </c>
      <c r="F63" s="58" t="s">
        <v>67</v>
      </c>
      <c r="G63" s="58" t="s">
        <v>67</v>
      </c>
      <c r="H63" s="58" t="s">
        <v>67</v>
      </c>
      <c r="I63" s="58" t="s">
        <v>67</v>
      </c>
      <c r="J63" s="58" t="s">
        <v>67</v>
      </c>
      <c r="K63" s="58" t="s">
        <v>67</v>
      </c>
      <c r="L63" s="58" t="s">
        <v>67</v>
      </c>
      <c r="M63" s="58" t="s">
        <v>67</v>
      </c>
      <c r="N63" s="58" t="s">
        <v>67</v>
      </c>
      <c r="O63" s="58" t="s">
        <v>67</v>
      </c>
      <c r="P63" s="58" t="s">
        <v>67</v>
      </c>
      <c r="Q63" s="58" t="s">
        <v>67</v>
      </c>
      <c r="R63" s="58" t="s">
        <v>67</v>
      </c>
      <c r="S63" s="58" t="s">
        <v>67</v>
      </c>
      <c r="T63" s="58" t="s">
        <v>67</v>
      </c>
      <c r="U63" s="58" t="s">
        <v>67</v>
      </c>
      <c r="V63" s="58" t="s">
        <v>67</v>
      </c>
      <c r="W63" s="58" t="s">
        <v>67</v>
      </c>
      <c r="X63" s="58" t="s">
        <v>67</v>
      </c>
      <c r="Y63" s="58" t="s">
        <v>67</v>
      </c>
      <c r="Z63" s="58" t="s">
        <v>67</v>
      </c>
      <c r="AA63" s="58" t="s">
        <v>67</v>
      </c>
      <c r="AB63" s="58" t="s">
        <v>67</v>
      </c>
      <c r="AC63" s="58" t="s">
        <v>67</v>
      </c>
      <c r="AD63" s="58">
        <v>1</v>
      </c>
      <c r="AE63" s="209">
        <v>1</v>
      </c>
      <c r="AF63" s="209">
        <v>1</v>
      </c>
      <c r="AG63" s="209">
        <v>0</v>
      </c>
      <c r="AH63" s="209">
        <v>0</v>
      </c>
      <c r="AI63" s="209">
        <v>1</v>
      </c>
      <c r="AJ63" s="48" t="s">
        <v>214</v>
      </c>
      <c r="AL63" t="str">
        <f t="shared" ca="1" si="0"/>
        <v xml:space="preserve">    (U1)ALERT_REQ_M_T120_PRMRYCHK</v>
      </c>
      <c r="AR63" s="60" t="str">
        <f t="shared" si="3"/>
        <v xml:space="preserve">    (U4)0x00000039U,                                                           /* 57 PRMRYCHK                                        */</v>
      </c>
      <c r="AS63" s="60" t="str">
        <f t="shared" si="4"/>
        <v xml:space="preserve">    (U4)0x0000003FU,                                                           /* 57 PRMRYCHK                                        */</v>
      </c>
      <c r="AT63" s="60" t="str">
        <f t="shared" ca="1" si="1"/>
        <v xml:space="preserve">    (U1)ALERT_REQ_M_T120_PRMRYCHK,                                             /* 57 PRMRYCHK                                        */</v>
      </c>
    </row>
    <row r="64" spans="2:46">
      <c r="B64" s="130"/>
      <c r="C64" s="44">
        <f t="shared" si="2"/>
        <v>58</v>
      </c>
      <c r="D64" s="58" t="s">
        <v>67</v>
      </c>
      <c r="E64" s="58" t="s">
        <v>67</v>
      </c>
      <c r="F64" s="58" t="s">
        <v>67</v>
      </c>
      <c r="G64" s="58" t="s">
        <v>67</v>
      </c>
      <c r="H64" s="58" t="s">
        <v>67</v>
      </c>
      <c r="I64" s="58" t="s">
        <v>67</v>
      </c>
      <c r="J64" s="58" t="s">
        <v>67</v>
      </c>
      <c r="K64" s="58" t="s">
        <v>67</v>
      </c>
      <c r="L64" s="58" t="s">
        <v>67</v>
      </c>
      <c r="M64" s="58" t="s">
        <v>67</v>
      </c>
      <c r="N64" s="58" t="s">
        <v>67</v>
      </c>
      <c r="O64" s="58" t="s">
        <v>67</v>
      </c>
      <c r="P64" s="58" t="s">
        <v>67</v>
      </c>
      <c r="Q64" s="58" t="s">
        <v>67</v>
      </c>
      <c r="R64" s="58" t="s">
        <v>67</v>
      </c>
      <c r="S64" s="58" t="s">
        <v>67</v>
      </c>
      <c r="T64" s="58" t="s">
        <v>67</v>
      </c>
      <c r="U64" s="58" t="s">
        <v>67</v>
      </c>
      <c r="V64" s="58" t="s">
        <v>67</v>
      </c>
      <c r="W64" s="58" t="s">
        <v>67</v>
      </c>
      <c r="X64" s="58" t="s">
        <v>67</v>
      </c>
      <c r="Y64" s="58" t="s">
        <v>67</v>
      </c>
      <c r="Z64" s="58" t="s">
        <v>67</v>
      </c>
      <c r="AA64" s="58" t="s">
        <v>67</v>
      </c>
      <c r="AB64" s="58" t="s">
        <v>67</v>
      </c>
      <c r="AC64" s="58" t="s">
        <v>67</v>
      </c>
      <c r="AD64" s="58">
        <v>1</v>
      </c>
      <c r="AE64" s="209">
        <v>1</v>
      </c>
      <c r="AF64" s="209">
        <v>1</v>
      </c>
      <c r="AG64" s="209">
        <v>0</v>
      </c>
      <c r="AH64" s="209">
        <v>1</v>
      </c>
      <c r="AI64" s="209">
        <v>0</v>
      </c>
      <c r="AJ64" s="48" t="s">
        <v>32</v>
      </c>
      <c r="AL64" t="str">
        <f t="shared" si="0"/>
        <v xml:space="preserve">    (U1)ALERT_REQ_UNKNOWN</v>
      </c>
      <c r="AR64" s="60" t="str">
        <f t="shared" si="3"/>
        <v xml:space="preserve">    (U4)0x0000003AU,                                                           /* 58 UNKNOWN                                         */</v>
      </c>
      <c r="AS64" s="60" t="str">
        <f t="shared" si="4"/>
        <v xml:space="preserve">    (U4)0x0000003FU,                                                           /* 58 UNKNOWN                                         */</v>
      </c>
      <c r="AT64" s="60" t="str">
        <f t="shared" si="1"/>
        <v xml:space="preserve">    (U1)ALERT_REQ_UNKNOWN,                                                     /* 58 UNKNOWN                                         */</v>
      </c>
    </row>
    <row r="65" spans="1:46">
      <c r="B65" s="130"/>
      <c r="C65" s="44">
        <f t="shared" si="2"/>
        <v>59</v>
      </c>
      <c r="D65" s="58" t="s">
        <v>67</v>
      </c>
      <c r="E65" s="58" t="s">
        <v>67</v>
      </c>
      <c r="F65" s="58" t="s">
        <v>67</v>
      </c>
      <c r="G65" s="58" t="s">
        <v>67</v>
      </c>
      <c r="H65" s="58" t="s">
        <v>67</v>
      </c>
      <c r="I65" s="58" t="s">
        <v>67</v>
      </c>
      <c r="J65" s="58" t="s">
        <v>67</v>
      </c>
      <c r="K65" s="58" t="s">
        <v>67</v>
      </c>
      <c r="L65" s="58" t="s">
        <v>67</v>
      </c>
      <c r="M65" s="58" t="s">
        <v>67</v>
      </c>
      <c r="N65" s="58" t="s">
        <v>67</v>
      </c>
      <c r="O65" s="58" t="s">
        <v>67</v>
      </c>
      <c r="P65" s="58" t="s">
        <v>67</v>
      </c>
      <c r="Q65" s="58" t="s">
        <v>67</v>
      </c>
      <c r="R65" s="58" t="s">
        <v>67</v>
      </c>
      <c r="S65" s="58" t="s">
        <v>67</v>
      </c>
      <c r="T65" s="58" t="s">
        <v>67</v>
      </c>
      <c r="U65" s="58" t="s">
        <v>67</v>
      </c>
      <c r="V65" s="58" t="s">
        <v>67</v>
      </c>
      <c r="W65" s="58" t="s">
        <v>67</v>
      </c>
      <c r="X65" s="58" t="s">
        <v>67</v>
      </c>
      <c r="Y65" s="58" t="s">
        <v>67</v>
      </c>
      <c r="Z65" s="58" t="s">
        <v>67</v>
      </c>
      <c r="AA65" s="58" t="s">
        <v>67</v>
      </c>
      <c r="AB65" s="58" t="s">
        <v>67</v>
      </c>
      <c r="AC65" s="58" t="s">
        <v>67</v>
      </c>
      <c r="AD65" s="58">
        <v>1</v>
      </c>
      <c r="AE65" s="209">
        <v>1</v>
      </c>
      <c r="AF65" s="209">
        <v>1</v>
      </c>
      <c r="AG65" s="209">
        <v>0</v>
      </c>
      <c r="AH65" s="209">
        <v>1</v>
      </c>
      <c r="AI65" s="209">
        <v>1</v>
      </c>
      <c r="AJ65" s="48" t="s">
        <v>214</v>
      </c>
      <c r="AL65" t="str">
        <f t="shared" ca="1" si="0"/>
        <v xml:space="preserve">    (U1)ALERT_REQ_M_T120_PRMRYCHK</v>
      </c>
      <c r="AR65" s="60" t="str">
        <f t="shared" si="3"/>
        <v xml:space="preserve">    (U4)0x0000003BU,                                                           /* 59 PRMRYCHK                                        */</v>
      </c>
      <c r="AS65" s="60" t="str">
        <f t="shared" si="4"/>
        <v xml:space="preserve">    (U4)0x0000003FU,                                                           /* 59 PRMRYCHK                                        */</v>
      </c>
      <c r="AT65" s="60" t="str">
        <f t="shared" ca="1" si="1"/>
        <v xml:space="preserve">    (U1)ALERT_REQ_M_T120_PRMRYCHK,                                             /* 59 PRMRYCHK                                        */</v>
      </c>
    </row>
    <row r="66" spans="1:46">
      <c r="B66" s="130"/>
      <c r="C66" s="44">
        <f t="shared" si="2"/>
        <v>60</v>
      </c>
      <c r="D66" s="58" t="s">
        <v>67</v>
      </c>
      <c r="E66" s="58" t="s">
        <v>67</v>
      </c>
      <c r="F66" s="58" t="s">
        <v>67</v>
      </c>
      <c r="G66" s="58" t="s">
        <v>67</v>
      </c>
      <c r="H66" s="58" t="s">
        <v>67</v>
      </c>
      <c r="I66" s="58" t="s">
        <v>67</v>
      </c>
      <c r="J66" s="58" t="s">
        <v>67</v>
      </c>
      <c r="K66" s="58" t="s">
        <v>67</v>
      </c>
      <c r="L66" s="58" t="s">
        <v>67</v>
      </c>
      <c r="M66" s="58" t="s">
        <v>67</v>
      </c>
      <c r="N66" s="58" t="s">
        <v>67</v>
      </c>
      <c r="O66" s="58" t="s">
        <v>67</v>
      </c>
      <c r="P66" s="58" t="s">
        <v>67</v>
      </c>
      <c r="Q66" s="58" t="s">
        <v>67</v>
      </c>
      <c r="R66" s="58" t="s">
        <v>67</v>
      </c>
      <c r="S66" s="58" t="s">
        <v>67</v>
      </c>
      <c r="T66" s="58" t="s">
        <v>67</v>
      </c>
      <c r="U66" s="58" t="s">
        <v>67</v>
      </c>
      <c r="V66" s="58" t="s">
        <v>67</v>
      </c>
      <c r="W66" s="58" t="s">
        <v>67</v>
      </c>
      <c r="X66" s="58" t="s">
        <v>67</v>
      </c>
      <c r="Y66" s="58" t="s">
        <v>67</v>
      </c>
      <c r="Z66" s="58" t="s">
        <v>67</v>
      </c>
      <c r="AA66" s="58" t="s">
        <v>67</v>
      </c>
      <c r="AB66" s="58" t="s">
        <v>67</v>
      </c>
      <c r="AC66" s="58" t="s">
        <v>67</v>
      </c>
      <c r="AD66" s="58">
        <v>1</v>
      </c>
      <c r="AE66" s="209">
        <v>1</v>
      </c>
      <c r="AF66" s="209">
        <v>1</v>
      </c>
      <c r="AG66" s="209">
        <v>1</v>
      </c>
      <c r="AH66" s="209">
        <v>0</v>
      </c>
      <c r="AI66" s="209">
        <v>0</v>
      </c>
      <c r="AJ66" s="48" t="s">
        <v>32</v>
      </c>
      <c r="AL66" t="str">
        <f t="shared" si="0"/>
        <v xml:space="preserve">    (U1)ALERT_REQ_UNKNOWN</v>
      </c>
      <c r="AR66" s="60" t="str">
        <f t="shared" si="3"/>
        <v xml:space="preserve">    (U4)0x0000003CU,                                                           /* 60 UNKNOWN                                         */</v>
      </c>
      <c r="AS66" s="60" t="str">
        <f t="shared" si="4"/>
        <v xml:space="preserve">    (U4)0x0000003FU,                                                           /* 60 UNKNOWN                                         */</v>
      </c>
      <c r="AT66" s="60" t="str">
        <f t="shared" si="1"/>
        <v xml:space="preserve">    (U1)ALERT_REQ_UNKNOWN,                                                     /* 60 UNKNOWN                                         */</v>
      </c>
    </row>
    <row r="67" spans="1:46">
      <c r="B67" s="130"/>
      <c r="C67" s="44">
        <f t="shared" si="2"/>
        <v>61</v>
      </c>
      <c r="D67" s="58" t="s">
        <v>67</v>
      </c>
      <c r="E67" s="58" t="s">
        <v>67</v>
      </c>
      <c r="F67" s="58" t="s">
        <v>67</v>
      </c>
      <c r="G67" s="58" t="s">
        <v>67</v>
      </c>
      <c r="H67" s="58" t="s">
        <v>67</v>
      </c>
      <c r="I67" s="58" t="s">
        <v>67</v>
      </c>
      <c r="J67" s="58" t="s">
        <v>67</v>
      </c>
      <c r="K67" s="58" t="s">
        <v>67</v>
      </c>
      <c r="L67" s="58" t="s">
        <v>67</v>
      </c>
      <c r="M67" s="58" t="s">
        <v>67</v>
      </c>
      <c r="N67" s="58" t="s">
        <v>67</v>
      </c>
      <c r="O67" s="58" t="s">
        <v>67</v>
      </c>
      <c r="P67" s="58" t="s">
        <v>67</v>
      </c>
      <c r="Q67" s="58" t="s">
        <v>67</v>
      </c>
      <c r="R67" s="58" t="s">
        <v>67</v>
      </c>
      <c r="S67" s="58" t="s">
        <v>67</v>
      </c>
      <c r="T67" s="58" t="s">
        <v>67</v>
      </c>
      <c r="U67" s="58" t="s">
        <v>67</v>
      </c>
      <c r="V67" s="58" t="s">
        <v>67</v>
      </c>
      <c r="W67" s="58" t="s">
        <v>67</v>
      </c>
      <c r="X67" s="58" t="s">
        <v>67</v>
      </c>
      <c r="Y67" s="58" t="s">
        <v>67</v>
      </c>
      <c r="Z67" s="58" t="s">
        <v>67</v>
      </c>
      <c r="AA67" s="58" t="s">
        <v>67</v>
      </c>
      <c r="AB67" s="58" t="s">
        <v>67</v>
      </c>
      <c r="AC67" s="58" t="s">
        <v>67</v>
      </c>
      <c r="AD67" s="58">
        <v>1</v>
      </c>
      <c r="AE67" s="209">
        <v>1</v>
      </c>
      <c r="AF67" s="209">
        <v>1</v>
      </c>
      <c r="AG67" s="209">
        <v>1</v>
      </c>
      <c r="AH67" s="209">
        <v>0</v>
      </c>
      <c r="AI67" s="209">
        <v>1</v>
      </c>
      <c r="AJ67" s="48" t="s">
        <v>214</v>
      </c>
      <c r="AL67" t="str">
        <f t="shared" ca="1" si="0"/>
        <v xml:space="preserve">    (U1)ALERT_REQ_M_T120_PRMRYCHK</v>
      </c>
      <c r="AR67" s="60" t="str">
        <f t="shared" si="3"/>
        <v xml:space="preserve">    (U4)0x0000003DU,                                                           /* 61 PRMRYCHK                                        */</v>
      </c>
      <c r="AS67" s="60" t="str">
        <f t="shared" si="4"/>
        <v xml:space="preserve">    (U4)0x0000003FU,                                                           /* 61 PRMRYCHK                                        */</v>
      </c>
      <c r="AT67" s="60" t="str">
        <f t="shared" ca="1" si="1"/>
        <v xml:space="preserve">    (U1)ALERT_REQ_M_T120_PRMRYCHK,                                             /* 61 PRMRYCHK                                        */</v>
      </c>
    </row>
    <row r="68" spans="1:46">
      <c r="B68" s="130"/>
      <c r="C68" s="44">
        <f t="shared" si="2"/>
        <v>62</v>
      </c>
      <c r="D68" s="58" t="s">
        <v>67</v>
      </c>
      <c r="E68" s="58" t="s">
        <v>67</v>
      </c>
      <c r="F68" s="58" t="s">
        <v>67</v>
      </c>
      <c r="G68" s="58" t="s">
        <v>67</v>
      </c>
      <c r="H68" s="58" t="s">
        <v>67</v>
      </c>
      <c r="I68" s="58" t="s">
        <v>67</v>
      </c>
      <c r="J68" s="58" t="s">
        <v>67</v>
      </c>
      <c r="K68" s="58" t="s">
        <v>67</v>
      </c>
      <c r="L68" s="58" t="s">
        <v>67</v>
      </c>
      <c r="M68" s="58" t="s">
        <v>67</v>
      </c>
      <c r="N68" s="58" t="s">
        <v>67</v>
      </c>
      <c r="O68" s="58" t="s">
        <v>67</v>
      </c>
      <c r="P68" s="58" t="s">
        <v>67</v>
      </c>
      <c r="Q68" s="58" t="s">
        <v>67</v>
      </c>
      <c r="R68" s="58" t="s">
        <v>67</v>
      </c>
      <c r="S68" s="58" t="s">
        <v>67</v>
      </c>
      <c r="T68" s="58" t="s">
        <v>67</v>
      </c>
      <c r="U68" s="58" t="s">
        <v>67</v>
      </c>
      <c r="V68" s="58" t="s">
        <v>67</v>
      </c>
      <c r="W68" s="58" t="s">
        <v>67</v>
      </c>
      <c r="X68" s="58" t="s">
        <v>67</v>
      </c>
      <c r="Y68" s="58" t="s">
        <v>67</v>
      </c>
      <c r="Z68" s="58" t="s">
        <v>67</v>
      </c>
      <c r="AA68" s="58" t="s">
        <v>67</v>
      </c>
      <c r="AB68" s="58" t="s">
        <v>67</v>
      </c>
      <c r="AC68" s="58" t="s">
        <v>67</v>
      </c>
      <c r="AD68" s="58">
        <v>1</v>
      </c>
      <c r="AE68" s="209">
        <v>1</v>
      </c>
      <c r="AF68" s="209">
        <v>1</v>
      </c>
      <c r="AG68" s="209">
        <v>1</v>
      </c>
      <c r="AH68" s="209">
        <v>1</v>
      </c>
      <c r="AI68" s="209">
        <v>0</v>
      </c>
      <c r="AJ68" s="48" t="s">
        <v>32</v>
      </c>
      <c r="AL68" t="str">
        <f t="shared" si="0"/>
        <v xml:space="preserve">    (U1)ALERT_REQ_UNKNOWN</v>
      </c>
      <c r="AR68" s="60" t="str">
        <f t="shared" si="3"/>
        <v xml:space="preserve">    (U4)0x0000003EU,                                                           /* 62 UNKNOWN                                         */</v>
      </c>
      <c r="AS68" s="60" t="str">
        <f t="shared" si="4"/>
        <v xml:space="preserve">    (U4)0x0000003FU,                                                           /* 62 UNKNOWN                                         */</v>
      </c>
      <c r="AT68" s="60" t="str">
        <f t="shared" si="1"/>
        <v xml:space="preserve">    (U1)ALERT_REQ_UNKNOWN,                                                     /* 62 UNKNOWN                                         */</v>
      </c>
    </row>
    <row r="69" spans="1:46">
      <c r="B69" s="131"/>
      <c r="C69" s="44">
        <f t="shared" si="2"/>
        <v>63</v>
      </c>
      <c r="D69" s="58" t="s">
        <v>67</v>
      </c>
      <c r="E69" s="58" t="s">
        <v>67</v>
      </c>
      <c r="F69" s="58" t="s">
        <v>67</v>
      </c>
      <c r="G69" s="58" t="s">
        <v>67</v>
      </c>
      <c r="H69" s="58" t="s">
        <v>67</v>
      </c>
      <c r="I69" s="58" t="s">
        <v>67</v>
      </c>
      <c r="J69" s="58" t="s">
        <v>67</v>
      </c>
      <c r="K69" s="58" t="s">
        <v>67</v>
      </c>
      <c r="L69" s="58" t="s">
        <v>67</v>
      </c>
      <c r="M69" s="58" t="s">
        <v>67</v>
      </c>
      <c r="N69" s="58" t="s">
        <v>67</v>
      </c>
      <c r="O69" s="58" t="s">
        <v>67</v>
      </c>
      <c r="P69" s="58" t="s">
        <v>67</v>
      </c>
      <c r="Q69" s="58" t="s">
        <v>67</v>
      </c>
      <c r="R69" s="58" t="s">
        <v>67</v>
      </c>
      <c r="S69" s="58" t="s">
        <v>67</v>
      </c>
      <c r="T69" s="58" t="s">
        <v>67</v>
      </c>
      <c r="U69" s="58" t="s">
        <v>67</v>
      </c>
      <c r="V69" s="58" t="s">
        <v>67</v>
      </c>
      <c r="W69" s="58" t="s">
        <v>67</v>
      </c>
      <c r="X69" s="58" t="s">
        <v>67</v>
      </c>
      <c r="Y69" s="58" t="s">
        <v>67</v>
      </c>
      <c r="Z69" s="58" t="s">
        <v>67</v>
      </c>
      <c r="AA69" s="58" t="s">
        <v>67</v>
      </c>
      <c r="AB69" s="58" t="s">
        <v>67</v>
      </c>
      <c r="AC69" s="58" t="s">
        <v>67</v>
      </c>
      <c r="AD69" s="58">
        <v>1</v>
      </c>
      <c r="AE69" s="209">
        <v>1</v>
      </c>
      <c r="AF69" s="209">
        <v>1</v>
      </c>
      <c r="AG69" s="209">
        <v>1</v>
      </c>
      <c r="AH69" s="209">
        <v>1</v>
      </c>
      <c r="AI69" s="209">
        <v>1</v>
      </c>
      <c r="AJ69" s="48" t="s">
        <v>214</v>
      </c>
      <c r="AL69" t="str">
        <f t="shared" ca="1" si="0"/>
        <v xml:space="preserve">    (U1)ALERT_REQ_M_T120_PRMRYCHK</v>
      </c>
      <c r="AR69" s="60" t="str">
        <f t="shared" si="3"/>
        <v xml:space="preserve">    (U4)0x0000003FU                                                            /* 63 PRMRYCHK                                        */</v>
      </c>
      <c r="AS69" s="60" t="str">
        <f t="shared" si="4"/>
        <v xml:space="preserve">    (U4)0x0000003FU                                                            /* 63 PRMRYCHK                                        */</v>
      </c>
      <c r="AT69" s="60" t="str">
        <f t="shared" ca="1" si="1"/>
        <v xml:space="preserve">    (U1)ALERT_REQ_M_T120_PRMRYCHK                                              /* 63 PRMRYCHK                                        */</v>
      </c>
    </row>
    <row r="70" spans="1:46" ht="14.25" thickBot="1">
      <c r="A70" s="53" t="s">
        <v>64</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v>
      </c>
      <c r="AS70" s="61" t="str">
        <f t="shared" si="4"/>
        <v>};</v>
      </c>
      <c r="AT70" s="61" t="str">
        <f t="shared" ref="AT70" si="5">IF(AJ70&lt;&gt;"",AL70&amp;IF(AJ71&lt;&gt;"",","," ")&amp;REPT(" ",78-LEN(AL70))&amp;"/* "&amp;IF(C70&lt;10,"0"&amp;C70,C70)&amp;" "&amp;AJ70&amp;REPT(" ",48-LEN(AJ70))&amp;"*/",IF(AJ69&lt;&gt;"","};",""))</f>
        <v>};</v>
      </c>
    </row>
    <row r="71" spans="1:46">
      <c r="B71" s="132" t="str">
        <f ca="1">IF(B6&lt;&gt;"",B6,"")</f>
        <v>Table M_T120</v>
      </c>
      <c r="C71" s="44">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4">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4" t="str">
        <f t="shared" si="7"/>
        <v>UNKNOWN</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UNKNOWN                                         */</v>
      </c>
    </row>
    <row r="73" spans="1:46">
      <c r="B73" s="130"/>
      <c r="C73" s="44">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4" t="str">
        <f t="shared" si="7"/>
        <v>UNKNOWN</v>
      </c>
      <c r="AK73" s="57"/>
      <c r="AL73" s="57" t="str">
        <f t="shared" si="10"/>
        <v>02</v>
      </c>
      <c r="AM73" s="59" t="str">
        <f t="shared" si="11"/>
        <v>00</v>
      </c>
      <c r="AN73" s="59" t="str">
        <f t="shared" si="12"/>
        <v>00</v>
      </c>
      <c r="AO73" s="59" t="str">
        <f t="shared" si="13"/>
        <v>00</v>
      </c>
      <c r="AQ73" t="str">
        <f t="shared" si="8"/>
        <v xml:space="preserve">    (U4)0x00000002U,                                                           /* 02 UNKNOWN                                         */</v>
      </c>
    </row>
    <row r="74" spans="1:46">
      <c r="B74" s="130"/>
      <c r="C74" s="44">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4" t="str">
        <f t="shared" si="7"/>
        <v>UNKNOWN</v>
      </c>
      <c r="AK74" s="57"/>
      <c r="AL74" s="57" t="str">
        <f t="shared" si="10"/>
        <v>03</v>
      </c>
      <c r="AM74" s="59" t="str">
        <f t="shared" si="11"/>
        <v>00</v>
      </c>
      <c r="AN74" s="59" t="str">
        <f t="shared" si="12"/>
        <v>00</v>
      </c>
      <c r="AO74" s="59" t="str">
        <f t="shared" si="13"/>
        <v>00</v>
      </c>
      <c r="AQ74" t="str">
        <f t="shared" si="8"/>
        <v xml:space="preserve">    (U4)0x00000003U,                                                           /* 03 UNKNOWN                                         */</v>
      </c>
    </row>
    <row r="75" spans="1:46">
      <c r="B75" s="130"/>
      <c r="C75" s="44">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4" t="str">
        <f t="shared" si="7"/>
        <v>UNKNOWN</v>
      </c>
      <c r="AK75" s="57"/>
      <c r="AL75" s="57" t="str">
        <f t="shared" si="10"/>
        <v>04</v>
      </c>
      <c r="AM75" s="59" t="str">
        <f t="shared" si="11"/>
        <v>00</v>
      </c>
      <c r="AN75" s="59" t="str">
        <f t="shared" si="12"/>
        <v>00</v>
      </c>
      <c r="AO75" s="59" t="str">
        <f t="shared" si="13"/>
        <v>00</v>
      </c>
      <c r="AQ75" t="str">
        <f t="shared" si="8"/>
        <v xml:space="preserve">    (U4)0x00000004U,                                                           /* 04 UNKNOWN                                         */</v>
      </c>
    </row>
    <row r="76" spans="1:46">
      <c r="B76" s="130"/>
      <c r="C76" s="44">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0"/>
      <c r="C77" s="44">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0"/>
      <c r="C78" s="44">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0"/>
      <c r="C79" s="44">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4" t="str">
        <f t="shared" si="7"/>
        <v>UNKNOWN</v>
      </c>
      <c r="AK79" s="57"/>
      <c r="AL79" s="57" t="str">
        <f t="shared" si="10"/>
        <v>08</v>
      </c>
      <c r="AM79" s="59" t="str">
        <f t="shared" si="11"/>
        <v>00</v>
      </c>
      <c r="AN79" s="59" t="str">
        <f t="shared" si="12"/>
        <v>00</v>
      </c>
      <c r="AO79" s="59" t="str">
        <f t="shared" si="13"/>
        <v>00</v>
      </c>
      <c r="AQ79" t="str">
        <f t="shared" si="8"/>
        <v xml:space="preserve">    (U4)0x00000008U,                                                           /* 08 UNKNOWN                                         */</v>
      </c>
    </row>
    <row r="80" spans="1:46">
      <c r="B80" s="130"/>
      <c r="C80" s="44">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4" t="str">
        <f t="shared" si="7"/>
        <v>UNKNOWN</v>
      </c>
      <c r="AK80" s="57"/>
      <c r="AL80" s="57" t="str">
        <f t="shared" si="10"/>
        <v>09</v>
      </c>
      <c r="AM80" s="59" t="str">
        <f t="shared" si="11"/>
        <v>00</v>
      </c>
      <c r="AN80" s="59" t="str">
        <f t="shared" si="12"/>
        <v>00</v>
      </c>
      <c r="AO80" s="59" t="str">
        <f t="shared" si="13"/>
        <v>00</v>
      </c>
      <c r="AQ80" t="str">
        <f t="shared" si="8"/>
        <v xml:space="preserve">    (U4)0x00000009U,                                                           /* 09 UNKNOWN                                         */</v>
      </c>
    </row>
    <row r="81" spans="2:43">
      <c r="B81" s="130"/>
      <c r="C81" s="44">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4" t="str">
        <f t="shared" si="7"/>
        <v>UNKNOWN</v>
      </c>
      <c r="AK81" s="57"/>
      <c r="AL81" s="57" t="str">
        <f t="shared" si="10"/>
        <v>0A</v>
      </c>
      <c r="AM81" s="59" t="str">
        <f t="shared" si="11"/>
        <v>00</v>
      </c>
      <c r="AN81" s="59" t="str">
        <f t="shared" si="12"/>
        <v>00</v>
      </c>
      <c r="AO81" s="59" t="str">
        <f t="shared" si="13"/>
        <v>00</v>
      </c>
      <c r="AQ81" t="str">
        <f t="shared" si="8"/>
        <v xml:space="preserve">    (U4)0x0000000AU,                                                           /* 10 UNKNOWN                                         */</v>
      </c>
    </row>
    <row r="82" spans="2:43">
      <c r="B82" s="130"/>
      <c r="C82" s="44">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4" t="str">
        <f t="shared" si="7"/>
        <v>UNKNOWN</v>
      </c>
      <c r="AK82" s="57"/>
      <c r="AL82" s="57" t="str">
        <f t="shared" si="10"/>
        <v>0B</v>
      </c>
      <c r="AM82" s="59" t="str">
        <f t="shared" si="11"/>
        <v>00</v>
      </c>
      <c r="AN82" s="59" t="str">
        <f t="shared" si="12"/>
        <v>00</v>
      </c>
      <c r="AO82" s="59" t="str">
        <f t="shared" si="13"/>
        <v>00</v>
      </c>
      <c r="AQ82" t="str">
        <f t="shared" si="8"/>
        <v xml:space="preserve">    (U4)0x0000000BU,                                                           /* 11 UNKNOWN                                         */</v>
      </c>
    </row>
    <row r="83" spans="2:43">
      <c r="B83" s="130"/>
      <c r="C83" s="44">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4" t="str">
        <f t="shared" si="7"/>
        <v>UNKNOWN</v>
      </c>
      <c r="AK83" s="57"/>
      <c r="AL83" s="57" t="str">
        <f t="shared" si="10"/>
        <v>0C</v>
      </c>
      <c r="AM83" s="59" t="str">
        <f t="shared" si="11"/>
        <v>00</v>
      </c>
      <c r="AN83" s="59" t="str">
        <f t="shared" si="12"/>
        <v>00</v>
      </c>
      <c r="AO83" s="59" t="str">
        <f t="shared" si="13"/>
        <v>00</v>
      </c>
      <c r="AQ83" t="str">
        <f t="shared" si="8"/>
        <v xml:space="preserve">    (U4)0x0000000CU,                                                           /* 12 UNKNOWN                                         */</v>
      </c>
    </row>
    <row r="84" spans="2:43">
      <c r="B84" s="130"/>
      <c r="C84" s="44">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4" t="str">
        <f t="shared" si="7"/>
        <v>UNKNOWN</v>
      </c>
      <c r="AK84" s="57"/>
      <c r="AL84" s="57" t="str">
        <f t="shared" si="10"/>
        <v>0D</v>
      </c>
      <c r="AM84" s="59" t="str">
        <f t="shared" si="11"/>
        <v>00</v>
      </c>
      <c r="AN84" s="59" t="str">
        <f t="shared" si="12"/>
        <v>00</v>
      </c>
      <c r="AO84" s="59" t="str">
        <f t="shared" si="13"/>
        <v>00</v>
      </c>
      <c r="AQ84" t="str">
        <f t="shared" si="8"/>
        <v xml:space="preserve">    (U4)0x0000000DU,                                                           /* 13 UNKNOWN                                         */</v>
      </c>
    </row>
    <row r="85" spans="2:43">
      <c r="B85" s="130"/>
      <c r="C85" s="44">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4" t="str">
        <f t="shared" si="7"/>
        <v>UNKNOWN</v>
      </c>
      <c r="AK85" s="57"/>
      <c r="AL85" s="57" t="str">
        <f t="shared" si="10"/>
        <v>0E</v>
      </c>
      <c r="AM85" s="59" t="str">
        <f t="shared" si="11"/>
        <v>00</v>
      </c>
      <c r="AN85" s="59" t="str">
        <f t="shared" si="12"/>
        <v>00</v>
      </c>
      <c r="AO85" s="59" t="str">
        <f t="shared" si="13"/>
        <v>00</v>
      </c>
      <c r="AQ85" t="str">
        <f t="shared" si="8"/>
        <v xml:space="preserve">    (U4)0x0000000EU,                                                           /* 14 UNKNOWN                                         */</v>
      </c>
    </row>
    <row r="86" spans="2:43">
      <c r="B86" s="130"/>
      <c r="C86" s="44">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4" t="str">
        <f t="shared" si="7"/>
        <v>UNKNOWN</v>
      </c>
      <c r="AK86" s="57"/>
      <c r="AL86" s="57" t="str">
        <f t="shared" si="10"/>
        <v>0F</v>
      </c>
      <c r="AM86" s="59" t="str">
        <f t="shared" si="11"/>
        <v>00</v>
      </c>
      <c r="AN86" s="59" t="str">
        <f t="shared" si="12"/>
        <v>00</v>
      </c>
      <c r="AO86" s="59" t="str">
        <f t="shared" si="13"/>
        <v>00</v>
      </c>
      <c r="AQ86" t="str">
        <f t="shared" si="8"/>
        <v xml:space="preserve">    (U4)0x0000000FU,                                                           /* 15 UNKNOWN                                         */</v>
      </c>
    </row>
    <row r="87" spans="2:43">
      <c r="B87" s="130"/>
      <c r="C87" s="44">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1</v>
      </c>
      <c r="AF87" s="123">
        <f t="shared" si="17"/>
        <v>0</v>
      </c>
      <c r="AG87" s="123">
        <f t="shared" si="17"/>
        <v>0</v>
      </c>
      <c r="AH87" s="123">
        <f t="shared" si="17"/>
        <v>0</v>
      </c>
      <c r="AI87" s="123">
        <f t="shared" si="17"/>
        <v>0</v>
      </c>
      <c r="AJ87" s="44" t="str">
        <f t="shared" si="7"/>
        <v>UNKNOWN</v>
      </c>
      <c r="AK87" s="57"/>
      <c r="AL87" s="57" t="str">
        <f t="shared" si="10"/>
        <v>10</v>
      </c>
      <c r="AM87" s="59" t="str">
        <f t="shared" si="11"/>
        <v>00</v>
      </c>
      <c r="AN87" s="59" t="str">
        <f t="shared" si="12"/>
        <v>00</v>
      </c>
      <c r="AO87" s="59" t="str">
        <f t="shared" si="13"/>
        <v>00</v>
      </c>
      <c r="AQ87" t="str">
        <f t="shared" si="8"/>
        <v xml:space="preserve">    (U4)0x00000010U,                                                           /* 16 UNKNOWN                                         */</v>
      </c>
    </row>
    <row r="88" spans="2:43">
      <c r="B88" s="130"/>
      <c r="C88" s="44">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1</v>
      </c>
      <c r="AF88" s="123">
        <f t="shared" si="17"/>
        <v>0</v>
      </c>
      <c r="AG88" s="123">
        <f t="shared" si="17"/>
        <v>0</v>
      </c>
      <c r="AH88" s="123">
        <f t="shared" si="17"/>
        <v>0</v>
      </c>
      <c r="AI88" s="123">
        <f t="shared" si="17"/>
        <v>1</v>
      </c>
      <c r="AJ88" s="44" t="str">
        <f t="shared" si="7"/>
        <v>UNKNOWN</v>
      </c>
      <c r="AK88" s="57"/>
      <c r="AL88" s="57" t="str">
        <f t="shared" si="10"/>
        <v>11</v>
      </c>
      <c r="AM88" s="59" t="str">
        <f t="shared" si="11"/>
        <v>00</v>
      </c>
      <c r="AN88" s="59" t="str">
        <f t="shared" si="12"/>
        <v>00</v>
      </c>
      <c r="AO88" s="59" t="str">
        <f t="shared" si="13"/>
        <v>00</v>
      </c>
      <c r="AQ88" t="str">
        <f t="shared" si="8"/>
        <v xml:space="preserve">    (U4)0x00000011U,                                                           /* 17 UNKNOWN                                         */</v>
      </c>
    </row>
    <row r="89" spans="2:43">
      <c r="B89" s="130"/>
      <c r="C89" s="44">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1</v>
      </c>
      <c r="AF89" s="123">
        <f t="shared" si="17"/>
        <v>0</v>
      </c>
      <c r="AG89" s="123">
        <f t="shared" si="17"/>
        <v>0</v>
      </c>
      <c r="AH89" s="123">
        <f t="shared" si="17"/>
        <v>1</v>
      </c>
      <c r="AI89" s="123">
        <f t="shared" si="17"/>
        <v>0</v>
      </c>
      <c r="AJ89" s="44" t="str">
        <f t="shared" si="7"/>
        <v>UNKNOWN</v>
      </c>
      <c r="AK89" s="57"/>
      <c r="AL89" s="57" t="str">
        <f t="shared" si="10"/>
        <v>12</v>
      </c>
      <c r="AM89" s="59" t="str">
        <f t="shared" si="11"/>
        <v>00</v>
      </c>
      <c r="AN89" s="59" t="str">
        <f t="shared" si="12"/>
        <v>00</v>
      </c>
      <c r="AO89" s="59" t="str">
        <f t="shared" si="13"/>
        <v>00</v>
      </c>
      <c r="AQ89" t="str">
        <f t="shared" si="8"/>
        <v xml:space="preserve">    (U4)0x00000012U,                                                           /* 18 UNKNOWN                                         */</v>
      </c>
    </row>
    <row r="90" spans="2:43">
      <c r="B90" s="130"/>
      <c r="C90" s="44">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1</v>
      </c>
      <c r="AF90" s="123">
        <f t="shared" si="17"/>
        <v>0</v>
      </c>
      <c r="AG90" s="123">
        <f t="shared" si="17"/>
        <v>0</v>
      </c>
      <c r="AH90" s="123">
        <f t="shared" si="17"/>
        <v>1</v>
      </c>
      <c r="AI90" s="123">
        <f t="shared" si="17"/>
        <v>1</v>
      </c>
      <c r="AJ90" s="44" t="str">
        <f t="shared" si="7"/>
        <v>UNKNOWN</v>
      </c>
      <c r="AK90" s="57"/>
      <c r="AL90" s="57" t="str">
        <f t="shared" si="10"/>
        <v>13</v>
      </c>
      <c r="AM90" s="59" t="str">
        <f t="shared" si="11"/>
        <v>00</v>
      </c>
      <c r="AN90" s="59" t="str">
        <f t="shared" si="12"/>
        <v>00</v>
      </c>
      <c r="AO90" s="59" t="str">
        <f t="shared" si="13"/>
        <v>00</v>
      </c>
      <c r="AQ90" t="str">
        <f t="shared" si="8"/>
        <v xml:space="preserve">    (U4)0x00000013U,                                                           /* 19 UNKNOWN                                         */</v>
      </c>
    </row>
    <row r="91" spans="2:43">
      <c r="B91" s="130"/>
      <c r="C91" s="44">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1</v>
      </c>
      <c r="AF91" s="123">
        <f t="shared" si="17"/>
        <v>0</v>
      </c>
      <c r="AG91" s="123">
        <f t="shared" si="17"/>
        <v>1</v>
      </c>
      <c r="AH91" s="123">
        <f t="shared" si="17"/>
        <v>0</v>
      </c>
      <c r="AI91" s="123">
        <f t="shared" si="17"/>
        <v>0</v>
      </c>
      <c r="AJ91" s="44" t="str">
        <f t="shared" si="7"/>
        <v>UNKNOWN</v>
      </c>
      <c r="AK91" s="57"/>
      <c r="AL91" s="57" t="str">
        <f t="shared" si="10"/>
        <v>14</v>
      </c>
      <c r="AM91" s="59" t="str">
        <f t="shared" si="11"/>
        <v>00</v>
      </c>
      <c r="AN91" s="59" t="str">
        <f t="shared" si="12"/>
        <v>00</v>
      </c>
      <c r="AO91" s="59" t="str">
        <f t="shared" si="13"/>
        <v>00</v>
      </c>
      <c r="AQ91" t="str">
        <f t="shared" si="8"/>
        <v xml:space="preserve">    (U4)0x00000014U,                                                           /* 20 UNKNOWN                                         */</v>
      </c>
    </row>
    <row r="92" spans="2:43">
      <c r="B92" s="130"/>
      <c r="C92" s="44">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1</v>
      </c>
      <c r="AF92" s="123">
        <f t="shared" si="17"/>
        <v>0</v>
      </c>
      <c r="AG92" s="123">
        <f t="shared" si="17"/>
        <v>1</v>
      </c>
      <c r="AH92" s="123">
        <f t="shared" si="17"/>
        <v>0</v>
      </c>
      <c r="AI92" s="123">
        <f t="shared" si="17"/>
        <v>1</v>
      </c>
      <c r="AJ92" s="44" t="str">
        <f t="shared" si="7"/>
        <v>UNKNOWN</v>
      </c>
      <c r="AK92" s="57"/>
      <c r="AL92" s="57" t="str">
        <f t="shared" si="10"/>
        <v>15</v>
      </c>
      <c r="AM92" s="59" t="str">
        <f t="shared" si="11"/>
        <v>00</v>
      </c>
      <c r="AN92" s="59" t="str">
        <f t="shared" si="12"/>
        <v>00</v>
      </c>
      <c r="AO92" s="59" t="str">
        <f t="shared" si="13"/>
        <v>00</v>
      </c>
      <c r="AQ92" t="str">
        <f t="shared" si="8"/>
        <v xml:space="preserve">    (U4)0x00000015U,                                                           /* 21 UNKNOWN                                         */</v>
      </c>
    </row>
    <row r="93" spans="2:43">
      <c r="B93" s="130"/>
      <c r="C93" s="44">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1</v>
      </c>
      <c r="AF93" s="123">
        <f t="shared" si="17"/>
        <v>0</v>
      </c>
      <c r="AG93" s="123">
        <f t="shared" si="17"/>
        <v>1</v>
      </c>
      <c r="AH93" s="123">
        <f t="shared" si="17"/>
        <v>1</v>
      </c>
      <c r="AI93" s="123">
        <f t="shared" si="17"/>
        <v>0</v>
      </c>
      <c r="AJ93" s="44" t="str">
        <f t="shared" si="7"/>
        <v>UNKNOWN</v>
      </c>
      <c r="AK93" s="57"/>
      <c r="AL93" s="57" t="str">
        <f t="shared" si="10"/>
        <v>16</v>
      </c>
      <c r="AM93" s="59" t="str">
        <f t="shared" si="11"/>
        <v>00</v>
      </c>
      <c r="AN93" s="59" t="str">
        <f t="shared" si="12"/>
        <v>00</v>
      </c>
      <c r="AO93" s="59" t="str">
        <f t="shared" si="13"/>
        <v>00</v>
      </c>
      <c r="AQ93" t="str">
        <f t="shared" si="8"/>
        <v xml:space="preserve">    (U4)0x00000016U,                                                           /* 22 UNKNOWN                                         */</v>
      </c>
    </row>
    <row r="94" spans="2:43">
      <c r="B94" s="130"/>
      <c r="C94" s="44">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1</v>
      </c>
      <c r="AF94" s="123">
        <f t="shared" si="17"/>
        <v>0</v>
      </c>
      <c r="AG94" s="123">
        <f t="shared" si="17"/>
        <v>1</v>
      </c>
      <c r="AH94" s="123">
        <f t="shared" si="17"/>
        <v>1</v>
      </c>
      <c r="AI94" s="123">
        <f t="shared" ref="AI94" si="18">IF(AI29=1,1,0)</f>
        <v>1</v>
      </c>
      <c r="AJ94" s="44" t="str">
        <f t="shared" si="7"/>
        <v>UNKNOWN</v>
      </c>
      <c r="AK94" s="57"/>
      <c r="AL94" s="57" t="str">
        <f t="shared" si="10"/>
        <v>17</v>
      </c>
      <c r="AM94" s="59" t="str">
        <f t="shared" si="11"/>
        <v>00</v>
      </c>
      <c r="AN94" s="59" t="str">
        <f t="shared" si="12"/>
        <v>00</v>
      </c>
      <c r="AO94" s="59" t="str">
        <f t="shared" si="13"/>
        <v>00</v>
      </c>
      <c r="AQ94" t="str">
        <f t="shared" si="8"/>
        <v xml:space="preserve">    (U4)0x00000017U,                                                           /* 23 UNKNOWN                                         */</v>
      </c>
    </row>
    <row r="95" spans="2:43">
      <c r="B95" s="130"/>
      <c r="C95" s="44">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1</v>
      </c>
      <c r="AF95" s="123">
        <f t="shared" si="19"/>
        <v>1</v>
      </c>
      <c r="AG95" s="123">
        <f t="shared" si="19"/>
        <v>0</v>
      </c>
      <c r="AH95" s="123">
        <f t="shared" si="19"/>
        <v>0</v>
      </c>
      <c r="AI95" s="123">
        <f t="shared" si="19"/>
        <v>0</v>
      </c>
      <c r="AJ95" s="44" t="str">
        <f t="shared" si="7"/>
        <v>UNKNOWN</v>
      </c>
      <c r="AK95" s="57"/>
      <c r="AL95" s="57" t="str">
        <f t="shared" si="10"/>
        <v>18</v>
      </c>
      <c r="AM95" s="59" t="str">
        <f t="shared" si="11"/>
        <v>00</v>
      </c>
      <c r="AN95" s="59" t="str">
        <f t="shared" si="12"/>
        <v>00</v>
      </c>
      <c r="AO95" s="59" t="str">
        <f t="shared" si="13"/>
        <v>00</v>
      </c>
      <c r="AQ95" t="str">
        <f t="shared" si="8"/>
        <v xml:space="preserve">    (U4)0x00000018U,                                                           /* 24 UNKNOWN                                         */</v>
      </c>
    </row>
    <row r="96" spans="2:43">
      <c r="B96" s="130"/>
      <c r="C96" s="44">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1</v>
      </c>
      <c r="AF96" s="123">
        <f t="shared" si="19"/>
        <v>1</v>
      </c>
      <c r="AG96" s="123">
        <f t="shared" si="19"/>
        <v>0</v>
      </c>
      <c r="AH96" s="123">
        <f t="shared" si="19"/>
        <v>0</v>
      </c>
      <c r="AI96" s="123">
        <f t="shared" si="19"/>
        <v>1</v>
      </c>
      <c r="AJ96" s="44" t="str">
        <f t="shared" si="7"/>
        <v>UNKNOWN</v>
      </c>
      <c r="AK96" s="57"/>
      <c r="AL96" s="57" t="str">
        <f t="shared" si="10"/>
        <v>19</v>
      </c>
      <c r="AM96" s="59" t="str">
        <f t="shared" si="11"/>
        <v>00</v>
      </c>
      <c r="AN96" s="59" t="str">
        <f t="shared" si="12"/>
        <v>00</v>
      </c>
      <c r="AO96" s="59" t="str">
        <f t="shared" si="13"/>
        <v>00</v>
      </c>
      <c r="AQ96" t="str">
        <f t="shared" si="8"/>
        <v xml:space="preserve">    (U4)0x00000019U,                                                           /* 25 UNKNOWN                                         */</v>
      </c>
    </row>
    <row r="97" spans="2:43">
      <c r="B97" s="130"/>
      <c r="C97" s="44">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1</v>
      </c>
      <c r="AF97" s="123">
        <f t="shared" si="19"/>
        <v>1</v>
      </c>
      <c r="AG97" s="123">
        <f t="shared" si="19"/>
        <v>0</v>
      </c>
      <c r="AH97" s="123">
        <f t="shared" si="19"/>
        <v>1</v>
      </c>
      <c r="AI97" s="123">
        <f t="shared" si="19"/>
        <v>0</v>
      </c>
      <c r="AJ97" s="44" t="str">
        <f t="shared" si="7"/>
        <v>UNKNOWN</v>
      </c>
      <c r="AK97" s="57"/>
      <c r="AL97" s="57" t="str">
        <f t="shared" si="10"/>
        <v>1A</v>
      </c>
      <c r="AM97" s="59" t="str">
        <f t="shared" si="11"/>
        <v>00</v>
      </c>
      <c r="AN97" s="59" t="str">
        <f t="shared" si="12"/>
        <v>00</v>
      </c>
      <c r="AO97" s="59" t="str">
        <f t="shared" si="13"/>
        <v>00</v>
      </c>
      <c r="AQ97" t="str">
        <f t="shared" si="8"/>
        <v xml:space="preserve">    (U4)0x0000001AU,                                                           /* 26 UNKNOWN                                         */</v>
      </c>
    </row>
    <row r="98" spans="2:43">
      <c r="B98" s="130"/>
      <c r="C98" s="44">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1</v>
      </c>
      <c r="AF98" s="123">
        <f t="shared" si="19"/>
        <v>1</v>
      </c>
      <c r="AG98" s="123">
        <f t="shared" si="19"/>
        <v>0</v>
      </c>
      <c r="AH98" s="123">
        <f t="shared" si="19"/>
        <v>1</v>
      </c>
      <c r="AI98" s="123">
        <f t="shared" si="19"/>
        <v>1</v>
      </c>
      <c r="AJ98" s="44" t="str">
        <f t="shared" si="7"/>
        <v>UNKNOWN</v>
      </c>
      <c r="AK98" s="57"/>
      <c r="AL98" s="57" t="str">
        <f t="shared" si="10"/>
        <v>1B</v>
      </c>
      <c r="AM98" s="59" t="str">
        <f t="shared" si="11"/>
        <v>00</v>
      </c>
      <c r="AN98" s="59" t="str">
        <f t="shared" si="12"/>
        <v>00</v>
      </c>
      <c r="AO98" s="59" t="str">
        <f t="shared" si="13"/>
        <v>00</v>
      </c>
      <c r="AQ98" t="str">
        <f t="shared" si="8"/>
        <v xml:space="preserve">    (U4)0x0000001BU,                                                           /* 27 UNKNOWN                                         */</v>
      </c>
    </row>
    <row r="99" spans="2:43">
      <c r="B99" s="130"/>
      <c r="C99" s="44">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1</v>
      </c>
      <c r="AF99" s="123">
        <f t="shared" si="19"/>
        <v>1</v>
      </c>
      <c r="AG99" s="123">
        <f t="shared" si="19"/>
        <v>1</v>
      </c>
      <c r="AH99" s="123">
        <f t="shared" si="19"/>
        <v>0</v>
      </c>
      <c r="AI99" s="123">
        <f t="shared" si="19"/>
        <v>0</v>
      </c>
      <c r="AJ99" s="44" t="str">
        <f t="shared" si="7"/>
        <v>UNKNOWN</v>
      </c>
      <c r="AK99" s="57"/>
      <c r="AL99" s="57" t="str">
        <f t="shared" si="10"/>
        <v>1C</v>
      </c>
      <c r="AM99" s="59" t="str">
        <f t="shared" si="11"/>
        <v>00</v>
      </c>
      <c r="AN99" s="59" t="str">
        <f t="shared" si="12"/>
        <v>00</v>
      </c>
      <c r="AO99" s="59" t="str">
        <f t="shared" si="13"/>
        <v>00</v>
      </c>
      <c r="AQ99" t="str">
        <f t="shared" si="8"/>
        <v xml:space="preserve">    (U4)0x0000001CU,                                                           /* 28 UNKNOWN                                         */</v>
      </c>
    </row>
    <row r="100" spans="2:43">
      <c r="B100" s="130"/>
      <c r="C100" s="44">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1</v>
      </c>
      <c r="AF100" s="123">
        <f t="shared" si="19"/>
        <v>1</v>
      </c>
      <c r="AG100" s="123">
        <f t="shared" si="19"/>
        <v>1</v>
      </c>
      <c r="AH100" s="123">
        <f t="shared" si="19"/>
        <v>0</v>
      </c>
      <c r="AI100" s="123">
        <f t="shared" si="19"/>
        <v>1</v>
      </c>
      <c r="AJ100" s="44" t="str">
        <f t="shared" si="7"/>
        <v>UNKNOWN</v>
      </c>
      <c r="AK100" s="57"/>
      <c r="AL100" s="57" t="str">
        <f t="shared" si="10"/>
        <v>1D</v>
      </c>
      <c r="AM100" s="59" t="str">
        <f t="shared" si="11"/>
        <v>00</v>
      </c>
      <c r="AN100" s="59" t="str">
        <f t="shared" si="12"/>
        <v>00</v>
      </c>
      <c r="AO100" s="59" t="str">
        <f t="shared" si="13"/>
        <v>00</v>
      </c>
      <c r="AQ100" t="str">
        <f t="shared" si="8"/>
        <v xml:space="preserve">    (U4)0x0000001DU,                                                           /* 29 UNKNOWN                                         */</v>
      </c>
    </row>
    <row r="101" spans="2:43">
      <c r="B101" s="130"/>
      <c r="C101" s="44">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1</v>
      </c>
      <c r="AF101" s="123">
        <f t="shared" si="19"/>
        <v>1</v>
      </c>
      <c r="AG101" s="123">
        <f t="shared" si="19"/>
        <v>1</v>
      </c>
      <c r="AH101" s="123">
        <f t="shared" si="19"/>
        <v>1</v>
      </c>
      <c r="AI101" s="123">
        <f t="shared" si="19"/>
        <v>0</v>
      </c>
      <c r="AJ101" s="44" t="str">
        <f t="shared" si="7"/>
        <v>UNKNOWN</v>
      </c>
      <c r="AK101" s="57"/>
      <c r="AL101" s="57" t="str">
        <f t="shared" si="10"/>
        <v>1E</v>
      </c>
      <c r="AM101" s="59" t="str">
        <f t="shared" si="11"/>
        <v>00</v>
      </c>
      <c r="AN101" s="59" t="str">
        <f t="shared" si="12"/>
        <v>00</v>
      </c>
      <c r="AO101" s="59" t="str">
        <f t="shared" si="13"/>
        <v>00</v>
      </c>
      <c r="AQ101" t="str">
        <f t="shared" si="8"/>
        <v xml:space="preserve">    (U4)0x0000001EU,                                                           /* 30 UNKNOWN                                         */</v>
      </c>
    </row>
    <row r="102" spans="2:43">
      <c r="B102" s="130"/>
      <c r="C102" s="44">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1</v>
      </c>
      <c r="AF102" s="123">
        <f t="shared" si="19"/>
        <v>1</v>
      </c>
      <c r="AG102" s="123">
        <f t="shared" si="19"/>
        <v>1</v>
      </c>
      <c r="AH102" s="123">
        <f t="shared" si="19"/>
        <v>1</v>
      </c>
      <c r="AI102" s="123">
        <f t="shared" ref="AI102" si="20">IF(AI37=1,1,0)</f>
        <v>1</v>
      </c>
      <c r="AJ102" s="44" t="str">
        <f t="shared" si="7"/>
        <v>UNKNOWN</v>
      </c>
      <c r="AK102" s="57"/>
      <c r="AL102" s="57" t="str">
        <f t="shared" si="10"/>
        <v>1F</v>
      </c>
      <c r="AM102" s="59" t="str">
        <f t="shared" si="11"/>
        <v>00</v>
      </c>
      <c r="AN102" s="59" t="str">
        <f t="shared" si="12"/>
        <v>00</v>
      </c>
      <c r="AO102" s="59" t="str">
        <f t="shared" si="13"/>
        <v>00</v>
      </c>
      <c r="AQ102" t="str">
        <f t="shared" si="8"/>
        <v xml:space="preserve">    (U4)0x0000001FU,                                                           /* 31 UNKNOWN                                         */</v>
      </c>
    </row>
    <row r="103" spans="2:43">
      <c r="B103" s="130"/>
      <c r="C103" s="44">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1</v>
      </c>
      <c r="AE103" s="123">
        <f t="shared" si="21"/>
        <v>0</v>
      </c>
      <c r="AF103" s="123">
        <f t="shared" si="21"/>
        <v>0</v>
      </c>
      <c r="AG103" s="123">
        <f t="shared" si="21"/>
        <v>0</v>
      </c>
      <c r="AH103" s="123">
        <f t="shared" si="21"/>
        <v>0</v>
      </c>
      <c r="AI103" s="123">
        <f t="shared" si="21"/>
        <v>0</v>
      </c>
      <c r="AJ103" s="44" t="str">
        <f t="shared" si="7"/>
        <v>UNKNOWN</v>
      </c>
      <c r="AK103" s="57"/>
      <c r="AL103" s="57" t="str">
        <f t="shared" si="10"/>
        <v>20</v>
      </c>
      <c r="AM103" s="59" t="str">
        <f t="shared" si="11"/>
        <v>00</v>
      </c>
      <c r="AN103" s="59" t="str">
        <f t="shared" si="12"/>
        <v>00</v>
      </c>
      <c r="AO103" s="59" t="str">
        <f t="shared" si="13"/>
        <v>00</v>
      </c>
      <c r="AQ103" t="str">
        <f t="shared" si="8"/>
        <v xml:space="preserve">    (U4)0x00000020U,                                                           /* 32 UNKNOWN                                         */</v>
      </c>
    </row>
    <row r="104" spans="2:43">
      <c r="B104" s="130"/>
      <c r="C104" s="44">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1</v>
      </c>
      <c r="AE104" s="123">
        <f t="shared" si="21"/>
        <v>0</v>
      </c>
      <c r="AF104" s="123">
        <f t="shared" si="21"/>
        <v>0</v>
      </c>
      <c r="AG104" s="123">
        <f t="shared" si="21"/>
        <v>0</v>
      </c>
      <c r="AH104" s="123">
        <f t="shared" si="21"/>
        <v>0</v>
      </c>
      <c r="AI104" s="123">
        <f t="shared" si="21"/>
        <v>1</v>
      </c>
      <c r="AJ104" s="44" t="str">
        <f t="shared" si="7"/>
        <v>PRMRYCHK</v>
      </c>
      <c r="AK104" s="57"/>
      <c r="AL104" s="57" t="str">
        <f t="shared" si="10"/>
        <v>21</v>
      </c>
      <c r="AM104" s="59" t="str">
        <f t="shared" si="11"/>
        <v>00</v>
      </c>
      <c r="AN104" s="59" t="str">
        <f t="shared" si="12"/>
        <v>00</v>
      </c>
      <c r="AO104" s="59" t="str">
        <f t="shared" si="13"/>
        <v>00</v>
      </c>
      <c r="AQ104" t="str">
        <f t="shared" si="8"/>
        <v xml:space="preserve">    (U4)0x00000021U,                                                           /* 33 PRMRYCHK                                        */</v>
      </c>
    </row>
    <row r="105" spans="2:43">
      <c r="B105" s="130"/>
      <c r="C105" s="44">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1</v>
      </c>
      <c r="AE105" s="123">
        <f t="shared" si="21"/>
        <v>0</v>
      </c>
      <c r="AF105" s="123">
        <f t="shared" si="21"/>
        <v>0</v>
      </c>
      <c r="AG105" s="123">
        <f t="shared" si="21"/>
        <v>0</v>
      </c>
      <c r="AH105" s="123">
        <f t="shared" si="21"/>
        <v>1</v>
      </c>
      <c r="AI105" s="123">
        <f t="shared" si="21"/>
        <v>0</v>
      </c>
      <c r="AJ105" s="44" t="str">
        <f t="shared" si="7"/>
        <v>UNKNOWN</v>
      </c>
      <c r="AK105" s="57"/>
      <c r="AL105" s="57" t="str">
        <f t="shared" si="10"/>
        <v>22</v>
      </c>
      <c r="AM105" s="59" t="str">
        <f t="shared" si="11"/>
        <v>00</v>
      </c>
      <c r="AN105" s="59" t="str">
        <f t="shared" si="12"/>
        <v>00</v>
      </c>
      <c r="AO105" s="59" t="str">
        <f t="shared" si="13"/>
        <v>00</v>
      </c>
      <c r="AQ105" t="str">
        <f t="shared" si="8"/>
        <v xml:space="preserve">    (U4)0x00000022U,                                                           /* 34 UNKNOWN                                         */</v>
      </c>
    </row>
    <row r="106" spans="2:43">
      <c r="B106" s="130"/>
      <c r="C106" s="44">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1</v>
      </c>
      <c r="AE106" s="123">
        <f t="shared" si="21"/>
        <v>0</v>
      </c>
      <c r="AF106" s="123">
        <f t="shared" si="21"/>
        <v>0</v>
      </c>
      <c r="AG106" s="123">
        <f t="shared" si="21"/>
        <v>0</v>
      </c>
      <c r="AH106" s="123">
        <f t="shared" si="21"/>
        <v>1</v>
      </c>
      <c r="AI106" s="123">
        <f t="shared" si="21"/>
        <v>1</v>
      </c>
      <c r="AJ106" s="44" t="str">
        <f t="shared" si="7"/>
        <v>PRMRYCHK</v>
      </c>
      <c r="AK106" s="57"/>
      <c r="AL106" s="57" t="str">
        <f t="shared" si="10"/>
        <v>23</v>
      </c>
      <c r="AM106" s="59" t="str">
        <f t="shared" si="11"/>
        <v>00</v>
      </c>
      <c r="AN106" s="59" t="str">
        <f t="shared" si="12"/>
        <v>00</v>
      </c>
      <c r="AO106" s="59" t="str">
        <f t="shared" si="13"/>
        <v>00</v>
      </c>
      <c r="AQ106" t="str">
        <f t="shared" si="8"/>
        <v xml:space="preserve">    (U4)0x00000023U,                                                           /* 35 PRMRYCHK                                        */</v>
      </c>
    </row>
    <row r="107" spans="2:43">
      <c r="B107" s="130"/>
      <c r="C107" s="44">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1</v>
      </c>
      <c r="AE107" s="123">
        <f t="shared" si="21"/>
        <v>0</v>
      </c>
      <c r="AF107" s="123">
        <f t="shared" si="21"/>
        <v>0</v>
      </c>
      <c r="AG107" s="123">
        <f t="shared" si="21"/>
        <v>1</v>
      </c>
      <c r="AH107" s="123">
        <f t="shared" si="21"/>
        <v>0</v>
      </c>
      <c r="AI107" s="123">
        <f t="shared" si="21"/>
        <v>0</v>
      </c>
      <c r="AJ107" s="44" t="str">
        <f t="shared" si="7"/>
        <v>UNKNOWN</v>
      </c>
      <c r="AK107" s="57"/>
      <c r="AL107" s="57" t="str">
        <f t="shared" si="10"/>
        <v>24</v>
      </c>
      <c r="AM107" s="59" t="str">
        <f t="shared" si="11"/>
        <v>00</v>
      </c>
      <c r="AN107" s="59" t="str">
        <f t="shared" si="12"/>
        <v>00</v>
      </c>
      <c r="AO107" s="59" t="str">
        <f t="shared" si="13"/>
        <v>00</v>
      </c>
      <c r="AQ107" t="str">
        <f t="shared" si="8"/>
        <v xml:space="preserve">    (U4)0x00000024U,                                                           /* 36 UNKNOWN                                         */</v>
      </c>
    </row>
    <row r="108" spans="2:43">
      <c r="B108" s="130"/>
      <c r="C108" s="44">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1</v>
      </c>
      <c r="AE108" s="123">
        <f t="shared" si="21"/>
        <v>0</v>
      </c>
      <c r="AF108" s="123">
        <f t="shared" si="21"/>
        <v>0</v>
      </c>
      <c r="AG108" s="123">
        <f t="shared" si="21"/>
        <v>1</v>
      </c>
      <c r="AH108" s="123">
        <f t="shared" si="21"/>
        <v>0</v>
      </c>
      <c r="AI108" s="123">
        <f t="shared" si="21"/>
        <v>1</v>
      </c>
      <c r="AJ108" s="44" t="str">
        <f t="shared" si="7"/>
        <v>PRMRYCHK</v>
      </c>
      <c r="AK108" s="57"/>
      <c r="AL108" s="57" t="str">
        <f t="shared" si="10"/>
        <v>25</v>
      </c>
      <c r="AM108" s="59" t="str">
        <f t="shared" si="11"/>
        <v>00</v>
      </c>
      <c r="AN108" s="59" t="str">
        <f t="shared" si="12"/>
        <v>00</v>
      </c>
      <c r="AO108" s="59" t="str">
        <f t="shared" si="13"/>
        <v>00</v>
      </c>
      <c r="AQ108" t="str">
        <f t="shared" si="8"/>
        <v xml:space="preserve">    (U4)0x00000025U,                                                           /* 37 PRMRYCHK                                        */</v>
      </c>
    </row>
    <row r="109" spans="2:43">
      <c r="B109" s="130"/>
      <c r="C109" s="44">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1</v>
      </c>
      <c r="AE109" s="123">
        <f t="shared" si="21"/>
        <v>0</v>
      </c>
      <c r="AF109" s="123">
        <f t="shared" si="21"/>
        <v>0</v>
      </c>
      <c r="AG109" s="123">
        <f t="shared" si="21"/>
        <v>1</v>
      </c>
      <c r="AH109" s="123">
        <f t="shared" si="21"/>
        <v>1</v>
      </c>
      <c r="AI109" s="123">
        <f t="shared" si="21"/>
        <v>0</v>
      </c>
      <c r="AJ109" s="44" t="str">
        <f t="shared" si="7"/>
        <v>TT_PD_ON</v>
      </c>
      <c r="AK109" s="57"/>
      <c r="AL109" s="57" t="str">
        <f t="shared" si="10"/>
        <v>26</v>
      </c>
      <c r="AM109" s="59" t="str">
        <f t="shared" si="11"/>
        <v>00</v>
      </c>
      <c r="AN109" s="59" t="str">
        <f t="shared" si="12"/>
        <v>00</v>
      </c>
      <c r="AO109" s="59" t="str">
        <f t="shared" si="13"/>
        <v>00</v>
      </c>
      <c r="AQ109" t="str">
        <f t="shared" si="8"/>
        <v xml:space="preserve">    (U4)0x00000026U,                                                           /* 38 TT_PD_ON                                        */</v>
      </c>
    </row>
    <row r="110" spans="2:43">
      <c r="B110" s="130"/>
      <c r="C110" s="44">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1</v>
      </c>
      <c r="AE110" s="123">
        <f t="shared" si="21"/>
        <v>0</v>
      </c>
      <c r="AF110" s="123">
        <f t="shared" si="21"/>
        <v>0</v>
      </c>
      <c r="AG110" s="123">
        <f t="shared" si="21"/>
        <v>1</v>
      </c>
      <c r="AH110" s="123">
        <f t="shared" si="21"/>
        <v>1</v>
      </c>
      <c r="AI110" s="123">
        <f t="shared" ref="AI110" si="22">IF(AI45=1,1,0)</f>
        <v>1</v>
      </c>
      <c r="AJ110" s="44" t="str">
        <f t="shared" si="7"/>
        <v>PRMRYCHK_PD</v>
      </c>
      <c r="AK110" s="57"/>
      <c r="AL110" s="57" t="str">
        <f t="shared" si="10"/>
        <v>27</v>
      </c>
      <c r="AM110" s="59" t="str">
        <f t="shared" si="11"/>
        <v>00</v>
      </c>
      <c r="AN110" s="59" t="str">
        <f t="shared" si="12"/>
        <v>00</v>
      </c>
      <c r="AO110" s="59" t="str">
        <f t="shared" si="13"/>
        <v>00</v>
      </c>
      <c r="AQ110" t="str">
        <f t="shared" si="8"/>
        <v xml:space="preserve">    (U4)0x00000027U,                                                           /* 39 PRMRYCHK_PD                                     */</v>
      </c>
    </row>
    <row r="111" spans="2:43">
      <c r="B111" s="130"/>
      <c r="C111" s="44">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1</v>
      </c>
      <c r="AE111" s="123">
        <f t="shared" si="23"/>
        <v>0</v>
      </c>
      <c r="AF111" s="123">
        <f t="shared" si="23"/>
        <v>1</v>
      </c>
      <c r="AG111" s="123">
        <f t="shared" si="23"/>
        <v>0</v>
      </c>
      <c r="AH111" s="123">
        <f t="shared" si="23"/>
        <v>0</v>
      </c>
      <c r="AI111" s="123">
        <f t="shared" si="23"/>
        <v>0</v>
      </c>
      <c r="AJ111" s="44" t="str">
        <f t="shared" si="7"/>
        <v>TT_PD_ON</v>
      </c>
      <c r="AK111" s="57"/>
      <c r="AL111" s="57" t="str">
        <f t="shared" si="10"/>
        <v>28</v>
      </c>
      <c r="AM111" s="59" t="str">
        <f t="shared" si="11"/>
        <v>00</v>
      </c>
      <c r="AN111" s="59" t="str">
        <f t="shared" si="12"/>
        <v>00</v>
      </c>
      <c r="AO111" s="59" t="str">
        <f t="shared" si="13"/>
        <v>00</v>
      </c>
      <c r="AQ111" t="str">
        <f t="shared" si="8"/>
        <v xml:space="preserve">    (U4)0x00000028U,                                                           /* 40 TT_PD_ON                                        */</v>
      </c>
    </row>
    <row r="112" spans="2:43">
      <c r="B112" s="130"/>
      <c r="C112" s="44">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1</v>
      </c>
      <c r="AE112" s="123">
        <f t="shared" si="23"/>
        <v>0</v>
      </c>
      <c r="AF112" s="123">
        <f t="shared" si="23"/>
        <v>1</v>
      </c>
      <c r="AG112" s="123">
        <f t="shared" si="23"/>
        <v>0</v>
      </c>
      <c r="AH112" s="123">
        <f t="shared" si="23"/>
        <v>0</v>
      </c>
      <c r="AI112" s="123">
        <f t="shared" si="23"/>
        <v>1</v>
      </c>
      <c r="AJ112" s="44" t="str">
        <f t="shared" si="7"/>
        <v>PRMRYCHK_PD</v>
      </c>
      <c r="AK112" s="57"/>
      <c r="AL112" s="57" t="str">
        <f t="shared" si="10"/>
        <v>29</v>
      </c>
      <c r="AM112" s="59" t="str">
        <f t="shared" si="11"/>
        <v>00</v>
      </c>
      <c r="AN112" s="59" t="str">
        <f t="shared" si="12"/>
        <v>00</v>
      </c>
      <c r="AO112" s="59" t="str">
        <f t="shared" si="13"/>
        <v>00</v>
      </c>
      <c r="AQ112" t="str">
        <f t="shared" si="8"/>
        <v xml:space="preserve">    (U4)0x00000029U,                                                           /* 41 PRMRYCHK_PD                                     */</v>
      </c>
    </row>
    <row r="113" spans="2:43">
      <c r="B113" s="130"/>
      <c r="C113" s="44">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1</v>
      </c>
      <c r="AE113" s="123">
        <f t="shared" si="23"/>
        <v>0</v>
      </c>
      <c r="AF113" s="123">
        <f t="shared" si="23"/>
        <v>1</v>
      </c>
      <c r="AG113" s="123">
        <f t="shared" si="23"/>
        <v>0</v>
      </c>
      <c r="AH113" s="123">
        <f t="shared" si="23"/>
        <v>1</v>
      </c>
      <c r="AI113" s="123">
        <f t="shared" si="23"/>
        <v>0</v>
      </c>
      <c r="AJ113" s="44" t="str">
        <f t="shared" si="7"/>
        <v>TT_PD_ON</v>
      </c>
      <c r="AK113" s="57"/>
      <c r="AL113" s="57" t="str">
        <f t="shared" si="10"/>
        <v>2A</v>
      </c>
      <c r="AM113" s="59" t="str">
        <f t="shared" si="11"/>
        <v>00</v>
      </c>
      <c r="AN113" s="59" t="str">
        <f t="shared" si="12"/>
        <v>00</v>
      </c>
      <c r="AO113" s="59" t="str">
        <f t="shared" si="13"/>
        <v>00</v>
      </c>
      <c r="AQ113" t="str">
        <f t="shared" si="8"/>
        <v xml:space="preserve">    (U4)0x0000002AU,                                                           /* 42 TT_PD_ON                                        */</v>
      </c>
    </row>
    <row r="114" spans="2:43">
      <c r="B114" s="130"/>
      <c r="C114" s="44">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1</v>
      </c>
      <c r="AE114" s="123">
        <f t="shared" si="23"/>
        <v>0</v>
      </c>
      <c r="AF114" s="123">
        <f t="shared" si="23"/>
        <v>1</v>
      </c>
      <c r="AG114" s="123">
        <f t="shared" si="23"/>
        <v>0</v>
      </c>
      <c r="AH114" s="123">
        <f t="shared" si="23"/>
        <v>1</v>
      </c>
      <c r="AI114" s="123">
        <f t="shared" si="23"/>
        <v>1</v>
      </c>
      <c r="AJ114" s="44" t="str">
        <f t="shared" si="7"/>
        <v>PRMRYCHK_PD</v>
      </c>
      <c r="AK114" s="57"/>
      <c r="AL114" s="57" t="str">
        <f t="shared" si="10"/>
        <v>2B</v>
      </c>
      <c r="AM114" s="59" t="str">
        <f t="shared" si="11"/>
        <v>00</v>
      </c>
      <c r="AN114" s="59" t="str">
        <f t="shared" si="12"/>
        <v>00</v>
      </c>
      <c r="AO114" s="59" t="str">
        <f t="shared" si="13"/>
        <v>00</v>
      </c>
      <c r="AQ114" t="str">
        <f t="shared" si="8"/>
        <v xml:space="preserve">    (U4)0x0000002BU,                                                           /* 43 PRMRYCHK_PD                                     */</v>
      </c>
    </row>
    <row r="115" spans="2:43">
      <c r="B115" s="130"/>
      <c r="C115" s="44">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1</v>
      </c>
      <c r="AE115" s="123">
        <f t="shared" si="23"/>
        <v>0</v>
      </c>
      <c r="AF115" s="123">
        <f t="shared" si="23"/>
        <v>1</v>
      </c>
      <c r="AG115" s="123">
        <f t="shared" si="23"/>
        <v>1</v>
      </c>
      <c r="AH115" s="123">
        <f t="shared" si="23"/>
        <v>0</v>
      </c>
      <c r="AI115" s="123">
        <f t="shared" si="23"/>
        <v>0</v>
      </c>
      <c r="AJ115" s="44" t="str">
        <f t="shared" si="7"/>
        <v>UNKNOWN</v>
      </c>
      <c r="AK115" s="57"/>
      <c r="AL115" s="57" t="str">
        <f t="shared" si="10"/>
        <v>2C</v>
      </c>
      <c r="AM115" s="59" t="str">
        <f t="shared" si="11"/>
        <v>00</v>
      </c>
      <c r="AN115" s="59" t="str">
        <f t="shared" si="12"/>
        <v>00</v>
      </c>
      <c r="AO115" s="59" t="str">
        <f t="shared" si="13"/>
        <v>00</v>
      </c>
      <c r="AQ115" t="str">
        <f t="shared" si="8"/>
        <v xml:space="preserve">    (U4)0x0000002CU,                                                           /* 44 UNKNOWN                                         */</v>
      </c>
    </row>
    <row r="116" spans="2:43">
      <c r="B116" s="130"/>
      <c r="C116" s="44">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1</v>
      </c>
      <c r="AE116" s="123">
        <f t="shared" si="23"/>
        <v>0</v>
      </c>
      <c r="AF116" s="123">
        <f t="shared" si="23"/>
        <v>1</v>
      </c>
      <c r="AG116" s="123">
        <f t="shared" si="23"/>
        <v>1</v>
      </c>
      <c r="AH116" s="123">
        <f t="shared" si="23"/>
        <v>0</v>
      </c>
      <c r="AI116" s="123">
        <f t="shared" si="23"/>
        <v>1</v>
      </c>
      <c r="AJ116" s="44" t="str">
        <f t="shared" si="7"/>
        <v>PRMRYCHK</v>
      </c>
      <c r="AK116" s="57"/>
      <c r="AL116" s="57" t="str">
        <f t="shared" si="10"/>
        <v>2D</v>
      </c>
      <c r="AM116" s="59" t="str">
        <f t="shared" si="11"/>
        <v>00</v>
      </c>
      <c r="AN116" s="59" t="str">
        <f t="shared" si="12"/>
        <v>00</v>
      </c>
      <c r="AO116" s="59" t="str">
        <f t="shared" si="13"/>
        <v>00</v>
      </c>
      <c r="AQ116" t="str">
        <f t="shared" si="8"/>
        <v xml:space="preserve">    (U4)0x0000002DU,                                                           /* 45 PRMRYCHK                                        */</v>
      </c>
    </row>
    <row r="117" spans="2:43">
      <c r="B117" s="130"/>
      <c r="C117" s="44">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1</v>
      </c>
      <c r="AE117" s="123">
        <f t="shared" si="23"/>
        <v>0</v>
      </c>
      <c r="AF117" s="123">
        <f t="shared" si="23"/>
        <v>1</v>
      </c>
      <c r="AG117" s="123">
        <f t="shared" si="23"/>
        <v>1</v>
      </c>
      <c r="AH117" s="123">
        <f t="shared" si="23"/>
        <v>1</v>
      </c>
      <c r="AI117" s="123">
        <f t="shared" si="23"/>
        <v>0</v>
      </c>
      <c r="AJ117" s="44" t="str">
        <f t="shared" si="7"/>
        <v>UNKNOWN</v>
      </c>
      <c r="AK117" s="57"/>
      <c r="AL117" s="57" t="str">
        <f t="shared" si="10"/>
        <v>2E</v>
      </c>
      <c r="AM117" s="59" t="str">
        <f t="shared" si="11"/>
        <v>00</v>
      </c>
      <c r="AN117" s="59" t="str">
        <f t="shared" si="12"/>
        <v>00</v>
      </c>
      <c r="AO117" s="59" t="str">
        <f t="shared" si="13"/>
        <v>00</v>
      </c>
      <c r="AQ117" t="str">
        <f t="shared" si="8"/>
        <v xml:space="preserve">    (U4)0x0000002EU,                                                           /* 46 UNKNOWN                                         */</v>
      </c>
    </row>
    <row r="118" spans="2:43">
      <c r="B118" s="130"/>
      <c r="C118" s="44">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1</v>
      </c>
      <c r="AE118" s="123">
        <f t="shared" si="23"/>
        <v>0</v>
      </c>
      <c r="AF118" s="123">
        <f t="shared" si="23"/>
        <v>1</v>
      </c>
      <c r="AG118" s="123">
        <f t="shared" si="23"/>
        <v>1</v>
      </c>
      <c r="AH118" s="123">
        <f t="shared" si="23"/>
        <v>1</v>
      </c>
      <c r="AI118" s="123">
        <f t="shared" ref="AI118" si="24">IF(AI53=1,1,0)</f>
        <v>1</v>
      </c>
      <c r="AJ118" s="44" t="str">
        <f t="shared" si="7"/>
        <v>PRMRYCHK</v>
      </c>
      <c r="AK118" s="57"/>
      <c r="AL118" s="57" t="str">
        <f t="shared" si="10"/>
        <v>2F</v>
      </c>
      <c r="AM118" s="59" t="str">
        <f t="shared" si="11"/>
        <v>00</v>
      </c>
      <c r="AN118" s="59" t="str">
        <f t="shared" si="12"/>
        <v>00</v>
      </c>
      <c r="AO118" s="59" t="str">
        <f t="shared" si="13"/>
        <v>00</v>
      </c>
      <c r="AQ118" t="str">
        <f t="shared" si="8"/>
        <v xml:space="preserve">    (U4)0x0000002FU,                                                           /* 47 PRMRYCHK                                        */</v>
      </c>
    </row>
    <row r="119" spans="2:43">
      <c r="B119" s="130"/>
      <c r="C119" s="44">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1</v>
      </c>
      <c r="AE119" s="123">
        <f t="shared" si="25"/>
        <v>1</v>
      </c>
      <c r="AF119" s="123">
        <f t="shared" si="25"/>
        <v>0</v>
      </c>
      <c r="AG119" s="123">
        <f t="shared" si="25"/>
        <v>0</v>
      </c>
      <c r="AH119" s="123">
        <f t="shared" si="25"/>
        <v>0</v>
      </c>
      <c r="AI119" s="123">
        <f t="shared" si="25"/>
        <v>0</v>
      </c>
      <c r="AJ119" s="44" t="str">
        <f t="shared" si="7"/>
        <v>UNKNOWN</v>
      </c>
      <c r="AK119" s="57"/>
      <c r="AL119" s="57" t="str">
        <f t="shared" si="10"/>
        <v>30</v>
      </c>
      <c r="AM119" s="59" t="str">
        <f t="shared" si="11"/>
        <v>00</v>
      </c>
      <c r="AN119" s="59" t="str">
        <f t="shared" si="12"/>
        <v>00</v>
      </c>
      <c r="AO119" s="59" t="str">
        <f t="shared" si="13"/>
        <v>00</v>
      </c>
      <c r="AQ119" t="str">
        <f t="shared" si="8"/>
        <v xml:space="preserve">    (U4)0x00000030U,                                                           /* 48 UNKNOWN                                         */</v>
      </c>
    </row>
    <row r="120" spans="2:43">
      <c r="B120" s="130"/>
      <c r="C120" s="44">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1</v>
      </c>
      <c r="AE120" s="123">
        <f t="shared" si="25"/>
        <v>1</v>
      </c>
      <c r="AF120" s="123">
        <f t="shared" si="25"/>
        <v>0</v>
      </c>
      <c r="AG120" s="123">
        <f t="shared" si="25"/>
        <v>0</v>
      </c>
      <c r="AH120" s="123">
        <f t="shared" si="25"/>
        <v>0</v>
      </c>
      <c r="AI120" s="123">
        <f t="shared" si="25"/>
        <v>1</v>
      </c>
      <c r="AJ120" s="44" t="str">
        <f t="shared" si="7"/>
        <v>PRMRYCHK</v>
      </c>
      <c r="AK120" s="57"/>
      <c r="AL120" s="57" t="str">
        <f t="shared" si="10"/>
        <v>31</v>
      </c>
      <c r="AM120" s="59" t="str">
        <f t="shared" si="11"/>
        <v>00</v>
      </c>
      <c r="AN120" s="59" t="str">
        <f t="shared" si="12"/>
        <v>00</v>
      </c>
      <c r="AO120" s="59" t="str">
        <f t="shared" si="13"/>
        <v>00</v>
      </c>
      <c r="AQ120" t="str">
        <f t="shared" si="8"/>
        <v xml:space="preserve">    (U4)0x00000031U,                                                           /* 49 PRMRYCHK                                        */</v>
      </c>
    </row>
    <row r="121" spans="2:43">
      <c r="B121" s="130"/>
      <c r="C121" s="44">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1</v>
      </c>
      <c r="AE121" s="123">
        <f t="shared" si="25"/>
        <v>1</v>
      </c>
      <c r="AF121" s="123">
        <f t="shared" si="25"/>
        <v>0</v>
      </c>
      <c r="AG121" s="123">
        <f t="shared" si="25"/>
        <v>0</v>
      </c>
      <c r="AH121" s="123">
        <f t="shared" si="25"/>
        <v>1</v>
      </c>
      <c r="AI121" s="123">
        <f t="shared" si="25"/>
        <v>0</v>
      </c>
      <c r="AJ121" s="44" t="str">
        <f t="shared" si="7"/>
        <v>UNKNOWN</v>
      </c>
      <c r="AK121" s="57"/>
      <c r="AL121" s="57" t="str">
        <f t="shared" si="10"/>
        <v>32</v>
      </c>
      <c r="AM121" s="59" t="str">
        <f t="shared" si="11"/>
        <v>00</v>
      </c>
      <c r="AN121" s="59" t="str">
        <f t="shared" si="12"/>
        <v>00</v>
      </c>
      <c r="AO121" s="59" t="str">
        <f t="shared" si="13"/>
        <v>00</v>
      </c>
      <c r="AQ121" t="str">
        <f t="shared" si="8"/>
        <v xml:space="preserve">    (U4)0x00000032U,                                                           /* 50 UNKNOWN                                         */</v>
      </c>
    </row>
    <row r="122" spans="2:43">
      <c r="B122" s="130"/>
      <c r="C122" s="44">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1</v>
      </c>
      <c r="AE122" s="123">
        <f t="shared" si="25"/>
        <v>1</v>
      </c>
      <c r="AF122" s="123">
        <f t="shared" si="25"/>
        <v>0</v>
      </c>
      <c r="AG122" s="123">
        <f t="shared" si="25"/>
        <v>0</v>
      </c>
      <c r="AH122" s="123">
        <f t="shared" si="25"/>
        <v>1</v>
      </c>
      <c r="AI122" s="123">
        <f t="shared" si="25"/>
        <v>1</v>
      </c>
      <c r="AJ122" s="44" t="str">
        <f t="shared" si="7"/>
        <v>PRMRYCHK</v>
      </c>
      <c r="AK122" s="57"/>
      <c r="AL122" s="57" t="str">
        <f t="shared" si="10"/>
        <v>33</v>
      </c>
      <c r="AM122" s="59" t="str">
        <f t="shared" si="11"/>
        <v>00</v>
      </c>
      <c r="AN122" s="59" t="str">
        <f t="shared" si="12"/>
        <v>00</v>
      </c>
      <c r="AO122" s="59" t="str">
        <f t="shared" si="13"/>
        <v>00</v>
      </c>
      <c r="AQ122" t="str">
        <f t="shared" si="8"/>
        <v xml:space="preserve">    (U4)0x00000033U,                                                           /* 51 PRMRYCHK                                        */</v>
      </c>
    </row>
    <row r="123" spans="2:43">
      <c r="B123" s="130"/>
      <c r="C123" s="44">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1</v>
      </c>
      <c r="AE123" s="123">
        <f t="shared" si="25"/>
        <v>1</v>
      </c>
      <c r="AF123" s="123">
        <f t="shared" si="25"/>
        <v>0</v>
      </c>
      <c r="AG123" s="123">
        <f t="shared" si="25"/>
        <v>1</v>
      </c>
      <c r="AH123" s="123">
        <f t="shared" si="25"/>
        <v>0</v>
      </c>
      <c r="AI123" s="123">
        <f t="shared" si="25"/>
        <v>0</v>
      </c>
      <c r="AJ123" s="44" t="str">
        <f t="shared" si="7"/>
        <v>UNKNOWN</v>
      </c>
      <c r="AK123" s="57"/>
      <c r="AL123" s="57" t="str">
        <f t="shared" si="10"/>
        <v>34</v>
      </c>
      <c r="AM123" s="59" t="str">
        <f t="shared" si="11"/>
        <v>00</v>
      </c>
      <c r="AN123" s="59" t="str">
        <f t="shared" si="12"/>
        <v>00</v>
      </c>
      <c r="AO123" s="59" t="str">
        <f t="shared" si="13"/>
        <v>00</v>
      </c>
      <c r="AQ123" t="str">
        <f t="shared" si="8"/>
        <v xml:space="preserve">    (U4)0x00000034U,                                                           /* 52 UNKNOWN                                         */</v>
      </c>
    </row>
    <row r="124" spans="2:43">
      <c r="B124" s="130"/>
      <c r="C124" s="44">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1</v>
      </c>
      <c r="AE124" s="123">
        <f t="shared" si="25"/>
        <v>1</v>
      </c>
      <c r="AF124" s="123">
        <f t="shared" si="25"/>
        <v>0</v>
      </c>
      <c r="AG124" s="123">
        <f t="shared" si="25"/>
        <v>1</v>
      </c>
      <c r="AH124" s="123">
        <f t="shared" si="25"/>
        <v>0</v>
      </c>
      <c r="AI124" s="123">
        <f t="shared" si="25"/>
        <v>1</v>
      </c>
      <c r="AJ124" s="44" t="str">
        <f t="shared" si="7"/>
        <v>PRMRYCHK</v>
      </c>
      <c r="AK124" s="57"/>
      <c r="AL124" s="57" t="str">
        <f t="shared" si="10"/>
        <v>35</v>
      </c>
      <c r="AM124" s="59" t="str">
        <f t="shared" si="11"/>
        <v>00</v>
      </c>
      <c r="AN124" s="59" t="str">
        <f t="shared" si="12"/>
        <v>00</v>
      </c>
      <c r="AO124" s="59" t="str">
        <f t="shared" si="13"/>
        <v>00</v>
      </c>
      <c r="AQ124" t="str">
        <f t="shared" si="8"/>
        <v xml:space="preserve">    (U4)0x00000035U,                                                           /* 53 PRMRYCHK                                        */</v>
      </c>
    </row>
    <row r="125" spans="2:43">
      <c r="B125" s="130"/>
      <c r="C125" s="44">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1</v>
      </c>
      <c r="AE125" s="123">
        <f t="shared" si="25"/>
        <v>1</v>
      </c>
      <c r="AF125" s="123">
        <f t="shared" si="25"/>
        <v>0</v>
      </c>
      <c r="AG125" s="123">
        <f t="shared" si="25"/>
        <v>1</v>
      </c>
      <c r="AH125" s="123">
        <f t="shared" si="25"/>
        <v>1</v>
      </c>
      <c r="AI125" s="123">
        <f t="shared" si="25"/>
        <v>0</v>
      </c>
      <c r="AJ125" s="44" t="str">
        <f t="shared" si="7"/>
        <v>UNKNOWN</v>
      </c>
      <c r="AK125" s="57"/>
      <c r="AL125" s="57" t="str">
        <f t="shared" si="10"/>
        <v>36</v>
      </c>
      <c r="AM125" s="59" t="str">
        <f t="shared" si="11"/>
        <v>00</v>
      </c>
      <c r="AN125" s="59" t="str">
        <f t="shared" si="12"/>
        <v>00</v>
      </c>
      <c r="AO125" s="59" t="str">
        <f t="shared" si="13"/>
        <v>00</v>
      </c>
      <c r="AQ125" t="str">
        <f t="shared" si="8"/>
        <v xml:space="preserve">    (U4)0x00000036U,                                                           /* 54 UNKNOWN                                         */</v>
      </c>
    </row>
    <row r="126" spans="2:43">
      <c r="B126" s="130"/>
      <c r="C126" s="44">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1</v>
      </c>
      <c r="AE126" s="123">
        <f t="shared" si="25"/>
        <v>1</v>
      </c>
      <c r="AF126" s="123">
        <f t="shared" si="25"/>
        <v>0</v>
      </c>
      <c r="AG126" s="123">
        <f t="shared" si="25"/>
        <v>1</v>
      </c>
      <c r="AH126" s="123">
        <f t="shared" si="25"/>
        <v>1</v>
      </c>
      <c r="AI126" s="123">
        <f t="shared" ref="AI126" si="26">IF(AI61=1,1,0)</f>
        <v>1</v>
      </c>
      <c r="AJ126" s="44" t="str">
        <f t="shared" si="7"/>
        <v>PRMRYCHK</v>
      </c>
      <c r="AK126" s="57"/>
      <c r="AL126" s="57" t="str">
        <f t="shared" si="10"/>
        <v>37</v>
      </c>
      <c r="AM126" s="59" t="str">
        <f t="shared" si="11"/>
        <v>00</v>
      </c>
      <c r="AN126" s="59" t="str">
        <f t="shared" si="12"/>
        <v>00</v>
      </c>
      <c r="AO126" s="59" t="str">
        <f t="shared" si="13"/>
        <v>00</v>
      </c>
      <c r="AQ126" t="str">
        <f t="shared" si="8"/>
        <v xml:space="preserve">    (U4)0x00000037U,                                                           /* 55 PRMRYCHK                                        */</v>
      </c>
    </row>
    <row r="127" spans="2:43">
      <c r="B127" s="130"/>
      <c r="C127" s="44">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1</v>
      </c>
      <c r="AE127" s="123">
        <f t="shared" si="27"/>
        <v>1</v>
      </c>
      <c r="AF127" s="123">
        <f t="shared" si="27"/>
        <v>1</v>
      </c>
      <c r="AG127" s="123">
        <f t="shared" si="27"/>
        <v>0</v>
      </c>
      <c r="AH127" s="123">
        <f t="shared" si="27"/>
        <v>0</v>
      </c>
      <c r="AI127" s="123">
        <f t="shared" si="27"/>
        <v>0</v>
      </c>
      <c r="AJ127" s="44" t="str">
        <f t="shared" si="7"/>
        <v>UNKNOWN</v>
      </c>
      <c r="AK127" s="57"/>
      <c r="AL127" s="57" t="str">
        <f t="shared" si="10"/>
        <v>38</v>
      </c>
      <c r="AM127" s="59" t="str">
        <f t="shared" si="11"/>
        <v>00</v>
      </c>
      <c r="AN127" s="59" t="str">
        <f t="shared" si="12"/>
        <v>00</v>
      </c>
      <c r="AO127" s="59" t="str">
        <f t="shared" si="13"/>
        <v>00</v>
      </c>
      <c r="AQ127" t="str">
        <f t="shared" si="8"/>
        <v xml:space="preserve">    (U4)0x00000038U,                                                           /* 56 UNKNOWN                                         */</v>
      </c>
    </row>
    <row r="128" spans="2:43">
      <c r="B128" s="130"/>
      <c r="C128" s="44">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1</v>
      </c>
      <c r="AE128" s="123">
        <f t="shared" si="27"/>
        <v>1</v>
      </c>
      <c r="AF128" s="123">
        <f t="shared" si="27"/>
        <v>1</v>
      </c>
      <c r="AG128" s="123">
        <f t="shared" si="27"/>
        <v>0</v>
      </c>
      <c r="AH128" s="123">
        <f t="shared" si="27"/>
        <v>0</v>
      </c>
      <c r="AI128" s="123">
        <f t="shared" si="27"/>
        <v>1</v>
      </c>
      <c r="AJ128" s="44" t="str">
        <f t="shared" si="7"/>
        <v>PRMRYCHK</v>
      </c>
      <c r="AK128" s="57"/>
      <c r="AL128" s="57" t="str">
        <f t="shared" si="10"/>
        <v>39</v>
      </c>
      <c r="AM128" s="59" t="str">
        <f t="shared" si="11"/>
        <v>00</v>
      </c>
      <c r="AN128" s="59" t="str">
        <f t="shared" si="12"/>
        <v>00</v>
      </c>
      <c r="AO128" s="59" t="str">
        <f t="shared" si="13"/>
        <v>00</v>
      </c>
      <c r="AQ128" t="str">
        <f t="shared" si="8"/>
        <v xml:space="preserve">    (U4)0x00000039U,                                                           /* 57 PRMRYCHK                                        */</v>
      </c>
    </row>
    <row r="129" spans="1:43">
      <c r="B129" s="130"/>
      <c r="C129" s="44">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1</v>
      </c>
      <c r="AE129" s="123">
        <f t="shared" si="27"/>
        <v>1</v>
      </c>
      <c r="AF129" s="123">
        <f t="shared" si="27"/>
        <v>1</v>
      </c>
      <c r="AG129" s="123">
        <f t="shared" si="27"/>
        <v>0</v>
      </c>
      <c r="AH129" s="123">
        <f t="shared" si="27"/>
        <v>1</v>
      </c>
      <c r="AI129" s="123">
        <f t="shared" si="27"/>
        <v>0</v>
      </c>
      <c r="AJ129" s="44" t="str">
        <f t="shared" si="7"/>
        <v>UNKNOWN</v>
      </c>
      <c r="AK129" s="57"/>
      <c r="AL129" s="57" t="str">
        <f t="shared" si="10"/>
        <v>3A</v>
      </c>
      <c r="AM129" s="59" t="str">
        <f t="shared" si="11"/>
        <v>00</v>
      </c>
      <c r="AN129" s="59" t="str">
        <f t="shared" si="12"/>
        <v>00</v>
      </c>
      <c r="AO129" s="59" t="str">
        <f t="shared" si="13"/>
        <v>00</v>
      </c>
      <c r="AQ129" t="str">
        <f t="shared" si="8"/>
        <v xml:space="preserve">    (U4)0x0000003AU,                                                           /* 58 UNKNOWN                                         */</v>
      </c>
    </row>
    <row r="130" spans="1:43">
      <c r="B130" s="130"/>
      <c r="C130" s="44">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1</v>
      </c>
      <c r="AE130" s="123">
        <f t="shared" si="27"/>
        <v>1</v>
      </c>
      <c r="AF130" s="123">
        <f t="shared" si="27"/>
        <v>1</v>
      </c>
      <c r="AG130" s="123">
        <f t="shared" si="27"/>
        <v>0</v>
      </c>
      <c r="AH130" s="123">
        <f t="shared" si="27"/>
        <v>1</v>
      </c>
      <c r="AI130" s="123">
        <f t="shared" si="27"/>
        <v>1</v>
      </c>
      <c r="AJ130" s="44" t="str">
        <f t="shared" si="7"/>
        <v>PRMRYCHK</v>
      </c>
      <c r="AK130" s="57"/>
      <c r="AL130" s="57" t="str">
        <f t="shared" si="10"/>
        <v>3B</v>
      </c>
      <c r="AM130" s="59" t="str">
        <f t="shared" si="11"/>
        <v>00</v>
      </c>
      <c r="AN130" s="59" t="str">
        <f t="shared" si="12"/>
        <v>00</v>
      </c>
      <c r="AO130" s="59" t="str">
        <f t="shared" si="13"/>
        <v>00</v>
      </c>
      <c r="AQ130" t="str">
        <f t="shared" si="8"/>
        <v xml:space="preserve">    (U4)0x0000003BU,                                                           /* 59 PRMRYCHK                                        */</v>
      </c>
    </row>
    <row r="131" spans="1:43">
      <c r="B131" s="130"/>
      <c r="C131" s="44">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1</v>
      </c>
      <c r="AE131" s="123">
        <f t="shared" si="27"/>
        <v>1</v>
      </c>
      <c r="AF131" s="123">
        <f t="shared" si="27"/>
        <v>1</v>
      </c>
      <c r="AG131" s="123">
        <f t="shared" si="27"/>
        <v>1</v>
      </c>
      <c r="AH131" s="123">
        <f t="shared" si="27"/>
        <v>0</v>
      </c>
      <c r="AI131" s="123">
        <f t="shared" si="27"/>
        <v>0</v>
      </c>
      <c r="AJ131" s="44" t="str">
        <f t="shared" si="7"/>
        <v>UNKNOWN</v>
      </c>
      <c r="AK131" s="57"/>
      <c r="AL131" s="57" t="str">
        <f t="shared" si="10"/>
        <v>3C</v>
      </c>
      <c r="AM131" s="59" t="str">
        <f t="shared" si="11"/>
        <v>00</v>
      </c>
      <c r="AN131" s="59" t="str">
        <f t="shared" si="12"/>
        <v>00</v>
      </c>
      <c r="AO131" s="59" t="str">
        <f t="shared" si="13"/>
        <v>00</v>
      </c>
      <c r="AQ131" t="str">
        <f t="shared" si="8"/>
        <v xml:space="preserve">    (U4)0x0000003CU,                                                           /* 60 UNKNOWN                                         */</v>
      </c>
    </row>
    <row r="132" spans="1:43">
      <c r="B132" s="130"/>
      <c r="C132" s="44">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1</v>
      </c>
      <c r="AE132" s="123">
        <f t="shared" si="27"/>
        <v>1</v>
      </c>
      <c r="AF132" s="123">
        <f t="shared" si="27"/>
        <v>1</v>
      </c>
      <c r="AG132" s="123">
        <f t="shared" si="27"/>
        <v>1</v>
      </c>
      <c r="AH132" s="123">
        <f t="shared" si="27"/>
        <v>0</v>
      </c>
      <c r="AI132" s="123">
        <f t="shared" si="27"/>
        <v>1</v>
      </c>
      <c r="AJ132" s="44" t="str">
        <f t="shared" si="7"/>
        <v>PRMRYCHK</v>
      </c>
      <c r="AK132" s="57"/>
      <c r="AL132" s="57" t="str">
        <f t="shared" si="10"/>
        <v>3D</v>
      </c>
      <c r="AM132" s="59" t="str">
        <f t="shared" si="11"/>
        <v>00</v>
      </c>
      <c r="AN132" s="59" t="str">
        <f t="shared" si="12"/>
        <v>00</v>
      </c>
      <c r="AO132" s="59" t="str">
        <f t="shared" si="13"/>
        <v>00</v>
      </c>
      <c r="AQ132" t="str">
        <f t="shared" si="8"/>
        <v xml:space="preserve">    (U4)0x0000003DU,                                                           /* 61 PRMRYCHK                                        */</v>
      </c>
    </row>
    <row r="133" spans="1:43">
      <c r="B133" s="130"/>
      <c r="C133" s="44">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1</v>
      </c>
      <c r="AE133" s="123">
        <f t="shared" si="27"/>
        <v>1</v>
      </c>
      <c r="AF133" s="123">
        <f t="shared" si="27"/>
        <v>1</v>
      </c>
      <c r="AG133" s="123">
        <f t="shared" si="27"/>
        <v>1</v>
      </c>
      <c r="AH133" s="123">
        <f t="shared" si="27"/>
        <v>1</v>
      </c>
      <c r="AI133" s="123">
        <f t="shared" si="27"/>
        <v>0</v>
      </c>
      <c r="AJ133" s="44" t="str">
        <f t="shared" si="7"/>
        <v>UNKNOWN</v>
      </c>
      <c r="AK133" s="57"/>
      <c r="AL133" s="57" t="str">
        <f t="shared" si="10"/>
        <v>3E</v>
      </c>
      <c r="AM133" s="59" t="str">
        <f t="shared" si="11"/>
        <v>00</v>
      </c>
      <c r="AN133" s="59" t="str">
        <f t="shared" si="12"/>
        <v>00</v>
      </c>
      <c r="AO133" s="59" t="str">
        <f t="shared" si="13"/>
        <v>00</v>
      </c>
      <c r="AQ133" t="str">
        <f t="shared" si="8"/>
        <v xml:space="preserve">    (U4)0x0000003EU,                                                           /* 62 UNKNOWN                                         */</v>
      </c>
    </row>
    <row r="134" spans="1:43">
      <c r="B134" s="131"/>
      <c r="C134" s="44">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1</v>
      </c>
      <c r="AE134" s="123">
        <f t="shared" si="27"/>
        <v>1</v>
      </c>
      <c r="AF134" s="123">
        <f t="shared" si="27"/>
        <v>1</v>
      </c>
      <c r="AG134" s="123">
        <f t="shared" si="27"/>
        <v>1</v>
      </c>
      <c r="AH134" s="123">
        <f t="shared" si="27"/>
        <v>1</v>
      </c>
      <c r="AI134" s="123">
        <f t="shared" ref="AI134" si="28">IF(AI69=1,1,0)</f>
        <v>1</v>
      </c>
      <c r="AJ134" s="44" t="str">
        <f t="shared" si="7"/>
        <v>PRMRYCHK</v>
      </c>
      <c r="AK134" s="57"/>
      <c r="AL134" s="57" t="str">
        <f t="shared" si="10"/>
        <v>3F</v>
      </c>
      <c r="AM134" s="59" t="str">
        <f t="shared" si="11"/>
        <v>00</v>
      </c>
      <c r="AN134" s="59" t="str">
        <f t="shared" si="12"/>
        <v>00</v>
      </c>
      <c r="AO134" s="59" t="str">
        <f t="shared" si="13"/>
        <v>00</v>
      </c>
      <c r="AQ134" t="str">
        <f t="shared" si="8"/>
        <v xml:space="preserve">    (U4)0x0000003FU                                                            /* 63 PRMRYCHK                                        */</v>
      </c>
    </row>
    <row r="135" spans="1:43">
      <c r="A135" s="53" t="s">
        <v>65</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2" t="str">
        <f ca="1">IF(B6&lt;&gt;"",B6,"")</f>
        <v>Table M_T120</v>
      </c>
      <c r="C136" s="44">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1</v>
      </c>
      <c r="AE136" s="123">
        <f t="shared" si="29"/>
        <v>1</v>
      </c>
      <c r="AF136" s="123">
        <f t="shared" si="29"/>
        <v>1</v>
      </c>
      <c r="AG136" s="123">
        <f t="shared" si="29"/>
        <v>1</v>
      </c>
      <c r="AH136" s="123">
        <f t="shared" si="29"/>
        <v>1</v>
      </c>
      <c r="AI136" s="123">
        <f t="shared" si="29"/>
        <v>1</v>
      </c>
      <c r="AJ136" s="44" t="str">
        <f t="shared" ref="AJ136:AJ199" si="30">IF(AJ6&lt;&gt;"",AJ6,"")</f>
        <v>UNKNOWN</v>
      </c>
      <c r="AK136" s="57"/>
      <c r="AL136" s="57" t="str">
        <f>BIN2HEX(AB136&amp;AC136&amp;AD136&amp;AE136&amp;AF136&amp;AG136&amp;AH136&amp;AI136,2)</f>
        <v>3F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0"/>
      <c r="C137" s="44">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1</v>
      </c>
      <c r="AE137" s="123">
        <f t="shared" si="29"/>
        <v>1</v>
      </c>
      <c r="AF137" s="123">
        <f t="shared" si="29"/>
        <v>1</v>
      </c>
      <c r="AG137" s="123">
        <f t="shared" si="29"/>
        <v>1</v>
      </c>
      <c r="AH137" s="123">
        <f t="shared" si="29"/>
        <v>1</v>
      </c>
      <c r="AI137" s="123">
        <f t="shared" si="29"/>
        <v>1</v>
      </c>
      <c r="AJ137" s="44" t="str">
        <f t="shared" si="30"/>
        <v>UNKNOWN</v>
      </c>
      <c r="AK137" s="57"/>
      <c r="AL137" s="57" t="str">
        <f t="shared" ref="AL137:AL199" si="33">BIN2HEX(AB137&amp;AC137&amp;AD137&amp;AE137&amp;AF137&amp;AG137&amp;AH137&amp;AI137,2)</f>
        <v>3F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(U4)0x0000003FU,                                                           /* 01 UNKNOWN                                         */</v>
      </c>
    </row>
    <row r="138" spans="1:43">
      <c r="B138" s="130"/>
      <c r="C138" s="44">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1</v>
      </c>
      <c r="AE138" s="123">
        <f t="shared" si="29"/>
        <v>1</v>
      </c>
      <c r="AF138" s="123">
        <f t="shared" si="29"/>
        <v>1</v>
      </c>
      <c r="AG138" s="123">
        <f t="shared" si="29"/>
        <v>1</v>
      </c>
      <c r="AH138" s="123">
        <f t="shared" si="29"/>
        <v>1</v>
      </c>
      <c r="AI138" s="123">
        <f t="shared" si="29"/>
        <v>1</v>
      </c>
      <c r="AJ138" s="44" t="str">
        <f t="shared" si="30"/>
        <v>UNKNOWN</v>
      </c>
      <c r="AK138" s="57"/>
      <c r="AL138" s="57" t="str">
        <f t="shared" si="33"/>
        <v>3F</v>
      </c>
      <c r="AM138" s="59" t="str">
        <f t="shared" si="34"/>
        <v>00</v>
      </c>
      <c r="AN138" s="59" t="str">
        <f t="shared" si="35"/>
        <v>00</v>
      </c>
      <c r="AO138" s="59" t="str">
        <f t="shared" si="36"/>
        <v>00</v>
      </c>
      <c r="AQ138" t="str">
        <f t="shared" si="31"/>
        <v xml:space="preserve">    (U4)0x0000003FU,                                                           /* 02 UNKNOWN                                         */</v>
      </c>
    </row>
    <row r="139" spans="1:43">
      <c r="B139" s="130"/>
      <c r="C139" s="44">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1</v>
      </c>
      <c r="AE139" s="123">
        <f t="shared" si="29"/>
        <v>1</v>
      </c>
      <c r="AF139" s="123">
        <f t="shared" si="29"/>
        <v>1</v>
      </c>
      <c r="AG139" s="123">
        <f t="shared" si="29"/>
        <v>1</v>
      </c>
      <c r="AH139" s="123">
        <f t="shared" si="29"/>
        <v>1</v>
      </c>
      <c r="AI139" s="123">
        <f t="shared" si="29"/>
        <v>1</v>
      </c>
      <c r="AJ139" s="44" t="str">
        <f t="shared" si="30"/>
        <v>UNKNOWN</v>
      </c>
      <c r="AK139" s="57"/>
      <c r="AL139" s="57" t="str">
        <f t="shared" si="33"/>
        <v>3F</v>
      </c>
      <c r="AM139" s="59" t="str">
        <f t="shared" si="34"/>
        <v>00</v>
      </c>
      <c r="AN139" s="59" t="str">
        <f t="shared" si="35"/>
        <v>00</v>
      </c>
      <c r="AO139" s="59" t="str">
        <f t="shared" si="36"/>
        <v>00</v>
      </c>
      <c r="AQ139" t="str">
        <f t="shared" si="31"/>
        <v xml:space="preserve">    (U4)0x0000003FU,                                                           /* 03 UNKNOWN                                         */</v>
      </c>
    </row>
    <row r="140" spans="1:43">
      <c r="B140" s="130"/>
      <c r="C140" s="44">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1</v>
      </c>
      <c r="AE140" s="123">
        <f t="shared" si="29"/>
        <v>1</v>
      </c>
      <c r="AF140" s="123">
        <f t="shared" si="29"/>
        <v>1</v>
      </c>
      <c r="AG140" s="123">
        <f t="shared" si="29"/>
        <v>1</v>
      </c>
      <c r="AH140" s="123">
        <f t="shared" si="29"/>
        <v>1</v>
      </c>
      <c r="AI140" s="123">
        <f t="shared" si="29"/>
        <v>1</v>
      </c>
      <c r="AJ140" s="44" t="str">
        <f t="shared" si="30"/>
        <v>UNKNOWN</v>
      </c>
      <c r="AK140" s="57"/>
      <c r="AL140" s="57" t="str">
        <f t="shared" si="33"/>
        <v>3F</v>
      </c>
      <c r="AM140" s="59" t="str">
        <f t="shared" si="34"/>
        <v>00</v>
      </c>
      <c r="AN140" s="59" t="str">
        <f t="shared" si="35"/>
        <v>00</v>
      </c>
      <c r="AO140" s="59" t="str">
        <f t="shared" si="36"/>
        <v>00</v>
      </c>
      <c r="AQ140" t="str">
        <f t="shared" si="31"/>
        <v xml:space="preserve">    (U4)0x0000003FU,                                                           /* 04 UNKNOWN                                         */</v>
      </c>
    </row>
    <row r="141" spans="1:43">
      <c r="B141" s="130"/>
      <c r="C141" s="44">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1</v>
      </c>
      <c r="AE141" s="123">
        <f t="shared" si="29"/>
        <v>1</v>
      </c>
      <c r="AF141" s="123">
        <f t="shared" si="29"/>
        <v>1</v>
      </c>
      <c r="AG141" s="123">
        <f t="shared" si="29"/>
        <v>1</v>
      </c>
      <c r="AH141" s="123">
        <f t="shared" si="29"/>
        <v>1</v>
      </c>
      <c r="AI141" s="123">
        <f t="shared" si="29"/>
        <v>1</v>
      </c>
      <c r="AJ141" s="44" t="str">
        <f t="shared" si="30"/>
        <v>UNKNOWN</v>
      </c>
      <c r="AK141" s="57"/>
      <c r="AL141" s="57" t="str">
        <f t="shared" si="33"/>
        <v>3F</v>
      </c>
      <c r="AM141" s="59" t="str">
        <f t="shared" si="34"/>
        <v>00</v>
      </c>
      <c r="AN141" s="59" t="str">
        <f t="shared" si="35"/>
        <v>00</v>
      </c>
      <c r="AO141" s="59" t="str">
        <f t="shared" si="36"/>
        <v>00</v>
      </c>
      <c r="AQ141" t="str">
        <f t="shared" si="31"/>
        <v xml:space="preserve">    (U4)0x0000003FU,                                                           /* 05 UNKNOWN                                         */</v>
      </c>
    </row>
    <row r="142" spans="1:43">
      <c r="B142" s="130"/>
      <c r="C142" s="44">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1</v>
      </c>
      <c r="AE142" s="123">
        <f t="shared" si="29"/>
        <v>1</v>
      </c>
      <c r="AF142" s="123">
        <f t="shared" si="29"/>
        <v>1</v>
      </c>
      <c r="AG142" s="123">
        <f t="shared" si="29"/>
        <v>1</v>
      </c>
      <c r="AH142" s="123">
        <f t="shared" si="29"/>
        <v>1</v>
      </c>
      <c r="AI142" s="123">
        <f t="shared" si="29"/>
        <v>1</v>
      </c>
      <c r="AJ142" s="44" t="str">
        <f t="shared" si="30"/>
        <v>UNKNOWN</v>
      </c>
      <c r="AK142" s="57"/>
      <c r="AL142" s="57" t="str">
        <f t="shared" si="33"/>
        <v>3F</v>
      </c>
      <c r="AM142" s="59" t="str">
        <f t="shared" si="34"/>
        <v>00</v>
      </c>
      <c r="AN142" s="59" t="str">
        <f t="shared" si="35"/>
        <v>00</v>
      </c>
      <c r="AO142" s="59" t="str">
        <f t="shared" si="36"/>
        <v>00</v>
      </c>
      <c r="AQ142" t="str">
        <f t="shared" si="31"/>
        <v xml:space="preserve">    (U4)0x0000003FU,                                                           /* 06 UNKNOWN                                         */</v>
      </c>
    </row>
    <row r="143" spans="1:43">
      <c r="B143" s="130"/>
      <c r="C143" s="44">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1</v>
      </c>
      <c r="AE143" s="123">
        <f t="shared" si="29"/>
        <v>1</v>
      </c>
      <c r="AF143" s="123">
        <f t="shared" si="29"/>
        <v>1</v>
      </c>
      <c r="AG143" s="123">
        <f t="shared" si="29"/>
        <v>1</v>
      </c>
      <c r="AH143" s="123">
        <f t="shared" si="29"/>
        <v>1</v>
      </c>
      <c r="AI143" s="123">
        <f t="shared" ref="AI143" si="37">IF(OR(AI13=0,AI13=1),1,0)</f>
        <v>1</v>
      </c>
      <c r="AJ143" s="44" t="str">
        <f t="shared" si="30"/>
        <v>UNKNOWN</v>
      </c>
      <c r="AK143" s="57"/>
      <c r="AL143" s="57" t="str">
        <f t="shared" si="33"/>
        <v>3F</v>
      </c>
      <c r="AM143" s="59" t="str">
        <f t="shared" si="34"/>
        <v>00</v>
      </c>
      <c r="AN143" s="59" t="str">
        <f t="shared" si="35"/>
        <v>00</v>
      </c>
      <c r="AO143" s="59" t="str">
        <f t="shared" si="36"/>
        <v>00</v>
      </c>
      <c r="AQ143" t="str">
        <f t="shared" si="31"/>
        <v xml:space="preserve">    (U4)0x0000003FU,                                                           /* 07 UNKNOWN                                         */</v>
      </c>
    </row>
    <row r="144" spans="1:43">
      <c r="B144" s="130"/>
      <c r="C144" s="44">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1</v>
      </c>
      <c r="AE144" s="123">
        <f t="shared" si="38"/>
        <v>1</v>
      </c>
      <c r="AF144" s="123">
        <f t="shared" si="38"/>
        <v>1</v>
      </c>
      <c r="AG144" s="123">
        <f t="shared" si="38"/>
        <v>1</v>
      </c>
      <c r="AH144" s="123">
        <f t="shared" si="38"/>
        <v>1</v>
      </c>
      <c r="AI144" s="123">
        <f t="shared" si="38"/>
        <v>1</v>
      </c>
      <c r="AJ144" s="44" t="str">
        <f t="shared" si="30"/>
        <v>UNKNOWN</v>
      </c>
      <c r="AK144" s="57"/>
      <c r="AL144" s="57" t="str">
        <f t="shared" si="33"/>
        <v>3F</v>
      </c>
      <c r="AM144" s="59" t="str">
        <f t="shared" si="34"/>
        <v>00</v>
      </c>
      <c r="AN144" s="59" t="str">
        <f t="shared" si="35"/>
        <v>00</v>
      </c>
      <c r="AO144" s="59" t="str">
        <f t="shared" si="36"/>
        <v>00</v>
      </c>
      <c r="AQ144" t="str">
        <f t="shared" si="31"/>
        <v xml:space="preserve">    (U4)0x0000003FU,                                                           /* 08 UNKNOWN                                         */</v>
      </c>
    </row>
    <row r="145" spans="2:43">
      <c r="B145" s="130"/>
      <c r="C145" s="44">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1</v>
      </c>
      <c r="AE145" s="123">
        <f t="shared" si="38"/>
        <v>1</v>
      </c>
      <c r="AF145" s="123">
        <f t="shared" si="38"/>
        <v>1</v>
      </c>
      <c r="AG145" s="123">
        <f t="shared" si="38"/>
        <v>1</v>
      </c>
      <c r="AH145" s="123">
        <f t="shared" si="38"/>
        <v>1</v>
      </c>
      <c r="AI145" s="123">
        <f t="shared" si="38"/>
        <v>1</v>
      </c>
      <c r="AJ145" s="44" t="str">
        <f t="shared" si="30"/>
        <v>UNKNOWN</v>
      </c>
      <c r="AK145" s="57"/>
      <c r="AL145" s="57" t="str">
        <f t="shared" si="33"/>
        <v>3F</v>
      </c>
      <c r="AM145" s="59" t="str">
        <f t="shared" si="34"/>
        <v>00</v>
      </c>
      <c r="AN145" s="59" t="str">
        <f t="shared" si="35"/>
        <v>00</v>
      </c>
      <c r="AO145" s="59" t="str">
        <f t="shared" si="36"/>
        <v>00</v>
      </c>
      <c r="AQ145" t="str">
        <f t="shared" si="31"/>
        <v xml:space="preserve">    (U4)0x0000003FU,                                                           /* 09 UNKNOWN                                         */</v>
      </c>
    </row>
    <row r="146" spans="2:43">
      <c r="B146" s="130"/>
      <c r="C146" s="44">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1</v>
      </c>
      <c r="AE146" s="123">
        <f t="shared" si="38"/>
        <v>1</v>
      </c>
      <c r="AF146" s="123">
        <f t="shared" si="38"/>
        <v>1</v>
      </c>
      <c r="AG146" s="123">
        <f t="shared" si="38"/>
        <v>1</v>
      </c>
      <c r="AH146" s="123">
        <f t="shared" si="38"/>
        <v>1</v>
      </c>
      <c r="AI146" s="123">
        <f t="shared" si="38"/>
        <v>1</v>
      </c>
      <c r="AJ146" s="44" t="str">
        <f t="shared" si="30"/>
        <v>UNKNOWN</v>
      </c>
      <c r="AK146" s="57"/>
      <c r="AL146" s="57" t="str">
        <f t="shared" si="33"/>
        <v>3F</v>
      </c>
      <c r="AM146" s="59" t="str">
        <f t="shared" si="34"/>
        <v>00</v>
      </c>
      <c r="AN146" s="59" t="str">
        <f t="shared" si="35"/>
        <v>00</v>
      </c>
      <c r="AO146" s="59" t="str">
        <f t="shared" si="36"/>
        <v>00</v>
      </c>
      <c r="AQ146" t="str">
        <f t="shared" si="31"/>
        <v xml:space="preserve">    (U4)0x0000003FU,                                                           /* 10 UNKNOWN                                         */</v>
      </c>
    </row>
    <row r="147" spans="2:43">
      <c r="B147" s="130"/>
      <c r="C147" s="44">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1</v>
      </c>
      <c r="AE147" s="123">
        <f t="shared" si="38"/>
        <v>1</v>
      </c>
      <c r="AF147" s="123">
        <f t="shared" si="38"/>
        <v>1</v>
      </c>
      <c r="AG147" s="123">
        <f t="shared" si="38"/>
        <v>1</v>
      </c>
      <c r="AH147" s="123">
        <f t="shared" si="38"/>
        <v>1</v>
      </c>
      <c r="AI147" s="123">
        <f t="shared" si="38"/>
        <v>1</v>
      </c>
      <c r="AJ147" s="44" t="str">
        <f t="shared" si="30"/>
        <v>UNKNOWN</v>
      </c>
      <c r="AK147" s="57"/>
      <c r="AL147" s="57" t="str">
        <f t="shared" si="33"/>
        <v>3F</v>
      </c>
      <c r="AM147" s="59" t="str">
        <f t="shared" si="34"/>
        <v>00</v>
      </c>
      <c r="AN147" s="59" t="str">
        <f t="shared" si="35"/>
        <v>00</v>
      </c>
      <c r="AO147" s="59" t="str">
        <f t="shared" si="36"/>
        <v>00</v>
      </c>
      <c r="AQ147" t="str">
        <f t="shared" si="31"/>
        <v xml:space="preserve">    (U4)0x0000003FU,                                                           /* 11 UNKNOWN                                         */</v>
      </c>
    </row>
    <row r="148" spans="2:43">
      <c r="B148" s="130"/>
      <c r="C148" s="44">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1</v>
      </c>
      <c r="AE148" s="123">
        <f t="shared" si="38"/>
        <v>1</v>
      </c>
      <c r="AF148" s="123">
        <f t="shared" si="38"/>
        <v>1</v>
      </c>
      <c r="AG148" s="123">
        <f t="shared" si="38"/>
        <v>1</v>
      </c>
      <c r="AH148" s="123">
        <f t="shared" si="38"/>
        <v>1</v>
      </c>
      <c r="AI148" s="123">
        <f t="shared" si="38"/>
        <v>1</v>
      </c>
      <c r="AJ148" s="44" t="str">
        <f t="shared" si="30"/>
        <v>UNKNOWN</v>
      </c>
      <c r="AK148" s="57"/>
      <c r="AL148" s="57" t="str">
        <f t="shared" si="33"/>
        <v>3F</v>
      </c>
      <c r="AM148" s="59" t="str">
        <f t="shared" si="34"/>
        <v>00</v>
      </c>
      <c r="AN148" s="59" t="str">
        <f t="shared" si="35"/>
        <v>00</v>
      </c>
      <c r="AO148" s="59" t="str">
        <f t="shared" si="36"/>
        <v>00</v>
      </c>
      <c r="AQ148" t="str">
        <f t="shared" si="31"/>
        <v xml:space="preserve">    (U4)0x0000003FU,                                                           /* 12 UNKNOWN                                         */</v>
      </c>
    </row>
    <row r="149" spans="2:43">
      <c r="B149" s="130"/>
      <c r="C149" s="44">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1</v>
      </c>
      <c r="AE149" s="123">
        <f t="shared" si="38"/>
        <v>1</v>
      </c>
      <c r="AF149" s="123">
        <f t="shared" si="38"/>
        <v>1</v>
      </c>
      <c r="AG149" s="123">
        <f t="shared" si="38"/>
        <v>1</v>
      </c>
      <c r="AH149" s="123">
        <f t="shared" si="38"/>
        <v>1</v>
      </c>
      <c r="AI149" s="123">
        <f t="shared" si="38"/>
        <v>1</v>
      </c>
      <c r="AJ149" s="44" t="str">
        <f t="shared" si="30"/>
        <v>UNKNOWN</v>
      </c>
      <c r="AK149" s="57"/>
      <c r="AL149" s="57" t="str">
        <f t="shared" si="33"/>
        <v>3F</v>
      </c>
      <c r="AM149" s="59" t="str">
        <f t="shared" si="34"/>
        <v>00</v>
      </c>
      <c r="AN149" s="59" t="str">
        <f t="shared" si="35"/>
        <v>00</v>
      </c>
      <c r="AO149" s="59" t="str">
        <f t="shared" si="36"/>
        <v>00</v>
      </c>
      <c r="AQ149" t="str">
        <f t="shared" si="31"/>
        <v xml:space="preserve">    (U4)0x0000003FU,                                                           /* 13 UNKNOWN                                         */</v>
      </c>
    </row>
    <row r="150" spans="2:43">
      <c r="B150" s="130"/>
      <c r="C150" s="44">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1</v>
      </c>
      <c r="AE150" s="123">
        <f t="shared" si="38"/>
        <v>1</v>
      </c>
      <c r="AF150" s="123">
        <f t="shared" si="38"/>
        <v>1</v>
      </c>
      <c r="AG150" s="123">
        <f t="shared" si="38"/>
        <v>1</v>
      </c>
      <c r="AH150" s="123">
        <f t="shared" si="38"/>
        <v>1</v>
      </c>
      <c r="AI150" s="123">
        <f t="shared" si="38"/>
        <v>1</v>
      </c>
      <c r="AJ150" s="44" t="str">
        <f t="shared" si="30"/>
        <v>UNKNOWN</v>
      </c>
      <c r="AK150" s="57"/>
      <c r="AL150" s="57" t="str">
        <f t="shared" si="33"/>
        <v>3F</v>
      </c>
      <c r="AM150" s="59" t="str">
        <f t="shared" si="34"/>
        <v>00</v>
      </c>
      <c r="AN150" s="59" t="str">
        <f t="shared" si="35"/>
        <v>00</v>
      </c>
      <c r="AO150" s="59" t="str">
        <f t="shared" si="36"/>
        <v>00</v>
      </c>
      <c r="AQ150" t="str">
        <f t="shared" si="31"/>
        <v xml:space="preserve">    (U4)0x0000003FU,                                                           /* 14 UNKNOWN                                         */</v>
      </c>
    </row>
    <row r="151" spans="2:43">
      <c r="B151" s="130"/>
      <c r="C151" s="44">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1</v>
      </c>
      <c r="AE151" s="123">
        <f t="shared" si="38"/>
        <v>1</v>
      </c>
      <c r="AF151" s="123">
        <f t="shared" si="38"/>
        <v>1</v>
      </c>
      <c r="AG151" s="123">
        <f t="shared" si="38"/>
        <v>1</v>
      </c>
      <c r="AH151" s="123">
        <f t="shared" si="38"/>
        <v>1</v>
      </c>
      <c r="AI151" s="123">
        <f t="shared" ref="AI151" si="39">IF(OR(AI21=0,AI21=1),1,0)</f>
        <v>1</v>
      </c>
      <c r="AJ151" s="44" t="str">
        <f t="shared" si="30"/>
        <v>UNKNOWN</v>
      </c>
      <c r="AK151" s="57"/>
      <c r="AL151" s="57" t="str">
        <f t="shared" si="33"/>
        <v>3F</v>
      </c>
      <c r="AM151" s="59" t="str">
        <f t="shared" si="34"/>
        <v>00</v>
      </c>
      <c r="AN151" s="59" t="str">
        <f t="shared" si="35"/>
        <v>00</v>
      </c>
      <c r="AO151" s="59" t="str">
        <f t="shared" si="36"/>
        <v>00</v>
      </c>
      <c r="AQ151" t="str">
        <f t="shared" si="31"/>
        <v xml:space="preserve">    (U4)0x0000003FU,                                                           /* 15 UNKNOWN                                         */</v>
      </c>
    </row>
    <row r="152" spans="2:43">
      <c r="B152" s="130"/>
      <c r="C152" s="44">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1</v>
      </c>
      <c r="AE152" s="123">
        <f t="shared" si="40"/>
        <v>1</v>
      </c>
      <c r="AF152" s="123">
        <f t="shared" si="40"/>
        <v>1</v>
      </c>
      <c r="AG152" s="123">
        <f t="shared" si="40"/>
        <v>1</v>
      </c>
      <c r="AH152" s="123">
        <f t="shared" si="40"/>
        <v>1</v>
      </c>
      <c r="AI152" s="123">
        <f t="shared" si="40"/>
        <v>1</v>
      </c>
      <c r="AJ152" s="44" t="str">
        <f t="shared" si="30"/>
        <v>UNKNOWN</v>
      </c>
      <c r="AK152" s="57"/>
      <c r="AL152" s="57" t="str">
        <f t="shared" si="33"/>
        <v>3F</v>
      </c>
      <c r="AM152" s="59" t="str">
        <f t="shared" si="34"/>
        <v>00</v>
      </c>
      <c r="AN152" s="59" t="str">
        <f t="shared" si="35"/>
        <v>00</v>
      </c>
      <c r="AO152" s="59" t="str">
        <f t="shared" si="36"/>
        <v>00</v>
      </c>
      <c r="AQ152" t="str">
        <f t="shared" si="31"/>
        <v xml:space="preserve">    (U4)0x0000003FU,                                                           /* 16 UNKNOWN                                         */</v>
      </c>
    </row>
    <row r="153" spans="2:43">
      <c r="B153" s="130"/>
      <c r="C153" s="44">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1</v>
      </c>
      <c r="AE153" s="123">
        <f t="shared" si="40"/>
        <v>1</v>
      </c>
      <c r="AF153" s="123">
        <f t="shared" si="40"/>
        <v>1</v>
      </c>
      <c r="AG153" s="123">
        <f t="shared" si="40"/>
        <v>1</v>
      </c>
      <c r="AH153" s="123">
        <f t="shared" si="40"/>
        <v>1</v>
      </c>
      <c r="AI153" s="123">
        <f t="shared" si="40"/>
        <v>1</v>
      </c>
      <c r="AJ153" s="44" t="str">
        <f t="shared" si="30"/>
        <v>UNKNOWN</v>
      </c>
      <c r="AK153" s="57"/>
      <c r="AL153" s="57" t="str">
        <f t="shared" si="33"/>
        <v>3F</v>
      </c>
      <c r="AM153" s="59" t="str">
        <f t="shared" si="34"/>
        <v>00</v>
      </c>
      <c r="AN153" s="59" t="str">
        <f t="shared" si="35"/>
        <v>00</v>
      </c>
      <c r="AO153" s="59" t="str">
        <f t="shared" si="36"/>
        <v>00</v>
      </c>
      <c r="AQ153" t="str">
        <f t="shared" si="31"/>
        <v xml:space="preserve">    (U4)0x0000003FU,                                                           /* 17 UNKNOWN                                         */</v>
      </c>
    </row>
    <row r="154" spans="2:43">
      <c r="B154" s="130"/>
      <c r="C154" s="44">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1</v>
      </c>
      <c r="AE154" s="123">
        <f t="shared" si="40"/>
        <v>1</v>
      </c>
      <c r="AF154" s="123">
        <f t="shared" si="40"/>
        <v>1</v>
      </c>
      <c r="AG154" s="123">
        <f t="shared" si="40"/>
        <v>1</v>
      </c>
      <c r="AH154" s="123">
        <f t="shared" si="40"/>
        <v>1</v>
      </c>
      <c r="AI154" s="123">
        <f t="shared" si="40"/>
        <v>1</v>
      </c>
      <c r="AJ154" s="44" t="str">
        <f t="shared" si="30"/>
        <v>UNKNOWN</v>
      </c>
      <c r="AK154" s="57"/>
      <c r="AL154" s="57" t="str">
        <f t="shared" si="33"/>
        <v>3F</v>
      </c>
      <c r="AM154" s="59" t="str">
        <f t="shared" si="34"/>
        <v>00</v>
      </c>
      <c r="AN154" s="59" t="str">
        <f t="shared" si="35"/>
        <v>00</v>
      </c>
      <c r="AO154" s="59" t="str">
        <f t="shared" si="36"/>
        <v>00</v>
      </c>
      <c r="AQ154" t="str">
        <f t="shared" si="31"/>
        <v xml:space="preserve">    (U4)0x0000003FU,                                                           /* 18 UNKNOWN                                         */</v>
      </c>
    </row>
    <row r="155" spans="2:43">
      <c r="B155" s="130"/>
      <c r="C155" s="44">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1</v>
      </c>
      <c r="AE155" s="123">
        <f t="shared" si="40"/>
        <v>1</v>
      </c>
      <c r="AF155" s="123">
        <f t="shared" si="40"/>
        <v>1</v>
      </c>
      <c r="AG155" s="123">
        <f t="shared" si="40"/>
        <v>1</v>
      </c>
      <c r="AH155" s="123">
        <f t="shared" si="40"/>
        <v>1</v>
      </c>
      <c r="AI155" s="123">
        <f t="shared" si="40"/>
        <v>1</v>
      </c>
      <c r="AJ155" s="44" t="str">
        <f t="shared" si="30"/>
        <v>UNKNOWN</v>
      </c>
      <c r="AK155" s="57"/>
      <c r="AL155" s="57" t="str">
        <f t="shared" si="33"/>
        <v>3F</v>
      </c>
      <c r="AM155" s="59" t="str">
        <f t="shared" si="34"/>
        <v>00</v>
      </c>
      <c r="AN155" s="59" t="str">
        <f t="shared" si="35"/>
        <v>00</v>
      </c>
      <c r="AO155" s="59" t="str">
        <f t="shared" si="36"/>
        <v>00</v>
      </c>
      <c r="AQ155" t="str">
        <f t="shared" si="31"/>
        <v xml:space="preserve">    (U4)0x0000003FU,                                                           /* 19 UNKNOWN                                         */</v>
      </c>
    </row>
    <row r="156" spans="2:43">
      <c r="B156" s="130"/>
      <c r="C156" s="44">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1</v>
      </c>
      <c r="AE156" s="123">
        <f t="shared" si="40"/>
        <v>1</v>
      </c>
      <c r="AF156" s="123">
        <f t="shared" si="40"/>
        <v>1</v>
      </c>
      <c r="AG156" s="123">
        <f t="shared" si="40"/>
        <v>1</v>
      </c>
      <c r="AH156" s="123">
        <f t="shared" si="40"/>
        <v>1</v>
      </c>
      <c r="AI156" s="123">
        <f t="shared" si="40"/>
        <v>1</v>
      </c>
      <c r="AJ156" s="44" t="str">
        <f t="shared" si="30"/>
        <v>UNKNOWN</v>
      </c>
      <c r="AK156" s="57"/>
      <c r="AL156" s="57" t="str">
        <f t="shared" si="33"/>
        <v>3F</v>
      </c>
      <c r="AM156" s="59" t="str">
        <f t="shared" si="34"/>
        <v>00</v>
      </c>
      <c r="AN156" s="59" t="str">
        <f t="shared" si="35"/>
        <v>00</v>
      </c>
      <c r="AO156" s="59" t="str">
        <f t="shared" si="36"/>
        <v>00</v>
      </c>
      <c r="AQ156" t="str">
        <f t="shared" si="31"/>
        <v xml:space="preserve">    (U4)0x0000003FU,                                                           /* 20 UNKNOWN                                         */</v>
      </c>
    </row>
    <row r="157" spans="2:43">
      <c r="B157" s="130"/>
      <c r="C157" s="44">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1</v>
      </c>
      <c r="AE157" s="123">
        <f t="shared" si="40"/>
        <v>1</v>
      </c>
      <c r="AF157" s="123">
        <f t="shared" si="40"/>
        <v>1</v>
      </c>
      <c r="AG157" s="123">
        <f t="shared" si="40"/>
        <v>1</v>
      </c>
      <c r="AH157" s="123">
        <f t="shared" si="40"/>
        <v>1</v>
      </c>
      <c r="AI157" s="123">
        <f t="shared" si="40"/>
        <v>1</v>
      </c>
      <c r="AJ157" s="44" t="str">
        <f t="shared" si="30"/>
        <v>UNKNOWN</v>
      </c>
      <c r="AK157" s="57"/>
      <c r="AL157" s="57" t="str">
        <f t="shared" si="33"/>
        <v>3F</v>
      </c>
      <c r="AM157" s="59" t="str">
        <f t="shared" si="34"/>
        <v>00</v>
      </c>
      <c r="AN157" s="59" t="str">
        <f t="shared" si="35"/>
        <v>00</v>
      </c>
      <c r="AO157" s="59" t="str">
        <f t="shared" si="36"/>
        <v>00</v>
      </c>
      <c r="AQ157" t="str">
        <f t="shared" si="31"/>
        <v xml:space="preserve">    (U4)0x0000003FU,                                                           /* 21 UNKNOWN                                         */</v>
      </c>
    </row>
    <row r="158" spans="2:43">
      <c r="B158" s="130"/>
      <c r="C158" s="44">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1</v>
      </c>
      <c r="AE158" s="123">
        <f t="shared" si="40"/>
        <v>1</v>
      </c>
      <c r="AF158" s="123">
        <f t="shared" si="40"/>
        <v>1</v>
      </c>
      <c r="AG158" s="123">
        <f t="shared" si="40"/>
        <v>1</v>
      </c>
      <c r="AH158" s="123">
        <f t="shared" si="40"/>
        <v>1</v>
      </c>
      <c r="AI158" s="123">
        <f t="shared" si="40"/>
        <v>1</v>
      </c>
      <c r="AJ158" s="44" t="str">
        <f t="shared" si="30"/>
        <v>UNKNOWN</v>
      </c>
      <c r="AK158" s="57"/>
      <c r="AL158" s="57" t="str">
        <f t="shared" si="33"/>
        <v>3F</v>
      </c>
      <c r="AM158" s="59" t="str">
        <f t="shared" si="34"/>
        <v>00</v>
      </c>
      <c r="AN158" s="59" t="str">
        <f t="shared" si="35"/>
        <v>00</v>
      </c>
      <c r="AO158" s="59" t="str">
        <f t="shared" si="36"/>
        <v>00</v>
      </c>
      <c r="AQ158" t="str">
        <f t="shared" si="31"/>
        <v xml:space="preserve">    (U4)0x0000003FU,                                                           /* 22 UNKNOWN                                         */</v>
      </c>
    </row>
    <row r="159" spans="2:43">
      <c r="B159" s="130"/>
      <c r="C159" s="44">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1</v>
      </c>
      <c r="AE159" s="123">
        <f t="shared" si="40"/>
        <v>1</v>
      </c>
      <c r="AF159" s="123">
        <f t="shared" si="40"/>
        <v>1</v>
      </c>
      <c r="AG159" s="123">
        <f t="shared" si="40"/>
        <v>1</v>
      </c>
      <c r="AH159" s="123">
        <f t="shared" si="40"/>
        <v>1</v>
      </c>
      <c r="AI159" s="123">
        <f t="shared" ref="AI159" si="41">IF(OR(AI29=0,AI29=1),1,0)</f>
        <v>1</v>
      </c>
      <c r="AJ159" s="44" t="str">
        <f t="shared" si="30"/>
        <v>UNKNOWN</v>
      </c>
      <c r="AK159" s="57"/>
      <c r="AL159" s="57" t="str">
        <f t="shared" si="33"/>
        <v>3F</v>
      </c>
      <c r="AM159" s="59" t="str">
        <f t="shared" si="34"/>
        <v>00</v>
      </c>
      <c r="AN159" s="59" t="str">
        <f t="shared" si="35"/>
        <v>00</v>
      </c>
      <c r="AO159" s="59" t="str">
        <f t="shared" si="36"/>
        <v>00</v>
      </c>
      <c r="AQ159" t="str">
        <f t="shared" si="31"/>
        <v xml:space="preserve">    (U4)0x0000003FU,                                                           /* 23 UNKNOWN                                         */</v>
      </c>
    </row>
    <row r="160" spans="2:43">
      <c r="B160" s="130"/>
      <c r="C160" s="44">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1</v>
      </c>
      <c r="AE160" s="123">
        <f t="shared" si="42"/>
        <v>1</v>
      </c>
      <c r="AF160" s="123">
        <f t="shared" si="42"/>
        <v>1</v>
      </c>
      <c r="AG160" s="123">
        <f t="shared" si="42"/>
        <v>1</v>
      </c>
      <c r="AH160" s="123">
        <f t="shared" si="42"/>
        <v>1</v>
      </c>
      <c r="AI160" s="123">
        <f t="shared" si="42"/>
        <v>1</v>
      </c>
      <c r="AJ160" s="44" t="str">
        <f t="shared" si="30"/>
        <v>UNKNOWN</v>
      </c>
      <c r="AK160" s="57"/>
      <c r="AL160" s="57" t="str">
        <f t="shared" si="33"/>
        <v>3F</v>
      </c>
      <c r="AM160" s="59" t="str">
        <f t="shared" si="34"/>
        <v>00</v>
      </c>
      <c r="AN160" s="59" t="str">
        <f t="shared" si="35"/>
        <v>00</v>
      </c>
      <c r="AO160" s="59" t="str">
        <f t="shared" si="36"/>
        <v>00</v>
      </c>
      <c r="AQ160" t="str">
        <f t="shared" si="31"/>
        <v xml:space="preserve">    (U4)0x0000003FU,                                                           /* 24 UNKNOWN                                         */</v>
      </c>
    </row>
    <row r="161" spans="2:43">
      <c r="B161" s="130"/>
      <c r="C161" s="44">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1</v>
      </c>
      <c r="AE161" s="123">
        <f t="shared" si="42"/>
        <v>1</v>
      </c>
      <c r="AF161" s="123">
        <f t="shared" si="42"/>
        <v>1</v>
      </c>
      <c r="AG161" s="123">
        <f t="shared" si="42"/>
        <v>1</v>
      </c>
      <c r="AH161" s="123">
        <f t="shared" si="42"/>
        <v>1</v>
      </c>
      <c r="AI161" s="123">
        <f t="shared" si="42"/>
        <v>1</v>
      </c>
      <c r="AJ161" s="44" t="str">
        <f t="shared" si="30"/>
        <v>UNKNOWN</v>
      </c>
      <c r="AK161" s="57"/>
      <c r="AL161" s="57" t="str">
        <f t="shared" si="33"/>
        <v>3F</v>
      </c>
      <c r="AM161" s="59" t="str">
        <f t="shared" si="34"/>
        <v>00</v>
      </c>
      <c r="AN161" s="59" t="str">
        <f t="shared" si="35"/>
        <v>00</v>
      </c>
      <c r="AO161" s="59" t="str">
        <f t="shared" si="36"/>
        <v>00</v>
      </c>
      <c r="AQ161" t="str">
        <f t="shared" si="31"/>
        <v xml:space="preserve">    (U4)0x0000003FU,                                                           /* 25 UNKNOWN                                         */</v>
      </c>
    </row>
    <row r="162" spans="2:43">
      <c r="B162" s="130"/>
      <c r="C162" s="44">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1</v>
      </c>
      <c r="AE162" s="123">
        <f t="shared" si="42"/>
        <v>1</v>
      </c>
      <c r="AF162" s="123">
        <f t="shared" si="42"/>
        <v>1</v>
      </c>
      <c r="AG162" s="123">
        <f t="shared" si="42"/>
        <v>1</v>
      </c>
      <c r="AH162" s="123">
        <f t="shared" si="42"/>
        <v>1</v>
      </c>
      <c r="AI162" s="123">
        <f t="shared" si="42"/>
        <v>1</v>
      </c>
      <c r="AJ162" s="44" t="str">
        <f t="shared" si="30"/>
        <v>UNKNOWN</v>
      </c>
      <c r="AK162" s="57"/>
      <c r="AL162" s="57" t="str">
        <f t="shared" si="33"/>
        <v>3F</v>
      </c>
      <c r="AM162" s="59" t="str">
        <f t="shared" si="34"/>
        <v>00</v>
      </c>
      <c r="AN162" s="59" t="str">
        <f t="shared" si="35"/>
        <v>00</v>
      </c>
      <c r="AO162" s="59" t="str">
        <f t="shared" si="36"/>
        <v>00</v>
      </c>
      <c r="AQ162" t="str">
        <f t="shared" si="31"/>
        <v xml:space="preserve">    (U4)0x0000003FU,                                                           /* 26 UNKNOWN                                         */</v>
      </c>
    </row>
    <row r="163" spans="2:43">
      <c r="B163" s="130"/>
      <c r="C163" s="44">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1</v>
      </c>
      <c r="AE163" s="123">
        <f t="shared" si="42"/>
        <v>1</v>
      </c>
      <c r="AF163" s="123">
        <f t="shared" si="42"/>
        <v>1</v>
      </c>
      <c r="AG163" s="123">
        <f t="shared" si="42"/>
        <v>1</v>
      </c>
      <c r="AH163" s="123">
        <f t="shared" si="42"/>
        <v>1</v>
      </c>
      <c r="AI163" s="123">
        <f t="shared" si="42"/>
        <v>1</v>
      </c>
      <c r="AJ163" s="44" t="str">
        <f t="shared" si="30"/>
        <v>UNKNOWN</v>
      </c>
      <c r="AK163" s="57"/>
      <c r="AL163" s="57" t="str">
        <f t="shared" si="33"/>
        <v>3F</v>
      </c>
      <c r="AM163" s="59" t="str">
        <f t="shared" si="34"/>
        <v>00</v>
      </c>
      <c r="AN163" s="59" t="str">
        <f t="shared" si="35"/>
        <v>00</v>
      </c>
      <c r="AO163" s="59" t="str">
        <f t="shared" si="36"/>
        <v>00</v>
      </c>
      <c r="AQ163" t="str">
        <f t="shared" si="31"/>
        <v xml:space="preserve">    (U4)0x0000003FU,                                                           /* 27 UNKNOWN                                         */</v>
      </c>
    </row>
    <row r="164" spans="2:43">
      <c r="B164" s="130"/>
      <c r="C164" s="44">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1</v>
      </c>
      <c r="AE164" s="123">
        <f t="shared" si="42"/>
        <v>1</v>
      </c>
      <c r="AF164" s="123">
        <f t="shared" si="42"/>
        <v>1</v>
      </c>
      <c r="AG164" s="123">
        <f t="shared" si="42"/>
        <v>1</v>
      </c>
      <c r="AH164" s="123">
        <f t="shared" si="42"/>
        <v>1</v>
      </c>
      <c r="AI164" s="123">
        <f t="shared" si="42"/>
        <v>1</v>
      </c>
      <c r="AJ164" s="44" t="str">
        <f t="shared" si="30"/>
        <v>UNKNOWN</v>
      </c>
      <c r="AK164" s="57"/>
      <c r="AL164" s="57" t="str">
        <f t="shared" si="33"/>
        <v>3F</v>
      </c>
      <c r="AM164" s="59" t="str">
        <f t="shared" si="34"/>
        <v>00</v>
      </c>
      <c r="AN164" s="59" t="str">
        <f t="shared" si="35"/>
        <v>00</v>
      </c>
      <c r="AO164" s="59" t="str">
        <f t="shared" si="36"/>
        <v>00</v>
      </c>
      <c r="AQ164" t="str">
        <f t="shared" si="31"/>
        <v xml:space="preserve">    (U4)0x0000003FU,                                                           /* 28 UNKNOWN                                         */</v>
      </c>
    </row>
    <row r="165" spans="2:43">
      <c r="B165" s="130"/>
      <c r="C165" s="44">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1</v>
      </c>
      <c r="AE165" s="123">
        <f t="shared" si="42"/>
        <v>1</v>
      </c>
      <c r="AF165" s="123">
        <f t="shared" si="42"/>
        <v>1</v>
      </c>
      <c r="AG165" s="123">
        <f t="shared" si="42"/>
        <v>1</v>
      </c>
      <c r="AH165" s="123">
        <f t="shared" si="42"/>
        <v>1</v>
      </c>
      <c r="AI165" s="123">
        <f t="shared" si="42"/>
        <v>1</v>
      </c>
      <c r="AJ165" s="44" t="str">
        <f t="shared" si="30"/>
        <v>UNKNOWN</v>
      </c>
      <c r="AK165" s="57"/>
      <c r="AL165" s="57" t="str">
        <f t="shared" si="33"/>
        <v>3F</v>
      </c>
      <c r="AM165" s="59" t="str">
        <f t="shared" si="34"/>
        <v>00</v>
      </c>
      <c r="AN165" s="59" t="str">
        <f t="shared" si="35"/>
        <v>00</v>
      </c>
      <c r="AO165" s="59" t="str">
        <f t="shared" si="36"/>
        <v>00</v>
      </c>
      <c r="AQ165" t="str">
        <f t="shared" si="31"/>
        <v xml:space="preserve">    (U4)0x0000003FU,                                                           /* 29 UNKNOWN                                         */</v>
      </c>
    </row>
    <row r="166" spans="2:43">
      <c r="B166" s="130"/>
      <c r="C166" s="44">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1</v>
      </c>
      <c r="AE166" s="123">
        <f t="shared" si="42"/>
        <v>1</v>
      </c>
      <c r="AF166" s="123">
        <f t="shared" si="42"/>
        <v>1</v>
      </c>
      <c r="AG166" s="123">
        <f t="shared" si="42"/>
        <v>1</v>
      </c>
      <c r="AH166" s="123">
        <f t="shared" si="42"/>
        <v>1</v>
      </c>
      <c r="AI166" s="123">
        <f t="shared" si="42"/>
        <v>1</v>
      </c>
      <c r="AJ166" s="44" t="str">
        <f t="shared" si="30"/>
        <v>UNKNOWN</v>
      </c>
      <c r="AK166" s="57"/>
      <c r="AL166" s="57" t="str">
        <f t="shared" si="33"/>
        <v>3F</v>
      </c>
      <c r="AM166" s="59" t="str">
        <f t="shared" si="34"/>
        <v>00</v>
      </c>
      <c r="AN166" s="59" t="str">
        <f t="shared" si="35"/>
        <v>00</v>
      </c>
      <c r="AO166" s="59" t="str">
        <f t="shared" si="36"/>
        <v>00</v>
      </c>
      <c r="AQ166" t="str">
        <f t="shared" si="31"/>
        <v xml:space="preserve">    (U4)0x0000003FU,                                                           /* 30 UNKNOWN                                         */</v>
      </c>
    </row>
    <row r="167" spans="2:43">
      <c r="B167" s="130"/>
      <c r="C167" s="44">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1</v>
      </c>
      <c r="AE167" s="123">
        <f t="shared" si="42"/>
        <v>1</v>
      </c>
      <c r="AF167" s="123">
        <f t="shared" si="42"/>
        <v>1</v>
      </c>
      <c r="AG167" s="123">
        <f t="shared" si="42"/>
        <v>1</v>
      </c>
      <c r="AH167" s="123">
        <f t="shared" si="42"/>
        <v>1</v>
      </c>
      <c r="AI167" s="123">
        <f t="shared" ref="AI167" si="43">IF(OR(AI37=0,AI37=1),1,0)</f>
        <v>1</v>
      </c>
      <c r="AJ167" s="44" t="str">
        <f t="shared" si="30"/>
        <v>UNKNOWN</v>
      </c>
      <c r="AK167" s="57"/>
      <c r="AL167" s="57" t="str">
        <f t="shared" si="33"/>
        <v>3F</v>
      </c>
      <c r="AM167" s="59" t="str">
        <f t="shared" si="34"/>
        <v>00</v>
      </c>
      <c r="AN167" s="59" t="str">
        <f t="shared" si="35"/>
        <v>00</v>
      </c>
      <c r="AO167" s="59" t="str">
        <f t="shared" si="36"/>
        <v>00</v>
      </c>
      <c r="AQ167" t="str">
        <f t="shared" si="31"/>
        <v xml:space="preserve">    (U4)0x0000003FU,                                                           /* 31 UNKNOWN                                         */</v>
      </c>
    </row>
    <row r="168" spans="2:43">
      <c r="B168" s="130"/>
      <c r="C168" s="44">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1</v>
      </c>
      <c r="AE168" s="123">
        <f t="shared" si="44"/>
        <v>1</v>
      </c>
      <c r="AF168" s="123">
        <f t="shared" si="44"/>
        <v>1</v>
      </c>
      <c r="AG168" s="123">
        <f t="shared" si="44"/>
        <v>1</v>
      </c>
      <c r="AH168" s="123">
        <f t="shared" si="44"/>
        <v>1</v>
      </c>
      <c r="AI168" s="123">
        <f t="shared" si="44"/>
        <v>1</v>
      </c>
      <c r="AJ168" s="44" t="str">
        <f t="shared" si="30"/>
        <v>UNKNOWN</v>
      </c>
      <c r="AK168" s="57"/>
      <c r="AL168" s="57" t="str">
        <f t="shared" si="33"/>
        <v>3F</v>
      </c>
      <c r="AM168" s="59" t="str">
        <f t="shared" si="34"/>
        <v>00</v>
      </c>
      <c r="AN168" s="59" t="str">
        <f t="shared" si="35"/>
        <v>00</v>
      </c>
      <c r="AO168" s="59" t="str">
        <f t="shared" si="36"/>
        <v>00</v>
      </c>
      <c r="AQ168" t="str">
        <f t="shared" si="31"/>
        <v xml:space="preserve">    (U4)0x0000003FU,                                                           /* 32 UNKNOWN                                         */</v>
      </c>
    </row>
    <row r="169" spans="2:43">
      <c r="B169" s="130"/>
      <c r="C169" s="44">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1</v>
      </c>
      <c r="AE169" s="123">
        <f t="shared" si="44"/>
        <v>1</v>
      </c>
      <c r="AF169" s="123">
        <f t="shared" si="44"/>
        <v>1</v>
      </c>
      <c r="AG169" s="123">
        <f t="shared" si="44"/>
        <v>1</v>
      </c>
      <c r="AH169" s="123">
        <f t="shared" si="44"/>
        <v>1</v>
      </c>
      <c r="AI169" s="123">
        <f t="shared" si="44"/>
        <v>1</v>
      </c>
      <c r="AJ169" s="44" t="str">
        <f t="shared" si="30"/>
        <v>PRMRYCHK</v>
      </c>
      <c r="AK169" s="57"/>
      <c r="AL169" s="57" t="str">
        <f t="shared" si="33"/>
        <v>3F</v>
      </c>
      <c r="AM169" s="59" t="str">
        <f t="shared" si="34"/>
        <v>00</v>
      </c>
      <c r="AN169" s="59" t="str">
        <f t="shared" si="35"/>
        <v>00</v>
      </c>
      <c r="AO169" s="59" t="str">
        <f t="shared" si="36"/>
        <v>00</v>
      </c>
      <c r="AQ169" t="str">
        <f t="shared" si="31"/>
        <v xml:space="preserve">    (U4)0x0000003FU,                                                           /* 33 PRMRYCHK                                        */</v>
      </c>
    </row>
    <row r="170" spans="2:43">
      <c r="B170" s="130"/>
      <c r="C170" s="44">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1</v>
      </c>
      <c r="AE170" s="123">
        <f t="shared" si="44"/>
        <v>1</v>
      </c>
      <c r="AF170" s="123">
        <f t="shared" si="44"/>
        <v>1</v>
      </c>
      <c r="AG170" s="123">
        <f t="shared" si="44"/>
        <v>1</v>
      </c>
      <c r="AH170" s="123">
        <f t="shared" si="44"/>
        <v>1</v>
      </c>
      <c r="AI170" s="123">
        <f t="shared" si="44"/>
        <v>1</v>
      </c>
      <c r="AJ170" s="44" t="str">
        <f t="shared" si="30"/>
        <v>UNKNOWN</v>
      </c>
      <c r="AK170" s="57"/>
      <c r="AL170" s="57" t="str">
        <f t="shared" si="33"/>
        <v>3F</v>
      </c>
      <c r="AM170" s="59" t="str">
        <f t="shared" si="34"/>
        <v>00</v>
      </c>
      <c r="AN170" s="59" t="str">
        <f t="shared" si="35"/>
        <v>00</v>
      </c>
      <c r="AO170" s="59" t="str">
        <f t="shared" si="36"/>
        <v>00</v>
      </c>
      <c r="AQ170" t="str">
        <f t="shared" si="31"/>
        <v xml:space="preserve">    (U4)0x0000003FU,                                                           /* 34 UNKNOWN                                         */</v>
      </c>
    </row>
    <row r="171" spans="2:43">
      <c r="B171" s="130"/>
      <c r="C171" s="44">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1</v>
      </c>
      <c r="AE171" s="123">
        <f t="shared" si="44"/>
        <v>1</v>
      </c>
      <c r="AF171" s="123">
        <f t="shared" si="44"/>
        <v>1</v>
      </c>
      <c r="AG171" s="123">
        <f t="shared" si="44"/>
        <v>1</v>
      </c>
      <c r="AH171" s="123">
        <f t="shared" si="44"/>
        <v>1</v>
      </c>
      <c r="AI171" s="123">
        <f t="shared" si="44"/>
        <v>1</v>
      </c>
      <c r="AJ171" s="44" t="str">
        <f t="shared" si="30"/>
        <v>PRMRYCHK</v>
      </c>
      <c r="AK171" s="57"/>
      <c r="AL171" s="57" t="str">
        <f t="shared" si="33"/>
        <v>3F</v>
      </c>
      <c r="AM171" s="59" t="str">
        <f t="shared" si="34"/>
        <v>00</v>
      </c>
      <c r="AN171" s="59" t="str">
        <f t="shared" si="35"/>
        <v>00</v>
      </c>
      <c r="AO171" s="59" t="str">
        <f t="shared" si="36"/>
        <v>00</v>
      </c>
      <c r="AQ171" t="str">
        <f t="shared" si="31"/>
        <v xml:space="preserve">    (U4)0x0000003FU,                                                           /* 35 PRMRYCHK                                        */</v>
      </c>
    </row>
    <row r="172" spans="2:43">
      <c r="B172" s="130"/>
      <c r="C172" s="44">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1</v>
      </c>
      <c r="AE172" s="123">
        <f t="shared" si="44"/>
        <v>1</v>
      </c>
      <c r="AF172" s="123">
        <f t="shared" si="44"/>
        <v>1</v>
      </c>
      <c r="AG172" s="123">
        <f t="shared" si="44"/>
        <v>1</v>
      </c>
      <c r="AH172" s="123">
        <f t="shared" si="44"/>
        <v>1</v>
      </c>
      <c r="AI172" s="123">
        <f t="shared" si="44"/>
        <v>1</v>
      </c>
      <c r="AJ172" s="44" t="str">
        <f t="shared" si="30"/>
        <v>UNKNOWN</v>
      </c>
      <c r="AK172" s="57"/>
      <c r="AL172" s="57" t="str">
        <f t="shared" si="33"/>
        <v>3F</v>
      </c>
      <c r="AM172" s="59" t="str">
        <f t="shared" si="34"/>
        <v>00</v>
      </c>
      <c r="AN172" s="59" t="str">
        <f t="shared" si="35"/>
        <v>00</v>
      </c>
      <c r="AO172" s="59" t="str">
        <f t="shared" si="36"/>
        <v>00</v>
      </c>
      <c r="AQ172" t="str">
        <f t="shared" si="31"/>
        <v xml:space="preserve">    (U4)0x0000003FU,                                                           /* 36 UNKNOWN                                         */</v>
      </c>
    </row>
    <row r="173" spans="2:43">
      <c r="B173" s="130"/>
      <c r="C173" s="44">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1</v>
      </c>
      <c r="AE173" s="123">
        <f t="shared" si="44"/>
        <v>1</v>
      </c>
      <c r="AF173" s="123">
        <f t="shared" si="44"/>
        <v>1</v>
      </c>
      <c r="AG173" s="123">
        <f t="shared" si="44"/>
        <v>1</v>
      </c>
      <c r="AH173" s="123">
        <f t="shared" si="44"/>
        <v>1</v>
      </c>
      <c r="AI173" s="123">
        <f t="shared" si="44"/>
        <v>1</v>
      </c>
      <c r="AJ173" s="44" t="str">
        <f t="shared" si="30"/>
        <v>PRMRYCHK</v>
      </c>
      <c r="AK173" s="57"/>
      <c r="AL173" s="57" t="str">
        <f t="shared" si="33"/>
        <v>3F</v>
      </c>
      <c r="AM173" s="59" t="str">
        <f t="shared" si="34"/>
        <v>00</v>
      </c>
      <c r="AN173" s="59" t="str">
        <f t="shared" si="35"/>
        <v>00</v>
      </c>
      <c r="AO173" s="59" t="str">
        <f t="shared" si="36"/>
        <v>00</v>
      </c>
      <c r="AQ173" t="str">
        <f t="shared" si="31"/>
        <v xml:space="preserve">    (U4)0x0000003FU,                                                           /* 37 PRMRYCHK                                        */</v>
      </c>
    </row>
    <row r="174" spans="2:43">
      <c r="B174" s="130"/>
      <c r="C174" s="44">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1</v>
      </c>
      <c r="AE174" s="123">
        <f t="shared" si="44"/>
        <v>1</v>
      </c>
      <c r="AF174" s="123">
        <f t="shared" si="44"/>
        <v>1</v>
      </c>
      <c r="AG174" s="123">
        <f t="shared" si="44"/>
        <v>1</v>
      </c>
      <c r="AH174" s="123">
        <f t="shared" si="44"/>
        <v>1</v>
      </c>
      <c r="AI174" s="123">
        <f t="shared" si="44"/>
        <v>1</v>
      </c>
      <c r="AJ174" s="44" t="str">
        <f t="shared" si="30"/>
        <v>TT_PD_ON</v>
      </c>
      <c r="AK174" s="57"/>
      <c r="AL174" s="57" t="str">
        <f t="shared" si="33"/>
        <v>3F</v>
      </c>
      <c r="AM174" s="59" t="str">
        <f t="shared" si="34"/>
        <v>00</v>
      </c>
      <c r="AN174" s="59" t="str">
        <f t="shared" si="35"/>
        <v>00</v>
      </c>
      <c r="AO174" s="59" t="str">
        <f t="shared" si="36"/>
        <v>00</v>
      </c>
      <c r="AQ174" t="str">
        <f t="shared" si="31"/>
        <v xml:space="preserve">    (U4)0x0000003FU,                                                           /* 38 TT_PD_ON                                        */</v>
      </c>
    </row>
    <row r="175" spans="2:43">
      <c r="B175" s="130"/>
      <c r="C175" s="44">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1</v>
      </c>
      <c r="AE175" s="123">
        <f t="shared" si="44"/>
        <v>1</v>
      </c>
      <c r="AF175" s="123">
        <f t="shared" si="44"/>
        <v>1</v>
      </c>
      <c r="AG175" s="123">
        <f t="shared" si="44"/>
        <v>1</v>
      </c>
      <c r="AH175" s="123">
        <f t="shared" si="44"/>
        <v>1</v>
      </c>
      <c r="AI175" s="123">
        <f t="shared" ref="AI175" si="45">IF(OR(AI45=0,AI45=1),1,0)</f>
        <v>1</v>
      </c>
      <c r="AJ175" s="44" t="str">
        <f t="shared" si="30"/>
        <v>PRMRYCHK_PD</v>
      </c>
      <c r="AK175" s="57"/>
      <c r="AL175" s="57" t="str">
        <f t="shared" si="33"/>
        <v>3F</v>
      </c>
      <c r="AM175" s="59" t="str">
        <f t="shared" si="34"/>
        <v>00</v>
      </c>
      <c r="AN175" s="59" t="str">
        <f t="shared" si="35"/>
        <v>00</v>
      </c>
      <c r="AO175" s="59" t="str">
        <f t="shared" si="36"/>
        <v>00</v>
      </c>
      <c r="AQ175" t="str">
        <f t="shared" si="31"/>
        <v xml:space="preserve">    (U4)0x0000003FU,                                                           /* 39 PRMRYCHK_PD                                     */</v>
      </c>
    </row>
    <row r="176" spans="2:43">
      <c r="B176" s="130"/>
      <c r="C176" s="44">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1</v>
      </c>
      <c r="AE176" s="123">
        <f t="shared" si="46"/>
        <v>1</v>
      </c>
      <c r="AF176" s="123">
        <f t="shared" si="46"/>
        <v>1</v>
      </c>
      <c r="AG176" s="123">
        <f t="shared" si="46"/>
        <v>1</v>
      </c>
      <c r="AH176" s="123">
        <f t="shared" si="46"/>
        <v>1</v>
      </c>
      <c r="AI176" s="123">
        <f t="shared" si="46"/>
        <v>1</v>
      </c>
      <c r="AJ176" s="44" t="str">
        <f t="shared" si="30"/>
        <v>TT_PD_ON</v>
      </c>
      <c r="AK176" s="57"/>
      <c r="AL176" s="57" t="str">
        <f t="shared" si="33"/>
        <v>3F</v>
      </c>
      <c r="AM176" s="59" t="str">
        <f t="shared" si="34"/>
        <v>00</v>
      </c>
      <c r="AN176" s="59" t="str">
        <f t="shared" si="35"/>
        <v>00</v>
      </c>
      <c r="AO176" s="59" t="str">
        <f t="shared" si="36"/>
        <v>00</v>
      </c>
      <c r="AQ176" t="str">
        <f t="shared" si="31"/>
        <v xml:space="preserve">    (U4)0x0000003FU,                                                           /* 40 TT_PD_ON                                        */</v>
      </c>
    </row>
    <row r="177" spans="2:43">
      <c r="B177" s="130"/>
      <c r="C177" s="44">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1</v>
      </c>
      <c r="AE177" s="123">
        <f t="shared" si="46"/>
        <v>1</v>
      </c>
      <c r="AF177" s="123">
        <f t="shared" si="46"/>
        <v>1</v>
      </c>
      <c r="AG177" s="123">
        <f t="shared" si="46"/>
        <v>1</v>
      </c>
      <c r="AH177" s="123">
        <f t="shared" si="46"/>
        <v>1</v>
      </c>
      <c r="AI177" s="123">
        <f t="shared" si="46"/>
        <v>1</v>
      </c>
      <c r="AJ177" s="44" t="str">
        <f t="shared" si="30"/>
        <v>PRMRYCHK_PD</v>
      </c>
      <c r="AK177" s="57"/>
      <c r="AL177" s="57" t="str">
        <f t="shared" si="33"/>
        <v>3F</v>
      </c>
      <c r="AM177" s="59" t="str">
        <f t="shared" si="34"/>
        <v>00</v>
      </c>
      <c r="AN177" s="59" t="str">
        <f t="shared" si="35"/>
        <v>00</v>
      </c>
      <c r="AO177" s="59" t="str">
        <f t="shared" si="36"/>
        <v>00</v>
      </c>
      <c r="AQ177" t="str">
        <f t="shared" si="31"/>
        <v xml:space="preserve">    (U4)0x0000003FU,                                                           /* 41 PRMRYCHK_PD                                     */</v>
      </c>
    </row>
    <row r="178" spans="2:43">
      <c r="B178" s="130"/>
      <c r="C178" s="44">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1</v>
      </c>
      <c r="AE178" s="123">
        <f t="shared" si="46"/>
        <v>1</v>
      </c>
      <c r="AF178" s="123">
        <f t="shared" si="46"/>
        <v>1</v>
      </c>
      <c r="AG178" s="123">
        <f t="shared" si="46"/>
        <v>1</v>
      </c>
      <c r="AH178" s="123">
        <f t="shared" si="46"/>
        <v>1</v>
      </c>
      <c r="AI178" s="123">
        <f t="shared" si="46"/>
        <v>1</v>
      </c>
      <c r="AJ178" s="44" t="str">
        <f t="shared" si="30"/>
        <v>TT_PD_ON</v>
      </c>
      <c r="AK178" s="57"/>
      <c r="AL178" s="57" t="str">
        <f t="shared" si="33"/>
        <v>3F</v>
      </c>
      <c r="AM178" s="59" t="str">
        <f t="shared" si="34"/>
        <v>00</v>
      </c>
      <c r="AN178" s="59" t="str">
        <f t="shared" si="35"/>
        <v>00</v>
      </c>
      <c r="AO178" s="59" t="str">
        <f t="shared" si="36"/>
        <v>00</v>
      </c>
      <c r="AQ178" t="str">
        <f t="shared" si="31"/>
        <v xml:space="preserve">    (U4)0x0000003FU,                                                           /* 42 TT_PD_ON                                        */</v>
      </c>
    </row>
    <row r="179" spans="2:43">
      <c r="B179" s="130"/>
      <c r="C179" s="44">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1</v>
      </c>
      <c r="AE179" s="123">
        <f t="shared" si="46"/>
        <v>1</v>
      </c>
      <c r="AF179" s="123">
        <f t="shared" si="46"/>
        <v>1</v>
      </c>
      <c r="AG179" s="123">
        <f t="shared" si="46"/>
        <v>1</v>
      </c>
      <c r="AH179" s="123">
        <f t="shared" si="46"/>
        <v>1</v>
      </c>
      <c r="AI179" s="123">
        <f t="shared" si="46"/>
        <v>1</v>
      </c>
      <c r="AJ179" s="44" t="str">
        <f t="shared" si="30"/>
        <v>PRMRYCHK_PD</v>
      </c>
      <c r="AK179" s="57"/>
      <c r="AL179" s="57" t="str">
        <f t="shared" si="33"/>
        <v>3F</v>
      </c>
      <c r="AM179" s="59" t="str">
        <f t="shared" si="34"/>
        <v>00</v>
      </c>
      <c r="AN179" s="59" t="str">
        <f t="shared" si="35"/>
        <v>00</v>
      </c>
      <c r="AO179" s="59" t="str">
        <f t="shared" si="36"/>
        <v>00</v>
      </c>
      <c r="AQ179" t="str">
        <f t="shared" si="31"/>
        <v xml:space="preserve">    (U4)0x0000003FU,                                                           /* 43 PRMRYCHK_PD                                     */</v>
      </c>
    </row>
    <row r="180" spans="2:43">
      <c r="B180" s="130"/>
      <c r="C180" s="44">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1</v>
      </c>
      <c r="AE180" s="123">
        <f t="shared" si="46"/>
        <v>1</v>
      </c>
      <c r="AF180" s="123">
        <f t="shared" si="46"/>
        <v>1</v>
      </c>
      <c r="AG180" s="123">
        <f t="shared" si="46"/>
        <v>1</v>
      </c>
      <c r="AH180" s="123">
        <f t="shared" si="46"/>
        <v>1</v>
      </c>
      <c r="AI180" s="123">
        <f t="shared" si="46"/>
        <v>1</v>
      </c>
      <c r="AJ180" s="44" t="str">
        <f t="shared" si="30"/>
        <v>UNKNOWN</v>
      </c>
      <c r="AK180" s="57"/>
      <c r="AL180" s="57" t="str">
        <f t="shared" si="33"/>
        <v>3F</v>
      </c>
      <c r="AM180" s="59" t="str">
        <f t="shared" si="34"/>
        <v>00</v>
      </c>
      <c r="AN180" s="59" t="str">
        <f t="shared" si="35"/>
        <v>00</v>
      </c>
      <c r="AO180" s="59" t="str">
        <f t="shared" si="36"/>
        <v>00</v>
      </c>
      <c r="AQ180" t="str">
        <f t="shared" si="31"/>
        <v xml:space="preserve">    (U4)0x0000003FU,                                                           /* 44 UNKNOWN                                         */</v>
      </c>
    </row>
    <row r="181" spans="2:43">
      <c r="B181" s="130"/>
      <c r="C181" s="44">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1</v>
      </c>
      <c r="AE181" s="123">
        <f t="shared" si="46"/>
        <v>1</v>
      </c>
      <c r="AF181" s="123">
        <f t="shared" si="46"/>
        <v>1</v>
      </c>
      <c r="AG181" s="123">
        <f t="shared" si="46"/>
        <v>1</v>
      </c>
      <c r="AH181" s="123">
        <f t="shared" si="46"/>
        <v>1</v>
      </c>
      <c r="AI181" s="123">
        <f t="shared" si="46"/>
        <v>1</v>
      </c>
      <c r="AJ181" s="44" t="str">
        <f t="shared" si="30"/>
        <v>PRMRYCHK</v>
      </c>
      <c r="AK181" s="57"/>
      <c r="AL181" s="57" t="str">
        <f t="shared" si="33"/>
        <v>3F</v>
      </c>
      <c r="AM181" s="59" t="str">
        <f t="shared" si="34"/>
        <v>00</v>
      </c>
      <c r="AN181" s="59" t="str">
        <f t="shared" si="35"/>
        <v>00</v>
      </c>
      <c r="AO181" s="59" t="str">
        <f t="shared" si="36"/>
        <v>00</v>
      </c>
      <c r="AQ181" t="str">
        <f t="shared" si="31"/>
        <v xml:space="preserve">    (U4)0x0000003FU,                                                           /* 45 PRMRYCHK                                        */</v>
      </c>
    </row>
    <row r="182" spans="2:43">
      <c r="B182" s="130"/>
      <c r="C182" s="44">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1</v>
      </c>
      <c r="AE182" s="123">
        <f t="shared" si="46"/>
        <v>1</v>
      </c>
      <c r="AF182" s="123">
        <f t="shared" si="46"/>
        <v>1</v>
      </c>
      <c r="AG182" s="123">
        <f t="shared" si="46"/>
        <v>1</v>
      </c>
      <c r="AH182" s="123">
        <f t="shared" si="46"/>
        <v>1</v>
      </c>
      <c r="AI182" s="123">
        <f t="shared" si="46"/>
        <v>1</v>
      </c>
      <c r="AJ182" s="44" t="str">
        <f t="shared" si="30"/>
        <v>UNKNOWN</v>
      </c>
      <c r="AK182" s="57"/>
      <c r="AL182" s="57" t="str">
        <f t="shared" si="33"/>
        <v>3F</v>
      </c>
      <c r="AM182" s="59" t="str">
        <f t="shared" si="34"/>
        <v>00</v>
      </c>
      <c r="AN182" s="59" t="str">
        <f t="shared" si="35"/>
        <v>00</v>
      </c>
      <c r="AO182" s="59" t="str">
        <f t="shared" si="36"/>
        <v>00</v>
      </c>
      <c r="AQ182" t="str">
        <f t="shared" si="31"/>
        <v xml:space="preserve">    (U4)0x0000003FU,                                                           /* 46 UNKNOWN                                         */</v>
      </c>
    </row>
    <row r="183" spans="2:43">
      <c r="B183" s="130"/>
      <c r="C183" s="44">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1</v>
      </c>
      <c r="AE183" s="123">
        <f t="shared" si="46"/>
        <v>1</v>
      </c>
      <c r="AF183" s="123">
        <f t="shared" si="46"/>
        <v>1</v>
      </c>
      <c r="AG183" s="123">
        <f t="shared" si="46"/>
        <v>1</v>
      </c>
      <c r="AH183" s="123">
        <f t="shared" si="46"/>
        <v>1</v>
      </c>
      <c r="AI183" s="123">
        <f t="shared" ref="AI183" si="47">IF(OR(AI53=0,AI53=1),1,0)</f>
        <v>1</v>
      </c>
      <c r="AJ183" s="44" t="str">
        <f t="shared" si="30"/>
        <v>PRMRYCHK</v>
      </c>
      <c r="AK183" s="57"/>
      <c r="AL183" s="57" t="str">
        <f t="shared" si="33"/>
        <v>3F</v>
      </c>
      <c r="AM183" s="59" t="str">
        <f t="shared" si="34"/>
        <v>00</v>
      </c>
      <c r="AN183" s="59" t="str">
        <f t="shared" si="35"/>
        <v>00</v>
      </c>
      <c r="AO183" s="59" t="str">
        <f t="shared" si="36"/>
        <v>00</v>
      </c>
      <c r="AQ183" t="str">
        <f t="shared" si="31"/>
        <v xml:space="preserve">    (U4)0x0000003FU,                                                           /* 47 PRMRYCHK                                        */</v>
      </c>
    </row>
    <row r="184" spans="2:43">
      <c r="B184" s="130"/>
      <c r="C184" s="44">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1</v>
      </c>
      <c r="AE184" s="123">
        <f t="shared" si="48"/>
        <v>1</v>
      </c>
      <c r="AF184" s="123">
        <f t="shared" si="48"/>
        <v>1</v>
      </c>
      <c r="AG184" s="123">
        <f t="shared" si="48"/>
        <v>1</v>
      </c>
      <c r="AH184" s="123">
        <f t="shared" si="48"/>
        <v>1</v>
      </c>
      <c r="AI184" s="123">
        <f t="shared" si="48"/>
        <v>1</v>
      </c>
      <c r="AJ184" s="44" t="str">
        <f t="shared" si="30"/>
        <v>UNKNOWN</v>
      </c>
      <c r="AK184" s="57"/>
      <c r="AL184" s="57" t="str">
        <f t="shared" si="33"/>
        <v>3F</v>
      </c>
      <c r="AM184" s="59" t="str">
        <f t="shared" si="34"/>
        <v>00</v>
      </c>
      <c r="AN184" s="59" t="str">
        <f t="shared" si="35"/>
        <v>00</v>
      </c>
      <c r="AO184" s="59" t="str">
        <f t="shared" si="36"/>
        <v>00</v>
      </c>
      <c r="AQ184" t="str">
        <f t="shared" si="31"/>
        <v xml:space="preserve">    (U4)0x0000003FU,                                                           /* 48 UNKNOWN                                         */</v>
      </c>
    </row>
    <row r="185" spans="2:43">
      <c r="B185" s="130"/>
      <c r="C185" s="44">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1</v>
      </c>
      <c r="AE185" s="123">
        <f t="shared" si="48"/>
        <v>1</v>
      </c>
      <c r="AF185" s="123">
        <f t="shared" si="48"/>
        <v>1</v>
      </c>
      <c r="AG185" s="123">
        <f t="shared" si="48"/>
        <v>1</v>
      </c>
      <c r="AH185" s="123">
        <f t="shared" si="48"/>
        <v>1</v>
      </c>
      <c r="AI185" s="123">
        <f t="shared" si="48"/>
        <v>1</v>
      </c>
      <c r="AJ185" s="44" t="str">
        <f t="shared" si="30"/>
        <v>PRMRYCHK</v>
      </c>
      <c r="AK185" s="57"/>
      <c r="AL185" s="57" t="str">
        <f t="shared" si="33"/>
        <v>3F</v>
      </c>
      <c r="AM185" s="59" t="str">
        <f t="shared" si="34"/>
        <v>00</v>
      </c>
      <c r="AN185" s="59" t="str">
        <f t="shared" si="35"/>
        <v>00</v>
      </c>
      <c r="AO185" s="59" t="str">
        <f t="shared" si="36"/>
        <v>00</v>
      </c>
      <c r="AQ185" t="str">
        <f t="shared" si="31"/>
        <v xml:space="preserve">    (U4)0x0000003FU,                                                           /* 49 PRMRYCHK                                        */</v>
      </c>
    </row>
    <row r="186" spans="2:43">
      <c r="B186" s="130"/>
      <c r="C186" s="44">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1</v>
      </c>
      <c r="AE186" s="123">
        <f t="shared" si="48"/>
        <v>1</v>
      </c>
      <c r="AF186" s="123">
        <f t="shared" si="48"/>
        <v>1</v>
      </c>
      <c r="AG186" s="123">
        <f t="shared" si="48"/>
        <v>1</v>
      </c>
      <c r="AH186" s="123">
        <f t="shared" si="48"/>
        <v>1</v>
      </c>
      <c r="AI186" s="123">
        <f t="shared" si="48"/>
        <v>1</v>
      </c>
      <c r="AJ186" s="44" t="str">
        <f t="shared" si="30"/>
        <v>UNKNOWN</v>
      </c>
      <c r="AK186" s="57"/>
      <c r="AL186" s="57" t="str">
        <f t="shared" si="33"/>
        <v>3F</v>
      </c>
      <c r="AM186" s="59" t="str">
        <f t="shared" si="34"/>
        <v>00</v>
      </c>
      <c r="AN186" s="59" t="str">
        <f t="shared" si="35"/>
        <v>00</v>
      </c>
      <c r="AO186" s="59" t="str">
        <f t="shared" si="36"/>
        <v>00</v>
      </c>
      <c r="AQ186" t="str">
        <f t="shared" si="31"/>
        <v xml:space="preserve">    (U4)0x0000003FU,                                                           /* 50 UNKNOWN                                         */</v>
      </c>
    </row>
    <row r="187" spans="2:43">
      <c r="B187" s="130"/>
      <c r="C187" s="44">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1</v>
      </c>
      <c r="AE187" s="123">
        <f t="shared" si="48"/>
        <v>1</v>
      </c>
      <c r="AF187" s="123">
        <f t="shared" si="48"/>
        <v>1</v>
      </c>
      <c r="AG187" s="123">
        <f t="shared" si="48"/>
        <v>1</v>
      </c>
      <c r="AH187" s="123">
        <f t="shared" si="48"/>
        <v>1</v>
      </c>
      <c r="AI187" s="123">
        <f t="shared" si="48"/>
        <v>1</v>
      </c>
      <c r="AJ187" s="44" t="str">
        <f t="shared" si="30"/>
        <v>PRMRYCHK</v>
      </c>
      <c r="AK187" s="57"/>
      <c r="AL187" s="57" t="str">
        <f t="shared" si="33"/>
        <v>3F</v>
      </c>
      <c r="AM187" s="59" t="str">
        <f t="shared" si="34"/>
        <v>00</v>
      </c>
      <c r="AN187" s="59" t="str">
        <f t="shared" si="35"/>
        <v>00</v>
      </c>
      <c r="AO187" s="59" t="str">
        <f t="shared" si="36"/>
        <v>00</v>
      </c>
      <c r="AQ187" t="str">
        <f t="shared" si="31"/>
        <v xml:space="preserve">    (U4)0x0000003FU,                                                           /* 51 PRMRYCHK                                        */</v>
      </c>
    </row>
    <row r="188" spans="2:43">
      <c r="B188" s="130"/>
      <c r="C188" s="44">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1</v>
      </c>
      <c r="AE188" s="123">
        <f t="shared" si="48"/>
        <v>1</v>
      </c>
      <c r="AF188" s="123">
        <f t="shared" si="48"/>
        <v>1</v>
      </c>
      <c r="AG188" s="123">
        <f t="shared" si="48"/>
        <v>1</v>
      </c>
      <c r="AH188" s="123">
        <f t="shared" si="48"/>
        <v>1</v>
      </c>
      <c r="AI188" s="123">
        <f t="shared" si="48"/>
        <v>1</v>
      </c>
      <c r="AJ188" s="44" t="str">
        <f t="shared" si="30"/>
        <v>UNKNOWN</v>
      </c>
      <c r="AK188" s="57"/>
      <c r="AL188" s="57" t="str">
        <f t="shared" si="33"/>
        <v>3F</v>
      </c>
      <c r="AM188" s="59" t="str">
        <f t="shared" si="34"/>
        <v>00</v>
      </c>
      <c r="AN188" s="59" t="str">
        <f t="shared" si="35"/>
        <v>00</v>
      </c>
      <c r="AO188" s="59" t="str">
        <f t="shared" si="36"/>
        <v>00</v>
      </c>
      <c r="AQ188" t="str">
        <f t="shared" si="31"/>
        <v xml:space="preserve">    (U4)0x0000003FU,                                                           /* 52 UNKNOWN                                         */</v>
      </c>
    </row>
    <row r="189" spans="2:43">
      <c r="B189" s="130"/>
      <c r="C189" s="44">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1</v>
      </c>
      <c r="AE189" s="123">
        <f t="shared" si="48"/>
        <v>1</v>
      </c>
      <c r="AF189" s="123">
        <f t="shared" si="48"/>
        <v>1</v>
      </c>
      <c r="AG189" s="123">
        <f t="shared" si="48"/>
        <v>1</v>
      </c>
      <c r="AH189" s="123">
        <f t="shared" si="48"/>
        <v>1</v>
      </c>
      <c r="AI189" s="123">
        <f t="shared" si="48"/>
        <v>1</v>
      </c>
      <c r="AJ189" s="44" t="str">
        <f t="shared" si="30"/>
        <v>PRMRYCHK</v>
      </c>
      <c r="AK189" s="57"/>
      <c r="AL189" s="57" t="str">
        <f t="shared" si="33"/>
        <v>3F</v>
      </c>
      <c r="AM189" s="59" t="str">
        <f t="shared" si="34"/>
        <v>00</v>
      </c>
      <c r="AN189" s="59" t="str">
        <f t="shared" si="35"/>
        <v>00</v>
      </c>
      <c r="AO189" s="59" t="str">
        <f t="shared" si="36"/>
        <v>00</v>
      </c>
      <c r="AQ189" t="str">
        <f t="shared" si="31"/>
        <v xml:space="preserve">    (U4)0x0000003FU,                                                           /* 53 PRMRYCHK                                        */</v>
      </c>
    </row>
    <row r="190" spans="2:43">
      <c r="B190" s="130"/>
      <c r="C190" s="44">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1</v>
      </c>
      <c r="AE190" s="123">
        <f t="shared" si="48"/>
        <v>1</v>
      </c>
      <c r="AF190" s="123">
        <f t="shared" si="48"/>
        <v>1</v>
      </c>
      <c r="AG190" s="123">
        <f t="shared" si="48"/>
        <v>1</v>
      </c>
      <c r="AH190" s="123">
        <f t="shared" si="48"/>
        <v>1</v>
      </c>
      <c r="AI190" s="123">
        <f t="shared" si="48"/>
        <v>1</v>
      </c>
      <c r="AJ190" s="44" t="str">
        <f t="shared" si="30"/>
        <v>UNKNOWN</v>
      </c>
      <c r="AK190" s="57"/>
      <c r="AL190" s="57" t="str">
        <f t="shared" si="33"/>
        <v>3F</v>
      </c>
      <c r="AM190" s="59" t="str">
        <f t="shared" si="34"/>
        <v>00</v>
      </c>
      <c r="AN190" s="59" t="str">
        <f t="shared" si="35"/>
        <v>00</v>
      </c>
      <c r="AO190" s="59" t="str">
        <f t="shared" si="36"/>
        <v>00</v>
      </c>
      <c r="AQ190" t="str">
        <f t="shared" si="31"/>
        <v xml:space="preserve">    (U4)0x0000003FU,                                                           /* 54 UNKNOWN                                         */</v>
      </c>
    </row>
    <row r="191" spans="2:43">
      <c r="B191" s="130"/>
      <c r="C191" s="44">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1</v>
      </c>
      <c r="AE191" s="123">
        <f t="shared" si="48"/>
        <v>1</v>
      </c>
      <c r="AF191" s="123">
        <f t="shared" si="48"/>
        <v>1</v>
      </c>
      <c r="AG191" s="123">
        <f t="shared" si="48"/>
        <v>1</v>
      </c>
      <c r="AH191" s="123">
        <f t="shared" si="48"/>
        <v>1</v>
      </c>
      <c r="AI191" s="123">
        <f t="shared" ref="AI191" si="49">IF(OR(AI61=0,AI61=1),1,0)</f>
        <v>1</v>
      </c>
      <c r="AJ191" s="44" t="str">
        <f t="shared" si="30"/>
        <v>PRMRYCHK</v>
      </c>
      <c r="AK191" s="57"/>
      <c r="AL191" s="57" t="str">
        <f t="shared" si="33"/>
        <v>3F</v>
      </c>
      <c r="AM191" s="59" t="str">
        <f t="shared" si="34"/>
        <v>00</v>
      </c>
      <c r="AN191" s="59" t="str">
        <f t="shared" si="35"/>
        <v>00</v>
      </c>
      <c r="AO191" s="59" t="str">
        <f t="shared" si="36"/>
        <v>00</v>
      </c>
      <c r="AQ191" t="str">
        <f t="shared" si="31"/>
        <v xml:space="preserve">    (U4)0x0000003FU,                                                           /* 55 PRMRYCHK                                        */</v>
      </c>
    </row>
    <row r="192" spans="2:43">
      <c r="B192" s="130"/>
      <c r="C192" s="44">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1</v>
      </c>
      <c r="AE192" s="123">
        <f t="shared" si="50"/>
        <v>1</v>
      </c>
      <c r="AF192" s="123">
        <f t="shared" si="50"/>
        <v>1</v>
      </c>
      <c r="AG192" s="123">
        <f t="shared" si="50"/>
        <v>1</v>
      </c>
      <c r="AH192" s="123">
        <f t="shared" si="50"/>
        <v>1</v>
      </c>
      <c r="AI192" s="123">
        <f t="shared" si="50"/>
        <v>1</v>
      </c>
      <c r="AJ192" s="44" t="str">
        <f t="shared" si="30"/>
        <v>UNKNOWN</v>
      </c>
      <c r="AK192" s="57"/>
      <c r="AL192" s="57" t="str">
        <f t="shared" si="33"/>
        <v>3F</v>
      </c>
      <c r="AM192" s="59" t="str">
        <f t="shared" si="34"/>
        <v>00</v>
      </c>
      <c r="AN192" s="59" t="str">
        <f t="shared" si="35"/>
        <v>00</v>
      </c>
      <c r="AO192" s="59" t="str">
        <f t="shared" si="36"/>
        <v>00</v>
      </c>
      <c r="AQ192" t="str">
        <f t="shared" si="31"/>
        <v xml:space="preserve">    (U4)0x0000003FU,                                                           /* 56 UNKNOWN                                         */</v>
      </c>
    </row>
    <row r="193" spans="2:43">
      <c r="B193" s="130"/>
      <c r="C193" s="44">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1</v>
      </c>
      <c r="AE193" s="123">
        <f t="shared" si="50"/>
        <v>1</v>
      </c>
      <c r="AF193" s="123">
        <f t="shared" si="50"/>
        <v>1</v>
      </c>
      <c r="AG193" s="123">
        <f t="shared" si="50"/>
        <v>1</v>
      </c>
      <c r="AH193" s="123">
        <f t="shared" si="50"/>
        <v>1</v>
      </c>
      <c r="AI193" s="123">
        <f t="shared" si="50"/>
        <v>1</v>
      </c>
      <c r="AJ193" s="44" t="str">
        <f t="shared" si="30"/>
        <v>PRMRYCHK</v>
      </c>
      <c r="AK193" s="57"/>
      <c r="AL193" s="57" t="str">
        <f t="shared" si="33"/>
        <v>3F</v>
      </c>
      <c r="AM193" s="59" t="str">
        <f t="shared" si="34"/>
        <v>00</v>
      </c>
      <c r="AN193" s="59" t="str">
        <f t="shared" si="35"/>
        <v>00</v>
      </c>
      <c r="AO193" s="59" t="str">
        <f t="shared" si="36"/>
        <v>00</v>
      </c>
      <c r="AQ193" t="str">
        <f t="shared" si="31"/>
        <v xml:space="preserve">    (U4)0x0000003FU,                                                           /* 57 PRMRYCHK                                        */</v>
      </c>
    </row>
    <row r="194" spans="2:43">
      <c r="B194" s="130"/>
      <c r="C194" s="44">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1</v>
      </c>
      <c r="AE194" s="123">
        <f t="shared" si="50"/>
        <v>1</v>
      </c>
      <c r="AF194" s="123">
        <f t="shared" si="50"/>
        <v>1</v>
      </c>
      <c r="AG194" s="123">
        <f t="shared" si="50"/>
        <v>1</v>
      </c>
      <c r="AH194" s="123">
        <f t="shared" si="50"/>
        <v>1</v>
      </c>
      <c r="AI194" s="123">
        <f t="shared" si="50"/>
        <v>1</v>
      </c>
      <c r="AJ194" s="44" t="str">
        <f t="shared" si="30"/>
        <v>UNKNOWN</v>
      </c>
      <c r="AK194" s="57"/>
      <c r="AL194" s="57" t="str">
        <f t="shared" si="33"/>
        <v>3F</v>
      </c>
      <c r="AM194" s="59" t="str">
        <f t="shared" si="34"/>
        <v>00</v>
      </c>
      <c r="AN194" s="59" t="str">
        <f t="shared" si="35"/>
        <v>00</v>
      </c>
      <c r="AO194" s="59" t="str">
        <f t="shared" si="36"/>
        <v>00</v>
      </c>
      <c r="AQ194" t="str">
        <f t="shared" si="31"/>
        <v xml:space="preserve">    (U4)0x0000003FU,                                                           /* 58 UNKNOWN                                         */</v>
      </c>
    </row>
    <row r="195" spans="2:43">
      <c r="B195" s="130"/>
      <c r="C195" s="44">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1</v>
      </c>
      <c r="AE195" s="123">
        <f t="shared" si="50"/>
        <v>1</v>
      </c>
      <c r="AF195" s="123">
        <f t="shared" si="50"/>
        <v>1</v>
      </c>
      <c r="AG195" s="123">
        <f t="shared" si="50"/>
        <v>1</v>
      </c>
      <c r="AH195" s="123">
        <f t="shared" si="50"/>
        <v>1</v>
      </c>
      <c r="AI195" s="123">
        <f t="shared" si="50"/>
        <v>1</v>
      </c>
      <c r="AJ195" s="44" t="str">
        <f t="shared" si="30"/>
        <v>PRMRYCHK</v>
      </c>
      <c r="AK195" s="57"/>
      <c r="AL195" s="57" t="str">
        <f t="shared" si="33"/>
        <v>3F</v>
      </c>
      <c r="AM195" s="59" t="str">
        <f t="shared" si="34"/>
        <v>00</v>
      </c>
      <c r="AN195" s="59" t="str">
        <f t="shared" si="35"/>
        <v>00</v>
      </c>
      <c r="AO195" s="59" t="str">
        <f t="shared" si="36"/>
        <v>00</v>
      </c>
      <c r="AQ195" t="str">
        <f t="shared" si="31"/>
        <v xml:space="preserve">    (U4)0x0000003FU,                                                           /* 59 PRMRYCHK                                        */</v>
      </c>
    </row>
    <row r="196" spans="2:43">
      <c r="B196" s="130"/>
      <c r="C196" s="44">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1</v>
      </c>
      <c r="AE196" s="123">
        <f t="shared" si="50"/>
        <v>1</v>
      </c>
      <c r="AF196" s="123">
        <f t="shared" si="50"/>
        <v>1</v>
      </c>
      <c r="AG196" s="123">
        <f t="shared" si="50"/>
        <v>1</v>
      </c>
      <c r="AH196" s="123">
        <f t="shared" si="50"/>
        <v>1</v>
      </c>
      <c r="AI196" s="123">
        <f t="shared" si="50"/>
        <v>1</v>
      </c>
      <c r="AJ196" s="44" t="str">
        <f t="shared" si="30"/>
        <v>UNKNOWN</v>
      </c>
      <c r="AK196" s="57"/>
      <c r="AL196" s="57" t="str">
        <f t="shared" si="33"/>
        <v>3F</v>
      </c>
      <c r="AM196" s="59" t="str">
        <f t="shared" si="34"/>
        <v>00</v>
      </c>
      <c r="AN196" s="59" t="str">
        <f t="shared" si="35"/>
        <v>00</v>
      </c>
      <c r="AO196" s="59" t="str">
        <f t="shared" si="36"/>
        <v>00</v>
      </c>
      <c r="AQ196" t="str">
        <f t="shared" si="31"/>
        <v xml:space="preserve">    (U4)0x0000003FU,                                                           /* 60 UNKNOWN                                         */</v>
      </c>
    </row>
    <row r="197" spans="2:43">
      <c r="B197" s="130"/>
      <c r="C197" s="44">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1</v>
      </c>
      <c r="AE197" s="123">
        <f t="shared" si="50"/>
        <v>1</v>
      </c>
      <c r="AF197" s="123">
        <f t="shared" si="50"/>
        <v>1</v>
      </c>
      <c r="AG197" s="123">
        <f t="shared" si="50"/>
        <v>1</v>
      </c>
      <c r="AH197" s="123">
        <f t="shared" si="50"/>
        <v>1</v>
      </c>
      <c r="AI197" s="123">
        <f t="shared" si="50"/>
        <v>1</v>
      </c>
      <c r="AJ197" s="44" t="str">
        <f t="shared" si="30"/>
        <v>PRMRYCHK</v>
      </c>
      <c r="AK197" s="57"/>
      <c r="AL197" s="57" t="str">
        <f t="shared" si="33"/>
        <v>3F</v>
      </c>
      <c r="AM197" s="59" t="str">
        <f t="shared" si="34"/>
        <v>00</v>
      </c>
      <c r="AN197" s="59" t="str">
        <f t="shared" si="35"/>
        <v>00</v>
      </c>
      <c r="AO197" s="59" t="str">
        <f t="shared" si="36"/>
        <v>00</v>
      </c>
      <c r="AQ197" t="str">
        <f t="shared" si="31"/>
        <v xml:space="preserve">    (U4)0x0000003FU,                                                           /* 61 PRMRYCHK                                        */</v>
      </c>
    </row>
    <row r="198" spans="2:43">
      <c r="B198" s="130"/>
      <c r="C198" s="44">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1</v>
      </c>
      <c r="AE198" s="123">
        <f t="shared" si="50"/>
        <v>1</v>
      </c>
      <c r="AF198" s="123">
        <f t="shared" si="50"/>
        <v>1</v>
      </c>
      <c r="AG198" s="123">
        <f t="shared" si="50"/>
        <v>1</v>
      </c>
      <c r="AH198" s="123">
        <f t="shared" si="50"/>
        <v>1</v>
      </c>
      <c r="AI198" s="123">
        <f t="shared" si="50"/>
        <v>1</v>
      </c>
      <c r="AJ198" s="44" t="str">
        <f t="shared" si="30"/>
        <v>UNKNOWN</v>
      </c>
      <c r="AK198" s="57"/>
      <c r="AL198" s="57" t="str">
        <f t="shared" si="33"/>
        <v>3F</v>
      </c>
      <c r="AM198" s="59" t="str">
        <f t="shared" si="34"/>
        <v>00</v>
      </c>
      <c r="AN198" s="59" t="str">
        <f t="shared" si="35"/>
        <v>00</v>
      </c>
      <c r="AO198" s="59" t="str">
        <f t="shared" si="36"/>
        <v>00</v>
      </c>
      <c r="AQ198" t="str">
        <f t="shared" si="31"/>
        <v xml:space="preserve">    (U4)0x0000003FU,                                                           /* 62 UNKNOWN                                         */</v>
      </c>
    </row>
    <row r="199" spans="2:43">
      <c r="B199" s="131"/>
      <c r="C199" s="44">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1</v>
      </c>
      <c r="AE199" s="123">
        <f t="shared" si="50"/>
        <v>1</v>
      </c>
      <c r="AF199" s="123">
        <f t="shared" si="50"/>
        <v>1</v>
      </c>
      <c r="AG199" s="123">
        <f t="shared" si="50"/>
        <v>1</v>
      </c>
      <c r="AH199" s="123">
        <f t="shared" si="50"/>
        <v>1</v>
      </c>
      <c r="AI199" s="123">
        <f t="shared" ref="AI199" si="51">IF(OR(AI69=0,AI69=1),1,0)</f>
        <v>1</v>
      </c>
      <c r="AJ199" s="44" t="str">
        <f t="shared" si="30"/>
        <v>PRMRYCHK</v>
      </c>
      <c r="AK199" s="57"/>
      <c r="AL199" s="57" t="str">
        <f t="shared" si="33"/>
        <v>3F</v>
      </c>
      <c r="AM199" s="59" t="str">
        <f t="shared" si="34"/>
        <v>00</v>
      </c>
      <c r="AN199" s="59" t="str">
        <f t="shared" si="35"/>
        <v>00</v>
      </c>
      <c r="AO199" s="59" t="str">
        <f t="shared" si="36"/>
        <v>00</v>
      </c>
      <c r="AQ199" t="str">
        <f t="shared" si="31"/>
        <v xml:space="preserve">    (U4)0x0000003FU                                                            /* 63 PRMRYCHK                                        */</v>
      </c>
    </row>
  </sheetData>
  <protectedRanges>
    <protectedRange sqref="L3:AC3 D6:AC69" name="Table作成編集範囲"/>
    <protectedRange sqref="AE3:AI3" name="Table作成編集範囲_1_1"/>
    <protectedRange sqref="AD6:AJ69" name="Table作成編集範囲_2_1"/>
    <protectedRange sqref="B3" name="Table作成編集範囲_1"/>
  </protectedRanges>
  <mergeCells count="3">
    <mergeCell ref="C2:C3"/>
    <mergeCell ref="AJ2:AJ3"/>
    <mergeCell ref="A4:B5"/>
  </mergeCells>
  <phoneticPr fontId="2"/>
  <conditionalFormatting sqref="D7:AC69 D6:AB6">
    <cfRule type="cellIs" dxfId="8" priority="18" operator="equal">
      <formula>1</formula>
    </cfRule>
    <cfRule type="cellIs" dxfId="7" priority="19" operator="equal">
      <formula>"×"</formula>
    </cfRule>
  </conditionalFormatting>
  <conditionalFormatting sqref="AR5:AS70">
    <cfRule type="expression" dxfId="6" priority="17">
      <formula>$B$3="Index Table"</formula>
    </cfRule>
  </conditionalFormatting>
  <conditionalFormatting sqref="AC6">
    <cfRule type="cellIs" dxfId="5" priority="5" operator="equal">
      <formula>1</formula>
    </cfRule>
    <cfRule type="cellIs" dxfId="4" priority="6" operator="equal">
      <formula>"×"</formula>
    </cfRule>
  </conditionalFormatting>
  <conditionalFormatting sqref="AD6:AI68">
    <cfRule type="cellIs" dxfId="3" priority="3" operator="equal">
      <formula>1</formula>
    </cfRule>
    <cfRule type="cellIs" dxfId="2" priority="4" operator="equal">
      <formula>"×"</formula>
    </cfRule>
  </conditionalFormatting>
  <conditionalFormatting sqref="AD69:AI6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5:S31"/>
  <sheetViews>
    <sheetView zoomScale="70" zoomScaleNormal="70" workbookViewId="0"/>
  </sheetViews>
  <sheetFormatPr defaultRowHeight="13.5"/>
  <cols>
    <col min="2" max="2" width="77.75" customWidth="1"/>
    <col min="3" max="10" width="3.375" customWidth="1"/>
    <col min="11" max="11" width="18.625" customWidth="1"/>
    <col min="12" max="12" width="36.625" customWidth="1"/>
    <col min="13" max="13" width="21.75" bestFit="1" customWidth="1"/>
    <col min="14" max="14" width="21.75" customWidth="1"/>
    <col min="15" max="15" width="20.875" customWidth="1"/>
    <col min="16" max="16" width="10.875" customWidth="1"/>
    <col min="17" max="17" width="19.25" bestFit="1" customWidth="1"/>
    <col min="18" max="19" width="10.875" customWidth="1"/>
  </cols>
  <sheetData>
    <row r="5" spans="2:19" ht="15" thickBot="1">
      <c r="B5" s="26" t="s">
        <v>216</v>
      </c>
    </row>
    <row r="6" spans="2:19" ht="15" thickBot="1">
      <c r="B6" s="93" t="s">
        <v>123</v>
      </c>
      <c r="C6" s="282" t="s">
        <v>217</v>
      </c>
      <c r="D6" s="283"/>
      <c r="E6" s="283"/>
      <c r="F6" s="283"/>
      <c r="G6" s="283"/>
      <c r="H6" s="283"/>
      <c r="I6" s="283"/>
      <c r="J6" s="284"/>
      <c r="K6" s="169"/>
      <c r="L6" s="169"/>
      <c r="M6" s="169"/>
      <c r="N6" s="169"/>
      <c r="O6" s="172"/>
      <c r="P6" s="170"/>
      <c r="Q6" s="170"/>
      <c r="R6" s="170"/>
      <c r="S6" s="171"/>
    </row>
    <row r="7" spans="2:19">
      <c r="B7" s="67"/>
      <c r="C7" s="33" t="s">
        <v>159</v>
      </c>
      <c r="D7" s="33"/>
      <c r="E7" s="33"/>
      <c r="F7" s="33"/>
      <c r="G7" s="33"/>
      <c r="H7" s="33"/>
      <c r="I7" s="33"/>
      <c r="J7" s="33"/>
      <c r="K7" s="33"/>
      <c r="L7" s="33"/>
      <c r="M7" s="33"/>
      <c r="N7" s="210"/>
      <c r="O7" s="29" t="s">
        <v>51</v>
      </c>
      <c r="P7" s="40" t="s">
        <v>21</v>
      </c>
      <c r="Q7" s="41"/>
      <c r="R7" s="41"/>
      <c r="S7" s="42"/>
    </row>
    <row r="8" spans="2:19">
      <c r="B8" s="68" t="s">
        <v>22</v>
      </c>
      <c r="C8" s="285" t="s">
        <v>218</v>
      </c>
      <c r="D8" s="286"/>
      <c r="E8" s="286"/>
      <c r="F8" s="286"/>
      <c r="G8" s="286"/>
      <c r="H8" s="286"/>
      <c r="I8" s="286"/>
      <c r="J8" s="287"/>
      <c r="K8" s="34" t="s">
        <v>219</v>
      </c>
      <c r="L8" s="200"/>
      <c r="M8" s="34" t="s">
        <v>220</v>
      </c>
      <c r="N8" s="211"/>
      <c r="O8" s="30" t="s">
        <v>221</v>
      </c>
      <c r="P8" s="212" t="s">
        <v>23</v>
      </c>
      <c r="Q8" s="195" t="s">
        <v>24</v>
      </c>
      <c r="R8" s="73" t="s">
        <v>25</v>
      </c>
      <c r="S8" s="137" t="s">
        <v>26</v>
      </c>
    </row>
    <row r="9" spans="2:19">
      <c r="B9" s="68" t="s">
        <v>33</v>
      </c>
      <c r="C9" s="164" t="s">
        <v>222</v>
      </c>
      <c r="D9" s="164" t="s">
        <v>223</v>
      </c>
      <c r="E9" s="164" t="s">
        <v>224</v>
      </c>
      <c r="F9" s="164" t="s">
        <v>225</v>
      </c>
      <c r="G9" s="164" t="s">
        <v>223</v>
      </c>
      <c r="H9" s="164" t="s">
        <v>226</v>
      </c>
      <c r="I9" s="164" t="s">
        <v>227</v>
      </c>
      <c r="J9" s="164" t="s">
        <v>223</v>
      </c>
      <c r="K9" s="135" t="s">
        <v>226</v>
      </c>
      <c r="L9" s="135" t="s">
        <v>227</v>
      </c>
      <c r="M9" s="136" t="s">
        <v>227</v>
      </c>
      <c r="N9" s="213" t="s">
        <v>228</v>
      </c>
      <c r="O9" s="30" t="s">
        <v>48</v>
      </c>
      <c r="P9" s="196"/>
      <c r="Q9" s="196"/>
      <c r="R9" s="74"/>
      <c r="S9" s="137"/>
    </row>
    <row r="10" spans="2:19" ht="27">
      <c r="B10" s="69" t="s">
        <v>27</v>
      </c>
      <c r="C10" s="288" t="s">
        <v>229</v>
      </c>
      <c r="D10" s="286"/>
      <c r="E10" s="286"/>
      <c r="F10" s="286"/>
      <c r="G10" s="286"/>
      <c r="H10" s="286"/>
      <c r="I10" s="286"/>
      <c r="J10" s="287"/>
      <c r="K10" s="28" t="s">
        <v>223</v>
      </c>
      <c r="L10" s="28" t="s">
        <v>230</v>
      </c>
      <c r="M10" s="136" t="s">
        <v>226</v>
      </c>
      <c r="N10" s="213" t="s">
        <v>231</v>
      </c>
      <c r="O10" s="31"/>
      <c r="P10" s="196"/>
      <c r="Q10" s="196"/>
      <c r="R10" s="74"/>
      <c r="S10" s="137"/>
    </row>
    <row r="11" spans="2:19" ht="136.5">
      <c r="B11" s="68" t="s">
        <v>28</v>
      </c>
      <c r="C11" s="165" t="s">
        <v>232</v>
      </c>
      <c r="D11" s="165" t="s">
        <v>62</v>
      </c>
      <c r="E11" s="165" t="s">
        <v>233</v>
      </c>
      <c r="F11" s="165" t="s">
        <v>234</v>
      </c>
      <c r="G11" s="165" t="s">
        <v>235</v>
      </c>
      <c r="H11" s="165" t="s">
        <v>236</v>
      </c>
      <c r="I11" s="165" t="s">
        <v>237</v>
      </c>
      <c r="J11" s="165" t="s">
        <v>238</v>
      </c>
      <c r="K11" s="214" t="s">
        <v>239</v>
      </c>
      <c r="L11" s="1" t="s">
        <v>240</v>
      </c>
      <c r="M11" s="28" t="s">
        <v>212</v>
      </c>
      <c r="N11" s="214" t="s">
        <v>241</v>
      </c>
      <c r="O11" s="30" t="s">
        <v>29</v>
      </c>
      <c r="P11" s="196"/>
      <c r="Q11" s="196"/>
      <c r="R11" s="74"/>
      <c r="S11" s="137"/>
    </row>
    <row r="12" spans="2:19" ht="59.25" customHeight="1" thickBot="1">
      <c r="B12" s="70" t="s">
        <v>30</v>
      </c>
      <c r="C12" s="166" t="s">
        <v>242</v>
      </c>
      <c r="D12" s="166" t="s">
        <v>226</v>
      </c>
      <c r="E12" s="166" t="s">
        <v>243</v>
      </c>
      <c r="F12" s="166" t="s">
        <v>244</v>
      </c>
      <c r="G12" s="166" t="s">
        <v>245</v>
      </c>
      <c r="H12" s="166" t="s">
        <v>246</v>
      </c>
      <c r="I12" s="166" t="s">
        <v>243</v>
      </c>
      <c r="J12" s="166" t="s">
        <v>247</v>
      </c>
      <c r="K12" s="215" t="s">
        <v>248</v>
      </c>
      <c r="L12" s="27" t="s">
        <v>249</v>
      </c>
      <c r="M12" s="215" t="s">
        <v>250</v>
      </c>
      <c r="N12" s="215" t="s">
        <v>251</v>
      </c>
      <c r="O12" s="32" t="s">
        <v>319</v>
      </c>
      <c r="P12" s="216" t="s">
        <v>252</v>
      </c>
      <c r="Q12" s="231" t="s">
        <v>329</v>
      </c>
      <c r="R12" s="138"/>
      <c r="S12" s="139"/>
    </row>
    <row r="13" spans="2:19" ht="14.25" thickTop="1">
      <c r="B13" s="71" t="s">
        <v>253</v>
      </c>
      <c r="C13" s="167" t="s">
        <v>160</v>
      </c>
      <c r="D13" s="167" t="s">
        <v>160</v>
      </c>
      <c r="E13" s="167" t="s">
        <v>160</v>
      </c>
      <c r="F13" s="217">
        <v>1</v>
      </c>
      <c r="G13" s="167" t="s">
        <v>160</v>
      </c>
      <c r="H13" s="167" t="s">
        <v>160</v>
      </c>
      <c r="I13" s="167" t="s">
        <v>160</v>
      </c>
      <c r="J13" s="167" t="s">
        <v>160</v>
      </c>
      <c r="K13" s="35" t="s">
        <v>254</v>
      </c>
      <c r="L13" s="35" t="s">
        <v>255</v>
      </c>
      <c r="M13" s="218" t="s">
        <v>199</v>
      </c>
      <c r="N13" s="219" t="s">
        <v>256</v>
      </c>
      <c r="O13" s="36" t="s">
        <v>108</v>
      </c>
      <c r="P13" s="197" t="s">
        <v>307</v>
      </c>
      <c r="Q13" s="232" t="s">
        <v>226</v>
      </c>
      <c r="R13" s="38"/>
      <c r="S13" s="140"/>
    </row>
    <row r="14" spans="2:19">
      <c r="B14" s="71" t="s">
        <v>258</v>
      </c>
      <c r="C14" s="167" t="s">
        <v>160</v>
      </c>
      <c r="D14" s="167" t="s">
        <v>160</v>
      </c>
      <c r="E14" s="167" t="s">
        <v>160</v>
      </c>
      <c r="F14" s="217">
        <v>1</v>
      </c>
      <c r="G14" s="167" t="s">
        <v>160</v>
      </c>
      <c r="H14" s="167" t="s">
        <v>160</v>
      </c>
      <c r="I14" s="167" t="s">
        <v>160</v>
      </c>
      <c r="J14" s="167" t="s">
        <v>160</v>
      </c>
      <c r="K14" s="35" t="s">
        <v>259</v>
      </c>
      <c r="L14" s="35" t="s">
        <v>255</v>
      </c>
      <c r="M14" s="218" t="s">
        <v>199</v>
      </c>
      <c r="N14" s="219" t="s">
        <v>260</v>
      </c>
      <c r="O14" s="37" t="s">
        <v>263</v>
      </c>
      <c r="P14" s="198" t="s">
        <v>257</v>
      </c>
      <c r="Q14" s="232" t="s">
        <v>226</v>
      </c>
      <c r="R14" s="38"/>
      <c r="S14" s="140"/>
    </row>
    <row r="15" spans="2:19">
      <c r="B15" s="22" t="s">
        <v>261</v>
      </c>
      <c r="C15" s="168" t="s">
        <v>160</v>
      </c>
      <c r="D15" s="168" t="s">
        <v>160</v>
      </c>
      <c r="E15" s="168" t="s">
        <v>160</v>
      </c>
      <c r="F15" s="220">
        <v>1</v>
      </c>
      <c r="G15" s="168" t="s">
        <v>160</v>
      </c>
      <c r="H15" s="168" t="s">
        <v>160</v>
      </c>
      <c r="I15" s="168" t="s">
        <v>160</v>
      </c>
      <c r="J15" s="168" t="s">
        <v>160</v>
      </c>
      <c r="K15" s="201" t="s">
        <v>254</v>
      </c>
      <c r="L15" s="201" t="s">
        <v>255</v>
      </c>
      <c r="M15" s="221" t="s">
        <v>262</v>
      </c>
      <c r="N15" s="222" t="s">
        <v>256</v>
      </c>
      <c r="O15" s="37" t="s">
        <v>32</v>
      </c>
      <c r="P15" s="198" t="s">
        <v>127</v>
      </c>
      <c r="Q15" s="232" t="s">
        <v>264</v>
      </c>
      <c r="R15" s="39"/>
      <c r="S15" s="141"/>
    </row>
    <row r="16" spans="2:19">
      <c r="B16" s="22" t="s">
        <v>265</v>
      </c>
      <c r="C16" s="168" t="s">
        <v>160</v>
      </c>
      <c r="D16" s="168" t="s">
        <v>160</v>
      </c>
      <c r="E16" s="168" t="s">
        <v>160</v>
      </c>
      <c r="F16" s="220">
        <v>1</v>
      </c>
      <c r="G16" s="168" t="s">
        <v>160</v>
      </c>
      <c r="H16" s="168" t="s">
        <v>160</v>
      </c>
      <c r="I16" s="168" t="s">
        <v>160</v>
      </c>
      <c r="J16" s="168" t="s">
        <v>160</v>
      </c>
      <c r="K16" s="201" t="s">
        <v>256</v>
      </c>
      <c r="L16" s="201" t="s">
        <v>255</v>
      </c>
      <c r="M16" s="221" t="s">
        <v>262</v>
      </c>
      <c r="N16" s="222" t="s">
        <v>266</v>
      </c>
      <c r="O16" s="37" t="s">
        <v>263</v>
      </c>
      <c r="P16" s="198" t="s">
        <v>257</v>
      </c>
      <c r="Q16" s="232" t="s">
        <v>228</v>
      </c>
      <c r="R16" s="39"/>
      <c r="S16" s="141"/>
    </row>
    <row r="17" spans="2:19">
      <c r="B17" s="22" t="s">
        <v>267</v>
      </c>
      <c r="C17" s="168" t="s">
        <v>160</v>
      </c>
      <c r="D17" s="168" t="s">
        <v>160</v>
      </c>
      <c r="E17" s="168" t="s">
        <v>160</v>
      </c>
      <c r="F17" s="220">
        <v>1</v>
      </c>
      <c r="G17" s="168" t="s">
        <v>160</v>
      </c>
      <c r="H17" s="168" t="s">
        <v>160</v>
      </c>
      <c r="I17" s="168" t="s">
        <v>160</v>
      </c>
      <c r="J17" s="168" t="s">
        <v>160</v>
      </c>
      <c r="K17" s="201" t="s">
        <v>268</v>
      </c>
      <c r="L17" s="201" t="s">
        <v>269</v>
      </c>
      <c r="M17" s="221" t="s">
        <v>199</v>
      </c>
      <c r="N17" s="222" t="s">
        <v>270</v>
      </c>
      <c r="O17" s="37" t="s">
        <v>32</v>
      </c>
      <c r="P17" s="198" t="s">
        <v>308</v>
      </c>
      <c r="Q17" s="232" t="s">
        <v>264</v>
      </c>
      <c r="R17" s="39"/>
      <c r="S17" s="141"/>
    </row>
    <row r="18" spans="2:19">
      <c r="B18" s="22" t="s">
        <v>271</v>
      </c>
      <c r="C18" s="168" t="s">
        <v>160</v>
      </c>
      <c r="D18" s="168" t="s">
        <v>160</v>
      </c>
      <c r="E18" s="168" t="s">
        <v>160</v>
      </c>
      <c r="F18" s="220">
        <v>1</v>
      </c>
      <c r="G18" s="168" t="s">
        <v>160</v>
      </c>
      <c r="H18" s="168" t="s">
        <v>160</v>
      </c>
      <c r="I18" s="168" t="s">
        <v>160</v>
      </c>
      <c r="J18" s="168" t="s">
        <v>160</v>
      </c>
      <c r="K18" s="201" t="s">
        <v>272</v>
      </c>
      <c r="L18" s="201" t="s">
        <v>269</v>
      </c>
      <c r="M18" s="221" t="s">
        <v>199</v>
      </c>
      <c r="N18" s="222" t="s">
        <v>266</v>
      </c>
      <c r="O18" s="37" t="s">
        <v>263</v>
      </c>
      <c r="P18" s="198" t="s">
        <v>257</v>
      </c>
      <c r="Q18" s="232" t="s">
        <v>226</v>
      </c>
      <c r="R18" s="39"/>
      <c r="S18" s="141"/>
    </row>
    <row r="19" spans="2:19">
      <c r="B19" s="22" t="s">
        <v>273</v>
      </c>
      <c r="C19" s="168" t="s">
        <v>160</v>
      </c>
      <c r="D19" s="168" t="s">
        <v>160</v>
      </c>
      <c r="E19" s="168" t="s">
        <v>160</v>
      </c>
      <c r="F19" s="220">
        <v>1</v>
      </c>
      <c r="G19" s="168" t="s">
        <v>160</v>
      </c>
      <c r="H19" s="168" t="s">
        <v>160</v>
      </c>
      <c r="I19" s="168" t="s">
        <v>160</v>
      </c>
      <c r="J19" s="168" t="s">
        <v>160</v>
      </c>
      <c r="K19" s="201" t="s">
        <v>274</v>
      </c>
      <c r="L19" s="201" t="s">
        <v>269</v>
      </c>
      <c r="M19" s="221" t="s">
        <v>262</v>
      </c>
      <c r="N19" s="222" t="s">
        <v>274</v>
      </c>
      <c r="O19" s="37" t="s">
        <v>275</v>
      </c>
      <c r="P19" s="198" t="s">
        <v>276</v>
      </c>
      <c r="Q19" s="233" t="s">
        <v>320</v>
      </c>
      <c r="R19" s="39"/>
      <c r="S19" s="141"/>
    </row>
    <row r="20" spans="2:19">
      <c r="B20" s="22" t="s">
        <v>277</v>
      </c>
      <c r="C20" s="168" t="s">
        <v>160</v>
      </c>
      <c r="D20" s="168" t="s">
        <v>160</v>
      </c>
      <c r="E20" s="168" t="s">
        <v>160</v>
      </c>
      <c r="F20" s="220">
        <v>1</v>
      </c>
      <c r="G20" s="168" t="s">
        <v>160</v>
      </c>
      <c r="H20" s="168" t="s">
        <v>160</v>
      </c>
      <c r="I20" s="168" t="s">
        <v>160</v>
      </c>
      <c r="J20" s="168" t="s">
        <v>160</v>
      </c>
      <c r="K20" s="201" t="s">
        <v>256</v>
      </c>
      <c r="L20" s="201" t="s">
        <v>269</v>
      </c>
      <c r="M20" s="221" t="s">
        <v>262</v>
      </c>
      <c r="N20" s="222" t="s">
        <v>278</v>
      </c>
      <c r="O20" s="37" t="s">
        <v>315</v>
      </c>
      <c r="P20" s="198" t="s">
        <v>257</v>
      </c>
      <c r="Q20" s="233" t="s">
        <v>320</v>
      </c>
      <c r="R20" s="39"/>
      <c r="S20" s="141"/>
    </row>
    <row r="21" spans="2:19">
      <c r="B21" s="22" t="s">
        <v>279</v>
      </c>
      <c r="C21" s="168" t="s">
        <v>160</v>
      </c>
      <c r="D21" s="168" t="s">
        <v>160</v>
      </c>
      <c r="E21" s="168" t="s">
        <v>160</v>
      </c>
      <c r="F21" s="220">
        <v>1</v>
      </c>
      <c r="G21" s="168" t="s">
        <v>160</v>
      </c>
      <c r="H21" s="168" t="s">
        <v>160</v>
      </c>
      <c r="I21" s="168" t="s">
        <v>160</v>
      </c>
      <c r="J21" s="168" t="s">
        <v>160</v>
      </c>
      <c r="K21" s="201" t="s">
        <v>256</v>
      </c>
      <c r="L21" s="201" t="s">
        <v>280</v>
      </c>
      <c r="M21" s="221" t="s">
        <v>199</v>
      </c>
      <c r="N21" s="222" t="s">
        <v>281</v>
      </c>
      <c r="O21" s="37" t="s">
        <v>282</v>
      </c>
      <c r="P21" s="198" t="s">
        <v>276</v>
      </c>
      <c r="Q21" s="233" t="s">
        <v>320</v>
      </c>
      <c r="R21" s="39"/>
      <c r="S21" s="141"/>
    </row>
    <row r="22" spans="2:19">
      <c r="B22" s="22" t="s">
        <v>283</v>
      </c>
      <c r="C22" s="168" t="s">
        <v>160</v>
      </c>
      <c r="D22" s="168" t="s">
        <v>160</v>
      </c>
      <c r="E22" s="168" t="s">
        <v>160</v>
      </c>
      <c r="F22" s="220">
        <v>1</v>
      </c>
      <c r="G22" s="168" t="s">
        <v>160</v>
      </c>
      <c r="H22" s="168" t="s">
        <v>160</v>
      </c>
      <c r="I22" s="168" t="s">
        <v>160</v>
      </c>
      <c r="J22" s="168" t="s">
        <v>160</v>
      </c>
      <c r="K22" s="201" t="s">
        <v>256</v>
      </c>
      <c r="L22" s="201" t="s">
        <v>280</v>
      </c>
      <c r="M22" s="221" t="s">
        <v>199</v>
      </c>
      <c r="N22" s="222" t="s">
        <v>284</v>
      </c>
      <c r="O22" s="37" t="s">
        <v>312</v>
      </c>
      <c r="P22" s="198" t="s">
        <v>257</v>
      </c>
      <c r="Q22" s="233" t="s">
        <v>320</v>
      </c>
      <c r="R22" s="39"/>
      <c r="S22" s="141"/>
    </row>
    <row r="23" spans="2:19">
      <c r="B23" s="22" t="s">
        <v>285</v>
      </c>
      <c r="C23" s="168" t="s">
        <v>160</v>
      </c>
      <c r="D23" s="168" t="s">
        <v>160</v>
      </c>
      <c r="E23" s="168" t="s">
        <v>160</v>
      </c>
      <c r="F23" s="220">
        <v>1</v>
      </c>
      <c r="G23" s="168" t="s">
        <v>160</v>
      </c>
      <c r="H23" s="168" t="s">
        <v>160</v>
      </c>
      <c r="I23" s="168" t="s">
        <v>160</v>
      </c>
      <c r="J23" s="168" t="s">
        <v>160</v>
      </c>
      <c r="K23" s="201" t="s">
        <v>281</v>
      </c>
      <c r="L23" s="201" t="s">
        <v>280</v>
      </c>
      <c r="M23" s="221" t="s">
        <v>262</v>
      </c>
      <c r="N23" s="222" t="s">
        <v>256</v>
      </c>
      <c r="O23" s="37" t="s">
        <v>282</v>
      </c>
      <c r="P23" s="198" t="s">
        <v>276</v>
      </c>
      <c r="Q23" s="233" t="s">
        <v>320</v>
      </c>
      <c r="R23" s="39"/>
      <c r="S23" s="141"/>
    </row>
    <row r="24" spans="2:19">
      <c r="B24" s="22" t="s">
        <v>286</v>
      </c>
      <c r="C24" s="168" t="s">
        <v>160</v>
      </c>
      <c r="D24" s="168" t="s">
        <v>160</v>
      </c>
      <c r="E24" s="168" t="s">
        <v>160</v>
      </c>
      <c r="F24" s="220">
        <v>1</v>
      </c>
      <c r="G24" s="168" t="s">
        <v>160</v>
      </c>
      <c r="H24" s="168" t="s">
        <v>160</v>
      </c>
      <c r="I24" s="168" t="s">
        <v>160</v>
      </c>
      <c r="J24" s="168" t="s">
        <v>160</v>
      </c>
      <c r="K24" s="201" t="s">
        <v>281</v>
      </c>
      <c r="L24" s="201" t="s">
        <v>280</v>
      </c>
      <c r="M24" s="221" t="s">
        <v>262</v>
      </c>
      <c r="N24" s="222" t="s">
        <v>287</v>
      </c>
      <c r="O24" s="37" t="s">
        <v>312</v>
      </c>
      <c r="P24" s="198" t="s">
        <v>257</v>
      </c>
      <c r="Q24" s="233" t="s">
        <v>320</v>
      </c>
      <c r="R24" s="39"/>
      <c r="S24" s="141"/>
    </row>
    <row r="25" spans="2:19">
      <c r="B25" s="22" t="s">
        <v>288</v>
      </c>
      <c r="C25" s="168" t="s">
        <v>160</v>
      </c>
      <c r="D25" s="168" t="s">
        <v>160</v>
      </c>
      <c r="E25" s="168" t="s">
        <v>160</v>
      </c>
      <c r="F25" s="220">
        <v>1</v>
      </c>
      <c r="G25" s="168" t="s">
        <v>160</v>
      </c>
      <c r="H25" s="168" t="s">
        <v>160</v>
      </c>
      <c r="I25" s="168" t="s">
        <v>160</v>
      </c>
      <c r="J25" s="168" t="s">
        <v>160</v>
      </c>
      <c r="K25" s="201" t="s">
        <v>256</v>
      </c>
      <c r="L25" s="201" t="s">
        <v>289</v>
      </c>
      <c r="M25" s="221" t="s">
        <v>199</v>
      </c>
      <c r="N25" s="222" t="s">
        <v>272</v>
      </c>
      <c r="O25" s="37" t="s">
        <v>32</v>
      </c>
      <c r="P25" s="198" t="s">
        <v>264</v>
      </c>
      <c r="Q25" s="197" t="s">
        <v>291</v>
      </c>
      <c r="R25" s="39"/>
      <c r="S25" s="141"/>
    </row>
    <row r="26" spans="2:19">
      <c r="B26" s="22" t="s">
        <v>292</v>
      </c>
      <c r="C26" s="168" t="s">
        <v>160</v>
      </c>
      <c r="D26" s="168" t="s">
        <v>160</v>
      </c>
      <c r="E26" s="168" t="s">
        <v>160</v>
      </c>
      <c r="F26" s="220">
        <v>1</v>
      </c>
      <c r="G26" s="168" t="s">
        <v>160</v>
      </c>
      <c r="H26" s="168" t="s">
        <v>160</v>
      </c>
      <c r="I26" s="168" t="s">
        <v>160</v>
      </c>
      <c r="J26" s="168" t="s">
        <v>160</v>
      </c>
      <c r="K26" s="201" t="s">
        <v>281</v>
      </c>
      <c r="L26" s="201" t="s">
        <v>293</v>
      </c>
      <c r="M26" s="221" t="s">
        <v>199</v>
      </c>
      <c r="N26" s="222" t="s">
        <v>266</v>
      </c>
      <c r="O26" s="37" t="s">
        <v>290</v>
      </c>
      <c r="P26" s="198" t="s">
        <v>257</v>
      </c>
      <c r="Q26" s="197" t="s">
        <v>264</v>
      </c>
      <c r="R26" s="39"/>
      <c r="S26" s="141"/>
    </row>
    <row r="27" spans="2:19">
      <c r="B27" s="22" t="s">
        <v>294</v>
      </c>
      <c r="C27" s="168" t="s">
        <v>160</v>
      </c>
      <c r="D27" s="168" t="s">
        <v>160</v>
      </c>
      <c r="E27" s="168" t="s">
        <v>160</v>
      </c>
      <c r="F27" s="220">
        <v>1</v>
      </c>
      <c r="G27" s="168" t="s">
        <v>160</v>
      </c>
      <c r="H27" s="168" t="s">
        <v>160</v>
      </c>
      <c r="I27" s="168" t="s">
        <v>160</v>
      </c>
      <c r="J27" s="168" t="s">
        <v>160</v>
      </c>
      <c r="K27" s="201" t="s">
        <v>256</v>
      </c>
      <c r="L27" s="201" t="s">
        <v>295</v>
      </c>
      <c r="M27" s="221" t="s">
        <v>262</v>
      </c>
      <c r="N27" s="222" t="s">
        <v>281</v>
      </c>
      <c r="O27" s="37" t="s">
        <v>32</v>
      </c>
      <c r="P27" s="198" t="s">
        <v>264</v>
      </c>
      <c r="Q27" s="197" t="s">
        <v>224</v>
      </c>
      <c r="R27" s="39"/>
      <c r="S27" s="141"/>
    </row>
    <row r="28" spans="2:19">
      <c r="B28" s="22" t="s">
        <v>296</v>
      </c>
      <c r="C28" s="168" t="s">
        <v>160</v>
      </c>
      <c r="D28" s="168" t="s">
        <v>160</v>
      </c>
      <c r="E28" s="168" t="s">
        <v>160</v>
      </c>
      <c r="F28" s="220">
        <v>1</v>
      </c>
      <c r="G28" s="168" t="s">
        <v>160</v>
      </c>
      <c r="H28" s="168" t="s">
        <v>160</v>
      </c>
      <c r="I28" s="168" t="s">
        <v>160</v>
      </c>
      <c r="J28" s="168" t="s">
        <v>160</v>
      </c>
      <c r="K28" s="201" t="s">
        <v>274</v>
      </c>
      <c r="L28" s="201" t="s">
        <v>297</v>
      </c>
      <c r="M28" s="221" t="s">
        <v>262</v>
      </c>
      <c r="N28" s="222" t="s">
        <v>284</v>
      </c>
      <c r="O28" s="37" t="s">
        <v>290</v>
      </c>
      <c r="P28" s="198" t="s">
        <v>257</v>
      </c>
      <c r="Q28" s="197" t="s">
        <v>298</v>
      </c>
      <c r="R28" s="39"/>
      <c r="S28" s="141"/>
    </row>
    <row r="29" spans="2:19">
      <c r="B29" s="22" t="s">
        <v>299</v>
      </c>
      <c r="C29" s="168" t="s">
        <v>160</v>
      </c>
      <c r="D29" s="168" t="s">
        <v>160</v>
      </c>
      <c r="E29" s="168" t="s">
        <v>160</v>
      </c>
      <c r="F29" s="220">
        <v>1</v>
      </c>
      <c r="G29" s="168" t="s">
        <v>160</v>
      </c>
      <c r="H29" s="168" t="s">
        <v>160</v>
      </c>
      <c r="I29" s="168" t="s">
        <v>160</v>
      </c>
      <c r="J29" s="168" t="s">
        <v>160</v>
      </c>
      <c r="K29" s="201" t="s">
        <v>284</v>
      </c>
      <c r="L29" s="201" t="s">
        <v>300</v>
      </c>
      <c r="M29" s="221" t="s">
        <v>301</v>
      </c>
      <c r="N29" s="222" t="s">
        <v>281</v>
      </c>
      <c r="O29" s="37" t="s">
        <v>32</v>
      </c>
      <c r="P29" s="198" t="s">
        <v>264</v>
      </c>
      <c r="Q29" s="197" t="s">
        <v>264</v>
      </c>
      <c r="R29" s="39"/>
      <c r="S29" s="141"/>
    </row>
    <row r="30" spans="2:19">
      <c r="B30" s="22" t="s">
        <v>302</v>
      </c>
      <c r="C30" s="168" t="s">
        <v>160</v>
      </c>
      <c r="D30" s="168" t="s">
        <v>160</v>
      </c>
      <c r="E30" s="168" t="s">
        <v>160</v>
      </c>
      <c r="F30" s="220">
        <v>1</v>
      </c>
      <c r="G30" s="168" t="s">
        <v>160</v>
      </c>
      <c r="H30" s="168" t="s">
        <v>160</v>
      </c>
      <c r="I30" s="168" t="s">
        <v>160</v>
      </c>
      <c r="J30" s="168" t="s">
        <v>160</v>
      </c>
      <c r="K30" s="201" t="s">
        <v>266</v>
      </c>
      <c r="L30" s="201" t="s">
        <v>300</v>
      </c>
      <c r="M30" s="221" t="s">
        <v>303</v>
      </c>
      <c r="N30" s="222" t="s">
        <v>284</v>
      </c>
      <c r="O30" s="37" t="s">
        <v>290</v>
      </c>
      <c r="P30" s="198" t="s">
        <v>257</v>
      </c>
      <c r="Q30" s="197" t="s">
        <v>264</v>
      </c>
      <c r="R30" s="39"/>
      <c r="S30" s="141"/>
    </row>
    <row r="31" spans="2:19" ht="14.25" thickBot="1">
      <c r="B31" s="189" t="s">
        <v>309</v>
      </c>
      <c r="C31" s="190" t="s">
        <v>160</v>
      </c>
      <c r="D31" s="190" t="s">
        <v>160</v>
      </c>
      <c r="E31" s="190" t="s">
        <v>160</v>
      </c>
      <c r="F31" s="223">
        <v>0</v>
      </c>
      <c r="G31" s="190" t="s">
        <v>160</v>
      </c>
      <c r="H31" s="190" t="s">
        <v>160</v>
      </c>
      <c r="I31" s="190" t="s">
        <v>160</v>
      </c>
      <c r="J31" s="190" t="s">
        <v>160</v>
      </c>
      <c r="K31" s="191" t="s">
        <v>305</v>
      </c>
      <c r="L31" s="191" t="s">
        <v>304</v>
      </c>
      <c r="M31" s="224" t="s">
        <v>303</v>
      </c>
      <c r="N31" s="225" t="s">
        <v>310</v>
      </c>
      <c r="O31" s="192" t="s">
        <v>306</v>
      </c>
      <c r="P31" s="199" t="s">
        <v>31</v>
      </c>
      <c r="Q31" s="199" t="s">
        <v>230</v>
      </c>
      <c r="R31" s="193"/>
      <c r="S31" s="194"/>
    </row>
  </sheetData>
  <mergeCells count="3">
    <mergeCell ref="C6:J6"/>
    <mergeCell ref="C8:J8"/>
    <mergeCell ref="C10:J10"/>
  </mergeCells>
  <phoneticPr fontId="2"/>
  <dataValidations count="1">
    <dataValidation type="list" allowBlank="1" showInputMessage="1" showErrorMessage="1" sqref="C6">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1" t="s">
        <v>85</v>
      </c>
      <c r="C2" s="82">
        <f>MAX(B4:B28)</f>
        <v>20</v>
      </c>
      <c r="D2" s="82"/>
    </row>
    <row r="3" spans="2:4" ht="14.25" thickBot="1">
      <c r="B3" s="75" t="s">
        <v>85</v>
      </c>
      <c r="C3" s="83" t="s">
        <v>89</v>
      </c>
      <c r="D3" s="76" t="s">
        <v>86</v>
      </c>
    </row>
    <row r="4" spans="2:4" ht="14.25" thickTop="1">
      <c r="B4" s="12">
        <v>0</v>
      </c>
      <c r="C4" s="84" t="s">
        <v>90</v>
      </c>
      <c r="D4" s="14" t="s">
        <v>20</v>
      </c>
    </row>
    <row r="5" spans="2:4" ht="40.5">
      <c r="B5" s="2">
        <v>1</v>
      </c>
      <c r="C5" s="85" t="s">
        <v>90</v>
      </c>
      <c r="D5" s="87" t="s">
        <v>91</v>
      </c>
    </row>
    <row r="6" spans="2:4" ht="27">
      <c r="B6" s="2">
        <v>2</v>
      </c>
      <c r="C6" s="85" t="s">
        <v>93</v>
      </c>
      <c r="D6" s="87" t="s">
        <v>94</v>
      </c>
    </row>
    <row r="7" spans="2:4" ht="54">
      <c r="B7" s="2">
        <v>3</v>
      </c>
      <c r="C7" s="85" t="s">
        <v>90</v>
      </c>
      <c r="D7" s="87" t="s">
        <v>97</v>
      </c>
    </row>
    <row r="8" spans="2:4" ht="81">
      <c r="B8" s="2">
        <v>4</v>
      </c>
      <c r="C8" s="85" t="s">
        <v>105</v>
      </c>
      <c r="D8" s="87" t="s">
        <v>111</v>
      </c>
    </row>
    <row r="9" spans="2:4" ht="41.25" customHeight="1">
      <c r="B9" s="2">
        <v>5</v>
      </c>
      <c r="C9" s="85" t="s">
        <v>106</v>
      </c>
      <c r="D9" s="87" t="s">
        <v>107</v>
      </c>
    </row>
    <row r="10" spans="2:4" ht="27">
      <c r="B10" s="2">
        <v>6</v>
      </c>
      <c r="C10" s="85" t="s">
        <v>90</v>
      </c>
      <c r="D10" s="87" t="s">
        <v>110</v>
      </c>
    </row>
    <row r="11" spans="2:4" ht="27">
      <c r="B11" s="2">
        <v>7</v>
      </c>
      <c r="C11" s="85" t="s">
        <v>105</v>
      </c>
      <c r="D11" s="87" t="s">
        <v>109</v>
      </c>
    </row>
    <row r="12" spans="2:4" ht="27">
      <c r="B12" s="2">
        <v>8</v>
      </c>
      <c r="C12" s="85" t="s">
        <v>90</v>
      </c>
      <c r="D12" s="87" t="s">
        <v>112</v>
      </c>
    </row>
    <row r="13" spans="2:4" ht="27">
      <c r="B13" s="2">
        <v>9</v>
      </c>
      <c r="C13" s="85" t="s">
        <v>90</v>
      </c>
      <c r="D13" s="87" t="s">
        <v>113</v>
      </c>
    </row>
    <row r="14" spans="2:4" ht="27">
      <c r="B14" s="2">
        <v>10</v>
      </c>
      <c r="C14" s="85" t="s">
        <v>114</v>
      </c>
      <c r="D14" s="87" t="s">
        <v>115</v>
      </c>
    </row>
    <row r="15" spans="2:4" ht="135">
      <c r="B15" s="2">
        <v>11</v>
      </c>
      <c r="C15" s="85" t="s">
        <v>90</v>
      </c>
      <c r="D15" s="87" t="s">
        <v>128</v>
      </c>
    </row>
    <row r="16" spans="2:4" ht="191.25" customHeight="1">
      <c r="B16" s="2">
        <v>12</v>
      </c>
      <c r="C16" s="85" t="s">
        <v>156</v>
      </c>
      <c r="D16" s="87" t="s">
        <v>165</v>
      </c>
    </row>
    <row r="17" spans="2:4" ht="27">
      <c r="B17" s="2">
        <v>13</v>
      </c>
      <c r="C17" s="85" t="s">
        <v>93</v>
      </c>
      <c r="D17" s="87" t="s">
        <v>168</v>
      </c>
    </row>
    <row r="18" spans="2:4" ht="67.5">
      <c r="B18" s="2">
        <v>14</v>
      </c>
      <c r="C18" s="85" t="s">
        <v>93</v>
      </c>
      <c r="D18" s="87" t="s">
        <v>170</v>
      </c>
    </row>
    <row r="19" spans="2:4" ht="40.5">
      <c r="B19" s="2">
        <v>15</v>
      </c>
      <c r="C19" s="85" t="s">
        <v>106</v>
      </c>
      <c r="D19" s="87" t="s">
        <v>173</v>
      </c>
    </row>
    <row r="20" spans="2:4" ht="64.5" customHeight="1">
      <c r="B20" s="2">
        <v>16</v>
      </c>
      <c r="C20" s="85" t="s">
        <v>106</v>
      </c>
      <c r="D20" s="87" t="s">
        <v>177</v>
      </c>
    </row>
    <row r="21" spans="2:4" ht="66.75" customHeight="1">
      <c r="B21" s="2">
        <v>17</v>
      </c>
      <c r="C21" s="85" t="s">
        <v>105</v>
      </c>
      <c r="D21" s="87" t="s">
        <v>192</v>
      </c>
    </row>
    <row r="22" spans="2:4" ht="27">
      <c r="B22" s="2">
        <v>18</v>
      </c>
      <c r="C22" s="85" t="s">
        <v>316</v>
      </c>
      <c r="D22" s="87" t="s">
        <v>317</v>
      </c>
    </row>
    <row r="23" spans="2:4" ht="27">
      <c r="B23" s="2">
        <v>19</v>
      </c>
      <c r="C23" s="85" t="s">
        <v>316</v>
      </c>
      <c r="D23" s="87" t="s">
        <v>318</v>
      </c>
    </row>
    <row r="24" spans="2:4" ht="94.5">
      <c r="B24" s="2">
        <v>20</v>
      </c>
      <c r="C24" s="85" t="s">
        <v>332</v>
      </c>
      <c r="D24" s="87" t="s">
        <v>333</v>
      </c>
    </row>
    <row r="25" spans="2:4">
      <c r="B25" s="2"/>
      <c r="C25" s="85"/>
      <c r="D25" s="72"/>
    </row>
    <row r="26" spans="2:4">
      <c r="B26" s="2"/>
      <c r="C26" s="85"/>
      <c r="D26" s="72"/>
    </row>
    <row r="27" spans="2:4" ht="14.25" thickBot="1">
      <c r="B27" s="3"/>
      <c r="C27" s="8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M_T120</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高橋　勝司</cp:lastModifiedBy>
  <dcterms:created xsi:type="dcterms:W3CDTF">2019-02-05T04:25:17Z</dcterms:created>
  <dcterms:modified xsi:type="dcterms:W3CDTF">2022-01-26T10:17:55Z</dcterms:modified>
</cp:coreProperties>
</file>